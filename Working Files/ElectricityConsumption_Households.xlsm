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filterPrivacy="1" codeName="ThisWorkbook"/>
  <xr:revisionPtr revIDLastSave="0" documentId="13_ncr:1_{00CC4E00-82CF-AA4C-9144-B28D64863281}" xr6:coauthVersionLast="37" xr6:coauthVersionMax="37" xr10:uidLastSave="{00000000-0000-0000-0000-000000000000}"/>
  <bookViews>
    <workbookView xWindow="0" yWindow="460" windowWidth="24860" windowHeight="15440" activeTab="4" xr2:uid="{00000000-000D-0000-FFFF-FFFF00000000}"/>
  </bookViews>
  <sheets>
    <sheet name="Total Data" sheetId="1" r:id="rId1"/>
    <sheet name="Household data" sheetId="2" r:id="rId2"/>
    <sheet name="Exponential Smoothing" sheetId="3" r:id="rId3"/>
    <sheet name="Decomposition" sheetId="4" r:id="rId4"/>
    <sheet name="ARIMA- Summary" sheetId="5" r:id="rId5"/>
    <sheet name="ARIMA-XLSTAT_HID" sheetId="7" state="hidden" r:id="rId6"/>
    <sheet name="ADF Test" sheetId="6" r:id="rId7"/>
    <sheet name="Seasonal AR(1)" sheetId="16" r:id="rId8"/>
    <sheet name="Seasonal AR(2)" sheetId="15" r:id="rId9"/>
  </sheets>
  <externalReferences>
    <externalReference r:id="rId10"/>
  </externalReferences>
  <definedNames>
    <definedName name="solver_adj" localSheetId="2" hidden="1">'Exponential Smoothing'!$I$2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'Exponential Smoothing'!$I$3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C2" i="4" l="1"/>
  <c r="A3" i="4"/>
  <c r="A4" i="4" s="1"/>
  <c r="D2" i="3"/>
  <c r="C3" i="3"/>
  <c r="C3" i="4" l="1"/>
  <c r="D3" i="4" s="1"/>
  <c r="D3" i="3"/>
  <c r="C4" i="3"/>
  <c r="A5" i="4"/>
  <c r="C4" i="4"/>
  <c r="D2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C5" i="3" l="1"/>
  <c r="D4" i="3"/>
  <c r="D4" i="4"/>
  <c r="A6" i="4"/>
  <c r="C5" i="4"/>
  <c r="D5" i="4" l="1"/>
  <c r="A7" i="4"/>
  <c r="C6" i="4"/>
  <c r="C6" i="3"/>
  <c r="D5" i="3"/>
  <c r="A8" i="4" l="1"/>
  <c r="C7" i="4"/>
  <c r="C7" i="3"/>
  <c r="D6" i="3"/>
  <c r="D6" i="4"/>
  <c r="D7" i="4" l="1"/>
  <c r="A9" i="4"/>
  <c r="C8" i="4"/>
  <c r="C8" i="3"/>
  <c r="D7" i="3"/>
  <c r="A10" i="4" l="1"/>
  <c r="C9" i="4"/>
  <c r="C9" i="3"/>
  <c r="D8" i="3"/>
  <c r="D8" i="4"/>
  <c r="C10" i="3" l="1"/>
  <c r="D9" i="3"/>
  <c r="D9" i="4"/>
  <c r="A11" i="4"/>
  <c r="C10" i="4"/>
  <c r="D10" i="4" l="1"/>
  <c r="A12" i="4"/>
  <c r="C11" i="4"/>
  <c r="C11" i="3"/>
  <c r="D10" i="3"/>
  <c r="C12" i="3" l="1"/>
  <c r="D11" i="3"/>
  <c r="D11" i="4"/>
  <c r="A13" i="4"/>
  <c r="C12" i="4"/>
  <c r="D12" i="4" l="1"/>
  <c r="A14" i="4"/>
  <c r="C13" i="4"/>
  <c r="C13" i="3"/>
  <c r="D12" i="3"/>
  <c r="C14" i="3" l="1"/>
  <c r="D13" i="3"/>
  <c r="A15" i="4"/>
  <c r="C14" i="4"/>
  <c r="D13" i="4"/>
  <c r="D14" i="4" l="1"/>
  <c r="A16" i="4"/>
  <c r="C15" i="4"/>
  <c r="C15" i="3"/>
  <c r="D14" i="3"/>
  <c r="C16" i="3" l="1"/>
  <c r="D15" i="3"/>
  <c r="A17" i="4"/>
  <c r="C16" i="4"/>
  <c r="D15" i="4"/>
  <c r="C17" i="3" l="1"/>
  <c r="D16" i="3"/>
  <c r="A18" i="4"/>
  <c r="C17" i="4"/>
  <c r="D16" i="4"/>
  <c r="C18" i="3" l="1"/>
  <c r="D17" i="3"/>
  <c r="A19" i="4"/>
  <c r="C18" i="4"/>
  <c r="D17" i="4"/>
  <c r="C19" i="3" l="1"/>
  <c r="D18" i="3"/>
  <c r="A20" i="4"/>
  <c r="C19" i="4"/>
  <c r="D18" i="4"/>
  <c r="A21" i="4" l="1"/>
  <c r="C20" i="4"/>
  <c r="C20" i="3"/>
  <c r="D19" i="3"/>
  <c r="D19" i="4"/>
  <c r="C21" i="3" l="1"/>
  <c r="D20" i="3"/>
  <c r="D20" i="4"/>
  <c r="A22" i="4"/>
  <c r="C21" i="4"/>
  <c r="D21" i="4" l="1"/>
  <c r="A23" i="4"/>
  <c r="C22" i="4"/>
  <c r="C22" i="3"/>
  <c r="D21" i="3"/>
  <c r="C23" i="3" l="1"/>
  <c r="D22" i="3"/>
  <c r="D22" i="4"/>
  <c r="A24" i="4"/>
  <c r="C23" i="4"/>
  <c r="D23" i="4" l="1"/>
  <c r="A25" i="4"/>
  <c r="C24" i="4"/>
  <c r="C24" i="3"/>
  <c r="D23" i="3"/>
  <c r="D24" i="4" l="1"/>
  <c r="A26" i="4"/>
  <c r="C25" i="4"/>
  <c r="C25" i="3"/>
  <c r="D24" i="3"/>
  <c r="C26" i="3" l="1"/>
  <c r="D25" i="3"/>
  <c r="D25" i="4"/>
  <c r="A27" i="4"/>
  <c r="C26" i="4"/>
  <c r="D26" i="4" l="1"/>
  <c r="A28" i="4"/>
  <c r="C27" i="4"/>
  <c r="C27" i="3"/>
  <c r="D26" i="3"/>
  <c r="D27" i="4" l="1"/>
  <c r="A29" i="4"/>
  <c r="C28" i="4"/>
  <c r="C28" i="3"/>
  <c r="D27" i="3"/>
  <c r="D28" i="4" l="1"/>
  <c r="A30" i="4"/>
  <c r="C29" i="4"/>
  <c r="C29" i="3"/>
  <c r="D28" i="3"/>
  <c r="D29" i="4" l="1"/>
  <c r="A31" i="4"/>
  <c r="C30" i="4"/>
  <c r="C30" i="3"/>
  <c r="D29" i="3"/>
  <c r="C31" i="3" l="1"/>
  <c r="D30" i="3"/>
  <c r="D30" i="4"/>
  <c r="A32" i="4"/>
  <c r="C31" i="4"/>
  <c r="D31" i="4" l="1"/>
  <c r="A33" i="4"/>
  <c r="C32" i="4"/>
  <c r="C32" i="3"/>
  <c r="D31" i="3"/>
  <c r="C33" i="3" l="1"/>
  <c r="D32" i="3"/>
  <c r="A34" i="4"/>
  <c r="C33" i="4"/>
  <c r="D32" i="4"/>
  <c r="D33" i="4" l="1"/>
  <c r="A35" i="4"/>
  <c r="C34" i="4"/>
  <c r="C34" i="3"/>
  <c r="D33" i="3"/>
  <c r="C35" i="3" l="1"/>
  <c r="D34" i="3"/>
  <c r="D34" i="4"/>
  <c r="A36" i="4"/>
  <c r="C35" i="4"/>
  <c r="D35" i="4" l="1"/>
  <c r="A37" i="4"/>
  <c r="C36" i="4"/>
  <c r="C36" i="3"/>
  <c r="D35" i="3"/>
  <c r="A38" i="4" l="1"/>
  <c r="C37" i="4"/>
  <c r="D36" i="4"/>
  <c r="C37" i="3"/>
  <c r="D36" i="3"/>
  <c r="D37" i="4" l="1"/>
  <c r="C38" i="3"/>
  <c r="D37" i="3"/>
  <c r="A39" i="4"/>
  <c r="C38" i="4"/>
  <c r="A40" i="4" l="1"/>
  <c r="C39" i="4"/>
  <c r="C39" i="3"/>
  <c r="D38" i="3"/>
  <c r="D38" i="4"/>
  <c r="D39" i="4" l="1"/>
  <c r="A41" i="4"/>
  <c r="C40" i="4"/>
  <c r="C40" i="3"/>
  <c r="D39" i="3"/>
  <c r="A42" i="4" l="1"/>
  <c r="C41" i="4"/>
  <c r="C41" i="3"/>
  <c r="D40" i="3"/>
  <c r="D40" i="4"/>
  <c r="C42" i="3" l="1"/>
  <c r="D41" i="3"/>
  <c r="D41" i="4"/>
  <c r="A43" i="4"/>
  <c r="C42" i="4"/>
  <c r="D42" i="4" l="1"/>
  <c r="A44" i="4"/>
  <c r="C43" i="4"/>
  <c r="C43" i="3"/>
  <c r="D42" i="3"/>
  <c r="C44" i="3" l="1"/>
  <c r="D43" i="3"/>
  <c r="D43" i="4"/>
  <c r="A45" i="4"/>
  <c r="C44" i="4"/>
  <c r="D44" i="4" l="1"/>
  <c r="A46" i="4"/>
  <c r="C45" i="4"/>
  <c r="C45" i="3"/>
  <c r="D44" i="3"/>
  <c r="D45" i="4" l="1"/>
  <c r="A47" i="4"/>
  <c r="C46" i="4"/>
  <c r="C46" i="3"/>
  <c r="D45" i="3"/>
  <c r="A48" i="4" l="1"/>
  <c r="C47" i="4"/>
  <c r="C47" i="3"/>
  <c r="D46" i="3"/>
  <c r="D46" i="4"/>
  <c r="D47" i="4" l="1"/>
  <c r="A49" i="4"/>
  <c r="C48" i="4"/>
  <c r="C48" i="3"/>
  <c r="D47" i="3"/>
  <c r="D48" i="4" l="1"/>
  <c r="A50" i="4"/>
  <c r="C49" i="4"/>
  <c r="C49" i="3"/>
  <c r="D48" i="3"/>
  <c r="C50" i="3" l="1"/>
  <c r="D49" i="3"/>
  <c r="A51" i="4"/>
  <c r="C50" i="4"/>
  <c r="D49" i="4"/>
  <c r="A52" i="4" l="1"/>
  <c r="C51" i="4"/>
  <c r="D50" i="4"/>
  <c r="C51" i="3"/>
  <c r="D50" i="3"/>
  <c r="D51" i="4" l="1"/>
  <c r="C52" i="3"/>
  <c r="D51" i="3"/>
  <c r="A53" i="4"/>
  <c r="C52" i="4"/>
  <c r="D52" i="4" l="1"/>
  <c r="C53" i="3"/>
  <c r="D52" i="3"/>
  <c r="A54" i="4"/>
  <c r="C53" i="4"/>
  <c r="C54" i="3" l="1"/>
  <c r="D53" i="3"/>
  <c r="D53" i="4"/>
  <c r="A55" i="4"/>
  <c r="C54" i="4"/>
  <c r="D54" i="4" l="1"/>
  <c r="A56" i="4"/>
  <c r="C55" i="4"/>
  <c r="C55" i="3"/>
  <c r="D54" i="3"/>
  <c r="A57" i="4" l="1"/>
  <c r="C56" i="4"/>
  <c r="C56" i="3"/>
  <c r="D55" i="3"/>
  <c r="D55" i="4"/>
  <c r="C57" i="3" l="1"/>
  <c r="D56" i="3"/>
  <c r="D56" i="4"/>
  <c r="A58" i="4"/>
  <c r="C57" i="4"/>
  <c r="D57" i="4" l="1"/>
  <c r="A59" i="4"/>
  <c r="C58" i="4"/>
  <c r="C58" i="3"/>
  <c r="D57" i="3"/>
  <c r="D58" i="4" l="1"/>
  <c r="A60" i="4"/>
  <c r="C59" i="4"/>
  <c r="C59" i="3"/>
  <c r="D58" i="3"/>
  <c r="C60" i="3" l="1"/>
  <c r="D59" i="3"/>
  <c r="A61" i="4"/>
  <c r="C60" i="4"/>
  <c r="D59" i="4"/>
  <c r="A62" i="4" l="1"/>
  <c r="C61" i="4"/>
  <c r="C61" i="3"/>
  <c r="D60" i="3"/>
  <c r="D60" i="4"/>
  <c r="C62" i="3" l="1"/>
  <c r="D61" i="3"/>
  <c r="D61" i="4"/>
  <c r="A63" i="4"/>
  <c r="C62" i="4"/>
  <c r="C63" i="3" l="1"/>
  <c r="D62" i="3"/>
  <c r="D62" i="4"/>
  <c r="A64" i="4"/>
  <c r="C63" i="4"/>
  <c r="D63" i="4" l="1"/>
  <c r="A65" i="4"/>
  <c r="C64" i="4"/>
  <c r="C64" i="3"/>
  <c r="D63" i="3"/>
  <c r="D64" i="4" l="1"/>
  <c r="A66" i="4"/>
  <c r="C65" i="4"/>
  <c r="C65" i="3"/>
  <c r="D64" i="3"/>
  <c r="D65" i="4" l="1"/>
  <c r="A67" i="4"/>
  <c r="C66" i="4"/>
  <c r="C66" i="3"/>
  <c r="D65" i="3"/>
  <c r="A68" i="4" l="1"/>
  <c r="C67" i="4"/>
  <c r="D66" i="4"/>
  <c r="C67" i="3"/>
  <c r="D66" i="3"/>
  <c r="C68" i="3" l="1"/>
  <c r="D67" i="3"/>
  <c r="D67" i="4"/>
  <c r="A69" i="4"/>
  <c r="C68" i="4"/>
  <c r="D68" i="4" l="1"/>
  <c r="A70" i="4"/>
  <c r="C69" i="4"/>
  <c r="C69" i="3"/>
  <c r="D68" i="3"/>
  <c r="A71" i="4" l="1"/>
  <c r="C70" i="4"/>
  <c r="C70" i="3"/>
  <c r="D69" i="3"/>
  <c r="D69" i="4"/>
  <c r="C71" i="3" l="1"/>
  <c r="D70" i="3"/>
  <c r="D70" i="4"/>
  <c r="A72" i="4"/>
  <c r="C71" i="4"/>
  <c r="D71" i="4" l="1"/>
  <c r="A73" i="4"/>
  <c r="C72" i="4"/>
  <c r="C72" i="3"/>
  <c r="D71" i="3"/>
  <c r="D72" i="4" l="1"/>
  <c r="A74" i="4"/>
  <c r="C73" i="4"/>
  <c r="C73" i="3"/>
  <c r="D72" i="3"/>
  <c r="A75" i="4" l="1"/>
  <c r="C74" i="4"/>
  <c r="D73" i="4"/>
  <c r="C74" i="3"/>
  <c r="D73" i="3"/>
  <c r="D74" i="4" l="1"/>
  <c r="C75" i="3"/>
  <c r="D74" i="3"/>
  <c r="A76" i="4"/>
  <c r="C75" i="4"/>
  <c r="A77" i="4" l="1"/>
  <c r="C76" i="4"/>
  <c r="C76" i="3"/>
  <c r="D75" i="3"/>
  <c r="D75" i="4"/>
  <c r="C77" i="3" l="1"/>
  <c r="D76" i="3"/>
  <c r="D76" i="4"/>
  <c r="A78" i="4"/>
  <c r="C77" i="4"/>
  <c r="D77" i="4" l="1"/>
  <c r="A79" i="4"/>
  <c r="C78" i="4"/>
  <c r="C78" i="3"/>
  <c r="D77" i="3"/>
  <c r="D78" i="4" l="1"/>
  <c r="A80" i="4"/>
  <c r="C79" i="4"/>
  <c r="C79" i="3"/>
  <c r="D78" i="3"/>
  <c r="D79" i="4" l="1"/>
  <c r="A81" i="4"/>
  <c r="C80" i="4"/>
  <c r="C80" i="3"/>
  <c r="D79" i="3"/>
  <c r="D80" i="4" l="1"/>
  <c r="A82" i="4"/>
  <c r="C81" i="4"/>
  <c r="C81" i="3"/>
  <c r="D80" i="3"/>
  <c r="D81" i="4" l="1"/>
  <c r="A83" i="4"/>
  <c r="C82" i="4"/>
  <c r="C82" i="3"/>
  <c r="D81" i="3"/>
  <c r="D82" i="4" l="1"/>
  <c r="A84" i="4"/>
  <c r="C83" i="4"/>
  <c r="C83" i="3"/>
  <c r="D82" i="3"/>
  <c r="A85" i="4" l="1"/>
  <c r="C84" i="4"/>
  <c r="C84" i="3"/>
  <c r="D83" i="3"/>
  <c r="D83" i="4"/>
  <c r="A86" i="4" l="1"/>
  <c r="C85" i="4"/>
  <c r="C85" i="3"/>
  <c r="D84" i="3"/>
  <c r="D84" i="4"/>
  <c r="A87" i="4" l="1"/>
  <c r="C86" i="4"/>
  <c r="C86" i="3"/>
  <c r="D85" i="3"/>
  <c r="D85" i="4"/>
  <c r="C87" i="3" l="1"/>
  <c r="D86" i="3"/>
  <c r="D86" i="4"/>
  <c r="A88" i="4"/>
  <c r="C87" i="4"/>
  <c r="D87" i="4" l="1"/>
  <c r="A89" i="4"/>
  <c r="C88" i="4"/>
  <c r="C88" i="3"/>
  <c r="D87" i="3"/>
  <c r="C89" i="3" l="1"/>
  <c r="D88" i="3"/>
  <c r="D88" i="4"/>
  <c r="A90" i="4"/>
  <c r="C89" i="4"/>
  <c r="C90" i="3" l="1"/>
  <c r="D89" i="3"/>
  <c r="D89" i="4"/>
  <c r="A91" i="4"/>
  <c r="C90" i="4"/>
  <c r="D90" i="4" l="1"/>
  <c r="A92" i="4"/>
  <c r="C91" i="4"/>
  <c r="C91" i="3"/>
  <c r="D90" i="3"/>
  <c r="C92" i="3" l="1"/>
  <c r="D91" i="3"/>
  <c r="D91" i="4"/>
  <c r="A93" i="4"/>
  <c r="C92" i="4"/>
  <c r="D92" i="4" l="1"/>
  <c r="A94" i="4"/>
  <c r="C93" i="4"/>
  <c r="C93" i="3"/>
  <c r="D92" i="3"/>
  <c r="A95" i="4" l="1"/>
  <c r="C94" i="4"/>
  <c r="C94" i="3"/>
  <c r="D93" i="3"/>
  <c r="D93" i="4"/>
  <c r="D94" i="4" l="1"/>
  <c r="C95" i="3"/>
  <c r="D94" i="3"/>
  <c r="A96" i="4"/>
  <c r="C95" i="4"/>
  <c r="C96" i="3" l="1"/>
  <c r="D95" i="3"/>
  <c r="D95" i="4"/>
  <c r="A97" i="4"/>
  <c r="C96" i="4"/>
  <c r="D96" i="4" l="1"/>
  <c r="A98" i="4"/>
  <c r="C97" i="4"/>
  <c r="C97" i="3"/>
  <c r="D96" i="3"/>
  <c r="A99" i="4" l="1"/>
  <c r="C98" i="4"/>
  <c r="C98" i="3"/>
  <c r="D97" i="3"/>
  <c r="D97" i="4"/>
  <c r="C99" i="3" l="1"/>
  <c r="D98" i="3"/>
  <c r="D98" i="4"/>
  <c r="A100" i="4"/>
  <c r="C99" i="4"/>
  <c r="D99" i="4" l="1"/>
  <c r="A101" i="4"/>
  <c r="C100" i="4"/>
  <c r="C100" i="3"/>
  <c r="D99" i="3"/>
  <c r="A102" i="4" l="1"/>
  <c r="C101" i="4"/>
  <c r="C101" i="3"/>
  <c r="D100" i="3"/>
  <c r="D100" i="4"/>
  <c r="C102" i="3" l="1"/>
  <c r="D101" i="3"/>
  <c r="D101" i="4"/>
  <c r="A103" i="4"/>
  <c r="C102" i="4"/>
  <c r="C103" i="3" l="1"/>
  <c r="D102" i="3"/>
  <c r="D102" i="4"/>
  <c r="A104" i="4"/>
  <c r="C103" i="4"/>
  <c r="D103" i="4" l="1"/>
  <c r="A105" i="4"/>
  <c r="C104" i="4"/>
  <c r="C104" i="3"/>
  <c r="D103" i="3"/>
  <c r="A106" i="4" l="1"/>
  <c r="C105" i="4"/>
  <c r="D104" i="4"/>
  <c r="C105" i="3"/>
  <c r="D104" i="3"/>
  <c r="C106" i="3" l="1"/>
  <c r="D105" i="3"/>
  <c r="D105" i="4"/>
  <c r="A107" i="4"/>
  <c r="C106" i="4"/>
  <c r="A108" i="4" l="1"/>
  <c r="C107" i="4"/>
  <c r="D106" i="4"/>
  <c r="C107" i="3"/>
  <c r="D106" i="3"/>
  <c r="D107" i="4" l="1"/>
  <c r="C108" i="3"/>
  <c r="D107" i="3"/>
  <c r="A109" i="4"/>
  <c r="C108" i="4"/>
  <c r="C109" i="3" l="1"/>
  <c r="D108" i="3"/>
  <c r="D108" i="4"/>
  <c r="A110" i="4"/>
  <c r="C109" i="4"/>
  <c r="D109" i="4" l="1"/>
  <c r="A111" i="4"/>
  <c r="C110" i="4"/>
  <c r="C110" i="3"/>
  <c r="D109" i="3"/>
  <c r="A112" i="4" l="1"/>
  <c r="C111" i="4"/>
  <c r="C111" i="3"/>
  <c r="D110" i="3"/>
  <c r="D110" i="4"/>
  <c r="C112" i="3" l="1"/>
  <c r="D111" i="3"/>
  <c r="D111" i="4"/>
  <c r="A113" i="4"/>
  <c r="C112" i="4"/>
  <c r="D112" i="4" l="1"/>
  <c r="A114" i="4"/>
  <c r="C113" i="4"/>
  <c r="C113" i="3"/>
  <c r="D112" i="3"/>
  <c r="C114" i="3" l="1"/>
  <c r="D113" i="3"/>
  <c r="D113" i="4"/>
  <c r="A115" i="4"/>
  <c r="C114" i="4"/>
  <c r="A116" i="4" l="1"/>
  <c r="C115" i="4"/>
  <c r="D114" i="4"/>
  <c r="C115" i="3"/>
  <c r="D114" i="3"/>
  <c r="D115" i="4" l="1"/>
  <c r="C116" i="3"/>
  <c r="D115" i="3"/>
  <c r="A117" i="4"/>
  <c r="C116" i="4"/>
  <c r="A118" i="4" l="1"/>
  <c r="C117" i="4"/>
  <c r="C117" i="3"/>
  <c r="D116" i="3"/>
  <c r="D116" i="4"/>
  <c r="C118" i="3" l="1"/>
  <c r="D117" i="3"/>
  <c r="D117" i="4"/>
  <c r="A119" i="4"/>
  <c r="C118" i="4"/>
  <c r="D118" i="4" l="1"/>
  <c r="A120" i="4"/>
  <c r="C119" i="4"/>
  <c r="C119" i="3"/>
  <c r="D118" i="3"/>
  <c r="C120" i="3" l="1"/>
  <c r="D119" i="3"/>
  <c r="D119" i="4"/>
  <c r="A121" i="4"/>
  <c r="C120" i="4"/>
  <c r="A122" i="4" l="1"/>
  <c r="C121" i="4"/>
  <c r="D120" i="4"/>
  <c r="C121" i="3"/>
  <c r="D120" i="3"/>
  <c r="D121" i="4" l="1"/>
  <c r="C122" i="3"/>
  <c r="D121" i="3"/>
  <c r="A123" i="4"/>
  <c r="C122" i="4"/>
  <c r="C123" i="3" l="1"/>
  <c r="D122" i="3"/>
  <c r="D122" i="4"/>
  <c r="A124" i="4"/>
  <c r="C123" i="4"/>
  <c r="D123" i="4" l="1"/>
  <c r="A125" i="4"/>
  <c r="C124" i="4"/>
  <c r="C124" i="3"/>
  <c r="D123" i="3"/>
  <c r="D124" i="4" l="1"/>
  <c r="A126" i="4"/>
  <c r="C125" i="4"/>
  <c r="C125" i="3"/>
  <c r="D124" i="3"/>
  <c r="D125" i="4" l="1"/>
  <c r="A127" i="4"/>
  <c r="C126" i="4"/>
  <c r="C126" i="3"/>
  <c r="D125" i="3"/>
  <c r="C127" i="3" l="1"/>
  <c r="D126" i="3"/>
  <c r="D126" i="4"/>
  <c r="A128" i="4"/>
  <c r="C127" i="4"/>
  <c r="D127" i="4" l="1"/>
  <c r="A129" i="4"/>
  <c r="C128" i="4"/>
  <c r="C128" i="3"/>
  <c r="D127" i="3"/>
  <c r="A130" i="4" l="1"/>
  <c r="C129" i="4"/>
  <c r="C129" i="3"/>
  <c r="D128" i="3"/>
  <c r="D128" i="4"/>
  <c r="C130" i="3" l="1"/>
  <c r="D129" i="3"/>
  <c r="D129" i="4"/>
  <c r="A131" i="4"/>
  <c r="C130" i="4"/>
  <c r="D130" i="4" l="1"/>
  <c r="A132" i="4"/>
  <c r="C131" i="4"/>
  <c r="C131" i="3"/>
  <c r="D130" i="3"/>
  <c r="C132" i="3" l="1"/>
  <c r="D131" i="3"/>
  <c r="D131" i="4"/>
  <c r="A133" i="4"/>
  <c r="C132" i="4"/>
  <c r="A134" i="4" l="1"/>
  <c r="C133" i="4"/>
  <c r="C133" i="3"/>
  <c r="D132" i="3"/>
  <c r="D132" i="4"/>
  <c r="A135" i="4" l="1"/>
  <c r="C134" i="4"/>
  <c r="C134" i="3"/>
  <c r="D133" i="3"/>
  <c r="D133" i="4"/>
  <c r="A136" i="4" l="1"/>
  <c r="C135" i="4"/>
  <c r="C135" i="3"/>
  <c r="D134" i="3"/>
  <c r="D134" i="4"/>
  <c r="C136" i="3" l="1"/>
  <c r="D135" i="3"/>
  <c r="D135" i="4"/>
  <c r="A137" i="4"/>
  <c r="C136" i="4"/>
  <c r="D136" i="4" l="1"/>
  <c r="A138" i="4"/>
  <c r="C137" i="4"/>
  <c r="C137" i="3"/>
  <c r="D136" i="3"/>
  <c r="A139" i="4" l="1"/>
  <c r="C138" i="4"/>
  <c r="D137" i="4"/>
  <c r="C138" i="3"/>
  <c r="D137" i="3"/>
  <c r="C139" i="3" l="1"/>
  <c r="D138" i="3"/>
  <c r="D138" i="4"/>
  <c r="A140" i="4"/>
  <c r="C139" i="4"/>
  <c r="D139" i="4" l="1"/>
  <c r="A141" i="4"/>
  <c r="C140" i="4"/>
  <c r="C140" i="3"/>
  <c r="D139" i="3"/>
  <c r="A142" i="4" l="1"/>
  <c r="C141" i="4"/>
  <c r="D140" i="4"/>
  <c r="C141" i="3"/>
  <c r="D140" i="3"/>
  <c r="A143" i="4" l="1"/>
  <c r="C142" i="4"/>
  <c r="C142" i="3"/>
  <c r="D141" i="3"/>
  <c r="D141" i="4"/>
  <c r="C143" i="3" l="1"/>
  <c r="D142" i="3"/>
  <c r="D142" i="4"/>
  <c r="A144" i="4"/>
  <c r="C143" i="4"/>
  <c r="D143" i="4" l="1"/>
  <c r="A145" i="4"/>
  <c r="C144" i="4"/>
  <c r="C144" i="3"/>
  <c r="D143" i="3"/>
  <c r="D144" i="4" l="1"/>
  <c r="A146" i="4"/>
  <c r="C145" i="4"/>
  <c r="C145" i="3"/>
  <c r="D144" i="3"/>
  <c r="D145" i="4" l="1"/>
  <c r="A147" i="4"/>
  <c r="C146" i="4"/>
  <c r="C146" i="3"/>
  <c r="D145" i="3"/>
  <c r="D146" i="4" l="1"/>
  <c r="A148" i="4"/>
  <c r="C147" i="4"/>
  <c r="C147" i="3"/>
  <c r="D146" i="3"/>
  <c r="D147" i="4" l="1"/>
  <c r="A149" i="4"/>
  <c r="C148" i="4"/>
  <c r="C148" i="3"/>
  <c r="D147" i="3"/>
  <c r="C149" i="3" l="1"/>
  <c r="D148" i="3"/>
  <c r="D148" i="4"/>
  <c r="A150" i="4"/>
  <c r="C149" i="4"/>
  <c r="D149" i="4" l="1"/>
  <c r="A151" i="4"/>
  <c r="C150" i="4"/>
  <c r="C150" i="3"/>
  <c r="D149" i="3"/>
  <c r="A152" i="4" l="1"/>
  <c r="C151" i="4"/>
  <c r="C151" i="3"/>
  <c r="D150" i="3"/>
  <c r="D150" i="4"/>
  <c r="C152" i="3" l="1"/>
  <c r="D151" i="3"/>
  <c r="D151" i="4"/>
  <c r="A153" i="4"/>
  <c r="C152" i="4"/>
  <c r="D152" i="4" l="1"/>
  <c r="A154" i="4"/>
  <c r="C153" i="4"/>
  <c r="C153" i="3"/>
  <c r="D152" i="3"/>
  <c r="C154" i="3" l="1"/>
  <c r="D153" i="3"/>
  <c r="D153" i="4"/>
  <c r="A155" i="4"/>
  <c r="C154" i="4"/>
  <c r="D154" i="4" l="1"/>
  <c r="E2" i="4" s="1"/>
  <c r="A156" i="4"/>
  <c r="C155" i="4"/>
  <c r="C155" i="3"/>
  <c r="D154" i="3"/>
  <c r="A157" i="4" l="1"/>
  <c r="C157" i="4" s="1"/>
  <c r="C156" i="4"/>
  <c r="C156" i="3"/>
  <c r="D155" i="3"/>
  <c r="F2" i="4"/>
  <c r="G2" i="4" s="1"/>
  <c r="F6" i="4"/>
  <c r="G6" i="4" s="1"/>
  <c r="F10" i="4"/>
  <c r="G10" i="4" s="1"/>
  <c r="F14" i="4"/>
  <c r="G14" i="4" s="1"/>
  <c r="F18" i="4"/>
  <c r="G18" i="4" s="1"/>
  <c r="F22" i="4"/>
  <c r="G22" i="4" s="1"/>
  <c r="F26" i="4"/>
  <c r="G26" i="4" s="1"/>
  <c r="F30" i="4"/>
  <c r="G30" i="4" s="1"/>
  <c r="F34" i="4"/>
  <c r="G34" i="4" s="1"/>
  <c r="F38" i="4"/>
  <c r="G38" i="4" s="1"/>
  <c r="F42" i="4"/>
  <c r="G42" i="4" s="1"/>
  <c r="F46" i="4"/>
  <c r="G46" i="4" s="1"/>
  <c r="F50" i="4"/>
  <c r="G50" i="4" s="1"/>
  <c r="F54" i="4"/>
  <c r="G54" i="4" s="1"/>
  <c r="F58" i="4"/>
  <c r="G58" i="4" s="1"/>
  <c r="F62" i="4"/>
  <c r="G62" i="4" s="1"/>
  <c r="F66" i="4"/>
  <c r="G66" i="4" s="1"/>
  <c r="F70" i="4"/>
  <c r="G70" i="4" s="1"/>
  <c r="F74" i="4"/>
  <c r="G74" i="4" s="1"/>
  <c r="F78" i="4"/>
  <c r="G78" i="4" s="1"/>
  <c r="F82" i="4"/>
  <c r="G82" i="4" s="1"/>
  <c r="F86" i="4"/>
  <c r="G86" i="4" s="1"/>
  <c r="F90" i="4"/>
  <c r="G90" i="4" s="1"/>
  <c r="F94" i="4"/>
  <c r="G94" i="4" s="1"/>
  <c r="F98" i="4"/>
  <c r="G98" i="4" s="1"/>
  <c r="F102" i="4"/>
  <c r="G102" i="4" s="1"/>
  <c r="F106" i="4"/>
  <c r="G106" i="4" s="1"/>
  <c r="F110" i="4"/>
  <c r="G110" i="4" s="1"/>
  <c r="F114" i="4"/>
  <c r="G114" i="4" s="1"/>
  <c r="F118" i="4"/>
  <c r="G118" i="4" s="1"/>
  <c r="F122" i="4"/>
  <c r="G122" i="4" s="1"/>
  <c r="F126" i="4"/>
  <c r="G126" i="4" s="1"/>
  <c r="F130" i="4"/>
  <c r="G130" i="4" s="1"/>
  <c r="F134" i="4"/>
  <c r="G134" i="4" s="1"/>
  <c r="F138" i="4"/>
  <c r="G138" i="4" s="1"/>
  <c r="F142" i="4"/>
  <c r="G142" i="4" s="1"/>
  <c r="F146" i="4"/>
  <c r="G146" i="4" s="1"/>
  <c r="F150" i="4"/>
  <c r="G150" i="4" s="1"/>
  <c r="D155" i="4"/>
  <c r="E3" i="4" s="1"/>
  <c r="F155" i="4" s="1"/>
  <c r="G155" i="4" s="1"/>
  <c r="F154" i="4"/>
  <c r="G154" i="4" s="1"/>
  <c r="C157" i="3" l="1"/>
  <c r="D157" i="3" s="1"/>
  <c r="I3" i="3" s="1"/>
  <c r="D156" i="3"/>
  <c r="D156" i="4"/>
  <c r="E4" i="4" s="1"/>
  <c r="F3" i="4"/>
  <c r="G3" i="4" s="1"/>
  <c r="F7" i="4"/>
  <c r="G7" i="4" s="1"/>
  <c r="F11" i="4"/>
  <c r="G11" i="4" s="1"/>
  <c r="F15" i="4"/>
  <c r="G15" i="4" s="1"/>
  <c r="F19" i="4"/>
  <c r="G19" i="4" s="1"/>
  <c r="F23" i="4"/>
  <c r="G23" i="4" s="1"/>
  <c r="F27" i="4"/>
  <c r="G27" i="4" s="1"/>
  <c r="F31" i="4"/>
  <c r="G31" i="4" s="1"/>
  <c r="F35" i="4"/>
  <c r="G35" i="4" s="1"/>
  <c r="F39" i="4"/>
  <c r="G39" i="4" s="1"/>
  <c r="F43" i="4"/>
  <c r="G43" i="4" s="1"/>
  <c r="F47" i="4"/>
  <c r="G47" i="4" s="1"/>
  <c r="F51" i="4"/>
  <c r="G51" i="4" s="1"/>
  <c r="F55" i="4"/>
  <c r="G55" i="4" s="1"/>
  <c r="F59" i="4"/>
  <c r="G59" i="4" s="1"/>
  <c r="F63" i="4"/>
  <c r="G63" i="4" s="1"/>
  <c r="F67" i="4"/>
  <c r="G67" i="4" s="1"/>
  <c r="F71" i="4"/>
  <c r="G71" i="4" s="1"/>
  <c r="F75" i="4"/>
  <c r="G75" i="4" s="1"/>
  <c r="F79" i="4"/>
  <c r="G79" i="4" s="1"/>
  <c r="F83" i="4"/>
  <c r="G83" i="4" s="1"/>
  <c r="F87" i="4"/>
  <c r="G87" i="4" s="1"/>
  <c r="F91" i="4"/>
  <c r="G91" i="4" s="1"/>
  <c r="F95" i="4"/>
  <c r="G95" i="4" s="1"/>
  <c r="F99" i="4"/>
  <c r="G99" i="4" s="1"/>
  <c r="F103" i="4"/>
  <c r="G103" i="4" s="1"/>
  <c r="F107" i="4"/>
  <c r="G107" i="4" s="1"/>
  <c r="F111" i="4"/>
  <c r="G111" i="4" s="1"/>
  <c r="F115" i="4"/>
  <c r="G115" i="4" s="1"/>
  <c r="F119" i="4"/>
  <c r="G119" i="4" s="1"/>
  <c r="F123" i="4"/>
  <c r="G123" i="4" s="1"/>
  <c r="F127" i="4"/>
  <c r="G127" i="4" s="1"/>
  <c r="F131" i="4"/>
  <c r="G131" i="4" s="1"/>
  <c r="F135" i="4"/>
  <c r="G135" i="4" s="1"/>
  <c r="F139" i="4"/>
  <c r="G139" i="4" s="1"/>
  <c r="F143" i="4"/>
  <c r="G143" i="4" s="1"/>
  <c r="F147" i="4"/>
  <c r="G147" i="4" s="1"/>
  <c r="F151" i="4"/>
  <c r="G151" i="4" s="1"/>
  <c r="D157" i="4"/>
  <c r="E5" i="4" s="1"/>
  <c r="F5" i="4" l="1"/>
  <c r="G5" i="4" s="1"/>
  <c r="F9" i="4"/>
  <c r="G9" i="4" s="1"/>
  <c r="F13" i="4"/>
  <c r="G13" i="4" s="1"/>
  <c r="F17" i="4"/>
  <c r="G17" i="4" s="1"/>
  <c r="F21" i="4"/>
  <c r="G21" i="4" s="1"/>
  <c r="F25" i="4"/>
  <c r="G25" i="4" s="1"/>
  <c r="F29" i="4"/>
  <c r="G29" i="4" s="1"/>
  <c r="F33" i="4"/>
  <c r="G33" i="4" s="1"/>
  <c r="F37" i="4"/>
  <c r="G37" i="4" s="1"/>
  <c r="F41" i="4"/>
  <c r="G41" i="4" s="1"/>
  <c r="F45" i="4"/>
  <c r="G45" i="4" s="1"/>
  <c r="F49" i="4"/>
  <c r="G49" i="4" s="1"/>
  <c r="F53" i="4"/>
  <c r="G53" i="4" s="1"/>
  <c r="F57" i="4"/>
  <c r="G57" i="4" s="1"/>
  <c r="F61" i="4"/>
  <c r="G61" i="4" s="1"/>
  <c r="F65" i="4"/>
  <c r="G65" i="4" s="1"/>
  <c r="F69" i="4"/>
  <c r="G69" i="4" s="1"/>
  <c r="F73" i="4"/>
  <c r="G73" i="4" s="1"/>
  <c r="F77" i="4"/>
  <c r="G77" i="4" s="1"/>
  <c r="F81" i="4"/>
  <c r="G81" i="4" s="1"/>
  <c r="F85" i="4"/>
  <c r="G85" i="4" s="1"/>
  <c r="F89" i="4"/>
  <c r="G89" i="4" s="1"/>
  <c r="F93" i="4"/>
  <c r="G93" i="4" s="1"/>
  <c r="F97" i="4"/>
  <c r="G97" i="4" s="1"/>
  <c r="F101" i="4"/>
  <c r="G101" i="4" s="1"/>
  <c r="F105" i="4"/>
  <c r="G105" i="4" s="1"/>
  <c r="F109" i="4"/>
  <c r="G109" i="4" s="1"/>
  <c r="F113" i="4"/>
  <c r="G113" i="4" s="1"/>
  <c r="F117" i="4"/>
  <c r="G117" i="4" s="1"/>
  <c r="F121" i="4"/>
  <c r="G121" i="4" s="1"/>
  <c r="F125" i="4"/>
  <c r="G125" i="4" s="1"/>
  <c r="F129" i="4"/>
  <c r="G129" i="4" s="1"/>
  <c r="F133" i="4"/>
  <c r="G133" i="4" s="1"/>
  <c r="F137" i="4"/>
  <c r="G137" i="4" s="1"/>
  <c r="F141" i="4"/>
  <c r="G141" i="4" s="1"/>
  <c r="F145" i="4"/>
  <c r="G145" i="4" s="1"/>
  <c r="F149" i="4"/>
  <c r="G149" i="4" s="1"/>
  <c r="F153" i="4"/>
  <c r="G153" i="4" s="1"/>
  <c r="F157" i="4"/>
  <c r="G157" i="4" s="1"/>
  <c r="F4" i="4"/>
  <c r="G4" i="4" s="1"/>
  <c r="F8" i="4"/>
  <c r="G8" i="4" s="1"/>
  <c r="F12" i="4"/>
  <c r="G12" i="4" s="1"/>
  <c r="F16" i="4"/>
  <c r="G16" i="4" s="1"/>
  <c r="F20" i="4"/>
  <c r="G20" i="4" s="1"/>
  <c r="F24" i="4"/>
  <c r="G24" i="4" s="1"/>
  <c r="F28" i="4"/>
  <c r="G28" i="4" s="1"/>
  <c r="F32" i="4"/>
  <c r="G32" i="4" s="1"/>
  <c r="F36" i="4"/>
  <c r="G36" i="4" s="1"/>
  <c r="F40" i="4"/>
  <c r="G40" i="4" s="1"/>
  <c r="F44" i="4"/>
  <c r="G44" i="4" s="1"/>
  <c r="F48" i="4"/>
  <c r="G48" i="4" s="1"/>
  <c r="F52" i="4"/>
  <c r="G52" i="4" s="1"/>
  <c r="F56" i="4"/>
  <c r="G56" i="4" s="1"/>
  <c r="F60" i="4"/>
  <c r="G60" i="4" s="1"/>
  <c r="F64" i="4"/>
  <c r="G64" i="4" s="1"/>
  <c r="F68" i="4"/>
  <c r="G68" i="4" s="1"/>
  <c r="F72" i="4"/>
  <c r="G72" i="4" s="1"/>
  <c r="F76" i="4"/>
  <c r="G76" i="4" s="1"/>
  <c r="F80" i="4"/>
  <c r="G80" i="4" s="1"/>
  <c r="F84" i="4"/>
  <c r="G84" i="4" s="1"/>
  <c r="F88" i="4"/>
  <c r="G88" i="4" s="1"/>
  <c r="F92" i="4"/>
  <c r="G92" i="4" s="1"/>
  <c r="F96" i="4"/>
  <c r="G96" i="4" s="1"/>
  <c r="F100" i="4"/>
  <c r="G100" i="4" s="1"/>
  <c r="F104" i="4"/>
  <c r="G104" i="4" s="1"/>
  <c r="F108" i="4"/>
  <c r="G108" i="4" s="1"/>
  <c r="F112" i="4"/>
  <c r="G112" i="4" s="1"/>
  <c r="F116" i="4"/>
  <c r="G116" i="4" s="1"/>
  <c r="F120" i="4"/>
  <c r="G120" i="4" s="1"/>
  <c r="F124" i="4"/>
  <c r="G124" i="4" s="1"/>
  <c r="F128" i="4"/>
  <c r="G128" i="4" s="1"/>
  <c r="F132" i="4"/>
  <c r="G132" i="4" s="1"/>
  <c r="F136" i="4"/>
  <c r="G136" i="4" s="1"/>
  <c r="F140" i="4"/>
  <c r="G140" i="4" s="1"/>
  <c r="F144" i="4"/>
  <c r="G144" i="4" s="1"/>
  <c r="F148" i="4"/>
  <c r="G148" i="4" s="1"/>
  <c r="F152" i="4"/>
  <c r="G152" i="4" s="1"/>
  <c r="F156" i="4"/>
  <c r="G156" i="4" s="1"/>
  <c r="J2" i="4" l="1"/>
</calcChain>
</file>

<file path=xl/sharedStrings.xml><?xml version="1.0" encoding="utf-8"?>
<sst xmlns="http://schemas.openxmlformats.org/spreadsheetml/2006/main" count="384" uniqueCount="245">
  <si>
    <t>Total Consumption</t>
  </si>
  <si>
    <t>Industry related</t>
  </si>
  <si>
    <t>Service related</t>
  </si>
  <si>
    <t>Transport related</t>
  </si>
  <si>
    <t>Households</t>
  </si>
  <si>
    <t>Others</t>
  </si>
  <si>
    <t>Date</t>
  </si>
  <si>
    <t>2005 Jan</t>
  </si>
  <si>
    <t>2005 Feb</t>
  </si>
  <si>
    <t>2005 Mar</t>
  </si>
  <si>
    <t>2005 Apr</t>
  </si>
  <si>
    <t>2005 May</t>
  </si>
  <si>
    <t>2005 Jun</t>
  </si>
  <si>
    <t>2005 Jul</t>
  </si>
  <si>
    <t>2005 Aug</t>
  </si>
  <si>
    <t>2005 Sep</t>
  </si>
  <si>
    <t>2005 Oct</t>
  </si>
  <si>
    <t>2005 Nov</t>
  </si>
  <si>
    <t>2005 Dec</t>
  </si>
  <si>
    <t>2006 Jan</t>
  </si>
  <si>
    <t>2006 Feb</t>
  </si>
  <si>
    <t>2006 Mar</t>
  </si>
  <si>
    <t>2006 Apr</t>
  </si>
  <si>
    <t>2006 May</t>
  </si>
  <si>
    <t>2006 Jun</t>
  </si>
  <si>
    <t>2006 Jul</t>
  </si>
  <si>
    <t>2006 Aug</t>
  </si>
  <si>
    <t>2006 Sep</t>
  </si>
  <si>
    <t>2006 Oct</t>
  </si>
  <si>
    <t>2006 Nov</t>
  </si>
  <si>
    <t>2006 Dec</t>
  </si>
  <si>
    <t>2007 Jan</t>
  </si>
  <si>
    <t>2007 Feb</t>
  </si>
  <si>
    <t>2007 Mar</t>
  </si>
  <si>
    <t>2007 Apr</t>
  </si>
  <si>
    <t>2007 May</t>
  </si>
  <si>
    <t>2007 Jun</t>
  </si>
  <si>
    <t>2007 Jul</t>
  </si>
  <si>
    <t>2007 Aug</t>
  </si>
  <si>
    <t>2007 Sep</t>
  </si>
  <si>
    <t>2007 Oct</t>
  </si>
  <si>
    <t>2007 Nov</t>
  </si>
  <si>
    <t>2007 Dec</t>
  </si>
  <si>
    <t>2008 Jan</t>
  </si>
  <si>
    <t>2008 Feb</t>
  </si>
  <si>
    <t>2008 Mar</t>
  </si>
  <si>
    <t>2008 Apr</t>
  </si>
  <si>
    <t>2008 May</t>
  </si>
  <si>
    <t>2008 Jun</t>
  </si>
  <si>
    <t>2008 Jul</t>
  </si>
  <si>
    <t>2008 Aug</t>
  </si>
  <si>
    <t>2008 Sep</t>
  </si>
  <si>
    <t>2008 Oct</t>
  </si>
  <si>
    <t>2008 Nov</t>
  </si>
  <si>
    <t>2008 Dec</t>
  </si>
  <si>
    <t>2009 Jan</t>
  </si>
  <si>
    <t>2009 Feb</t>
  </si>
  <si>
    <t>2009 Mar</t>
  </si>
  <si>
    <t>2009 Apr</t>
  </si>
  <si>
    <t>2009 May</t>
  </si>
  <si>
    <t>2009 Jun</t>
  </si>
  <si>
    <t>2009 Jul</t>
  </si>
  <si>
    <t>2009 Aug</t>
  </si>
  <si>
    <t>2009 Sep</t>
  </si>
  <si>
    <t>2009 Oct</t>
  </si>
  <si>
    <t>2009 Nov</t>
  </si>
  <si>
    <t>2009 Dec</t>
  </si>
  <si>
    <t>2010 Jan</t>
  </si>
  <si>
    <t>2010 Feb</t>
  </si>
  <si>
    <t>2010 Mar</t>
  </si>
  <si>
    <t>2010 Apr</t>
  </si>
  <si>
    <t>2010 May</t>
  </si>
  <si>
    <t>2010 Jun</t>
  </si>
  <si>
    <t>2010 Jul</t>
  </si>
  <si>
    <t>2010 Aug</t>
  </si>
  <si>
    <t>2010 Sep</t>
  </si>
  <si>
    <t>2010 Oct</t>
  </si>
  <si>
    <t>2010 Nov</t>
  </si>
  <si>
    <t>2010 Dec</t>
  </si>
  <si>
    <t>2011 Jan</t>
  </si>
  <si>
    <t>2011 Feb</t>
  </si>
  <si>
    <t>2011 Mar</t>
  </si>
  <si>
    <t>2011 Apr</t>
  </si>
  <si>
    <t>2011 May</t>
  </si>
  <si>
    <t>2011 Jun</t>
  </si>
  <si>
    <t>2011 Jul</t>
  </si>
  <si>
    <t>2011 Aug</t>
  </si>
  <si>
    <t>2011 Sep</t>
  </si>
  <si>
    <t>2011 Oct</t>
  </si>
  <si>
    <t>2011 Nov</t>
  </si>
  <si>
    <t>2011 Dec</t>
  </si>
  <si>
    <t>2012 Jan</t>
  </si>
  <si>
    <t>2012 Feb</t>
  </si>
  <si>
    <t>2012 Mar</t>
  </si>
  <si>
    <t>2012 Apr</t>
  </si>
  <si>
    <t>2012 May</t>
  </si>
  <si>
    <t>2012 Jun</t>
  </si>
  <si>
    <t>2012 Jul</t>
  </si>
  <si>
    <t>2012 Aug</t>
  </si>
  <si>
    <t>2012 Sep</t>
  </si>
  <si>
    <t>2012 Oct</t>
  </si>
  <si>
    <t>2012 Nov</t>
  </si>
  <si>
    <t>2012 Dec</t>
  </si>
  <si>
    <t>2013 Jan</t>
  </si>
  <si>
    <t>2013 Feb</t>
  </si>
  <si>
    <t>2013 Mar</t>
  </si>
  <si>
    <t>2013 Apr</t>
  </si>
  <si>
    <t>2013 May</t>
  </si>
  <si>
    <t>2013 Jun</t>
  </si>
  <si>
    <t>2013 Jul</t>
  </si>
  <si>
    <t>2013 Aug</t>
  </si>
  <si>
    <t>2013 Sep</t>
  </si>
  <si>
    <t>2013 Oct</t>
  </si>
  <si>
    <t>2013 Nov</t>
  </si>
  <si>
    <t>2013 Dec</t>
  </si>
  <si>
    <t>2014 Jan</t>
  </si>
  <si>
    <t>2014 Feb</t>
  </si>
  <si>
    <t>2014 Mar</t>
  </si>
  <si>
    <t>2014 Apr</t>
  </si>
  <si>
    <t>2014 May</t>
  </si>
  <si>
    <t>2014 Jun</t>
  </si>
  <si>
    <t>2014 Jul</t>
  </si>
  <si>
    <t>2014 Aug</t>
  </si>
  <si>
    <t>2014 Sep</t>
  </si>
  <si>
    <t>2014 Oct</t>
  </si>
  <si>
    <t>2014 Nov</t>
  </si>
  <si>
    <t>2014 Dec</t>
  </si>
  <si>
    <t>2015 Jan</t>
  </si>
  <si>
    <t>2015 Feb</t>
  </si>
  <si>
    <t>2015 Mar</t>
  </si>
  <si>
    <t>2015 Apr</t>
  </si>
  <si>
    <t>2015 May</t>
  </si>
  <si>
    <t>2015 Jun</t>
  </si>
  <si>
    <t>2015 Jul</t>
  </si>
  <si>
    <t>2015 Aug</t>
  </si>
  <si>
    <t>2015 Sep</t>
  </si>
  <si>
    <t>2015 Oct</t>
  </si>
  <si>
    <t>2015 Nov</t>
  </si>
  <si>
    <t>2015 Dec</t>
  </si>
  <si>
    <t>2016 Jan</t>
  </si>
  <si>
    <t>2016 Feb</t>
  </si>
  <si>
    <t>2016 Mar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</si>
  <si>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</si>
  <si>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</si>
  <si>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</si>
  <si>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</si>
  <si>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</si>
  <si>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</si>
  <si>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</si>
  <si>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</si>
  <si>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</si>
  <si>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</si>
  <si>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</si>
  <si>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</si>
  <si>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</si>
  <si>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</si>
  <si>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</si>
  <si>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</si>
  <si>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</si>
  <si>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</si>
  <si>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</si>
  <si>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</si>
  <si>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</si>
  <si>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Index</t>
  </si>
  <si>
    <t>Forecasted</t>
  </si>
  <si>
    <t>Difference</t>
  </si>
  <si>
    <t>Alpha</t>
  </si>
  <si>
    <t>RMSE</t>
  </si>
  <si>
    <t>Trend</t>
  </si>
  <si>
    <t>Ratio</t>
  </si>
  <si>
    <t>Index_Seasonality</t>
  </si>
  <si>
    <t>0.8687 * Index +485.81</t>
  </si>
  <si>
    <t>Time series: Workbook = Electricity Consumption.xlsx / Sheet = ARIMA-XLSTAT / Range = 'ARIMA-XLSTAT'!$B$2:$B$157 / 156 rows and 1 column</t>
  </si>
  <si>
    <t>Significance level (%): 5</t>
  </si>
  <si>
    <t>Dickey-Fuller test: ADF(stationary)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</si>
  <si>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</si>
  <si>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</si>
  <si>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</si>
  <si>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</si>
  <si>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</si>
  <si>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</si>
  <si>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</si>
  <si>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</si>
  <si>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</si>
  <si>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Series1</t>
  </si>
  <si>
    <t>Dickey-Fuller test (ADF(stationary) / k: 5 / Series1):</t>
  </si>
  <si>
    <t>Tau (Observed value)</t>
  </si>
  <si>
    <t>Tau (Critical value)</t>
  </si>
  <si>
    <t>p-value (one-tailed)</t>
  </si>
  <si>
    <t>alpha</t>
  </si>
  <si>
    <t>&lt; 0.0001</t>
  </si>
  <si>
    <t>Test interpretation:</t>
  </si>
  <si>
    <t>H0: There is a unit root for the series.</t>
  </si>
  <si>
    <t>Ha: There is no unit root for the series. The series is stationary.</t>
  </si>
  <si>
    <t>As the computed p-value is lower than the significance level alpha=0.05, one should reject the null hypothesis H0, and accept the alternative hypothesis Ha.</t>
  </si>
  <si>
    <t xml:space="preserve"> </t>
  </si>
  <si>
    <r>
      <t>XLSTAT 2018.6.53722  - Unit root and stationarity tests - Start time: 10/12/2018 at 3:07:21 PM / End time: 10/12/2018 at 3:07:27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</si>
  <si>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Confidence intervals (%): 95</t>
  </si>
  <si>
    <t>Goodness of fit statistics:</t>
  </si>
  <si>
    <t>DF</t>
  </si>
  <si>
    <t>SSE</t>
  </si>
  <si>
    <t>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</si>
  <si>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</si>
  <si>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</si>
  <si>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</si>
  <si>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</si>
  <si>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</si>
  <si>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</si>
  <si>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</si>
  <si>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</si>
  <si>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</si>
  <si>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</si>
  <si>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</si>
  <si>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Value</t>
  </si>
  <si>
    <t>Hessian standard error</t>
  </si>
  <si>
    <t>Lower bound (95%)</t>
  </si>
  <si>
    <t>Upper bound (95%)</t>
  </si>
  <si>
    <t>Constant</t>
  </si>
  <si>
    <t>Asympt. standard error</t>
  </si>
  <si>
    <t>AR(1)</t>
  </si>
  <si>
    <t>AR(2)</t>
  </si>
  <si>
    <t>Predictions and residuals:</t>
  </si>
  <si>
    <t>Residuals</t>
  </si>
  <si>
    <t>Standardized residuals</t>
  </si>
  <si>
    <t>Lag</t>
  </si>
  <si>
    <t>Autocorrelation</t>
  </si>
  <si>
    <t>Standard error</t>
  </si>
  <si>
    <t>Partial autocorrelation</t>
  </si>
  <si>
    <t>Descriptive analysis (Residuals):</t>
  </si>
  <si>
    <t>Seed (random numbers): 123456789</t>
  </si>
  <si>
    <t>Results of ARIMA modeling of the Households series:</t>
  </si>
  <si>
    <t>Results after optimization (Households):</t>
  </si>
  <si>
    <t>ARIMA(Households)</t>
  </si>
  <si>
    <t>Descriptive analysis (Households):</t>
  </si>
  <si>
    <t>Time series: Workbook = Electricity Consumption.xlsx / Sheet = ARIMA-ADF Test / Range = 'ARIMA-ADF Test'!$B$1:$B$157 / 156 rows and 1 column</t>
  </si>
  <si>
    <t>Date data: Workbook = Electricity Consumption.xlsx / Sheet = ARIMA-ADF Test / Range = 'ARIMA-ADF Test'!$A$1:$A$157 / 156 rows and 1 column</t>
  </si>
  <si>
    <t>Center: Yes</t>
  </si>
  <si>
    <t>Validation: 12</t>
  </si>
  <si>
    <t>Optimize: Least Squares (Convergence = 0.00001 / Iterations = 500)</t>
  </si>
  <si>
    <t>Model parameters: p = 2 / d = 1 / q = 0 / P = 2 / D = 1 / Q = 0 / s = 12</t>
  </si>
  <si>
    <t>SAR(1)</t>
  </si>
  <si>
    <t>SAR(2)</t>
  </si>
  <si>
    <r>
      <t>XLSTAT 2018.6.53722  - ARIMA - Start time: 10/12/2018 at 3:40:01 PM / End time: 10/12/2018 at 3:40:36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</si>
  <si>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Model parameters: p = 1 / d = 1 / q = 0 / P = 1 / D = 1 / Q = 0 / s = 12</t>
  </si>
  <si>
    <r>
      <t>XLSTAT 2018.6.53722  - ARIMA - Start time: 10/12/2018 at 3:41:52 PM / End time: 10/12/2018 at 3:42:02 PM</t>
    </r>
    <r>
      <rPr>
        <sz val="11"/>
        <color rgb="FFFFFFFF"/>
        <rFont val="Calibri"/>
        <family val="2"/>
        <scheme val="minor"/>
      </rPr>
      <t xml:space="preserve"> / Microsoft Excel 16.09126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</si>
</sst>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ont="1" applyFill="1"/>
    <xf numFmtId="49" fontId="0" fillId="0" borderId="0" xfId="0" applyNumberFormat="1"/>
    <xf numFmtId="1" fontId="0" fillId="0" borderId="0" xfId="0" applyNumberFormat="1"/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3" xfId="0" applyNumberFormat="1" applyBorder="1" applyAlignment="1"/>
    <xf numFmtId="164" fontId="0" fillId="0" borderId="3" xfId="0" applyNumberFormat="1" applyBorder="1" applyAlignment="1"/>
    <xf numFmtId="0" fontId="0" fillId="0" borderId="1" xfId="0" applyBorder="1" applyAlignment="1"/>
    <xf numFmtId="0" fontId="0" fillId="0" borderId="4" xfId="0" applyBorder="1" applyAlignment="1"/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4" xfId="0" applyNumberFormat="1" applyBorder="1" applyAlignment="1">
      <alignment horizontal="right"/>
    </xf>
    <xf numFmtId="0" fontId="1" fillId="0" borderId="0" xfId="0" applyFont="1"/>
    <xf numFmtId="164" fontId="0" fillId="0" borderId="2" xfId="0" applyNumberFormat="1" applyBorder="1" applyAlignment="1"/>
    <xf numFmtId="164" fontId="0" fillId="0" borderId="4" xfId="0" applyNumberFormat="1" applyBorder="1" applyAlignment="1"/>
    <xf numFmtId="164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4" xfId="0" applyNumberFormat="1" applyBorder="1" applyAlignment="1"/>
    <xf numFmtId="0" fontId="0" fillId="5" borderId="0" xfId="0" applyFill="1"/>
    <xf numFmtId="0" fontId="0" fillId="6" borderId="0" xfId="0" applyFill="1"/>
    <xf numFmtId="0" fontId="0" fillId="5" borderId="0" xfId="0" applyFill="1" applyAlignment="1"/>
    <xf numFmtId="164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2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0" fontId="0" fillId="2" borderId="2" xfId="0" applyNumberFormat="1" applyFill="1" applyBorder="1" applyAlignment="1"/>
    <xf numFmtId="164" fontId="0" fillId="2" borderId="2" xfId="0" applyNumberFormat="1" applyFill="1" applyBorder="1" applyAlignment="1"/>
    <xf numFmtId="0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4" xfId="0" applyNumberFormat="1" applyFill="1" applyBorder="1" applyAlignment="1"/>
    <xf numFmtId="164" fontId="0" fillId="2" borderId="4" xfId="0" applyNumberFormat="1" applyFill="1" applyBorder="1" applyAlignment="1"/>
    <xf numFmtId="49" fontId="0" fillId="5" borderId="1" xfId="0" applyNumberFormat="1" applyFont="1" applyFill="1" applyBorder="1" applyAlignment="1">
      <alignment horizontal="center"/>
    </xf>
    <xf numFmtId="164" fontId="0" fillId="5" borderId="2" xfId="0" applyNumberFormat="1" applyFill="1" applyBorder="1" applyAlignment="1"/>
    <xf numFmtId="164" fontId="0" fillId="5" borderId="0" xfId="0" applyNumberFormat="1" applyFill="1" applyAlignment="1"/>
    <xf numFmtId="164" fontId="0" fillId="5" borderId="4" xfId="0" applyNumberFormat="1" applyFill="1" applyBorder="1" applyAlignment="1"/>
    <xf numFmtId="0" fontId="0" fillId="5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Vs Forecasted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'Exponential Smoothing'!$B$1</c:f>
              <c:strCache>
                <c:ptCount val="1"/>
                <c:pt idx="0">
                  <c:v>Households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'Exponential Smoothing'!$B$2:$B$157</c:f>
              <c:numCache>
                <c:formatCode>General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50-469B-A6C0-40DE6346D516}"/>
            </c:ext>
          </c:extLst>
        </c:ser>
        <c:ser>
          <c:idx val="2"/>
          <c:order val="1"/>
          <c:tx>
            <c:strRef>
              <c:f>'Exponential Smoothing'!$C$1</c:f>
              <c:strCache>
                <c:ptCount val="1"/>
                <c:pt idx="0">
                  <c:v>Forecasted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'Exponential Smoothing'!$C$2:$C$157</c:f>
              <c:numCache>
                <c:formatCode>General</c:formatCode>
                <c:ptCount val="156"/>
                <c:pt idx="0">
                  <c:v>447.8</c:v>
                </c:pt>
                <c:pt idx="1">
                  <c:v>447.8</c:v>
                </c:pt>
                <c:pt idx="2">
                  <c:v>437.11070000000001</c:v>
                </c:pt>
                <c:pt idx="3">
                  <c:v>479.65741070000001</c:v>
                </c:pt>
                <c:pt idx="4">
                  <c:v>533.54605741070009</c:v>
                </c:pt>
                <c:pt idx="5">
                  <c:v>534.99854605741075</c:v>
                </c:pt>
                <c:pt idx="6">
                  <c:v>560.17479854605745</c:v>
                </c:pt>
                <c:pt idx="7">
                  <c:v>537.42277479854602</c:v>
                </c:pt>
                <c:pt idx="8">
                  <c:v>528.80862277479844</c:v>
                </c:pt>
                <c:pt idx="9">
                  <c:v>516.31250862277477</c:v>
                </c:pt>
                <c:pt idx="10">
                  <c:v>519.99631250862285</c:v>
                </c:pt>
                <c:pt idx="11">
                  <c:v>518.60139631250865</c:v>
                </c:pt>
                <c:pt idx="12">
                  <c:v>478.04060139631252</c:v>
                </c:pt>
                <c:pt idx="13">
                  <c:v>465.51254060139627</c:v>
                </c:pt>
                <c:pt idx="14">
                  <c:v>452.31321254060146</c:v>
                </c:pt>
                <c:pt idx="15">
                  <c:v>469.98231321254059</c:v>
                </c:pt>
                <c:pt idx="16">
                  <c:v>511.25868231321255</c:v>
                </c:pt>
                <c:pt idx="17">
                  <c:v>521.98925868231322</c:v>
                </c:pt>
                <c:pt idx="18">
                  <c:v>533.18878925868239</c:v>
                </c:pt>
                <c:pt idx="19">
                  <c:v>513.21998878925876</c:v>
                </c:pt>
                <c:pt idx="20">
                  <c:v>544.16901998878927</c:v>
                </c:pt>
                <c:pt idx="21">
                  <c:v>541.4027690199888</c:v>
                </c:pt>
                <c:pt idx="22">
                  <c:v>525.71570276902003</c:v>
                </c:pt>
                <c:pt idx="23">
                  <c:v>535.19051570276906</c:v>
                </c:pt>
                <c:pt idx="24">
                  <c:v>495.04019051570276</c:v>
                </c:pt>
                <c:pt idx="25">
                  <c:v>473.62144019051573</c:v>
                </c:pt>
                <c:pt idx="26">
                  <c:v>444.42922144019053</c:v>
                </c:pt>
                <c:pt idx="27">
                  <c:v>451.79262922144022</c:v>
                </c:pt>
                <c:pt idx="28">
                  <c:v>510.94079262922139</c:v>
                </c:pt>
                <c:pt idx="29">
                  <c:v>542.76814079262908</c:v>
                </c:pt>
                <c:pt idx="30">
                  <c:v>555.98676814079261</c:v>
                </c:pt>
                <c:pt idx="31">
                  <c:v>563.09288676814083</c:v>
                </c:pt>
                <c:pt idx="32">
                  <c:v>555.00809288676817</c:v>
                </c:pt>
                <c:pt idx="33">
                  <c:v>513.64140809288676</c:v>
                </c:pt>
                <c:pt idx="34">
                  <c:v>514.69894140809299</c:v>
                </c:pt>
                <c:pt idx="35">
                  <c:v>547.86679894140809</c:v>
                </c:pt>
                <c:pt idx="36">
                  <c:v>489.95796679894141</c:v>
                </c:pt>
                <c:pt idx="37">
                  <c:v>467.12285796679896</c:v>
                </c:pt>
                <c:pt idx="38">
                  <c:v>472.6944228579668</c:v>
                </c:pt>
                <c:pt idx="39">
                  <c:v>449.52319442285796</c:v>
                </c:pt>
                <c:pt idx="40">
                  <c:v>491.45802319442288</c:v>
                </c:pt>
                <c:pt idx="41">
                  <c:v>543.94745802319449</c:v>
                </c:pt>
                <c:pt idx="42">
                  <c:v>572.47144745802325</c:v>
                </c:pt>
                <c:pt idx="43">
                  <c:v>525.84667144745799</c:v>
                </c:pt>
                <c:pt idx="44">
                  <c:v>510.11574667144748</c:v>
                </c:pt>
                <c:pt idx="45">
                  <c:v>519.09101574667147</c:v>
                </c:pt>
                <c:pt idx="46">
                  <c:v>522.09699101574665</c:v>
                </c:pt>
                <c:pt idx="47">
                  <c:v>535.58649699101568</c:v>
                </c:pt>
                <c:pt idx="48">
                  <c:v>484.05158649699104</c:v>
                </c:pt>
                <c:pt idx="49">
                  <c:v>476.40765158649697</c:v>
                </c:pt>
                <c:pt idx="50">
                  <c:v>460.51590765158647</c:v>
                </c:pt>
                <c:pt idx="51">
                  <c:v>461.19931590765157</c:v>
                </c:pt>
                <c:pt idx="52">
                  <c:v>510.45069931590768</c:v>
                </c:pt>
                <c:pt idx="53">
                  <c:v>556.55385069931594</c:v>
                </c:pt>
                <c:pt idx="54">
                  <c:v>609.44705385069926</c:v>
                </c:pt>
                <c:pt idx="55">
                  <c:v>592.71674705385067</c:v>
                </c:pt>
                <c:pt idx="56">
                  <c:v>572.12061674705387</c:v>
                </c:pt>
                <c:pt idx="57">
                  <c:v>554.91722061674704</c:v>
                </c:pt>
                <c:pt idx="58">
                  <c:v>557.39751722061669</c:v>
                </c:pt>
                <c:pt idx="59">
                  <c:v>562.89449751722054</c:v>
                </c:pt>
                <c:pt idx="60">
                  <c:v>516.04689449751731</c:v>
                </c:pt>
                <c:pt idx="61">
                  <c:v>490.62544689449754</c:v>
                </c:pt>
                <c:pt idx="62">
                  <c:v>503.8867254468945</c:v>
                </c:pt>
                <c:pt idx="63">
                  <c:v>547.55628672544697</c:v>
                </c:pt>
                <c:pt idx="64">
                  <c:v>584.96255628672543</c:v>
                </c:pt>
                <c:pt idx="65">
                  <c:v>573.5114625562868</c:v>
                </c:pt>
                <c:pt idx="66">
                  <c:v>605.96751146255633</c:v>
                </c:pt>
                <c:pt idx="67">
                  <c:v>575.23076751146266</c:v>
                </c:pt>
                <c:pt idx="68">
                  <c:v>539.73553076751148</c:v>
                </c:pt>
                <c:pt idx="69">
                  <c:v>539.20053553076752</c:v>
                </c:pt>
                <c:pt idx="70">
                  <c:v>557.78140053553068</c:v>
                </c:pt>
                <c:pt idx="71">
                  <c:v>581.37638140053548</c:v>
                </c:pt>
                <c:pt idx="72">
                  <c:v>536.2451763814006</c:v>
                </c:pt>
                <c:pt idx="73">
                  <c:v>499.33694517638139</c:v>
                </c:pt>
                <c:pt idx="74">
                  <c:v>461.73763694517635</c:v>
                </c:pt>
                <c:pt idx="75">
                  <c:v>465.69603763694516</c:v>
                </c:pt>
                <c:pt idx="76">
                  <c:v>524.34129603763688</c:v>
                </c:pt>
                <c:pt idx="77">
                  <c:v>565.05924129603761</c:v>
                </c:pt>
                <c:pt idx="78">
                  <c:v>602.76225924129596</c:v>
                </c:pt>
                <c:pt idx="79">
                  <c:v>586.01676225924132</c:v>
                </c:pt>
                <c:pt idx="80">
                  <c:v>590.59541676225922</c:v>
                </c:pt>
                <c:pt idx="81">
                  <c:v>582.60799541676238</c:v>
                </c:pt>
                <c:pt idx="82">
                  <c:v>557.72490799541686</c:v>
                </c:pt>
                <c:pt idx="83">
                  <c:v>541.1166249079954</c:v>
                </c:pt>
                <c:pt idx="84">
                  <c:v>505.93521662490798</c:v>
                </c:pt>
                <c:pt idx="85">
                  <c:v>503.30263521662488</c:v>
                </c:pt>
                <c:pt idx="86">
                  <c:v>504.99830263521665</c:v>
                </c:pt>
                <c:pt idx="87">
                  <c:v>508.59639830263524</c:v>
                </c:pt>
                <c:pt idx="88">
                  <c:v>540.86769639830266</c:v>
                </c:pt>
                <c:pt idx="89">
                  <c:v>557.08376769639835</c:v>
                </c:pt>
                <c:pt idx="90">
                  <c:v>607.84918376769645</c:v>
                </c:pt>
                <c:pt idx="91">
                  <c:v>594.8130491837677</c:v>
                </c:pt>
                <c:pt idx="92">
                  <c:v>585.60921304918384</c:v>
                </c:pt>
                <c:pt idx="93">
                  <c:v>573.21240921304923</c:v>
                </c:pt>
                <c:pt idx="94">
                  <c:v>560.21301240921309</c:v>
                </c:pt>
                <c:pt idx="95">
                  <c:v>568.0921130124093</c:v>
                </c:pt>
                <c:pt idx="96">
                  <c:v>524.84329211301235</c:v>
                </c:pt>
                <c:pt idx="97">
                  <c:v>513.11174329211303</c:v>
                </c:pt>
                <c:pt idx="98">
                  <c:v>498.0151117432921</c:v>
                </c:pt>
                <c:pt idx="99">
                  <c:v>498.2997151117433</c:v>
                </c:pt>
                <c:pt idx="100">
                  <c:v>568.22999971511172</c:v>
                </c:pt>
                <c:pt idx="101">
                  <c:v>601.766429999715</c:v>
                </c:pt>
                <c:pt idx="102">
                  <c:v>629.57216642999981</c:v>
                </c:pt>
                <c:pt idx="103">
                  <c:v>612.01757216643</c:v>
                </c:pt>
                <c:pt idx="104">
                  <c:v>617.4945175721665</c:v>
                </c:pt>
                <c:pt idx="105">
                  <c:v>560.65689451757214</c:v>
                </c:pt>
                <c:pt idx="106">
                  <c:v>555.00565689451764</c:v>
                </c:pt>
                <c:pt idx="107">
                  <c:v>570.68430565689459</c:v>
                </c:pt>
                <c:pt idx="108">
                  <c:v>530.14058430565694</c:v>
                </c:pt>
                <c:pt idx="109">
                  <c:v>509.72044058430566</c:v>
                </c:pt>
                <c:pt idx="110">
                  <c:v>489.32042044058431</c:v>
                </c:pt>
                <c:pt idx="111">
                  <c:v>488.7006204204406</c:v>
                </c:pt>
                <c:pt idx="112">
                  <c:v>568.02060062042051</c:v>
                </c:pt>
                <c:pt idx="113">
                  <c:v>609.45852060062043</c:v>
                </c:pt>
                <c:pt idx="114">
                  <c:v>638.97045852060057</c:v>
                </c:pt>
                <c:pt idx="115">
                  <c:v>628.11087045852059</c:v>
                </c:pt>
                <c:pt idx="116">
                  <c:v>635.49261087045852</c:v>
                </c:pt>
                <c:pt idx="117">
                  <c:v>592.44309261087039</c:v>
                </c:pt>
                <c:pt idx="118">
                  <c:v>580.91154309261083</c:v>
                </c:pt>
                <c:pt idx="119">
                  <c:v>611.46941154309263</c:v>
                </c:pt>
                <c:pt idx="120">
                  <c:v>571.83966941154301</c:v>
                </c:pt>
                <c:pt idx="121">
                  <c:v>525.24663966941159</c:v>
                </c:pt>
                <c:pt idx="122">
                  <c:v>493.63164663966944</c:v>
                </c:pt>
                <c:pt idx="123">
                  <c:v>513.87973164663958</c:v>
                </c:pt>
                <c:pt idx="124">
                  <c:v>594.11967973164667</c:v>
                </c:pt>
                <c:pt idx="125">
                  <c:v>610.68341967973174</c:v>
                </c:pt>
                <c:pt idx="126">
                  <c:v>632.2783834196797</c:v>
                </c:pt>
                <c:pt idx="127">
                  <c:v>646.98527838341965</c:v>
                </c:pt>
                <c:pt idx="128">
                  <c:v>656.6902852783835</c:v>
                </c:pt>
                <c:pt idx="129">
                  <c:v>635.72099028527839</c:v>
                </c:pt>
                <c:pt idx="130">
                  <c:v>643.59212099028537</c:v>
                </c:pt>
                <c:pt idx="131">
                  <c:v>645.69789212099033</c:v>
                </c:pt>
                <c:pt idx="132">
                  <c:v>622.42329789212101</c:v>
                </c:pt>
                <c:pt idx="133">
                  <c:v>570.35212329789215</c:v>
                </c:pt>
                <c:pt idx="134">
                  <c:v>580.3899521232978</c:v>
                </c:pt>
                <c:pt idx="135">
                  <c:v>585.39498995212318</c:v>
                </c:pt>
                <c:pt idx="136">
                  <c:v>648.63669498995216</c:v>
                </c:pt>
                <c:pt idx="137">
                  <c:v>689.0595366949899</c:v>
                </c:pt>
                <c:pt idx="138">
                  <c:v>708.38065953669502</c:v>
                </c:pt>
                <c:pt idx="139">
                  <c:v>642.26618065953676</c:v>
                </c:pt>
                <c:pt idx="140">
                  <c:v>647.09516618065959</c:v>
                </c:pt>
                <c:pt idx="141">
                  <c:v>647.79929516618063</c:v>
                </c:pt>
                <c:pt idx="142">
                  <c:v>650.39739929516622</c:v>
                </c:pt>
                <c:pt idx="143">
                  <c:v>644.7056973992951</c:v>
                </c:pt>
                <c:pt idx="144">
                  <c:v>575.26950569739938</c:v>
                </c:pt>
                <c:pt idx="145">
                  <c:v>567.10816950569745</c:v>
                </c:pt>
                <c:pt idx="146">
                  <c:v>573.99310816950572</c:v>
                </c:pt>
                <c:pt idx="147">
                  <c:v>533.14089310816951</c:v>
                </c:pt>
                <c:pt idx="148">
                  <c:v>583.64944089310825</c:v>
                </c:pt>
                <c:pt idx="149">
                  <c:v>619.863749440893</c:v>
                </c:pt>
                <c:pt idx="150">
                  <c:v>648.97086374944092</c:v>
                </c:pt>
                <c:pt idx="151">
                  <c:v>698.05087086374954</c:v>
                </c:pt>
                <c:pt idx="152">
                  <c:v>630.26785087086387</c:v>
                </c:pt>
                <c:pt idx="153">
                  <c:v>613.11716785087083</c:v>
                </c:pt>
                <c:pt idx="154">
                  <c:v>621.99111716785092</c:v>
                </c:pt>
                <c:pt idx="155">
                  <c:v>622.09989111716777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50-469B-A6C0-40DE6346D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63552"/>
        <c:axId val="531268800"/>
      </c:lineChart>
      <c:catAx>
        <c:axId val="531263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8800"/>
        <c:crosses val="autoZero"/>
        <c:auto val="1"/>
        <c:lblAlgn val="ctr"/>
        <c:lblOffset val="100"/>
        <c:noMultiLvlLbl val="0"/>
      </c:catAx>
      <c:valAx>
        <c:axId val="53126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</a:t>
            </a:r>
            <a:r>
              <a:rPr lang="en-US" baseline="0"/>
              <a:t> To find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Decomposition!$B$1</c:f>
              <c:strCache>
                <c:ptCount val="1"/>
                <c:pt idx="0">
                  <c:v>Households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5994094488188976E-2"/>
                  <c:y val="-0.18500619714202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Decomposition!$B$2:$B$157</c:f>
              <c:numCache>
                <c:formatCode>General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4C-4F54-8D72-9ADDC3224121}"/>
            </c:ext>
          </c:extLst>
        </c:ser>
        <c:ser>
          <c:idx val="2"/>
          <c:order val="1"/>
          <c:tx>
            <c:strRef>
              <c:f>Decomposition!$C$1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Decomposition!$C$2:$C$157</c:f>
              <c:numCache>
                <c:formatCode>General</c:formatCode>
                <c:ptCount val="156"/>
                <c:pt idx="0">
                  <c:v>486.67869999999999</c:v>
                </c:pt>
                <c:pt idx="1">
                  <c:v>487.54739999999998</c:v>
                </c:pt>
                <c:pt idx="2">
                  <c:v>488.41610000000003</c:v>
                </c:pt>
                <c:pt idx="3">
                  <c:v>489.28480000000002</c:v>
                </c:pt>
                <c:pt idx="4">
                  <c:v>490.15350000000001</c:v>
                </c:pt>
                <c:pt idx="5">
                  <c:v>491.0222</c:v>
                </c:pt>
                <c:pt idx="6">
                  <c:v>491.89089999999999</c:v>
                </c:pt>
                <c:pt idx="7">
                  <c:v>492.75959999999998</c:v>
                </c:pt>
                <c:pt idx="8">
                  <c:v>493.62830000000002</c:v>
                </c:pt>
                <c:pt idx="9">
                  <c:v>494.49700000000001</c:v>
                </c:pt>
                <c:pt idx="10">
                  <c:v>495.3657</c:v>
                </c:pt>
                <c:pt idx="11">
                  <c:v>496.23439999999999</c:v>
                </c:pt>
                <c:pt idx="12">
                  <c:v>497.10309999999998</c:v>
                </c:pt>
                <c:pt idx="13">
                  <c:v>497.97180000000003</c:v>
                </c:pt>
                <c:pt idx="14">
                  <c:v>498.84050000000002</c:v>
                </c:pt>
                <c:pt idx="15">
                  <c:v>499.70920000000001</c:v>
                </c:pt>
                <c:pt idx="16">
                  <c:v>500.5779</c:v>
                </c:pt>
                <c:pt idx="17">
                  <c:v>501.44659999999999</c:v>
                </c:pt>
                <c:pt idx="18">
                  <c:v>502.31529999999998</c:v>
                </c:pt>
                <c:pt idx="19">
                  <c:v>503.18400000000003</c:v>
                </c:pt>
                <c:pt idx="20">
                  <c:v>504.05270000000002</c:v>
                </c:pt>
                <c:pt idx="21">
                  <c:v>504.92140000000001</c:v>
                </c:pt>
                <c:pt idx="22">
                  <c:v>505.7901</c:v>
                </c:pt>
                <c:pt idx="23">
                  <c:v>506.65879999999999</c:v>
                </c:pt>
                <c:pt idx="24">
                  <c:v>507.52750000000003</c:v>
                </c:pt>
                <c:pt idx="25">
                  <c:v>508.39620000000002</c:v>
                </c:pt>
                <c:pt idx="26">
                  <c:v>509.26490000000001</c:v>
                </c:pt>
                <c:pt idx="27">
                  <c:v>510.1336</c:v>
                </c:pt>
                <c:pt idx="28">
                  <c:v>511.00229999999999</c:v>
                </c:pt>
                <c:pt idx="29">
                  <c:v>511.87099999999998</c:v>
                </c:pt>
                <c:pt idx="30">
                  <c:v>512.73969999999997</c:v>
                </c:pt>
                <c:pt idx="31">
                  <c:v>513.60839999999996</c:v>
                </c:pt>
                <c:pt idx="32">
                  <c:v>514.47709999999995</c:v>
                </c:pt>
                <c:pt idx="33">
                  <c:v>515.34580000000005</c:v>
                </c:pt>
                <c:pt idx="34">
                  <c:v>516.21450000000004</c:v>
                </c:pt>
                <c:pt idx="35">
                  <c:v>517.08320000000003</c:v>
                </c:pt>
                <c:pt idx="36">
                  <c:v>517.95190000000002</c:v>
                </c:pt>
                <c:pt idx="37">
                  <c:v>518.82060000000001</c:v>
                </c:pt>
                <c:pt idx="38">
                  <c:v>519.6893</c:v>
                </c:pt>
                <c:pt idx="39">
                  <c:v>520.55799999999999</c:v>
                </c:pt>
                <c:pt idx="40">
                  <c:v>521.42669999999998</c:v>
                </c:pt>
                <c:pt idx="41">
                  <c:v>522.29539999999997</c:v>
                </c:pt>
                <c:pt idx="42">
                  <c:v>523.16409999999996</c:v>
                </c:pt>
                <c:pt idx="43">
                  <c:v>524.03279999999995</c:v>
                </c:pt>
                <c:pt idx="44">
                  <c:v>524.90150000000006</c:v>
                </c:pt>
                <c:pt idx="45">
                  <c:v>525.77020000000005</c:v>
                </c:pt>
                <c:pt idx="46">
                  <c:v>526.63890000000004</c:v>
                </c:pt>
                <c:pt idx="47">
                  <c:v>527.50760000000002</c:v>
                </c:pt>
                <c:pt idx="48">
                  <c:v>528.37630000000001</c:v>
                </c:pt>
                <c:pt idx="49">
                  <c:v>529.245</c:v>
                </c:pt>
                <c:pt idx="50">
                  <c:v>530.11369999999999</c:v>
                </c:pt>
                <c:pt idx="51">
                  <c:v>530.98239999999998</c:v>
                </c:pt>
                <c:pt idx="52">
                  <c:v>531.85109999999997</c:v>
                </c:pt>
                <c:pt idx="53">
                  <c:v>532.71979999999996</c:v>
                </c:pt>
                <c:pt idx="54">
                  <c:v>533.58849999999995</c:v>
                </c:pt>
                <c:pt idx="55">
                  <c:v>534.45720000000006</c:v>
                </c:pt>
                <c:pt idx="56">
                  <c:v>535.32590000000005</c:v>
                </c:pt>
                <c:pt idx="57">
                  <c:v>536.19460000000004</c:v>
                </c:pt>
                <c:pt idx="58">
                  <c:v>537.06330000000003</c:v>
                </c:pt>
                <c:pt idx="59">
                  <c:v>537.93200000000002</c:v>
                </c:pt>
                <c:pt idx="60">
                  <c:v>538.80070000000001</c:v>
                </c:pt>
                <c:pt idx="61">
                  <c:v>539.6694</c:v>
                </c:pt>
                <c:pt idx="62">
                  <c:v>540.53809999999999</c:v>
                </c:pt>
                <c:pt idx="63">
                  <c:v>541.40679999999998</c:v>
                </c:pt>
                <c:pt idx="64">
                  <c:v>542.27549999999997</c:v>
                </c:pt>
                <c:pt idx="65">
                  <c:v>543.14419999999996</c:v>
                </c:pt>
                <c:pt idx="66">
                  <c:v>544.01289999999995</c:v>
                </c:pt>
                <c:pt idx="67">
                  <c:v>544.88160000000005</c:v>
                </c:pt>
                <c:pt idx="68">
                  <c:v>545.75030000000004</c:v>
                </c:pt>
                <c:pt idx="69">
                  <c:v>546.61900000000003</c:v>
                </c:pt>
                <c:pt idx="70">
                  <c:v>547.48770000000002</c:v>
                </c:pt>
                <c:pt idx="71">
                  <c:v>548.35640000000001</c:v>
                </c:pt>
                <c:pt idx="72">
                  <c:v>549.2251</c:v>
                </c:pt>
                <c:pt idx="73">
                  <c:v>550.09379999999999</c:v>
                </c:pt>
                <c:pt idx="74">
                  <c:v>550.96249999999998</c:v>
                </c:pt>
                <c:pt idx="75">
                  <c:v>551.83119999999997</c:v>
                </c:pt>
                <c:pt idx="76">
                  <c:v>552.69989999999996</c:v>
                </c:pt>
                <c:pt idx="77">
                  <c:v>553.56860000000006</c:v>
                </c:pt>
                <c:pt idx="78">
                  <c:v>554.43730000000005</c:v>
                </c:pt>
                <c:pt idx="79">
                  <c:v>555.30600000000004</c:v>
                </c:pt>
                <c:pt idx="80">
                  <c:v>556.17470000000003</c:v>
                </c:pt>
                <c:pt idx="81">
                  <c:v>557.04340000000002</c:v>
                </c:pt>
                <c:pt idx="82">
                  <c:v>557.91210000000001</c:v>
                </c:pt>
                <c:pt idx="83">
                  <c:v>558.7808</c:v>
                </c:pt>
                <c:pt idx="84">
                  <c:v>559.64949999999999</c:v>
                </c:pt>
                <c:pt idx="85">
                  <c:v>560.51819999999998</c:v>
                </c:pt>
                <c:pt idx="86">
                  <c:v>561.38689999999997</c:v>
                </c:pt>
                <c:pt idx="87">
                  <c:v>562.25559999999996</c:v>
                </c:pt>
                <c:pt idx="88">
                  <c:v>563.12429999999995</c:v>
                </c:pt>
                <c:pt idx="89">
                  <c:v>563.99300000000005</c:v>
                </c:pt>
                <c:pt idx="90">
                  <c:v>564.86170000000004</c:v>
                </c:pt>
                <c:pt idx="91">
                  <c:v>565.73040000000003</c:v>
                </c:pt>
                <c:pt idx="92">
                  <c:v>566.59910000000002</c:v>
                </c:pt>
                <c:pt idx="93">
                  <c:v>567.46780000000001</c:v>
                </c:pt>
                <c:pt idx="94">
                  <c:v>568.3365</c:v>
                </c:pt>
                <c:pt idx="95">
                  <c:v>569.20519999999999</c:v>
                </c:pt>
                <c:pt idx="96">
                  <c:v>570.07389999999998</c:v>
                </c:pt>
                <c:pt idx="97">
                  <c:v>570.94259999999997</c:v>
                </c:pt>
                <c:pt idx="98">
                  <c:v>571.81129999999996</c:v>
                </c:pt>
                <c:pt idx="99">
                  <c:v>572.68000000000006</c:v>
                </c:pt>
                <c:pt idx="100">
                  <c:v>573.54870000000005</c:v>
                </c:pt>
                <c:pt idx="101">
                  <c:v>574.41740000000004</c:v>
                </c:pt>
                <c:pt idx="102">
                  <c:v>575.28610000000003</c:v>
                </c:pt>
                <c:pt idx="103">
                  <c:v>576.15480000000002</c:v>
                </c:pt>
                <c:pt idx="104">
                  <c:v>577.02350000000001</c:v>
                </c:pt>
                <c:pt idx="105">
                  <c:v>577.8922</c:v>
                </c:pt>
                <c:pt idx="106">
                  <c:v>578.76089999999999</c:v>
                </c:pt>
                <c:pt idx="107">
                  <c:v>579.62959999999998</c:v>
                </c:pt>
                <c:pt idx="108">
                  <c:v>580.49829999999997</c:v>
                </c:pt>
                <c:pt idx="109">
                  <c:v>581.36699999999996</c:v>
                </c:pt>
                <c:pt idx="110">
                  <c:v>582.23569999999995</c:v>
                </c:pt>
                <c:pt idx="111">
                  <c:v>583.10439999999994</c:v>
                </c:pt>
                <c:pt idx="112">
                  <c:v>583.97310000000004</c:v>
                </c:pt>
                <c:pt idx="113">
                  <c:v>584.84180000000003</c:v>
                </c:pt>
                <c:pt idx="114">
                  <c:v>585.71050000000002</c:v>
                </c:pt>
                <c:pt idx="115">
                  <c:v>586.57920000000001</c:v>
                </c:pt>
                <c:pt idx="116">
                  <c:v>587.4479</c:v>
                </c:pt>
                <c:pt idx="117">
                  <c:v>588.31659999999999</c:v>
                </c:pt>
                <c:pt idx="118">
                  <c:v>589.18529999999998</c:v>
                </c:pt>
                <c:pt idx="119">
                  <c:v>590.05399999999997</c:v>
                </c:pt>
                <c:pt idx="120">
                  <c:v>590.92269999999996</c:v>
                </c:pt>
                <c:pt idx="121">
                  <c:v>591.79140000000007</c:v>
                </c:pt>
                <c:pt idx="122">
                  <c:v>592.66010000000006</c:v>
                </c:pt>
                <c:pt idx="123">
                  <c:v>593.52880000000005</c:v>
                </c:pt>
                <c:pt idx="124">
                  <c:v>594.39750000000004</c:v>
                </c:pt>
                <c:pt idx="125">
                  <c:v>595.26620000000003</c:v>
                </c:pt>
                <c:pt idx="126">
                  <c:v>596.13490000000002</c:v>
                </c:pt>
                <c:pt idx="127">
                  <c:v>597.00360000000001</c:v>
                </c:pt>
                <c:pt idx="128">
                  <c:v>597.8723</c:v>
                </c:pt>
                <c:pt idx="129">
                  <c:v>598.74099999999999</c:v>
                </c:pt>
                <c:pt idx="130">
                  <c:v>599.60969999999998</c:v>
                </c:pt>
                <c:pt idx="131">
                  <c:v>600.47839999999997</c:v>
                </c:pt>
                <c:pt idx="132">
                  <c:v>601.34709999999995</c:v>
                </c:pt>
                <c:pt idx="133">
                  <c:v>602.21579999999994</c:v>
                </c:pt>
                <c:pt idx="134">
                  <c:v>603.08450000000005</c:v>
                </c:pt>
                <c:pt idx="135">
                  <c:v>603.95320000000004</c:v>
                </c:pt>
                <c:pt idx="136">
                  <c:v>604.82190000000003</c:v>
                </c:pt>
                <c:pt idx="137">
                  <c:v>605.69060000000002</c:v>
                </c:pt>
                <c:pt idx="138">
                  <c:v>606.55930000000001</c:v>
                </c:pt>
                <c:pt idx="139">
                  <c:v>607.428</c:v>
                </c:pt>
                <c:pt idx="140">
                  <c:v>608.29669999999999</c:v>
                </c:pt>
                <c:pt idx="141">
                  <c:v>609.16539999999998</c:v>
                </c:pt>
                <c:pt idx="142">
                  <c:v>610.03409999999997</c:v>
                </c:pt>
                <c:pt idx="143">
                  <c:v>610.90280000000007</c:v>
                </c:pt>
                <c:pt idx="144">
                  <c:v>611.77150000000006</c:v>
                </c:pt>
                <c:pt idx="145">
                  <c:v>612.64020000000005</c:v>
                </c:pt>
                <c:pt idx="146">
                  <c:v>613.50890000000004</c:v>
                </c:pt>
                <c:pt idx="147">
                  <c:v>614.37760000000003</c:v>
                </c:pt>
                <c:pt idx="148">
                  <c:v>615.24630000000002</c:v>
                </c:pt>
                <c:pt idx="149">
                  <c:v>616.11500000000001</c:v>
                </c:pt>
                <c:pt idx="150">
                  <c:v>616.9837</c:v>
                </c:pt>
                <c:pt idx="151">
                  <c:v>617.85239999999999</c:v>
                </c:pt>
                <c:pt idx="152">
                  <c:v>618.72109999999998</c:v>
                </c:pt>
                <c:pt idx="153">
                  <c:v>619.58979999999997</c:v>
                </c:pt>
                <c:pt idx="154">
                  <c:v>620.45849999999996</c:v>
                </c:pt>
                <c:pt idx="155">
                  <c:v>621.32719999999995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C-4F54-8D72-9ADDC3224121}"/>
            </c:ext>
          </c:extLst>
        </c:ser>
        <c:ser>
          <c:idx val="4"/>
          <c:order val="2"/>
          <c:tx>
            <c:strRef>
              <c:f>Decomposition!$E$1</c:f>
              <c:strCache>
                <c:ptCount val="1"/>
                <c:pt idx="0">
                  <c:v>Index_Seasonality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Decomposition!$E$2:$E$157</c:f>
              <c:numCache>
                <c:formatCode>General</c:formatCode>
                <c:ptCount val="156"/>
                <c:pt idx="0">
                  <c:v>0.99403512311612097</c:v>
                </c:pt>
                <c:pt idx="1">
                  <c:v>1.0024859669329731</c:v>
                </c:pt>
                <c:pt idx="2">
                  <c:v>1.0015050374937817</c:v>
                </c:pt>
                <c:pt idx="3">
                  <c:v>1.0021607929307894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4C-4F54-8D72-9ADDC3224121}"/>
            </c:ext>
          </c:extLst>
        </c:ser>
        <c:ser>
          <c:idx val="5"/>
          <c:order val="3"/>
          <c:tx>
            <c:strRef>
              <c:f>Decomposition!$F$1</c:f>
              <c:strCache>
                <c:ptCount val="1"/>
                <c:pt idx="0">
                  <c:v>Forecasted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Decomposition!$F$2:$F$157</c:f>
              <c:numCache>
                <c:formatCode>General</c:formatCode>
                <c:ptCount val="156"/>
                <c:pt idx="0">
                  <c:v>483.77572147249367</c:v>
                </c:pt>
                <c:pt idx="1">
                  <c:v>488.75942671465697</c:v>
                </c:pt>
                <c:pt idx="2">
                  <c:v>489.15118454306668</c:v>
                </c:pt>
                <c:pt idx="3">
                  <c:v>490.34204313698274</c:v>
                </c:pt>
                <c:pt idx="4">
                  <c:v>487.22979471829763</c:v>
                </c:pt>
                <c:pt idx="5">
                  <c:v>492.24286495255569</c:v>
                </c:pt>
                <c:pt idx="6">
                  <c:v>492.63121424735004</c:v>
                </c:pt>
                <c:pt idx="7">
                  <c:v>493.82435146025858</c:v>
                </c:pt>
                <c:pt idx="8">
                  <c:v>490.68386796410152</c:v>
                </c:pt>
                <c:pt idx="9">
                  <c:v>495.72630319045442</c:v>
                </c:pt>
                <c:pt idx="10">
                  <c:v>496.11124395163341</c:v>
                </c:pt>
                <c:pt idx="11">
                  <c:v>497.30665978353454</c:v>
                </c:pt>
                <c:pt idx="12">
                  <c:v>494.13794120990536</c:v>
                </c:pt>
                <c:pt idx="13">
                  <c:v>499.20974142835314</c:v>
                </c:pt>
                <c:pt idx="14">
                  <c:v>499.59127365591684</c:v>
                </c:pt>
                <c:pt idx="15">
                  <c:v>500.78896810681044</c:v>
                </c:pt>
                <c:pt idx="16">
                  <c:v>497.59201445570926</c:v>
                </c:pt>
                <c:pt idx="17">
                  <c:v>502.69317966625175</c:v>
                </c:pt>
                <c:pt idx="18">
                  <c:v>503.0713033602002</c:v>
                </c:pt>
                <c:pt idx="19">
                  <c:v>504.27127643008635</c:v>
                </c:pt>
                <c:pt idx="20">
                  <c:v>501.04608770151322</c:v>
                </c:pt>
                <c:pt idx="21">
                  <c:v>506.17661790415048</c:v>
                </c:pt>
                <c:pt idx="22">
                  <c:v>506.55133306448363</c:v>
                </c:pt>
                <c:pt idx="23">
                  <c:v>507.75358475336225</c:v>
                </c:pt>
                <c:pt idx="24">
                  <c:v>504.50016094731711</c:v>
                </c:pt>
                <c:pt idx="25">
                  <c:v>509.6600561420492</c:v>
                </c:pt>
                <c:pt idx="26">
                  <c:v>510.031362768767</c:v>
                </c:pt>
                <c:pt idx="27">
                  <c:v>511.23589307663815</c:v>
                </c:pt>
                <c:pt idx="28">
                  <c:v>507.95423419312095</c:v>
                </c:pt>
                <c:pt idx="29">
                  <c:v>513.14349437994781</c:v>
                </c:pt>
                <c:pt idx="30">
                  <c:v>513.51139247305036</c:v>
                </c:pt>
                <c:pt idx="31">
                  <c:v>514.71820139991405</c:v>
                </c:pt>
                <c:pt idx="32">
                  <c:v>511.40830743892485</c:v>
                </c:pt>
                <c:pt idx="33">
                  <c:v>516.62693261784659</c:v>
                </c:pt>
                <c:pt idx="34">
                  <c:v>516.99142217733379</c:v>
                </c:pt>
                <c:pt idx="35">
                  <c:v>518.20050972318995</c:v>
                </c:pt>
                <c:pt idx="36">
                  <c:v>514.86238068472881</c:v>
                </c:pt>
                <c:pt idx="37">
                  <c:v>520.11037085574526</c:v>
                </c:pt>
                <c:pt idx="38">
                  <c:v>520.47145188161721</c:v>
                </c:pt>
                <c:pt idx="39">
                  <c:v>521.68281804646585</c:v>
                </c:pt>
                <c:pt idx="40">
                  <c:v>518.3164539305327</c:v>
                </c:pt>
                <c:pt idx="41">
                  <c:v>523.59380909364393</c:v>
                </c:pt>
                <c:pt idx="42">
                  <c:v>523.95148158590052</c:v>
                </c:pt>
                <c:pt idx="43">
                  <c:v>525.16512636974176</c:v>
                </c:pt>
                <c:pt idx="44">
                  <c:v>521.7705271763366</c:v>
                </c:pt>
                <c:pt idx="45">
                  <c:v>527.07724733154271</c:v>
                </c:pt>
                <c:pt idx="46">
                  <c:v>527.43151129018395</c:v>
                </c:pt>
                <c:pt idx="47">
                  <c:v>528.64743469301766</c:v>
                </c:pt>
                <c:pt idx="48">
                  <c:v>525.2246004221405</c:v>
                </c:pt>
                <c:pt idx="49">
                  <c:v>530.56068556944138</c:v>
                </c:pt>
                <c:pt idx="50">
                  <c:v>530.91154099446737</c:v>
                </c:pt>
                <c:pt idx="51">
                  <c:v>532.12974301629356</c:v>
                </c:pt>
                <c:pt idx="52">
                  <c:v>528.67867366794439</c:v>
                </c:pt>
                <c:pt idx="53">
                  <c:v>534.04412380734004</c:v>
                </c:pt>
                <c:pt idx="54">
                  <c:v>534.39157069875068</c:v>
                </c:pt>
                <c:pt idx="55">
                  <c:v>535.61205133956958</c:v>
                </c:pt>
                <c:pt idx="56">
                  <c:v>532.13274691374829</c:v>
                </c:pt>
                <c:pt idx="57">
                  <c:v>537.52756204523882</c:v>
                </c:pt>
                <c:pt idx="58">
                  <c:v>537.87160040303422</c:v>
                </c:pt>
                <c:pt idx="59">
                  <c:v>539.09435966284548</c:v>
                </c:pt>
                <c:pt idx="60">
                  <c:v>535.58682015955219</c:v>
                </c:pt>
                <c:pt idx="61">
                  <c:v>541.01100028313738</c:v>
                </c:pt>
                <c:pt idx="62">
                  <c:v>541.35163010731753</c:v>
                </c:pt>
                <c:pt idx="63">
                  <c:v>542.57666798612127</c:v>
                </c:pt>
                <c:pt idx="64">
                  <c:v>539.04089340535597</c:v>
                </c:pt>
                <c:pt idx="65">
                  <c:v>544.49443852103605</c:v>
                </c:pt>
                <c:pt idx="66">
                  <c:v>544.83165981160084</c:v>
                </c:pt>
                <c:pt idx="67">
                  <c:v>546.05897630939728</c:v>
                </c:pt>
                <c:pt idx="68">
                  <c:v>542.49496665115998</c:v>
                </c:pt>
                <c:pt idx="69">
                  <c:v>547.97787675893483</c:v>
                </c:pt>
                <c:pt idx="70">
                  <c:v>548.31168951588438</c:v>
                </c:pt>
                <c:pt idx="71">
                  <c:v>549.54128463267318</c:v>
                </c:pt>
                <c:pt idx="72">
                  <c:v>545.94903989696388</c:v>
                </c:pt>
                <c:pt idx="73">
                  <c:v>551.46131499683349</c:v>
                </c:pt>
                <c:pt idx="74">
                  <c:v>551.79171922016769</c:v>
                </c:pt>
                <c:pt idx="75">
                  <c:v>553.02359295594897</c:v>
                </c:pt>
                <c:pt idx="76">
                  <c:v>549.40311314276767</c:v>
                </c:pt>
                <c:pt idx="77">
                  <c:v>554.94475323473227</c:v>
                </c:pt>
                <c:pt idx="78">
                  <c:v>555.27174892445112</c:v>
                </c:pt>
                <c:pt idx="79">
                  <c:v>556.50590127922499</c:v>
                </c:pt>
                <c:pt idx="80">
                  <c:v>552.85718638857168</c:v>
                </c:pt>
                <c:pt idx="81">
                  <c:v>558.42819147263094</c:v>
                </c:pt>
                <c:pt idx="82">
                  <c:v>558.75177862873454</c:v>
                </c:pt>
                <c:pt idx="83">
                  <c:v>559.98820960250089</c:v>
                </c:pt>
                <c:pt idx="84">
                  <c:v>556.31125963437557</c:v>
                </c:pt>
                <c:pt idx="85">
                  <c:v>561.91162971052961</c:v>
                </c:pt>
                <c:pt idx="86">
                  <c:v>562.23180833301785</c:v>
                </c:pt>
                <c:pt idx="87">
                  <c:v>563.47051792577668</c:v>
                </c:pt>
                <c:pt idx="88">
                  <c:v>559.76533288017936</c:v>
                </c:pt>
                <c:pt idx="89">
                  <c:v>565.39506794842839</c:v>
                </c:pt>
                <c:pt idx="90">
                  <c:v>565.71183803730128</c:v>
                </c:pt>
                <c:pt idx="91">
                  <c:v>566.95282624905269</c:v>
                </c:pt>
                <c:pt idx="92">
                  <c:v>563.21940612598337</c:v>
                </c:pt>
                <c:pt idx="93">
                  <c:v>568.87850618632694</c:v>
                </c:pt>
                <c:pt idx="94">
                  <c:v>569.1918677415847</c:v>
                </c:pt>
                <c:pt idx="95">
                  <c:v>570.43513457232859</c:v>
                </c:pt>
                <c:pt idx="96">
                  <c:v>566.67347937178727</c:v>
                </c:pt>
                <c:pt idx="97">
                  <c:v>572.36194442422561</c:v>
                </c:pt>
                <c:pt idx="98">
                  <c:v>572.67189744586801</c:v>
                </c:pt>
                <c:pt idx="99">
                  <c:v>573.91744289560449</c:v>
                </c:pt>
                <c:pt idx="100">
                  <c:v>570.12755261759116</c:v>
                </c:pt>
                <c:pt idx="101">
                  <c:v>575.84538266212439</c:v>
                </c:pt>
                <c:pt idx="102">
                  <c:v>576.15192715015155</c:v>
                </c:pt>
                <c:pt idx="103">
                  <c:v>577.3997512188804</c:v>
                </c:pt>
                <c:pt idx="104">
                  <c:v>573.58162586339506</c:v>
                </c:pt>
                <c:pt idx="105">
                  <c:v>579.32882090002306</c:v>
                </c:pt>
                <c:pt idx="106">
                  <c:v>579.63195685443486</c:v>
                </c:pt>
                <c:pt idx="107">
                  <c:v>580.8820595421563</c:v>
                </c:pt>
                <c:pt idx="108">
                  <c:v>577.03569910919884</c:v>
                </c:pt>
                <c:pt idx="109">
                  <c:v>582.81225913792173</c:v>
                </c:pt>
                <c:pt idx="110">
                  <c:v>583.11198655871817</c:v>
                </c:pt>
                <c:pt idx="111">
                  <c:v>584.36436786543209</c:v>
                </c:pt>
                <c:pt idx="112">
                  <c:v>580.48977235500286</c:v>
                </c:pt>
                <c:pt idx="113">
                  <c:v>586.29569737582051</c:v>
                </c:pt>
                <c:pt idx="114">
                  <c:v>586.59201626300171</c:v>
                </c:pt>
                <c:pt idx="115">
                  <c:v>587.8466761887081</c:v>
                </c:pt>
                <c:pt idx="116">
                  <c:v>583.94384560080675</c:v>
                </c:pt>
                <c:pt idx="117">
                  <c:v>589.77913561371918</c:v>
                </c:pt>
                <c:pt idx="118">
                  <c:v>590.07204596728502</c:v>
                </c:pt>
                <c:pt idx="119">
                  <c:v>591.328984511984</c:v>
                </c:pt>
                <c:pt idx="120">
                  <c:v>587.39791884661054</c:v>
                </c:pt>
                <c:pt idx="121">
                  <c:v>593.26257385161796</c:v>
                </c:pt>
                <c:pt idx="122">
                  <c:v>593.55207567156845</c:v>
                </c:pt>
                <c:pt idx="123">
                  <c:v>594.81129283526002</c:v>
                </c:pt>
                <c:pt idx="124">
                  <c:v>590.85199209241455</c:v>
                </c:pt>
                <c:pt idx="125">
                  <c:v>596.74601208951663</c:v>
                </c:pt>
                <c:pt idx="126">
                  <c:v>597.03210537585187</c:v>
                </c:pt>
                <c:pt idx="127">
                  <c:v>598.29360115853581</c:v>
                </c:pt>
                <c:pt idx="128">
                  <c:v>594.30606533821845</c:v>
                </c:pt>
                <c:pt idx="129">
                  <c:v>600.22945032741518</c:v>
                </c:pt>
                <c:pt idx="130">
                  <c:v>600.51213508013518</c:v>
                </c:pt>
                <c:pt idx="131">
                  <c:v>601.77590948181171</c:v>
                </c:pt>
                <c:pt idx="132">
                  <c:v>597.76013858402223</c:v>
                </c:pt>
                <c:pt idx="133">
                  <c:v>603.71288856531385</c:v>
                </c:pt>
                <c:pt idx="134">
                  <c:v>603.99216478441861</c:v>
                </c:pt>
                <c:pt idx="135">
                  <c:v>605.25821780508772</c:v>
                </c:pt>
                <c:pt idx="136">
                  <c:v>601.21421182982624</c:v>
                </c:pt>
                <c:pt idx="137">
                  <c:v>607.19632680321263</c:v>
                </c:pt>
                <c:pt idx="138">
                  <c:v>607.47219448870203</c:v>
                </c:pt>
                <c:pt idx="139">
                  <c:v>608.74052612836351</c:v>
                </c:pt>
                <c:pt idx="140">
                  <c:v>604.66828507563014</c:v>
                </c:pt>
                <c:pt idx="141">
                  <c:v>610.6797650411113</c:v>
                </c:pt>
                <c:pt idx="142">
                  <c:v>610.95222419298534</c:v>
                </c:pt>
                <c:pt idx="143">
                  <c:v>612.22283445163953</c:v>
                </c:pt>
                <c:pt idx="144">
                  <c:v>608.12235832143404</c:v>
                </c:pt>
                <c:pt idx="145">
                  <c:v>614.16320327901008</c:v>
                </c:pt>
                <c:pt idx="146">
                  <c:v>614.43225389726888</c:v>
                </c:pt>
                <c:pt idx="147">
                  <c:v>615.70514277491543</c:v>
                </c:pt>
                <c:pt idx="148">
                  <c:v>611.57643156723793</c:v>
                </c:pt>
                <c:pt idx="149">
                  <c:v>617.64664151690874</c:v>
                </c:pt>
                <c:pt idx="150">
                  <c:v>617.91228360155219</c:v>
                </c:pt>
                <c:pt idx="151">
                  <c:v>619.18745109819122</c:v>
                </c:pt>
                <c:pt idx="152">
                  <c:v>615.03050481304172</c:v>
                </c:pt>
                <c:pt idx="153">
                  <c:v>621.13007975480741</c:v>
                </c:pt>
                <c:pt idx="154">
                  <c:v>621.3923133058355</c:v>
                </c:pt>
                <c:pt idx="155">
                  <c:v>622.66975942146712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4C-4F54-8D72-9ADDC3224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44616"/>
        <c:axId val="566840680"/>
      </c:lineChart>
      <c:catAx>
        <c:axId val="566844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40680"/>
        <c:crosses val="autoZero"/>
        <c:auto val="1"/>
        <c:lblAlgn val="ctr"/>
        <c:lblOffset val="100"/>
        <c:noMultiLvlLbl val="0"/>
      </c:catAx>
      <c:valAx>
        <c:axId val="5668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4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Time step / Series1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'ARIMA-XLSTAT_HID'!$A$2:$A$157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'ARIMA-XLSTAT_HID'!$B$2:$B$157</c:f>
              <c:numCache>
                <c:formatCode>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F2-416B-9B9E-7893D6FC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54536"/>
        <c:axId val="703057160"/>
      </c:scatterChart>
      <c:valAx>
        <c:axId val="70305453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03057160"/>
        <c:crosses val="autoZero"/>
        <c:crossBetween val="midCat"/>
      </c:valAx>
      <c:valAx>
        <c:axId val="703057160"/>
        <c:scaling>
          <c:orientation val="minMax"/>
          <c:max val="750"/>
          <c:min val="4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Series1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0305453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ARIMA (Households)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Households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AR(1)'!$B$57:$B$212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'Seasonal AR(1)'!$C$57:$C$212</c:f>
              <c:numCache>
                <c:formatCode>0.000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89-4B20-90B5-482745BA2D18}"/>
            </c:ext>
          </c:extLst>
        </c:ser>
        <c:ser>
          <c:idx val="1"/>
          <c:order val="1"/>
          <c:tx>
            <c:v>ARIMA (Households)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44"/>
            <c:bubble3D val="0"/>
            <c:spPr>
              <a:ln w="12700">
                <a:solidFill>
                  <a:srgbClr val="006699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D89-4B20-90B5-482745BA2D18}"/>
              </c:ext>
            </c:extLst>
          </c:dPt>
          <c:xVal>
            <c:numRef>
              <c:f>'Seasonal AR(1)'!$B$57:$B$212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'Seasonal AR(1)'!$D$57:$D$212</c:f>
              <c:numCache>
                <c:formatCode>0.000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454.17392766539831</c:v>
                </c:pt>
                <c:pt idx="14">
                  <c:v>490.3122488481103</c:v>
                </c:pt>
                <c:pt idx="15">
                  <c:v>520.17813922518553</c:v>
                </c:pt>
                <c:pt idx="16">
                  <c:v>513.41496246796726</c:v>
                </c:pt>
                <c:pt idx="17">
                  <c:v>545.1355515205214</c:v>
                </c:pt>
                <c:pt idx="18">
                  <c:v>509.92296543901261</c:v>
                </c:pt>
                <c:pt idx="19">
                  <c:v>511.36382479805434</c:v>
                </c:pt>
                <c:pt idx="20">
                  <c:v>535.37960092132573</c:v>
                </c:pt>
                <c:pt idx="21">
                  <c:v>542.13201782835563</c:v>
                </c:pt>
                <c:pt idx="22">
                  <c:v>524.91230703773215</c:v>
                </c:pt>
                <c:pt idx="23">
                  <c:v>495.09766785065023</c:v>
                </c:pt>
                <c:pt idx="24">
                  <c:v>480.89124459217965</c:v>
                </c:pt>
                <c:pt idx="25">
                  <c:v>461.02130464522031</c:v>
                </c:pt>
                <c:pt idx="26">
                  <c:v>474.53674847163745</c:v>
                </c:pt>
                <c:pt idx="27">
                  <c:v>498.19196575132486</c:v>
                </c:pt>
                <c:pt idx="28">
                  <c:v>516.87970313975325</c:v>
                </c:pt>
                <c:pt idx="29">
                  <c:v>563.26049346626621</c:v>
                </c:pt>
                <c:pt idx="30">
                  <c:v>533.70186452165512</c:v>
                </c:pt>
                <c:pt idx="31">
                  <c:v>573.50833812862754</c:v>
                </c:pt>
                <c:pt idx="32">
                  <c:v>545.29604459604866</c:v>
                </c:pt>
                <c:pt idx="33">
                  <c:v>506.20143911419757</c:v>
                </c:pt>
                <c:pt idx="34">
                  <c:v>518.15528842714696</c:v>
                </c:pt>
                <c:pt idx="35">
                  <c:v>509.1321227415429</c:v>
                </c:pt>
                <c:pt idx="36">
                  <c:v>471.96666627161159</c:v>
                </c:pt>
                <c:pt idx="37">
                  <c:v>446.09137671950521</c:v>
                </c:pt>
                <c:pt idx="38">
                  <c:v>487.25773758535183</c:v>
                </c:pt>
                <c:pt idx="39">
                  <c:v>495.90333172304446</c:v>
                </c:pt>
                <c:pt idx="40">
                  <c:v>510.66614814794639</c:v>
                </c:pt>
                <c:pt idx="41">
                  <c:v>557.91781507470944</c:v>
                </c:pt>
                <c:pt idx="42">
                  <c:v>565.18688019016668</c:v>
                </c:pt>
                <c:pt idx="43">
                  <c:v>536.6658616898161</c:v>
                </c:pt>
                <c:pt idx="44">
                  <c:v>487.99759730116108</c:v>
                </c:pt>
                <c:pt idx="45">
                  <c:v>512.38194796320136</c:v>
                </c:pt>
                <c:pt idx="46">
                  <c:v>542.44811137607405</c:v>
                </c:pt>
                <c:pt idx="47">
                  <c:v>486.79600146903294</c:v>
                </c:pt>
                <c:pt idx="48">
                  <c:v>461.40557096923283</c:v>
                </c:pt>
                <c:pt idx="49">
                  <c:v>463.14154778792653</c:v>
                </c:pt>
                <c:pt idx="50">
                  <c:v>453.95823471826395</c:v>
                </c:pt>
                <c:pt idx="51">
                  <c:v>512.94378450687282</c:v>
                </c:pt>
                <c:pt idx="52">
                  <c:v>550.91470895702901</c:v>
                </c:pt>
                <c:pt idx="53">
                  <c:v>576.54165546322588</c:v>
                </c:pt>
                <c:pt idx="54">
                  <c:v>594.79011162181564</c:v>
                </c:pt>
                <c:pt idx="55">
                  <c:v>580.90080673539069</c:v>
                </c:pt>
                <c:pt idx="56">
                  <c:v>551.92890896731308</c:v>
                </c:pt>
                <c:pt idx="57">
                  <c:v>556.63187078541796</c:v>
                </c:pt>
                <c:pt idx="58">
                  <c:v>581.62813328285165</c:v>
                </c:pt>
                <c:pt idx="59">
                  <c:v>506.1029666942984</c:v>
                </c:pt>
                <c:pt idx="60">
                  <c:v>500.10478591122518</c:v>
                </c:pt>
                <c:pt idx="61">
                  <c:v>485.7761606853702</c:v>
                </c:pt>
                <c:pt idx="62">
                  <c:v>492.028254847798</c:v>
                </c:pt>
                <c:pt idx="63">
                  <c:v>596.2485497514183</c:v>
                </c:pt>
                <c:pt idx="64">
                  <c:v>633.82067615615279</c:v>
                </c:pt>
                <c:pt idx="65">
                  <c:v>608.30234244579492</c:v>
                </c:pt>
                <c:pt idx="66">
                  <c:v>571.66851129645511</c:v>
                </c:pt>
                <c:pt idx="67">
                  <c:v>557.18749681993552</c:v>
                </c:pt>
                <c:pt idx="68">
                  <c:v>535.64828768155439</c:v>
                </c:pt>
                <c:pt idx="69">
                  <c:v>541.77643260413379</c:v>
                </c:pt>
                <c:pt idx="70">
                  <c:v>568.4989416209562</c:v>
                </c:pt>
                <c:pt idx="71">
                  <c:v>532.4410533835711</c:v>
                </c:pt>
                <c:pt idx="72">
                  <c:v>520.71662030174969</c:v>
                </c:pt>
                <c:pt idx="73">
                  <c:v>494.47429625711572</c:v>
                </c:pt>
                <c:pt idx="74">
                  <c:v>478.67161650749824</c:v>
                </c:pt>
                <c:pt idx="75">
                  <c:v>508.37700817273736</c:v>
                </c:pt>
                <c:pt idx="76">
                  <c:v>545.79040106433979</c:v>
                </c:pt>
                <c:pt idx="77">
                  <c:v>610.01815777605907</c:v>
                </c:pt>
                <c:pt idx="78">
                  <c:v>579.08238859628216</c:v>
                </c:pt>
                <c:pt idx="79">
                  <c:v>558.91546913034881</c:v>
                </c:pt>
                <c:pt idx="80">
                  <c:v>582.53676920519217</c:v>
                </c:pt>
                <c:pt idx="81">
                  <c:v>591.97012651811804</c:v>
                </c:pt>
                <c:pt idx="82">
                  <c:v>568.51731411665469</c:v>
                </c:pt>
                <c:pt idx="83">
                  <c:v>492.59549304237294</c:v>
                </c:pt>
                <c:pt idx="84">
                  <c:v>475.8325909810045</c:v>
                </c:pt>
                <c:pt idx="85">
                  <c:v>495.7245893524231</c:v>
                </c:pt>
                <c:pt idx="86">
                  <c:v>531.61148698039631</c:v>
                </c:pt>
                <c:pt idx="87">
                  <c:v>553.51966262390476</c:v>
                </c:pt>
                <c:pt idx="88">
                  <c:v>551.06493891206355</c:v>
                </c:pt>
                <c:pt idx="89">
                  <c:v>591.86553899766784</c:v>
                </c:pt>
                <c:pt idx="90">
                  <c:v>583.99412656852769</c:v>
                </c:pt>
                <c:pt idx="91">
                  <c:v>577.38143276247831</c:v>
                </c:pt>
                <c:pt idx="92">
                  <c:v>582.0390063974553</c:v>
                </c:pt>
                <c:pt idx="93">
                  <c:v>571.7400225193677</c:v>
                </c:pt>
                <c:pt idx="94">
                  <c:v>564.93417487182342</c:v>
                </c:pt>
                <c:pt idx="95">
                  <c:v>527.09498629442476</c:v>
                </c:pt>
                <c:pt idx="96">
                  <c:v>502.488728623366</c:v>
                </c:pt>
                <c:pt idx="97">
                  <c:v>493.13331448145277</c:v>
                </c:pt>
                <c:pt idx="98">
                  <c:v>501.83290141698143</c:v>
                </c:pt>
                <c:pt idx="99">
                  <c:v>544.80569862490756</c:v>
                </c:pt>
                <c:pt idx="100">
                  <c:v>599.41249403326754</c:v>
                </c:pt>
                <c:pt idx="101">
                  <c:v>645.16580615234602</c:v>
                </c:pt>
                <c:pt idx="102">
                  <c:v>613.03995809377682</c:v>
                </c:pt>
                <c:pt idx="103">
                  <c:v>610.02441371125599</c:v>
                </c:pt>
                <c:pt idx="104">
                  <c:v>607.69096969763848</c:v>
                </c:pt>
                <c:pt idx="105">
                  <c:v>537.45314237006482</c:v>
                </c:pt>
                <c:pt idx="106">
                  <c:v>549.78477265576089</c:v>
                </c:pt>
                <c:pt idx="107">
                  <c:v>533.03641838501596</c:v>
                </c:pt>
                <c:pt idx="108">
                  <c:v>523.03264500723867</c:v>
                </c:pt>
                <c:pt idx="109">
                  <c:v>502.74298984716881</c:v>
                </c:pt>
                <c:pt idx="110">
                  <c:v>490.12343277452987</c:v>
                </c:pt>
                <c:pt idx="111">
                  <c:v>537.06858491039782</c:v>
                </c:pt>
                <c:pt idx="112">
                  <c:v>593.61715709907025</c:v>
                </c:pt>
                <c:pt idx="113">
                  <c:v>651.01558139810402</c:v>
                </c:pt>
                <c:pt idx="114">
                  <c:v>622.83158054674027</c:v>
                </c:pt>
                <c:pt idx="115">
                  <c:v>625.31000981205534</c:v>
                </c:pt>
                <c:pt idx="116">
                  <c:v>603.85403578631417</c:v>
                </c:pt>
                <c:pt idx="117">
                  <c:v>581.57303507235179</c:v>
                </c:pt>
                <c:pt idx="118">
                  <c:v>591.77571044746412</c:v>
                </c:pt>
                <c:pt idx="119">
                  <c:v>570.33890995324884</c:v>
                </c:pt>
                <c:pt idx="120">
                  <c:v>556.09305319094778</c:v>
                </c:pt>
                <c:pt idx="121">
                  <c:v>505.34743734914241</c:v>
                </c:pt>
                <c:pt idx="122">
                  <c:v>492.21576636561105</c:v>
                </c:pt>
                <c:pt idx="123">
                  <c:v>589.063224503485</c:v>
                </c:pt>
                <c:pt idx="124">
                  <c:v>631.25002424222987</c:v>
                </c:pt>
                <c:pt idx="125">
                  <c:v>637.53757213198674</c:v>
                </c:pt>
                <c:pt idx="126">
                  <c:v>616.84398051779317</c:v>
                </c:pt>
                <c:pt idx="127">
                  <c:v>654.96204902708303</c:v>
                </c:pt>
                <c:pt idx="128">
                  <c:v>605.75922793189727</c:v>
                </c:pt>
                <c:pt idx="129">
                  <c:v>629.16103019874572</c:v>
                </c:pt>
                <c:pt idx="130">
                  <c:v>666.59592816125587</c:v>
                </c:pt>
                <c:pt idx="131">
                  <c:v>603.80686243127047</c:v>
                </c:pt>
                <c:pt idx="132">
                  <c:v>591.2615548376956</c:v>
                </c:pt>
                <c:pt idx="133">
                  <c:v>543.2807841017368</c:v>
                </c:pt>
                <c:pt idx="134">
                  <c:v>591.03106940240855</c:v>
                </c:pt>
                <c:pt idx="135">
                  <c:v>664.61566472761365</c:v>
                </c:pt>
                <c:pt idx="136">
                  <c:v>677.69725513103299</c:v>
                </c:pt>
                <c:pt idx="137">
                  <c:v>715.45047920820593</c:v>
                </c:pt>
                <c:pt idx="138">
                  <c:v>707.9770845829114</c:v>
                </c:pt>
                <c:pt idx="139">
                  <c:v>645.81549008427885</c:v>
                </c:pt>
                <c:pt idx="140">
                  <c:v>613.1517071714818</c:v>
                </c:pt>
                <c:pt idx="141">
                  <c:v>646.78013868927383</c:v>
                </c:pt>
                <c:pt idx="142">
                  <c:v>668.48985547237726</c:v>
                </c:pt>
                <c:pt idx="143">
                  <c:v>610.28752394057688</c:v>
                </c:pt>
                <c:pt idx="144">
                  <c:v>523.59448834252453</c:v>
                </c:pt>
                <c:pt idx="145">
                  <c:v>510.05204073013482</c:v>
                </c:pt>
                <c:pt idx="146">
                  <c:v>523.4767883408341</c:v>
                </c:pt>
                <c:pt idx="147">
                  <c:v>596.16362004934081</c:v>
                </c:pt>
                <c:pt idx="148">
                  <c:v>623.05154506794941</c:v>
                </c:pt>
                <c:pt idx="149">
                  <c:v>643.50869380732058</c:v>
                </c:pt>
                <c:pt idx="150">
                  <c:v>622.47337869067769</c:v>
                </c:pt>
                <c:pt idx="151">
                  <c:v>629.93026141415999</c:v>
                </c:pt>
                <c:pt idx="152">
                  <c:v>618.3499987808168</c:v>
                </c:pt>
                <c:pt idx="153">
                  <c:v>623.78682765811311</c:v>
                </c:pt>
                <c:pt idx="154">
                  <c:v>622.32338723081534</c:v>
                </c:pt>
                <c:pt idx="155">
                  <c:v>578.5598102840039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B20-90B5-482745BA2D18}"/>
            </c:ext>
          </c:extLst>
        </c:ser>
        <c:ser>
          <c:idx val="2"/>
          <c:order val="2"/>
          <c:tx>
            <c:v>Validation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AR(1)'!$B$201:$B$212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'Seasonal AR(1)'!$D$201:$D$212</c:f>
              <c:numCache>
                <c:formatCode>0.000</c:formatCode>
                <c:ptCount val="12"/>
                <c:pt idx="0">
                  <c:v>523.59448834252453</c:v>
                </c:pt>
                <c:pt idx="1">
                  <c:v>510.05204073013482</c:v>
                </c:pt>
                <c:pt idx="2">
                  <c:v>523.4767883408341</c:v>
                </c:pt>
                <c:pt idx="3">
                  <c:v>596.16362004934081</c:v>
                </c:pt>
                <c:pt idx="4">
                  <c:v>623.05154506794941</c:v>
                </c:pt>
                <c:pt idx="5">
                  <c:v>643.50869380732058</c:v>
                </c:pt>
                <c:pt idx="6">
                  <c:v>622.47337869067769</c:v>
                </c:pt>
                <c:pt idx="7">
                  <c:v>629.93026141415999</c:v>
                </c:pt>
                <c:pt idx="8">
                  <c:v>618.3499987808168</c:v>
                </c:pt>
                <c:pt idx="9">
                  <c:v>623.78682765811311</c:v>
                </c:pt>
                <c:pt idx="10">
                  <c:v>622.32338723081534</c:v>
                </c:pt>
                <c:pt idx="11">
                  <c:v>578.5598102840039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9-4B20-90B5-482745BA2D18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AR(1)'!$B$201:$B$212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'Seasonal AR(1)'!$H$201:$H$212</c:f>
              <c:numCache>
                <c:formatCode>0.000</c:formatCode>
                <c:ptCount val="12"/>
                <c:pt idx="0">
                  <c:v>483.57941034841269</c:v>
                </c:pt>
                <c:pt idx="1">
                  <c:v>451.53688663803382</c:v>
                </c:pt>
                <c:pt idx="2">
                  <c:v>450.93582191427515</c:v>
                </c:pt>
                <c:pt idx="3">
                  <c:v>511.89387100457606</c:v>
                </c:pt>
                <c:pt idx="4">
                  <c:v>528.49649024472978</c:v>
                </c:pt>
                <c:pt idx="5">
                  <c:v>539.68224823081971</c:v>
                </c:pt>
                <c:pt idx="6">
                  <c:v>510.13815038351783</c:v>
                </c:pt>
                <c:pt idx="7">
                  <c:v>509.68685719876538</c:v>
                </c:pt>
                <c:pt idx="8">
                  <c:v>490.6873613445693</c:v>
                </c:pt>
                <c:pt idx="9">
                  <c:v>489.1130672697447</c:v>
                </c:pt>
                <c:pt idx="10">
                  <c:v>480.98586752314975</c:v>
                </c:pt>
                <c:pt idx="11">
                  <c:v>430.85887184051847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89-4B20-90B5-482745BA2D18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AR(1)'!$B$201:$B$212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'Seasonal AR(1)'!$I$201:$I$212</c:f>
              <c:numCache>
                <c:formatCode>0.000</c:formatCode>
                <c:ptCount val="12"/>
                <c:pt idx="0">
                  <c:v>563.60956633663636</c:v>
                </c:pt>
                <c:pt idx="1">
                  <c:v>568.56719482223582</c:v>
                </c:pt>
                <c:pt idx="2">
                  <c:v>596.01775476739306</c:v>
                </c:pt>
                <c:pt idx="3">
                  <c:v>680.4333690941055</c:v>
                </c:pt>
                <c:pt idx="4">
                  <c:v>717.60659989116903</c:v>
                </c:pt>
                <c:pt idx="5">
                  <c:v>747.33513938382146</c:v>
                </c:pt>
                <c:pt idx="6">
                  <c:v>734.8086069978375</c:v>
                </c:pt>
                <c:pt idx="7">
                  <c:v>750.17366562955465</c:v>
                </c:pt>
                <c:pt idx="8">
                  <c:v>746.01263621706437</c:v>
                </c:pt>
                <c:pt idx="9">
                  <c:v>758.46058804648146</c:v>
                </c:pt>
                <c:pt idx="10">
                  <c:v>763.66090693848093</c:v>
                </c:pt>
                <c:pt idx="11">
                  <c:v>726.26074872748927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89-4B20-90B5-482745BA2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28976"/>
        <c:axId val="792130944"/>
      </c:scatterChart>
      <c:valAx>
        <c:axId val="79212897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30944"/>
        <c:crosses val="autoZero"/>
        <c:crossBetween val="midCat"/>
      </c:valAx>
      <c:valAx>
        <c:axId val="792130944"/>
        <c:scaling>
          <c:orientation val="minMax"/>
          <c:max val="800"/>
          <c:min val="4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Households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2897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'Seasonal AR(1)'!$B$57:$B$212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'Seasonal AR(1)'!$E$57:$E$212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-1.8739276653982984</c:v>
                </c:pt>
                <c:pt idx="14">
                  <c:v>-20.312248848110301</c:v>
                </c:pt>
                <c:pt idx="15">
                  <c:v>-8.8781392251855209</c:v>
                </c:pt>
                <c:pt idx="16">
                  <c:v>8.585037532032743</c:v>
                </c:pt>
                <c:pt idx="17">
                  <c:v>-11.935551520521358</c:v>
                </c:pt>
                <c:pt idx="18">
                  <c:v>3.2770345609874312</c:v>
                </c:pt>
                <c:pt idx="19">
                  <c:v>32.836175201945707</c:v>
                </c:pt>
                <c:pt idx="20">
                  <c:v>6.0203990786742452</c:v>
                </c:pt>
                <c:pt idx="21">
                  <c:v>-16.432017828355583</c:v>
                </c:pt>
                <c:pt idx="22">
                  <c:v>10.287692962267897</c:v>
                </c:pt>
                <c:pt idx="23">
                  <c:v>-9.7667850650225319E-2</c:v>
                </c:pt>
                <c:pt idx="24">
                  <c:v>-7.2912445921796234</c:v>
                </c:pt>
                <c:pt idx="25">
                  <c:v>-16.621304645220334</c:v>
                </c:pt>
                <c:pt idx="26">
                  <c:v>-22.736748471637441</c:v>
                </c:pt>
                <c:pt idx="27">
                  <c:v>12.808034248675142</c:v>
                </c:pt>
                <c:pt idx="28">
                  <c:v>25.920296860246708</c:v>
                </c:pt>
                <c:pt idx="29">
                  <c:v>-7.2604934662662117</c:v>
                </c:pt>
                <c:pt idx="30">
                  <c:v>29.398135478344898</c:v>
                </c:pt>
                <c:pt idx="31">
                  <c:v>-18.508338128627543</c:v>
                </c:pt>
                <c:pt idx="32">
                  <c:v>-31.696044596048637</c:v>
                </c:pt>
                <c:pt idx="33">
                  <c:v>8.4985608858024762</c:v>
                </c:pt>
                <c:pt idx="34">
                  <c:v>29.744711572853021</c:v>
                </c:pt>
                <c:pt idx="35">
                  <c:v>-19.232122741542923</c:v>
                </c:pt>
                <c:pt idx="36">
                  <c:v>-4.8666662716115638</c:v>
                </c:pt>
                <c:pt idx="37">
                  <c:v>26.608623280494783</c:v>
                </c:pt>
                <c:pt idx="38">
                  <c:v>-37.757737585351833</c:v>
                </c:pt>
                <c:pt idx="39">
                  <c:v>-4.4033317230444595</c:v>
                </c:pt>
                <c:pt idx="40">
                  <c:v>33.333851852053613</c:v>
                </c:pt>
                <c:pt idx="41">
                  <c:v>14.582184925290562</c:v>
                </c:pt>
                <c:pt idx="42">
                  <c:v>-39.386880190166721</c:v>
                </c:pt>
                <c:pt idx="43">
                  <c:v>-26.565861689816074</c:v>
                </c:pt>
                <c:pt idx="44">
                  <c:v>31.102402698838944</c:v>
                </c:pt>
                <c:pt idx="45">
                  <c:v>9.7180520367986674</c:v>
                </c:pt>
                <c:pt idx="46">
                  <c:v>-6.84811137607403</c:v>
                </c:pt>
                <c:pt idx="47">
                  <c:v>-2.7960014690329444</c:v>
                </c:pt>
                <c:pt idx="48">
                  <c:v>14.994429030767151</c:v>
                </c:pt>
                <c:pt idx="49">
                  <c:v>-2.6415477879265268</c:v>
                </c:pt>
                <c:pt idx="50">
                  <c:v>7.2417652817360363</c:v>
                </c:pt>
                <c:pt idx="51">
                  <c:v>-2.4437845068728166</c:v>
                </c:pt>
                <c:pt idx="52">
                  <c:v>5.6852910429710164</c:v>
                </c:pt>
                <c:pt idx="53">
                  <c:v>32.958344536774121</c:v>
                </c:pt>
                <c:pt idx="54">
                  <c:v>-2.0901116218155948</c:v>
                </c:pt>
                <c:pt idx="55">
                  <c:v>-8.8008067353906654</c:v>
                </c:pt>
                <c:pt idx="56">
                  <c:v>2.9710910326868998</c:v>
                </c:pt>
                <c:pt idx="57">
                  <c:v>0.76812921458201799</c:v>
                </c:pt>
                <c:pt idx="58">
                  <c:v>-18.728133282851672</c:v>
                </c:pt>
                <c:pt idx="59">
                  <c:v>9.8970333057015978</c:v>
                </c:pt>
                <c:pt idx="60">
                  <c:v>-9.5047859112251558</c:v>
                </c:pt>
                <c:pt idx="61">
                  <c:v>18.123839314629777</c:v>
                </c:pt>
                <c:pt idx="62">
                  <c:v>55.571745152202027</c:v>
                </c:pt>
                <c:pt idx="63">
                  <c:v>-11.248549751418295</c:v>
                </c:pt>
                <c:pt idx="64">
                  <c:v>-60.320676156152786</c:v>
                </c:pt>
                <c:pt idx="65">
                  <c:v>-2.3023424457949204</c:v>
                </c:pt>
                <c:pt idx="66">
                  <c:v>3.5314887035449374</c:v>
                </c:pt>
                <c:pt idx="67">
                  <c:v>-17.487496819935473</c:v>
                </c:pt>
                <c:pt idx="68">
                  <c:v>3.5517123184456523</c:v>
                </c:pt>
                <c:pt idx="69">
                  <c:v>16.023567395866166</c:v>
                </c:pt>
                <c:pt idx="70">
                  <c:v>12.901058379043775</c:v>
                </c:pt>
                <c:pt idx="71">
                  <c:v>3.7589466164289433</c:v>
                </c:pt>
                <c:pt idx="72">
                  <c:v>-21.416620301749674</c:v>
                </c:pt>
                <c:pt idx="73">
                  <c:v>-32.774296257115736</c:v>
                </c:pt>
                <c:pt idx="74">
                  <c:v>-12.971616507498254</c:v>
                </c:pt>
                <c:pt idx="75">
                  <c:v>16.022991827262615</c:v>
                </c:pt>
                <c:pt idx="76">
                  <c:v>19.309598935660233</c:v>
                </c:pt>
                <c:pt idx="77">
                  <c:v>-7.2181577760591153</c:v>
                </c:pt>
                <c:pt idx="78">
                  <c:v>6.9176114037178422</c:v>
                </c:pt>
                <c:pt idx="79">
                  <c:v>31.684530869651212</c:v>
                </c:pt>
                <c:pt idx="80">
                  <c:v>6.3230794807850543E-2</c:v>
                </c:pt>
                <c:pt idx="81">
                  <c:v>-34.270126518117991</c:v>
                </c:pt>
                <c:pt idx="82">
                  <c:v>-27.417314116654666</c:v>
                </c:pt>
                <c:pt idx="83">
                  <c:v>13.304506957627041</c:v>
                </c:pt>
                <c:pt idx="84">
                  <c:v>27.467409018995511</c:v>
                </c:pt>
                <c:pt idx="85">
                  <c:v>9.2754106475769049</c:v>
                </c:pt>
                <c:pt idx="86">
                  <c:v>-23.011486980396285</c:v>
                </c:pt>
                <c:pt idx="87">
                  <c:v>-12.619662623904787</c:v>
                </c:pt>
                <c:pt idx="88">
                  <c:v>6.0350610879364694</c:v>
                </c:pt>
                <c:pt idx="89">
                  <c:v>16.034461002332137</c:v>
                </c:pt>
                <c:pt idx="90">
                  <c:v>10.805873431472264</c:v>
                </c:pt>
                <c:pt idx="91">
                  <c:v>8.2185672375217109</c:v>
                </c:pt>
                <c:pt idx="92">
                  <c:v>-8.8390063974552504</c:v>
                </c:pt>
                <c:pt idx="93">
                  <c:v>-11.540022519367653</c:v>
                </c:pt>
                <c:pt idx="94">
                  <c:v>3.165825128176607</c:v>
                </c:pt>
                <c:pt idx="95">
                  <c:v>-2.2949862944248025</c:v>
                </c:pt>
                <c:pt idx="96">
                  <c:v>10.611271376634022</c:v>
                </c:pt>
                <c:pt idx="97">
                  <c:v>4.8666855185472286</c:v>
                </c:pt>
                <c:pt idx="98">
                  <c:v>-3.5329014169814172</c:v>
                </c:pt>
                <c:pt idx="99">
                  <c:v>23.494301375092391</c:v>
                </c:pt>
                <c:pt idx="100">
                  <c:v>2.3875059667324194</c:v>
                </c:pt>
                <c:pt idx="101">
                  <c:v>-15.565806152345999</c:v>
                </c:pt>
                <c:pt idx="102">
                  <c:v>-1.0399580937768178</c:v>
                </c:pt>
                <c:pt idx="103">
                  <c:v>7.4755862887440117</c:v>
                </c:pt>
                <c:pt idx="104">
                  <c:v>-47.090969697638457</c:v>
                </c:pt>
                <c:pt idx="105">
                  <c:v>17.546857629935175</c:v>
                </c:pt>
                <c:pt idx="106">
                  <c:v>20.915227344239156</c:v>
                </c:pt>
                <c:pt idx="107">
                  <c:v>-2.9364183850159407</c:v>
                </c:pt>
                <c:pt idx="108">
                  <c:v>-13.332645007238682</c:v>
                </c:pt>
                <c:pt idx="109">
                  <c:v>-13.442989847168803</c:v>
                </c:pt>
                <c:pt idx="110">
                  <c:v>-1.4234327745298856</c:v>
                </c:pt>
                <c:pt idx="111">
                  <c:v>31.031415089602206</c:v>
                </c:pt>
                <c:pt idx="112">
                  <c:v>15.882842900929745</c:v>
                </c:pt>
                <c:pt idx="113">
                  <c:v>-12.015581398104018</c:v>
                </c:pt>
                <c:pt idx="114">
                  <c:v>5.268419453259753</c:v>
                </c:pt>
                <c:pt idx="115">
                  <c:v>10.189990187944659</c:v>
                </c:pt>
                <c:pt idx="116">
                  <c:v>-11.454035786314194</c:v>
                </c:pt>
                <c:pt idx="117">
                  <c:v>-0.67303507235180859</c:v>
                </c:pt>
                <c:pt idx="118">
                  <c:v>19.724289552535879</c:v>
                </c:pt>
                <c:pt idx="119">
                  <c:v>1.4610900467511101</c:v>
                </c:pt>
                <c:pt idx="120">
                  <c:v>-30.893053190947739</c:v>
                </c:pt>
                <c:pt idx="121">
                  <c:v>-11.747437349142388</c:v>
                </c:pt>
                <c:pt idx="122">
                  <c:v>21.684233634388931</c:v>
                </c:pt>
                <c:pt idx="123">
                  <c:v>5.1367754965150425</c:v>
                </c:pt>
                <c:pt idx="124">
                  <c:v>-20.550024242229824</c:v>
                </c:pt>
                <c:pt idx="125">
                  <c:v>-5.2375721319867807</c:v>
                </c:pt>
                <c:pt idx="126">
                  <c:v>30.15601948220683</c:v>
                </c:pt>
                <c:pt idx="127">
                  <c:v>1.7379509729170195</c:v>
                </c:pt>
                <c:pt idx="128">
                  <c:v>29.940772068102774</c:v>
                </c:pt>
                <c:pt idx="129">
                  <c:v>14.438969801254302</c:v>
                </c:pt>
                <c:pt idx="130">
                  <c:v>-20.895928161255824</c:v>
                </c:pt>
                <c:pt idx="131">
                  <c:v>18.593137568729503</c:v>
                </c:pt>
                <c:pt idx="132">
                  <c:v>-20.961554837695644</c:v>
                </c:pt>
                <c:pt idx="133">
                  <c:v>37.119215898263178</c:v>
                </c:pt>
                <c:pt idx="134">
                  <c:v>-5.6310694024085706</c:v>
                </c:pt>
                <c:pt idx="135">
                  <c:v>-15.915664727613603</c:v>
                </c:pt>
                <c:pt idx="136">
                  <c:v>11.402744868967034</c:v>
                </c:pt>
                <c:pt idx="137">
                  <c:v>-7.0504792082059566</c:v>
                </c:pt>
                <c:pt idx="138">
                  <c:v>-65.777084582911357</c:v>
                </c:pt>
                <c:pt idx="139">
                  <c:v>1.2845099157211735</c:v>
                </c:pt>
                <c:pt idx="140">
                  <c:v>34.648292828518152</c:v>
                </c:pt>
                <c:pt idx="141">
                  <c:v>3.6198613107261508</c:v>
                </c:pt>
                <c:pt idx="142">
                  <c:v>-23.789855472377212</c:v>
                </c:pt>
                <c:pt idx="143">
                  <c:v>-35.08752394057683</c:v>
                </c:pt>
                <c:pt idx="144">
                  <c:v>43.505511657475495</c:v>
                </c:pt>
                <c:pt idx="145">
                  <c:v>63.94795926986518</c:v>
                </c:pt>
                <c:pt idx="146">
                  <c:v>9.6232116591659178</c:v>
                </c:pt>
                <c:pt idx="147">
                  <c:v>-12.463620049340761</c:v>
                </c:pt>
                <c:pt idx="148">
                  <c:v>-3.1515450679494279</c:v>
                </c:pt>
                <c:pt idx="149">
                  <c:v>5.4913061926794171</c:v>
                </c:pt>
                <c:pt idx="150">
                  <c:v>75.626621309322331</c:v>
                </c:pt>
                <c:pt idx="151">
                  <c:v>0.26973858584005939</c:v>
                </c:pt>
                <c:pt idx="152">
                  <c:v>-5.2499987808167816</c:v>
                </c:pt>
                <c:pt idx="153">
                  <c:v>-1.7868276581131113</c:v>
                </c:pt>
                <c:pt idx="154">
                  <c:v>-0.22338723081531953</c:v>
                </c:pt>
                <c:pt idx="155">
                  <c:v>4.5401897159961209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F-46B5-9A98-1F2C4352A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4710224"/>
        <c:axId val="744711536"/>
      </c:barChart>
      <c:catAx>
        <c:axId val="74471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4711536"/>
        <c:crosses val="autoZero"/>
        <c:auto val="1"/>
        <c:lblAlgn val="ctr"/>
        <c:lblOffset val="100"/>
        <c:noMultiLvlLbl val="0"/>
      </c:catAx>
      <c:valAx>
        <c:axId val="7447115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471022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AutocorrelogramHouseholds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AR(1)'!$B$237:$B$259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AR(1)'!$C$237:$C$259</c:f>
              <c:numCache>
                <c:formatCode>0.000</c:formatCode>
                <c:ptCount val="23"/>
                <c:pt idx="0">
                  <c:v>1</c:v>
                </c:pt>
                <c:pt idx="1">
                  <c:v>0.844025822436129</c:v>
                </c:pt>
                <c:pt idx="2">
                  <c:v>0.61128531725508339</c:v>
                </c:pt>
                <c:pt idx="3">
                  <c:v>0.39822857269078249</c:v>
                </c:pt>
                <c:pt idx="4">
                  <c:v>0.25669999619287914</c:v>
                </c:pt>
                <c:pt idx="5">
                  <c:v>0.20285903458719909</c:v>
                </c:pt>
                <c:pt idx="6">
                  <c:v>0.17577368965751591</c:v>
                </c:pt>
                <c:pt idx="7">
                  <c:v>0.19002708210837738</c:v>
                </c:pt>
                <c:pt idx="8">
                  <c:v>0.23179194248726187</c:v>
                </c:pt>
                <c:pt idx="9">
                  <c:v>0.34551448920014566</c:v>
                </c:pt>
                <c:pt idx="10">
                  <c:v>0.51911053194272694</c:v>
                </c:pt>
                <c:pt idx="11">
                  <c:v>0.67628708577754493</c:v>
                </c:pt>
                <c:pt idx="12">
                  <c:v>0.76427583760208873</c:v>
                </c:pt>
                <c:pt idx="13">
                  <c:v>0.67440309849227054</c:v>
                </c:pt>
                <c:pt idx="14">
                  <c:v>0.49929819595188601</c:v>
                </c:pt>
                <c:pt idx="15">
                  <c:v>0.29664746638104122</c:v>
                </c:pt>
                <c:pt idx="16">
                  <c:v>0.15678571615483741</c:v>
                </c:pt>
                <c:pt idx="17">
                  <c:v>0.1069940596807844</c:v>
                </c:pt>
                <c:pt idx="18">
                  <c:v>6.5601480509497184E-2</c:v>
                </c:pt>
                <c:pt idx="19">
                  <c:v>5.3125093542414174E-2</c:v>
                </c:pt>
                <c:pt idx="20">
                  <c:v>7.7756551612399555E-2</c:v>
                </c:pt>
                <c:pt idx="21">
                  <c:v>0.19976230902882333</c:v>
                </c:pt>
                <c:pt idx="22">
                  <c:v>0.37960930536712717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A4-4D2C-BA4E-1EE47A934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4720064"/>
        <c:axId val="74472039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AR(1)'!$B$237:$B$259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AR(1)'!$E$237:$E$259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-0.2443543629481256</c:v>
                </c:pt>
                <c:pt idx="3">
                  <c:v>-0.27948540582097225</c:v>
                </c:pt>
                <c:pt idx="4">
                  <c:v>-0.29312517573783708</c:v>
                </c:pt>
                <c:pt idx="5">
                  <c:v>-0.29860953953120745</c:v>
                </c:pt>
                <c:pt idx="6">
                  <c:v>-0.3019840408500416</c:v>
                </c:pt>
                <c:pt idx="7">
                  <c:v>-0.30449300783925082</c:v>
                </c:pt>
                <c:pt idx="8">
                  <c:v>-0.30739942198500192</c:v>
                </c:pt>
                <c:pt idx="9">
                  <c:v>-0.31167363679572518</c:v>
                </c:pt>
                <c:pt idx="10">
                  <c:v>-0.32096708672939667</c:v>
                </c:pt>
                <c:pt idx="11">
                  <c:v>-0.34101526198543225</c:v>
                </c:pt>
                <c:pt idx="12">
                  <c:v>-0.37258066965274828</c:v>
                </c:pt>
                <c:pt idx="13">
                  <c:v>-0.40937004855037396</c:v>
                </c:pt>
                <c:pt idx="14">
                  <c:v>-0.43587091993059957</c:v>
                </c:pt>
                <c:pt idx="15">
                  <c:v>-0.44973468582501219</c:v>
                </c:pt>
                <c:pt idx="16">
                  <c:v>-0.45452747700397433</c:v>
                </c:pt>
                <c:pt idx="17">
                  <c:v>-0.45585728698006422</c:v>
                </c:pt>
                <c:pt idx="18">
                  <c:v>-0.45647525748155982</c:v>
                </c:pt>
                <c:pt idx="19">
                  <c:v>-0.4567073553900865</c:v>
                </c:pt>
                <c:pt idx="20">
                  <c:v>-0.45685950143226389</c:v>
                </c:pt>
                <c:pt idx="21">
                  <c:v>-0.45718526918735392</c:v>
                </c:pt>
                <c:pt idx="22">
                  <c:v>-0.45932958707754751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4-4D2C-BA4E-1EE47A934081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AR(1)'!$B$237:$B$259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AR(1)'!$F$237:$F$259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0.2443543629481256</c:v>
                </c:pt>
                <c:pt idx="3">
                  <c:v>0.27948540582097225</c:v>
                </c:pt>
                <c:pt idx="4">
                  <c:v>0.29312517573783708</c:v>
                </c:pt>
                <c:pt idx="5">
                  <c:v>0.29860953953120745</c:v>
                </c:pt>
                <c:pt idx="6">
                  <c:v>0.3019840408500416</c:v>
                </c:pt>
                <c:pt idx="7">
                  <c:v>0.30449300783925082</c:v>
                </c:pt>
                <c:pt idx="8">
                  <c:v>0.30739942198500192</c:v>
                </c:pt>
                <c:pt idx="9">
                  <c:v>0.31167363679572518</c:v>
                </c:pt>
                <c:pt idx="10">
                  <c:v>0.32096708672939667</c:v>
                </c:pt>
                <c:pt idx="11">
                  <c:v>0.34101526198543225</c:v>
                </c:pt>
                <c:pt idx="12">
                  <c:v>0.37258066965274828</c:v>
                </c:pt>
                <c:pt idx="13">
                  <c:v>0.40937004855037396</c:v>
                </c:pt>
                <c:pt idx="14">
                  <c:v>0.43587091993059957</c:v>
                </c:pt>
                <c:pt idx="15">
                  <c:v>0.44973468582501219</c:v>
                </c:pt>
                <c:pt idx="16">
                  <c:v>0.45452747700397433</c:v>
                </c:pt>
                <c:pt idx="17">
                  <c:v>0.45585728698006422</c:v>
                </c:pt>
                <c:pt idx="18">
                  <c:v>0.45647525748155982</c:v>
                </c:pt>
                <c:pt idx="19">
                  <c:v>0.4567073553900865</c:v>
                </c:pt>
                <c:pt idx="20">
                  <c:v>0.45685950143226389</c:v>
                </c:pt>
                <c:pt idx="21">
                  <c:v>0.45718526918735392</c:v>
                </c:pt>
                <c:pt idx="22">
                  <c:v>0.45932958707754751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A4-4D2C-BA4E-1EE47A934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20064"/>
        <c:axId val="744720392"/>
      </c:lineChart>
      <c:catAx>
        <c:axId val="744720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4720392"/>
        <c:crosses val="autoZero"/>
        <c:auto val="1"/>
        <c:lblAlgn val="ctr"/>
        <c:lblOffset val="100"/>
        <c:noMultiLvlLbl val="0"/>
      </c:catAx>
      <c:valAx>
        <c:axId val="74472039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472006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autocorrelogramHouseholds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AR(1)'!$B$237:$B$259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AR(1)'!$G$237:$G$259</c:f>
              <c:numCache>
                <c:formatCode>0.000</c:formatCode>
                <c:ptCount val="23"/>
                <c:pt idx="0">
                  <c:v>1</c:v>
                </c:pt>
                <c:pt idx="1">
                  <c:v>0.844025822436129</c:v>
                </c:pt>
                <c:pt idx="2">
                  <c:v>-0.35148503999062269</c:v>
                </c:pt>
                <c:pt idx="3">
                  <c:v>-9.5005577720003228E-3</c:v>
                </c:pt>
                <c:pt idx="4">
                  <c:v>7.9451456243552834E-2</c:v>
                </c:pt>
                <c:pt idx="5">
                  <c:v>0.11806500284411817</c:v>
                </c:pt>
                <c:pt idx="6">
                  <c:v>-6.7946509620923995E-2</c:v>
                </c:pt>
                <c:pt idx="7">
                  <c:v>0.15357485337038024</c:v>
                </c:pt>
                <c:pt idx="8">
                  <c:v>9.6327782239726059E-2</c:v>
                </c:pt>
                <c:pt idx="9">
                  <c:v>0.33974653462180476</c:v>
                </c:pt>
                <c:pt idx="10">
                  <c:v>0.30648576843746927</c:v>
                </c:pt>
                <c:pt idx="11">
                  <c:v>0.22114019109767977</c:v>
                </c:pt>
                <c:pt idx="12">
                  <c:v>0.17968495386398589</c:v>
                </c:pt>
                <c:pt idx="13">
                  <c:v>-0.27531213916256836</c:v>
                </c:pt>
                <c:pt idx="14">
                  <c:v>-2.0973801392201407E-2</c:v>
                </c:pt>
                <c:pt idx="15">
                  <c:v>-0.20265657719363753</c:v>
                </c:pt>
                <c:pt idx="16">
                  <c:v>4.2915319852546333E-2</c:v>
                </c:pt>
                <c:pt idx="17">
                  <c:v>-9.9522024065763944E-3</c:v>
                </c:pt>
                <c:pt idx="18">
                  <c:v>-0.18290294948194319</c:v>
                </c:pt>
                <c:pt idx="19">
                  <c:v>-9.778903266764942E-2</c:v>
                </c:pt>
                <c:pt idx="20">
                  <c:v>-3.9411187618873654E-2</c:v>
                </c:pt>
                <c:pt idx="21">
                  <c:v>0.18370276262220436</c:v>
                </c:pt>
                <c:pt idx="22">
                  <c:v>3.8086576705665794E-2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2-4533-84D8-649B97443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2151280"/>
        <c:axId val="79215488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AR(1)'!$B$237:$B$259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AR(1)'!$I$237:$I$259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2-4533-84D8-649B974436C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AR(1)'!$B$237:$B$259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AR(1)'!$J$237:$J$259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D2-4533-84D8-649B97443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151280"/>
        <c:axId val="792154888"/>
      </c:lineChart>
      <c:catAx>
        <c:axId val="79215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54888"/>
        <c:crosses val="autoZero"/>
        <c:auto val="1"/>
        <c:lblAlgn val="ctr"/>
        <c:lblOffset val="100"/>
        <c:noMultiLvlLbl val="0"/>
      </c:catAx>
      <c:valAx>
        <c:axId val="79215488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5128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AR(1)'!$B$284:$B$306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AR(1)'!$C$284:$C$306</c:f>
              <c:numCache>
                <c:formatCode>0.000</c:formatCode>
                <c:ptCount val="23"/>
                <c:pt idx="0">
                  <c:v>1</c:v>
                </c:pt>
                <c:pt idx="1">
                  <c:v>5.730169647054794E-2</c:v>
                </c:pt>
                <c:pt idx="2">
                  <c:v>-0.4550775869072558</c:v>
                </c:pt>
                <c:pt idx="3">
                  <c:v>-8.2705181094776245E-2</c:v>
                </c:pt>
                <c:pt idx="4">
                  <c:v>0.10416210240569926</c:v>
                </c:pt>
                <c:pt idx="5">
                  <c:v>6.6089172527701232E-2</c:v>
                </c:pt>
                <c:pt idx="6">
                  <c:v>2.5650125012050277E-2</c:v>
                </c:pt>
                <c:pt idx="7">
                  <c:v>-8.9810906206530455E-2</c:v>
                </c:pt>
                <c:pt idx="8">
                  <c:v>-2.4856036370106974E-2</c:v>
                </c:pt>
                <c:pt idx="9">
                  <c:v>7.1869255243142402E-2</c:v>
                </c:pt>
                <c:pt idx="10">
                  <c:v>-2.3187366455998656E-2</c:v>
                </c:pt>
                <c:pt idx="11">
                  <c:v>-1.4315224363015655E-2</c:v>
                </c:pt>
                <c:pt idx="12">
                  <c:v>-0.10851991429146951</c:v>
                </c:pt>
                <c:pt idx="13">
                  <c:v>-3.562776845204315E-2</c:v>
                </c:pt>
                <c:pt idx="14">
                  <c:v>4.5578093822745649E-2</c:v>
                </c:pt>
                <c:pt idx="15">
                  <c:v>-5.2975975831112722E-2</c:v>
                </c:pt>
                <c:pt idx="16">
                  <c:v>-7.9902274788974E-3</c:v>
                </c:pt>
                <c:pt idx="17">
                  <c:v>0.17365928090442675</c:v>
                </c:pt>
                <c:pt idx="18">
                  <c:v>0.10459851215585964</c:v>
                </c:pt>
                <c:pt idx="19">
                  <c:v>-9.3544972922676869E-2</c:v>
                </c:pt>
                <c:pt idx="20">
                  <c:v>-0.20754486645998105</c:v>
                </c:pt>
                <c:pt idx="21">
                  <c:v>4.221224410007747E-2</c:v>
                </c:pt>
                <c:pt idx="22">
                  <c:v>0.25767864990285405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F-4DD5-89B8-A1CA2E98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2147016"/>
        <c:axId val="79214734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AR(1)'!$B$284:$B$306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AR(1)'!$E$284:$E$306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-0.15743711730152676</c:v>
                </c:pt>
                <c:pt idx="3">
                  <c:v>-0.18704490200987395</c:v>
                </c:pt>
                <c:pt idx="4">
                  <c:v>-0.18794326004264808</c:v>
                </c:pt>
                <c:pt idx="5">
                  <c:v>-0.18935948124834512</c:v>
                </c:pt>
                <c:pt idx="6">
                  <c:v>-0.18992662776699801</c:v>
                </c:pt>
                <c:pt idx="7">
                  <c:v>-0.19001191169652704</c:v>
                </c:pt>
                <c:pt idx="8">
                  <c:v>-0.1910543712473847</c:v>
                </c:pt>
                <c:pt idx="9">
                  <c:v>-0.19113398496043019</c:v>
                </c:pt>
                <c:pt idx="10">
                  <c:v>-0.19179828747936684</c:v>
                </c:pt>
                <c:pt idx="11">
                  <c:v>-0.19186730376448921</c:v>
                </c:pt>
                <c:pt idx="12">
                  <c:v>-0.19189360263921809</c:v>
                </c:pt>
                <c:pt idx="13">
                  <c:v>-0.1933989262575673</c:v>
                </c:pt>
                <c:pt idx="14">
                  <c:v>-0.19356047865790141</c:v>
                </c:pt>
                <c:pt idx="15">
                  <c:v>-0.19382458025596708</c:v>
                </c:pt>
                <c:pt idx="16">
                  <c:v>-0.19418080309344302</c:v>
                </c:pt>
                <c:pt idx="17">
                  <c:v>-0.19418889916847895</c:v>
                </c:pt>
                <c:pt idx="18">
                  <c:v>-0.19797618991112378</c:v>
                </c:pt>
                <c:pt idx="19">
                  <c:v>-0.19933239274216746</c:v>
                </c:pt>
                <c:pt idx="20">
                  <c:v>-0.20041049942051614</c:v>
                </c:pt>
                <c:pt idx="21">
                  <c:v>-0.20563507230781408</c:v>
                </c:pt>
                <c:pt idx="22">
                  <c:v>-0.20584834051979187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F-4DD5-89B8-A1CA2E985CC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AR(1)'!$B$284:$B$306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AR(1)'!$F$284:$F$306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0.15743711730152676</c:v>
                </c:pt>
                <c:pt idx="3">
                  <c:v>0.18704490200987395</c:v>
                </c:pt>
                <c:pt idx="4">
                  <c:v>0.18794326004264808</c:v>
                </c:pt>
                <c:pt idx="5">
                  <c:v>0.18935948124834512</c:v>
                </c:pt>
                <c:pt idx="6">
                  <c:v>0.18992662776699801</c:v>
                </c:pt>
                <c:pt idx="7">
                  <c:v>0.19001191169652704</c:v>
                </c:pt>
                <c:pt idx="8">
                  <c:v>0.1910543712473847</c:v>
                </c:pt>
                <c:pt idx="9">
                  <c:v>0.19113398496043019</c:v>
                </c:pt>
                <c:pt idx="10">
                  <c:v>0.19179828747936684</c:v>
                </c:pt>
                <c:pt idx="11">
                  <c:v>0.19186730376448921</c:v>
                </c:pt>
                <c:pt idx="12">
                  <c:v>0.19189360263921809</c:v>
                </c:pt>
                <c:pt idx="13">
                  <c:v>0.1933989262575673</c:v>
                </c:pt>
                <c:pt idx="14">
                  <c:v>0.19356047865790141</c:v>
                </c:pt>
                <c:pt idx="15">
                  <c:v>0.19382458025596708</c:v>
                </c:pt>
                <c:pt idx="16">
                  <c:v>0.19418080309344302</c:v>
                </c:pt>
                <c:pt idx="17">
                  <c:v>0.19418889916847895</c:v>
                </c:pt>
                <c:pt idx="18">
                  <c:v>0.19797618991112378</c:v>
                </c:pt>
                <c:pt idx="19">
                  <c:v>0.19933239274216746</c:v>
                </c:pt>
                <c:pt idx="20">
                  <c:v>0.20041049942051614</c:v>
                </c:pt>
                <c:pt idx="21">
                  <c:v>0.20563507230781408</c:v>
                </c:pt>
                <c:pt idx="22">
                  <c:v>0.20584834051979187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6F-4DD5-89B8-A1CA2E98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147016"/>
        <c:axId val="792147344"/>
      </c:lineChart>
      <c:catAx>
        <c:axId val="792147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47344"/>
        <c:crosses val="autoZero"/>
        <c:auto val="1"/>
        <c:lblAlgn val="ctr"/>
        <c:lblOffset val="100"/>
        <c:noMultiLvlLbl val="0"/>
      </c:catAx>
      <c:valAx>
        <c:axId val="79214734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4701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AR(1)'!$B$284:$B$306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AR(1)'!$G$284:$G$306</c:f>
              <c:numCache>
                <c:formatCode>0.000</c:formatCode>
                <c:ptCount val="23"/>
                <c:pt idx="0">
                  <c:v>1</c:v>
                </c:pt>
                <c:pt idx="1">
                  <c:v>5.730169647054794E-2</c:v>
                </c:pt>
                <c:pt idx="2">
                  <c:v>-0.45987105075528811</c:v>
                </c:pt>
                <c:pt idx="3">
                  <c:v>-2.3265628437904744E-2</c:v>
                </c:pt>
                <c:pt idx="4">
                  <c:v>-0.12331238976497493</c:v>
                </c:pt>
                <c:pt idx="5">
                  <c:v>2.1741457755981866E-2</c:v>
                </c:pt>
                <c:pt idx="6">
                  <c:v>2.0794022542531928E-2</c:v>
                </c:pt>
                <c:pt idx="7">
                  <c:v>-7.6306009635855779E-2</c:v>
                </c:pt>
                <c:pt idx="8">
                  <c:v>2.9077179825014E-2</c:v>
                </c:pt>
                <c:pt idx="9">
                  <c:v>4.528265214158677E-3</c:v>
                </c:pt>
                <c:pt idx="10">
                  <c:v>-4.7015914241066208E-2</c:v>
                </c:pt>
                <c:pt idx="11">
                  <c:v>3.4900344585964214E-2</c:v>
                </c:pt>
                <c:pt idx="12">
                  <c:v>-0.18522781216628578</c:v>
                </c:pt>
                <c:pt idx="13">
                  <c:v>-2.4880359623421998E-3</c:v>
                </c:pt>
                <c:pt idx="14">
                  <c:v>-0.10811557370296869</c:v>
                </c:pt>
                <c:pt idx="15">
                  <c:v>-0.124422708934953</c:v>
                </c:pt>
                <c:pt idx="16">
                  <c:v>-7.5162374593321232E-4</c:v>
                </c:pt>
                <c:pt idx="17">
                  <c:v>0.11263824077368512</c:v>
                </c:pt>
                <c:pt idx="18">
                  <c:v>0.13249770369323252</c:v>
                </c:pt>
                <c:pt idx="19">
                  <c:v>4.1815064222361205E-2</c:v>
                </c:pt>
                <c:pt idx="20">
                  <c:v>-0.14553485874084507</c:v>
                </c:pt>
                <c:pt idx="21">
                  <c:v>8.5671402434644481E-2</c:v>
                </c:pt>
                <c:pt idx="22">
                  <c:v>8.1554994222900648E-2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C-47BE-9544-738DCEF8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2132256"/>
        <c:axId val="79213619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AR(1)'!$B$284:$B$306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AR(1)'!$I$284:$I$306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C-47BE-9544-738DCEF87E0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AR(1)'!$B$284:$B$306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AR(1)'!$J$284:$J$306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8C-47BE-9544-738DCEF8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132256"/>
        <c:axId val="792136192"/>
      </c:lineChart>
      <c:catAx>
        <c:axId val="79213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36192"/>
        <c:crosses val="autoZero"/>
        <c:auto val="1"/>
        <c:lblAlgn val="ctr"/>
        <c:lblOffset val="100"/>
        <c:noMultiLvlLbl val="0"/>
      </c:catAx>
      <c:valAx>
        <c:axId val="79213619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3225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ARIMA (Households)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Households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AR(2)'!$B$59:$B$214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'Seasonal AR(2)'!$C$59:$C$214</c:f>
              <c:numCache>
                <c:formatCode>0.000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69-451E-A3AF-4EF222C8DFE9}"/>
            </c:ext>
          </c:extLst>
        </c:ser>
        <c:ser>
          <c:idx val="1"/>
          <c:order val="1"/>
          <c:tx>
            <c:v>ARIMA (Households)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44"/>
            <c:bubble3D val="0"/>
            <c:spPr>
              <a:ln w="12700">
                <a:solidFill>
                  <a:srgbClr val="006699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869-451E-A3AF-4EF222C8DFE9}"/>
              </c:ext>
            </c:extLst>
          </c:dPt>
          <c:xVal>
            <c:numRef>
              <c:f>'Seasonal AR(2)'!$B$59:$B$214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'Seasonal AR(2)'!$D$59:$D$214</c:f>
              <c:numCache>
                <c:formatCode>0.000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453.97638533377949</c:v>
                </c:pt>
                <c:pt idx="14">
                  <c:v>486.1861626437414</c:v>
                </c:pt>
                <c:pt idx="15">
                  <c:v>520.6796533980845</c:v>
                </c:pt>
                <c:pt idx="16">
                  <c:v>524.03924127987875</c:v>
                </c:pt>
                <c:pt idx="17">
                  <c:v>549.42388737221938</c:v>
                </c:pt>
                <c:pt idx="18">
                  <c:v>507.48409780839421</c:v>
                </c:pt>
                <c:pt idx="19">
                  <c:v>519.59690959432908</c:v>
                </c:pt>
                <c:pt idx="20">
                  <c:v>533.63493878788586</c:v>
                </c:pt>
                <c:pt idx="21">
                  <c:v>526.10701384412698</c:v>
                </c:pt>
                <c:pt idx="22">
                  <c:v>524.60639968802832</c:v>
                </c:pt>
                <c:pt idx="23">
                  <c:v>501.69438303791736</c:v>
                </c:pt>
                <c:pt idx="24">
                  <c:v>471.89763602864946</c:v>
                </c:pt>
                <c:pt idx="25">
                  <c:v>459.97349401760204</c:v>
                </c:pt>
                <c:pt idx="26">
                  <c:v>474.90729686790621</c:v>
                </c:pt>
                <c:pt idx="27">
                  <c:v>508.7146788348773</c:v>
                </c:pt>
                <c:pt idx="28">
                  <c:v>530.45233608914918</c:v>
                </c:pt>
                <c:pt idx="29">
                  <c:v>559.27257711150207</c:v>
                </c:pt>
                <c:pt idx="30">
                  <c:v>522.087842836959</c:v>
                </c:pt>
                <c:pt idx="31">
                  <c:v>573.61174854128785</c:v>
                </c:pt>
                <c:pt idx="32">
                  <c:v>529.14417920917447</c:v>
                </c:pt>
                <c:pt idx="33">
                  <c:v>516.65806573162786</c:v>
                </c:pt>
                <c:pt idx="34">
                  <c:v>536.80516773853788</c:v>
                </c:pt>
                <c:pt idx="35">
                  <c:v>504.82119252608652</c:v>
                </c:pt>
                <c:pt idx="36">
                  <c:v>454.82295712154416</c:v>
                </c:pt>
                <c:pt idx="37">
                  <c:v>459.09571561764443</c:v>
                </c:pt>
                <c:pt idx="38">
                  <c:v>497.31882319431202</c:v>
                </c:pt>
                <c:pt idx="39">
                  <c:v>484.47841275772026</c:v>
                </c:pt>
                <c:pt idx="40">
                  <c:v>527.71613733948072</c:v>
                </c:pt>
                <c:pt idx="41">
                  <c:v>565.42134237941275</c:v>
                </c:pt>
                <c:pt idx="42">
                  <c:v>537.50409378117649</c:v>
                </c:pt>
                <c:pt idx="43">
                  <c:v>529.30633939719087</c:v>
                </c:pt>
                <c:pt idx="44">
                  <c:v>511.69645799426644</c:v>
                </c:pt>
                <c:pt idx="45">
                  <c:v>528.18639105547652</c:v>
                </c:pt>
                <c:pt idx="46">
                  <c:v>522.55514129393839</c:v>
                </c:pt>
                <c:pt idx="47">
                  <c:v>486.80588282009177</c:v>
                </c:pt>
                <c:pt idx="48">
                  <c:v>463.50022530916834</c:v>
                </c:pt>
                <c:pt idx="49">
                  <c:v>463.75539151487078</c:v>
                </c:pt>
                <c:pt idx="50">
                  <c:v>458.62550396392652</c:v>
                </c:pt>
                <c:pt idx="51">
                  <c:v>511.06848658651199</c:v>
                </c:pt>
                <c:pt idx="52">
                  <c:v>542.5845564628288</c:v>
                </c:pt>
                <c:pt idx="53">
                  <c:v>574.28037842867559</c:v>
                </c:pt>
                <c:pt idx="54">
                  <c:v>591.93464917364884</c:v>
                </c:pt>
                <c:pt idx="55">
                  <c:v>574.46064374904017</c:v>
                </c:pt>
                <c:pt idx="56">
                  <c:v>553.61582155209453</c:v>
                </c:pt>
                <c:pt idx="57">
                  <c:v>563.49597763558734</c:v>
                </c:pt>
                <c:pt idx="58">
                  <c:v>578.92320674657969</c:v>
                </c:pt>
                <c:pt idx="59">
                  <c:v>507.4866685862778</c:v>
                </c:pt>
                <c:pt idx="60">
                  <c:v>506.15263237344953</c:v>
                </c:pt>
                <c:pt idx="61">
                  <c:v>479.42590116343888</c:v>
                </c:pt>
                <c:pt idx="62">
                  <c:v>498.87418005027797</c:v>
                </c:pt>
                <c:pt idx="63">
                  <c:v>587.77553616226555</c:v>
                </c:pt>
                <c:pt idx="64">
                  <c:v>602.16317744077094</c:v>
                </c:pt>
                <c:pt idx="65">
                  <c:v>605.53548874949774</c:v>
                </c:pt>
                <c:pt idx="66">
                  <c:v>610.58352698931174</c:v>
                </c:pt>
                <c:pt idx="67">
                  <c:v>558.87955208387734</c:v>
                </c:pt>
                <c:pt idx="68">
                  <c:v>531.04623399008142</c:v>
                </c:pt>
                <c:pt idx="69">
                  <c:v>553.26935032626261</c:v>
                </c:pt>
                <c:pt idx="70">
                  <c:v>571.06097650441041</c:v>
                </c:pt>
                <c:pt idx="71">
                  <c:v>521.13334920416423</c:v>
                </c:pt>
                <c:pt idx="72">
                  <c:v>518.02118552828188</c:v>
                </c:pt>
                <c:pt idx="73">
                  <c:v>490.72861269798022</c:v>
                </c:pt>
                <c:pt idx="74">
                  <c:v>474.21952155084421</c:v>
                </c:pt>
                <c:pt idx="75">
                  <c:v>528.39774744801741</c:v>
                </c:pt>
                <c:pt idx="76">
                  <c:v>560.77792246571698</c:v>
                </c:pt>
                <c:pt idx="77">
                  <c:v>600.22740710713504</c:v>
                </c:pt>
                <c:pt idx="78">
                  <c:v>572.24875754919185</c:v>
                </c:pt>
                <c:pt idx="79">
                  <c:v>566.69876320981064</c:v>
                </c:pt>
                <c:pt idx="80">
                  <c:v>580.07246297520896</c:v>
                </c:pt>
                <c:pt idx="81">
                  <c:v>574.68532202503752</c:v>
                </c:pt>
                <c:pt idx="82">
                  <c:v>568.48761662366201</c:v>
                </c:pt>
                <c:pt idx="83">
                  <c:v>508.013984377616</c:v>
                </c:pt>
                <c:pt idx="84">
                  <c:v>498.65300450965765</c:v>
                </c:pt>
                <c:pt idx="85">
                  <c:v>492.66077276214071</c:v>
                </c:pt>
                <c:pt idx="86">
                  <c:v>518.55053231665397</c:v>
                </c:pt>
                <c:pt idx="87">
                  <c:v>549.13367549119425</c:v>
                </c:pt>
                <c:pt idx="88">
                  <c:v>566.15709405864698</c:v>
                </c:pt>
                <c:pt idx="89">
                  <c:v>603.33164734080219</c:v>
                </c:pt>
                <c:pt idx="90">
                  <c:v>584.37166017473987</c:v>
                </c:pt>
                <c:pt idx="91">
                  <c:v>566.63479313500204</c:v>
                </c:pt>
                <c:pt idx="92">
                  <c:v>574.24013028051218</c:v>
                </c:pt>
                <c:pt idx="93">
                  <c:v>570.96406062259302</c:v>
                </c:pt>
                <c:pt idx="94">
                  <c:v>572.56824907179725</c:v>
                </c:pt>
                <c:pt idx="95">
                  <c:v>534.04237430163266</c:v>
                </c:pt>
                <c:pt idx="96">
                  <c:v>499.69838377070198</c:v>
                </c:pt>
                <c:pt idx="97">
                  <c:v>498.75844602318756</c:v>
                </c:pt>
                <c:pt idx="98">
                  <c:v>505.42491962871634</c:v>
                </c:pt>
                <c:pt idx="99">
                  <c:v>544.8910421050922</c:v>
                </c:pt>
                <c:pt idx="100">
                  <c:v>598.56918797662013</c:v>
                </c:pt>
                <c:pt idx="101">
                  <c:v>629.88067948057221</c:v>
                </c:pt>
                <c:pt idx="102">
                  <c:v>602.82363547851241</c:v>
                </c:pt>
                <c:pt idx="103">
                  <c:v>608.8075707889227</c:v>
                </c:pt>
                <c:pt idx="104">
                  <c:v>610.54076212984103</c:v>
                </c:pt>
                <c:pt idx="105">
                  <c:v>539.85871235612194</c:v>
                </c:pt>
                <c:pt idx="106">
                  <c:v>581.29477538415119</c:v>
                </c:pt>
                <c:pt idx="107">
                  <c:v>529.70505469038983</c:v>
                </c:pt>
                <c:pt idx="108">
                  <c:v>507.90423721897321</c:v>
                </c:pt>
                <c:pt idx="109">
                  <c:v>497.3539584762803</c:v>
                </c:pt>
                <c:pt idx="110">
                  <c:v>495.45368305696098</c:v>
                </c:pt>
                <c:pt idx="111">
                  <c:v>540.24084344002324</c:v>
                </c:pt>
                <c:pt idx="112">
                  <c:v>598.65046957447828</c:v>
                </c:pt>
                <c:pt idx="113">
                  <c:v>636.29375677734402</c:v>
                </c:pt>
                <c:pt idx="114">
                  <c:v>615.71957873406586</c:v>
                </c:pt>
                <c:pt idx="115">
                  <c:v>632.98339926088772</c:v>
                </c:pt>
                <c:pt idx="116">
                  <c:v>613.63942309890479</c:v>
                </c:pt>
                <c:pt idx="117">
                  <c:v>571.53189577499313</c:v>
                </c:pt>
                <c:pt idx="118">
                  <c:v>595.86338900595467</c:v>
                </c:pt>
                <c:pt idx="119">
                  <c:v>571.13525402635719</c:v>
                </c:pt>
                <c:pt idx="120">
                  <c:v>546.54772903752439</c:v>
                </c:pt>
                <c:pt idx="121">
                  <c:v>511.44888480642504</c:v>
                </c:pt>
                <c:pt idx="122">
                  <c:v>512.30201525743246</c:v>
                </c:pt>
                <c:pt idx="123">
                  <c:v>587.20681456848286</c:v>
                </c:pt>
                <c:pt idx="124">
                  <c:v>615.80275765258671</c:v>
                </c:pt>
                <c:pt idx="125">
                  <c:v>634.87592127731807</c:v>
                </c:pt>
                <c:pt idx="126">
                  <c:v>624.07670686511233</c:v>
                </c:pt>
                <c:pt idx="127">
                  <c:v>657.4941839855403</c:v>
                </c:pt>
                <c:pt idx="128">
                  <c:v>600.23450143099092</c:v>
                </c:pt>
                <c:pt idx="129">
                  <c:v>624.11799444846326</c:v>
                </c:pt>
                <c:pt idx="130">
                  <c:v>650.6520944251065</c:v>
                </c:pt>
                <c:pt idx="131">
                  <c:v>595.1894061257849</c:v>
                </c:pt>
                <c:pt idx="132">
                  <c:v>607.78517989415957</c:v>
                </c:pt>
                <c:pt idx="133">
                  <c:v>538.31636446570928</c:v>
                </c:pt>
                <c:pt idx="134">
                  <c:v>601.38264122564055</c:v>
                </c:pt>
                <c:pt idx="135">
                  <c:v>646.30496720917301</c:v>
                </c:pt>
                <c:pt idx="136">
                  <c:v>681.65202194294454</c:v>
                </c:pt>
                <c:pt idx="137">
                  <c:v>724.21819624962313</c:v>
                </c:pt>
                <c:pt idx="138">
                  <c:v>697.43127812066143</c:v>
                </c:pt>
                <c:pt idx="139">
                  <c:v>650.65883139792061</c:v>
                </c:pt>
                <c:pt idx="140">
                  <c:v>635.56453892300874</c:v>
                </c:pt>
                <c:pt idx="141">
                  <c:v>645.95433468793885</c:v>
                </c:pt>
                <c:pt idx="142">
                  <c:v>649.18717177945291</c:v>
                </c:pt>
                <c:pt idx="143">
                  <c:v>602.53154252728018</c:v>
                </c:pt>
                <c:pt idx="144">
                  <c:v>546.67664693778204</c:v>
                </c:pt>
                <c:pt idx="145">
                  <c:v>544.94489251631433</c:v>
                </c:pt>
                <c:pt idx="146">
                  <c:v>551.16217126838569</c:v>
                </c:pt>
                <c:pt idx="147">
                  <c:v>618.07425228537625</c:v>
                </c:pt>
                <c:pt idx="148">
                  <c:v>648.70463917747372</c:v>
                </c:pt>
                <c:pt idx="149">
                  <c:v>677.26691719784901</c:v>
                </c:pt>
                <c:pt idx="150">
                  <c:v>667.22445668120736</c:v>
                </c:pt>
                <c:pt idx="151">
                  <c:v>672.62328978056632</c:v>
                </c:pt>
                <c:pt idx="152">
                  <c:v>650.38725776694343</c:v>
                </c:pt>
                <c:pt idx="153">
                  <c:v>653.33176680261806</c:v>
                </c:pt>
                <c:pt idx="154">
                  <c:v>661.72731358016813</c:v>
                </c:pt>
                <c:pt idx="155">
                  <c:v>623.55326073589549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69-451E-A3AF-4EF222C8DFE9}"/>
            </c:ext>
          </c:extLst>
        </c:ser>
        <c:ser>
          <c:idx val="2"/>
          <c:order val="2"/>
          <c:tx>
            <c:v>Validation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AR(2)'!$B$203:$B$214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'Seasonal AR(2)'!$D$203:$D$214</c:f>
              <c:numCache>
                <c:formatCode>0.000</c:formatCode>
                <c:ptCount val="12"/>
                <c:pt idx="0">
                  <c:v>546.67664693778204</c:v>
                </c:pt>
                <c:pt idx="1">
                  <c:v>544.94489251631433</c:v>
                </c:pt>
                <c:pt idx="2">
                  <c:v>551.16217126838569</c:v>
                </c:pt>
                <c:pt idx="3">
                  <c:v>618.07425228537625</c:v>
                </c:pt>
                <c:pt idx="4">
                  <c:v>648.70463917747372</c:v>
                </c:pt>
                <c:pt idx="5">
                  <c:v>677.26691719784901</c:v>
                </c:pt>
                <c:pt idx="6">
                  <c:v>667.22445668120736</c:v>
                </c:pt>
                <c:pt idx="7">
                  <c:v>672.62328978056632</c:v>
                </c:pt>
                <c:pt idx="8">
                  <c:v>650.38725776694343</c:v>
                </c:pt>
                <c:pt idx="9">
                  <c:v>653.33176680261806</c:v>
                </c:pt>
                <c:pt idx="10">
                  <c:v>661.72731358016813</c:v>
                </c:pt>
                <c:pt idx="11">
                  <c:v>623.55326073589549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69-451E-A3AF-4EF222C8DFE9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AR(2)'!$B$203:$B$214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'Seasonal AR(2)'!$H$203:$H$214</c:f>
              <c:numCache>
                <c:formatCode>0.000</c:formatCode>
                <c:ptCount val="12"/>
                <c:pt idx="0">
                  <c:v>512.31958254444737</c:v>
                </c:pt>
                <c:pt idx="1">
                  <c:v>494.9544507483497</c:v>
                </c:pt>
                <c:pt idx="2">
                  <c:v>497.85963946771989</c:v>
                </c:pt>
                <c:pt idx="3">
                  <c:v>562.28771614809466</c:v>
                </c:pt>
                <c:pt idx="4">
                  <c:v>587.30693736782359</c:v>
                </c:pt>
                <c:pt idx="5">
                  <c:v>610.102988529973</c:v>
                </c:pt>
                <c:pt idx="6">
                  <c:v>596.38354407017766</c:v>
                </c:pt>
                <c:pt idx="7">
                  <c:v>598.61136016867772</c:v>
                </c:pt>
                <c:pt idx="8">
                  <c:v>572.63585773388422</c:v>
                </c:pt>
                <c:pt idx="9">
                  <c:v>571.80269531223632</c:v>
                </c:pt>
                <c:pt idx="10">
                  <c:v>576.92794440071452</c:v>
                </c:pt>
                <c:pt idx="11">
                  <c:v>535.7201855124365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69-451E-A3AF-4EF222C8DFE9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'Seasonal AR(2)'!$B$203:$B$214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'Seasonal AR(2)'!$I$203:$I$214</c:f>
              <c:numCache>
                <c:formatCode>0.000</c:formatCode>
                <c:ptCount val="12"/>
                <c:pt idx="0">
                  <c:v>581.03371133111671</c:v>
                </c:pt>
                <c:pt idx="1">
                  <c:v>594.93533428427895</c:v>
                </c:pt>
                <c:pt idx="2">
                  <c:v>604.46470306905155</c:v>
                </c:pt>
                <c:pt idx="3">
                  <c:v>673.86078842265783</c:v>
                </c:pt>
                <c:pt idx="4">
                  <c:v>710.10234098712385</c:v>
                </c:pt>
                <c:pt idx="5">
                  <c:v>744.43084586572502</c:v>
                </c:pt>
                <c:pt idx="6">
                  <c:v>738.06536929223705</c:v>
                </c:pt>
                <c:pt idx="7">
                  <c:v>746.63521939245493</c:v>
                </c:pt>
                <c:pt idx="8">
                  <c:v>728.13865780000265</c:v>
                </c:pt>
                <c:pt idx="9">
                  <c:v>734.8608382929998</c:v>
                </c:pt>
                <c:pt idx="10">
                  <c:v>746.52668275962174</c:v>
                </c:pt>
                <c:pt idx="11">
                  <c:v>711.38633595935448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69-451E-A3AF-4EF222C8D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25696"/>
        <c:axId val="792115856"/>
      </c:scatterChart>
      <c:valAx>
        <c:axId val="79212569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15856"/>
        <c:crosses val="autoZero"/>
        <c:crossBetween val="midCat"/>
      </c:valAx>
      <c:valAx>
        <c:axId val="792115856"/>
        <c:scaling>
          <c:orientation val="minMax"/>
          <c:max val="750"/>
          <c:min val="4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Households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9212569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'Seasonal AR(2)'!$B$59:$B$214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'Seasonal AR(2)'!$E$59:$E$214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-1.6763853337794785</c:v>
                </c:pt>
                <c:pt idx="14">
                  <c:v>-16.186162643741397</c:v>
                </c:pt>
                <c:pt idx="15">
                  <c:v>-9.3796533980844856</c:v>
                </c:pt>
                <c:pt idx="16">
                  <c:v>-2.0392412798787518</c:v>
                </c:pt>
                <c:pt idx="17">
                  <c:v>-16.223887372219338</c:v>
                </c:pt>
                <c:pt idx="18">
                  <c:v>5.715902191605835</c:v>
                </c:pt>
                <c:pt idx="19">
                  <c:v>24.603090405670969</c:v>
                </c:pt>
                <c:pt idx="20">
                  <c:v>7.7650612121141194</c:v>
                </c:pt>
                <c:pt idx="21">
                  <c:v>-0.40701384412693642</c:v>
                </c:pt>
                <c:pt idx="22">
                  <c:v>10.593600311971727</c:v>
                </c:pt>
                <c:pt idx="23">
                  <c:v>-6.6943830379173619</c:v>
                </c:pt>
                <c:pt idx="24">
                  <c:v>1.7023639713505645</c:v>
                </c:pt>
                <c:pt idx="25">
                  <c:v>-15.573494017602059</c:v>
                </c:pt>
                <c:pt idx="26">
                  <c:v>-23.1072968679062</c:v>
                </c:pt>
                <c:pt idx="27">
                  <c:v>2.2853211651226957</c:v>
                </c:pt>
                <c:pt idx="28">
                  <c:v>12.34766391085077</c:v>
                </c:pt>
                <c:pt idx="29">
                  <c:v>-3.2725771115020734</c:v>
                </c:pt>
                <c:pt idx="30">
                  <c:v>41.012157163041024</c:v>
                </c:pt>
                <c:pt idx="31">
                  <c:v>-18.611748541287852</c:v>
                </c:pt>
                <c:pt idx="32">
                  <c:v>-15.544179209174445</c:v>
                </c:pt>
                <c:pt idx="33">
                  <c:v>-1.9580657316278121</c:v>
                </c:pt>
                <c:pt idx="34">
                  <c:v>11.094832261462102</c:v>
                </c:pt>
                <c:pt idx="35">
                  <c:v>-14.921192526086543</c:v>
                </c:pt>
                <c:pt idx="36">
                  <c:v>12.277042878455859</c:v>
                </c:pt>
                <c:pt idx="37">
                  <c:v>13.604284382355559</c:v>
                </c:pt>
                <c:pt idx="38">
                  <c:v>-47.818823194312017</c:v>
                </c:pt>
                <c:pt idx="39">
                  <c:v>7.0215872422797361</c:v>
                </c:pt>
                <c:pt idx="40">
                  <c:v>16.283862660519276</c:v>
                </c:pt>
                <c:pt idx="41">
                  <c:v>7.0786576205872507</c:v>
                </c:pt>
                <c:pt idx="42">
                  <c:v>-11.704093781176539</c:v>
                </c:pt>
                <c:pt idx="43">
                  <c:v>-19.206339397190845</c:v>
                </c:pt>
                <c:pt idx="44">
                  <c:v>7.4035420057335841</c:v>
                </c:pt>
                <c:pt idx="45">
                  <c:v>-6.0863910554764971</c:v>
                </c:pt>
                <c:pt idx="46">
                  <c:v>13.044858706061632</c:v>
                </c:pt>
                <c:pt idx="47">
                  <c:v>-2.8058828200917674</c:v>
                </c:pt>
                <c:pt idx="48">
                  <c:v>12.899774690831634</c:v>
                </c:pt>
                <c:pt idx="49">
                  <c:v>-3.2553915148707802</c:v>
                </c:pt>
                <c:pt idx="50">
                  <c:v>2.5744960360734694</c:v>
                </c:pt>
                <c:pt idx="51">
                  <c:v>-0.56848658651199457</c:v>
                </c:pt>
                <c:pt idx="52">
                  <c:v>14.015443537171222</c:v>
                </c:pt>
                <c:pt idx="53">
                  <c:v>35.21962157132441</c:v>
                </c:pt>
                <c:pt idx="54">
                  <c:v>0.76535082635120943</c:v>
                </c:pt>
                <c:pt idx="55">
                  <c:v>-2.3606437490401504</c:v>
                </c:pt>
                <c:pt idx="56">
                  <c:v>1.2841784479054468</c:v>
                </c:pt>
                <c:pt idx="57">
                  <c:v>-6.0959776355873601</c:v>
                </c:pt>
                <c:pt idx="58">
                  <c:v>-16.023206746579717</c:v>
                </c:pt>
                <c:pt idx="59">
                  <c:v>8.5133314137221987</c:v>
                </c:pt>
                <c:pt idx="60">
                  <c:v>-15.552632373449512</c:v>
                </c:pt>
                <c:pt idx="61">
                  <c:v>24.474098836561097</c:v>
                </c:pt>
                <c:pt idx="62">
                  <c:v>48.725819949722052</c:v>
                </c:pt>
                <c:pt idx="63">
                  <c:v>-2.7755361622655528</c:v>
                </c:pt>
                <c:pt idx="64">
                  <c:v>-28.663177440770937</c:v>
                </c:pt>
                <c:pt idx="65">
                  <c:v>0.46451125050225528</c:v>
                </c:pt>
                <c:pt idx="66">
                  <c:v>-35.38352698931169</c:v>
                </c:pt>
                <c:pt idx="67">
                  <c:v>-19.179552083877297</c:v>
                </c:pt>
                <c:pt idx="68">
                  <c:v>8.1537660099186269</c:v>
                </c:pt>
                <c:pt idx="69">
                  <c:v>4.5306496737373436</c:v>
                </c:pt>
                <c:pt idx="70">
                  <c:v>10.339023495589572</c:v>
                </c:pt>
                <c:pt idx="71">
                  <c:v>15.066650795835812</c:v>
                </c:pt>
                <c:pt idx="72">
                  <c:v>-18.721185528281865</c:v>
                </c:pt>
                <c:pt idx="73">
                  <c:v>-29.028612697980236</c:v>
                </c:pt>
                <c:pt idx="74">
                  <c:v>-8.5195215508442175</c:v>
                </c:pt>
                <c:pt idx="75">
                  <c:v>-3.9977474480174351</c:v>
                </c:pt>
                <c:pt idx="76">
                  <c:v>4.3220775342830393</c:v>
                </c:pt>
                <c:pt idx="77">
                  <c:v>2.5725928928649182</c:v>
                </c:pt>
                <c:pt idx="78">
                  <c:v>13.751242450808149</c:v>
                </c:pt>
                <c:pt idx="79">
                  <c:v>23.901236790189387</c:v>
                </c:pt>
                <c:pt idx="80">
                  <c:v>2.5275370247910587</c:v>
                </c:pt>
                <c:pt idx="81">
                  <c:v>-16.985322025037476</c:v>
                </c:pt>
                <c:pt idx="82">
                  <c:v>-27.387616623661984</c:v>
                </c:pt>
                <c:pt idx="83">
                  <c:v>-2.1139843776160205</c:v>
                </c:pt>
                <c:pt idx="84">
                  <c:v>4.6469954903423627</c:v>
                </c:pt>
                <c:pt idx="85">
                  <c:v>12.339227237859291</c:v>
                </c:pt>
                <c:pt idx="86">
                  <c:v>-9.9505323166539483</c:v>
                </c:pt>
                <c:pt idx="87">
                  <c:v>-8.2336754911942762</c:v>
                </c:pt>
                <c:pt idx="88">
                  <c:v>-9.0570940586469533</c:v>
                </c:pt>
                <c:pt idx="89">
                  <c:v>4.5683526591977852</c:v>
                </c:pt>
                <c:pt idx="90">
                  <c:v>10.428339825260082</c:v>
                </c:pt>
                <c:pt idx="91">
                  <c:v>18.965206864997981</c:v>
                </c:pt>
                <c:pt idx="92">
                  <c:v>-1.0401302805121304</c:v>
                </c:pt>
                <c:pt idx="93">
                  <c:v>-10.764060622592979</c:v>
                </c:pt>
                <c:pt idx="94">
                  <c:v>-4.4682490717972314</c:v>
                </c:pt>
                <c:pt idx="95">
                  <c:v>-9.242374301632708</c:v>
                </c:pt>
                <c:pt idx="96">
                  <c:v>13.401616229298043</c:v>
                </c:pt>
                <c:pt idx="97">
                  <c:v>-0.7584460231875596</c:v>
                </c:pt>
                <c:pt idx="98">
                  <c:v>-7.1249196287163272</c:v>
                </c:pt>
                <c:pt idx="99">
                  <c:v>23.408957894907758</c:v>
                </c:pt>
                <c:pt idx="100">
                  <c:v>3.2308120233798263</c:v>
                </c:pt>
                <c:pt idx="101">
                  <c:v>-0.28067948057218928</c:v>
                </c:pt>
                <c:pt idx="102">
                  <c:v>9.1763645214875851</c:v>
                </c:pt>
                <c:pt idx="103">
                  <c:v>8.6924292110772967</c:v>
                </c:pt>
                <c:pt idx="104">
                  <c:v>-49.940762129841005</c:v>
                </c:pt>
                <c:pt idx="105">
                  <c:v>15.141287643878059</c:v>
                </c:pt>
                <c:pt idx="106">
                  <c:v>-10.594775384151149</c:v>
                </c:pt>
                <c:pt idx="107">
                  <c:v>0.39494530961019336</c:v>
                </c:pt>
                <c:pt idx="108">
                  <c:v>1.7957627810267809</c:v>
                </c:pt>
                <c:pt idx="109">
                  <c:v>-8.053958476280286</c:v>
                </c:pt>
                <c:pt idx="110">
                  <c:v>-6.7536830569609947</c:v>
                </c:pt>
                <c:pt idx="111">
                  <c:v>27.859156559976782</c:v>
                </c:pt>
                <c:pt idx="112">
                  <c:v>10.849530425521721</c:v>
                </c:pt>
                <c:pt idx="113">
                  <c:v>2.7062432226559849</c:v>
                </c:pt>
                <c:pt idx="114">
                  <c:v>12.38042126593416</c:v>
                </c:pt>
                <c:pt idx="115">
                  <c:v>2.5166007391122776</c:v>
                </c:pt>
                <c:pt idx="116">
                  <c:v>-21.239423098904808</c:v>
                </c:pt>
                <c:pt idx="117">
                  <c:v>9.3681042250068458</c:v>
                </c:pt>
                <c:pt idx="118">
                  <c:v>15.636610994045327</c:v>
                </c:pt>
                <c:pt idx="119">
                  <c:v>0.66474597364276633</c:v>
                </c:pt>
                <c:pt idx="120">
                  <c:v>-21.347729037524346</c:v>
                </c:pt>
                <c:pt idx="121">
                  <c:v>-17.848884806425019</c:v>
                </c:pt>
                <c:pt idx="122">
                  <c:v>1.5979847425675189</c:v>
                </c:pt>
                <c:pt idx="123">
                  <c:v>6.9931854315171904</c:v>
                </c:pt>
                <c:pt idx="124">
                  <c:v>-5.1027576525866607</c:v>
                </c:pt>
                <c:pt idx="125">
                  <c:v>-2.5759212773181162</c:v>
                </c:pt>
                <c:pt idx="126">
                  <c:v>22.923293134887672</c:v>
                </c:pt>
                <c:pt idx="127">
                  <c:v>-0.79418398554025771</c:v>
                </c:pt>
                <c:pt idx="128">
                  <c:v>35.465498569009128</c:v>
                </c:pt>
                <c:pt idx="129">
                  <c:v>19.482005551536759</c:v>
                </c:pt>
                <c:pt idx="130">
                  <c:v>-4.952094425106452</c:v>
                </c:pt>
                <c:pt idx="131">
                  <c:v>27.210593874215078</c:v>
                </c:pt>
                <c:pt idx="132">
                  <c:v>-37.485179894159614</c:v>
                </c:pt>
                <c:pt idx="133">
                  <c:v>42.083635534290693</c:v>
                </c:pt>
                <c:pt idx="134">
                  <c:v>-15.982641225640577</c:v>
                </c:pt>
                <c:pt idx="135">
                  <c:v>2.395032790827031</c:v>
                </c:pt>
                <c:pt idx="136">
                  <c:v>7.4479780570554794</c:v>
                </c:pt>
                <c:pt idx="137">
                  <c:v>-15.818196249623156</c:v>
                </c:pt>
                <c:pt idx="138">
                  <c:v>-55.231278120661386</c:v>
                </c:pt>
                <c:pt idx="139">
                  <c:v>-3.558831397920585</c:v>
                </c:pt>
                <c:pt idx="140">
                  <c:v>12.235461076991214</c:v>
                </c:pt>
                <c:pt idx="141">
                  <c:v>4.4456653120611236</c:v>
                </c:pt>
                <c:pt idx="142">
                  <c:v>-4.4871717794528649</c:v>
                </c:pt>
                <c:pt idx="143">
                  <c:v>-27.331542527280135</c:v>
                </c:pt>
                <c:pt idx="144">
                  <c:v>20.423353062217984</c:v>
                </c:pt>
                <c:pt idx="145">
                  <c:v>29.055107483685674</c:v>
                </c:pt>
                <c:pt idx="146">
                  <c:v>-18.062171268385669</c:v>
                </c:pt>
                <c:pt idx="147">
                  <c:v>-34.374252285376201</c:v>
                </c:pt>
                <c:pt idx="148">
                  <c:v>-28.804639177473746</c:v>
                </c:pt>
                <c:pt idx="149">
                  <c:v>-28.266917197849011</c:v>
                </c:pt>
                <c:pt idx="150">
                  <c:v>30.875543318792666</c:v>
                </c:pt>
                <c:pt idx="151">
                  <c:v>-42.423289780566279</c:v>
                </c:pt>
                <c:pt idx="152">
                  <c:v>-37.287257766943412</c:v>
                </c:pt>
                <c:pt idx="153">
                  <c:v>-31.331766802618063</c:v>
                </c:pt>
                <c:pt idx="154">
                  <c:v>-39.627313580168106</c:v>
                </c:pt>
                <c:pt idx="155">
                  <c:v>-40.453260735895469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9-4FFE-942F-FAF431706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180216"/>
        <c:axId val="746188088"/>
      </c:barChart>
      <c:catAx>
        <c:axId val="746180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88088"/>
        <c:crosses val="autoZero"/>
        <c:auto val="1"/>
        <c:lblAlgn val="ctr"/>
        <c:lblOffset val="100"/>
        <c:noMultiLvlLbl val="0"/>
      </c:catAx>
      <c:valAx>
        <c:axId val="746188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8021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AutocorrelogramHouseholds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AR(2)'!$B$239:$B$261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AR(2)'!$C$239:$C$261</c:f>
              <c:numCache>
                <c:formatCode>0.000</c:formatCode>
                <c:ptCount val="23"/>
                <c:pt idx="0">
                  <c:v>1</c:v>
                </c:pt>
                <c:pt idx="1">
                  <c:v>0.844025822436129</c:v>
                </c:pt>
                <c:pt idx="2">
                  <c:v>0.61128531725508339</c:v>
                </c:pt>
                <c:pt idx="3">
                  <c:v>0.39822857269078249</c:v>
                </c:pt>
                <c:pt idx="4">
                  <c:v>0.25669999619287914</c:v>
                </c:pt>
                <c:pt idx="5">
                  <c:v>0.20285903458719909</c:v>
                </c:pt>
                <c:pt idx="6">
                  <c:v>0.17577368965751591</c:v>
                </c:pt>
                <c:pt idx="7">
                  <c:v>0.19002708210837738</c:v>
                </c:pt>
                <c:pt idx="8">
                  <c:v>0.23179194248726187</c:v>
                </c:pt>
                <c:pt idx="9">
                  <c:v>0.34551448920014566</c:v>
                </c:pt>
                <c:pt idx="10">
                  <c:v>0.51911053194272694</c:v>
                </c:pt>
                <c:pt idx="11">
                  <c:v>0.67628708577754493</c:v>
                </c:pt>
                <c:pt idx="12">
                  <c:v>0.76427583760208873</c:v>
                </c:pt>
                <c:pt idx="13">
                  <c:v>0.67440309849227054</c:v>
                </c:pt>
                <c:pt idx="14">
                  <c:v>0.49929819595188601</c:v>
                </c:pt>
                <c:pt idx="15">
                  <c:v>0.29664746638104122</c:v>
                </c:pt>
                <c:pt idx="16">
                  <c:v>0.15678571615483741</c:v>
                </c:pt>
                <c:pt idx="17">
                  <c:v>0.1069940596807844</c:v>
                </c:pt>
                <c:pt idx="18">
                  <c:v>6.5601480509497184E-2</c:v>
                </c:pt>
                <c:pt idx="19">
                  <c:v>5.3125093542414174E-2</c:v>
                </c:pt>
                <c:pt idx="20">
                  <c:v>7.7756551612399555E-2</c:v>
                </c:pt>
                <c:pt idx="21">
                  <c:v>0.19976230902882333</c:v>
                </c:pt>
                <c:pt idx="22">
                  <c:v>0.37960930536712717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8-4EB2-BA76-1C2510920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198912"/>
        <c:axId val="74619005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AR(2)'!$E$239:$E$261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-0.2443543629481256</c:v>
                </c:pt>
                <c:pt idx="3">
                  <c:v>-0.27948540582097225</c:v>
                </c:pt>
                <c:pt idx="4">
                  <c:v>-0.29312517573783708</c:v>
                </c:pt>
                <c:pt idx="5">
                  <c:v>-0.29860953953120745</c:v>
                </c:pt>
                <c:pt idx="6">
                  <c:v>-0.3019840408500416</c:v>
                </c:pt>
                <c:pt idx="7">
                  <c:v>-0.30449300783925082</c:v>
                </c:pt>
                <c:pt idx="8">
                  <c:v>-0.30739942198500192</c:v>
                </c:pt>
                <c:pt idx="9">
                  <c:v>-0.31167363679572518</c:v>
                </c:pt>
                <c:pt idx="10">
                  <c:v>-0.32096708672939667</c:v>
                </c:pt>
                <c:pt idx="11">
                  <c:v>-0.34101526198543225</c:v>
                </c:pt>
                <c:pt idx="12">
                  <c:v>-0.37258066965274828</c:v>
                </c:pt>
                <c:pt idx="13">
                  <c:v>-0.40937004855037396</c:v>
                </c:pt>
                <c:pt idx="14">
                  <c:v>-0.43587091993059957</c:v>
                </c:pt>
                <c:pt idx="15">
                  <c:v>-0.44973468582501219</c:v>
                </c:pt>
                <c:pt idx="16">
                  <c:v>-0.45452747700397433</c:v>
                </c:pt>
                <c:pt idx="17">
                  <c:v>-0.45585728698006422</c:v>
                </c:pt>
                <c:pt idx="18">
                  <c:v>-0.45647525748155982</c:v>
                </c:pt>
                <c:pt idx="19">
                  <c:v>-0.4567073553900865</c:v>
                </c:pt>
                <c:pt idx="20">
                  <c:v>-0.45685950143226389</c:v>
                </c:pt>
                <c:pt idx="21">
                  <c:v>-0.45718526918735392</c:v>
                </c:pt>
                <c:pt idx="22">
                  <c:v>-0.45932958707754751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58-4EB2-BA76-1C2510920F6D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AR(2)'!$F$239:$F$261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0.2443543629481256</c:v>
                </c:pt>
                <c:pt idx="3">
                  <c:v>0.27948540582097225</c:v>
                </c:pt>
                <c:pt idx="4">
                  <c:v>0.29312517573783708</c:v>
                </c:pt>
                <c:pt idx="5">
                  <c:v>0.29860953953120745</c:v>
                </c:pt>
                <c:pt idx="6">
                  <c:v>0.3019840408500416</c:v>
                </c:pt>
                <c:pt idx="7">
                  <c:v>0.30449300783925082</c:v>
                </c:pt>
                <c:pt idx="8">
                  <c:v>0.30739942198500192</c:v>
                </c:pt>
                <c:pt idx="9">
                  <c:v>0.31167363679572518</c:v>
                </c:pt>
                <c:pt idx="10">
                  <c:v>0.32096708672939667</c:v>
                </c:pt>
                <c:pt idx="11">
                  <c:v>0.34101526198543225</c:v>
                </c:pt>
                <c:pt idx="12">
                  <c:v>0.37258066965274828</c:v>
                </c:pt>
                <c:pt idx="13">
                  <c:v>0.40937004855037396</c:v>
                </c:pt>
                <c:pt idx="14">
                  <c:v>0.43587091993059957</c:v>
                </c:pt>
                <c:pt idx="15">
                  <c:v>0.44973468582501219</c:v>
                </c:pt>
                <c:pt idx="16">
                  <c:v>0.45452747700397433</c:v>
                </c:pt>
                <c:pt idx="17">
                  <c:v>0.45585728698006422</c:v>
                </c:pt>
                <c:pt idx="18">
                  <c:v>0.45647525748155982</c:v>
                </c:pt>
                <c:pt idx="19">
                  <c:v>0.4567073553900865</c:v>
                </c:pt>
                <c:pt idx="20">
                  <c:v>0.45685950143226389</c:v>
                </c:pt>
                <c:pt idx="21">
                  <c:v>0.45718526918735392</c:v>
                </c:pt>
                <c:pt idx="22">
                  <c:v>0.45932958707754751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58-4EB2-BA76-1C2510920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198912"/>
        <c:axId val="746190056"/>
      </c:lineChart>
      <c:catAx>
        <c:axId val="74619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90056"/>
        <c:crosses val="autoZero"/>
        <c:auto val="1"/>
        <c:lblAlgn val="ctr"/>
        <c:lblOffset val="100"/>
        <c:noMultiLvlLbl val="0"/>
      </c:catAx>
      <c:valAx>
        <c:axId val="74619005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1989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autocorrelogramHouseholds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AR(2)'!$B$239:$B$261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AR(2)'!$G$239:$G$261</c:f>
              <c:numCache>
                <c:formatCode>0.000</c:formatCode>
                <c:ptCount val="23"/>
                <c:pt idx="0">
                  <c:v>1</c:v>
                </c:pt>
                <c:pt idx="1">
                  <c:v>0.844025822436129</c:v>
                </c:pt>
                <c:pt idx="2">
                  <c:v>-0.35148503999062269</c:v>
                </c:pt>
                <c:pt idx="3">
                  <c:v>-9.5005577720003228E-3</c:v>
                </c:pt>
                <c:pt idx="4">
                  <c:v>7.9451456243552834E-2</c:v>
                </c:pt>
                <c:pt idx="5">
                  <c:v>0.11806500284411817</c:v>
                </c:pt>
                <c:pt idx="6">
                  <c:v>-6.7946509620923995E-2</c:v>
                </c:pt>
                <c:pt idx="7">
                  <c:v>0.15357485337038024</c:v>
                </c:pt>
                <c:pt idx="8">
                  <c:v>9.6327782239726059E-2</c:v>
                </c:pt>
                <c:pt idx="9">
                  <c:v>0.33974653462180476</c:v>
                </c:pt>
                <c:pt idx="10">
                  <c:v>0.30648576843746927</c:v>
                </c:pt>
                <c:pt idx="11">
                  <c:v>0.22114019109767977</c:v>
                </c:pt>
                <c:pt idx="12">
                  <c:v>0.17968495386398589</c:v>
                </c:pt>
                <c:pt idx="13">
                  <c:v>-0.27531213916256836</c:v>
                </c:pt>
                <c:pt idx="14">
                  <c:v>-2.0973801392201407E-2</c:v>
                </c:pt>
                <c:pt idx="15">
                  <c:v>-0.20265657719363753</c:v>
                </c:pt>
                <c:pt idx="16">
                  <c:v>4.2915319852546333E-2</c:v>
                </c:pt>
                <c:pt idx="17">
                  <c:v>-9.9522024065763944E-3</c:v>
                </c:pt>
                <c:pt idx="18">
                  <c:v>-0.18290294948194319</c:v>
                </c:pt>
                <c:pt idx="19">
                  <c:v>-9.778903266764942E-2</c:v>
                </c:pt>
                <c:pt idx="20">
                  <c:v>-3.9411187618873654E-2</c:v>
                </c:pt>
                <c:pt idx="21">
                  <c:v>0.18370276262220436</c:v>
                </c:pt>
                <c:pt idx="22">
                  <c:v>3.8086576705665794E-2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BD-4A38-B26C-48838013A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212032"/>
        <c:axId val="74621334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AR(2)'!$I$239:$I$261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D-4A38-B26C-48838013A85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AR(2)'!$B$239:$B$261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AR(2)'!$J$239:$J$261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BD-4A38-B26C-48838013A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12032"/>
        <c:axId val="746213344"/>
      </c:lineChart>
      <c:catAx>
        <c:axId val="74621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3344"/>
        <c:crosses val="autoZero"/>
        <c:auto val="1"/>
        <c:lblAlgn val="ctr"/>
        <c:lblOffset val="100"/>
        <c:noMultiLvlLbl val="0"/>
      </c:catAx>
      <c:valAx>
        <c:axId val="74621334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20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AR(2)'!$B$286:$B$308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AR(2)'!$C$286:$C$308</c:f>
              <c:numCache>
                <c:formatCode>0.000</c:formatCode>
                <c:ptCount val="23"/>
                <c:pt idx="0">
                  <c:v>1</c:v>
                </c:pt>
                <c:pt idx="1">
                  <c:v>9.1219891172439851E-2</c:v>
                </c:pt>
                <c:pt idx="2">
                  <c:v>-2.3417574548050036E-2</c:v>
                </c:pt>
                <c:pt idx="3">
                  <c:v>9.136358462949714E-3</c:v>
                </c:pt>
                <c:pt idx="4">
                  <c:v>-6.1080778028779537E-2</c:v>
                </c:pt>
                <c:pt idx="5">
                  <c:v>-1.4096535323790918E-3</c:v>
                </c:pt>
                <c:pt idx="6">
                  <c:v>0.13595948477442615</c:v>
                </c:pt>
                <c:pt idx="7">
                  <c:v>-4.4206235751061765E-2</c:v>
                </c:pt>
                <c:pt idx="8">
                  <c:v>3.0547827585478324E-3</c:v>
                </c:pt>
                <c:pt idx="9">
                  <c:v>0.14230885608366595</c:v>
                </c:pt>
                <c:pt idx="10">
                  <c:v>-6.9858362105083435E-2</c:v>
                </c:pt>
                <c:pt idx="11">
                  <c:v>3.0416697941002643E-2</c:v>
                </c:pt>
                <c:pt idx="12">
                  <c:v>-3.0120967045638085E-3</c:v>
                </c:pt>
                <c:pt idx="13">
                  <c:v>-8.4277052327900365E-2</c:v>
                </c:pt>
                <c:pt idx="14">
                  <c:v>2.1936014260052192E-2</c:v>
                </c:pt>
                <c:pt idx="15">
                  <c:v>2.993349971293852E-2</c:v>
                </c:pt>
                <c:pt idx="16">
                  <c:v>0.12078757661230996</c:v>
                </c:pt>
                <c:pt idx="17">
                  <c:v>0.18621375760954462</c:v>
                </c:pt>
                <c:pt idx="18">
                  <c:v>-1.2314863629289142E-2</c:v>
                </c:pt>
                <c:pt idx="19">
                  <c:v>-0.10611766389247837</c:v>
                </c:pt>
                <c:pt idx="20">
                  <c:v>-0.1336436185377316</c:v>
                </c:pt>
                <c:pt idx="21">
                  <c:v>-4.7266599880777818E-2</c:v>
                </c:pt>
                <c:pt idx="22">
                  <c:v>9.1994769934622009E-2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C7-A2C5-AFCF78D3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216624"/>
        <c:axId val="74621924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AR(2)'!$E$286:$E$308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-0.15822308384977701</c:v>
                </c:pt>
                <c:pt idx="3">
                  <c:v>-0.15830840731372367</c:v>
                </c:pt>
                <c:pt idx="4">
                  <c:v>-0.1583213909415048</c:v>
                </c:pt>
                <c:pt idx="5">
                  <c:v>-0.15890061606592054</c:v>
                </c:pt>
                <c:pt idx="6">
                  <c:v>-0.15890092400893005</c:v>
                </c:pt>
                <c:pt idx="7">
                  <c:v>-0.16174015961045435</c:v>
                </c:pt>
                <c:pt idx="8">
                  <c:v>-0.16203740963007374</c:v>
                </c:pt>
                <c:pt idx="9">
                  <c:v>-0.16203882775683603</c:v>
                </c:pt>
                <c:pt idx="10">
                  <c:v>-0.16508777264587038</c:v>
                </c:pt>
                <c:pt idx="11">
                  <c:v>-0.16581411126759024</c:v>
                </c:pt>
                <c:pt idx="12">
                  <c:v>-0.16595145043376477</c:v>
                </c:pt>
                <c:pt idx="13">
                  <c:v>-0.16595279668647769</c:v>
                </c:pt>
                <c:pt idx="14">
                  <c:v>-0.16700338646146923</c:v>
                </c:pt>
                <c:pt idx="15">
                  <c:v>-0.16707432292276334</c:v>
                </c:pt>
                <c:pt idx="16">
                  <c:v>-0.16720633246533323</c:v>
                </c:pt>
                <c:pt idx="17">
                  <c:v>-0.1693413405469916</c:v>
                </c:pt>
                <c:pt idx="18">
                  <c:v>-0.17431076505813536</c:v>
                </c:pt>
                <c:pt idx="19">
                  <c:v>-0.174332188039094</c:v>
                </c:pt>
                <c:pt idx="20">
                  <c:v>-0.17591562765128899</c:v>
                </c:pt>
                <c:pt idx="21">
                  <c:v>-0.17839824550378069</c:v>
                </c:pt>
                <c:pt idx="22">
                  <c:v>-0.17870636192916162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65-4BC7-A2C5-AFCF78D3B58D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AR(2)'!$F$286:$F$308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0.15822308384977701</c:v>
                </c:pt>
                <c:pt idx="3">
                  <c:v>0.15830840731372367</c:v>
                </c:pt>
                <c:pt idx="4">
                  <c:v>0.1583213909415048</c:v>
                </c:pt>
                <c:pt idx="5">
                  <c:v>0.15890061606592054</c:v>
                </c:pt>
                <c:pt idx="6">
                  <c:v>0.15890092400893005</c:v>
                </c:pt>
                <c:pt idx="7">
                  <c:v>0.16174015961045435</c:v>
                </c:pt>
                <c:pt idx="8">
                  <c:v>0.16203740963007374</c:v>
                </c:pt>
                <c:pt idx="9">
                  <c:v>0.16203882775683603</c:v>
                </c:pt>
                <c:pt idx="10">
                  <c:v>0.16508777264587038</c:v>
                </c:pt>
                <c:pt idx="11">
                  <c:v>0.16581411126759024</c:v>
                </c:pt>
                <c:pt idx="12">
                  <c:v>0.16595145043376477</c:v>
                </c:pt>
                <c:pt idx="13">
                  <c:v>0.16595279668647769</c:v>
                </c:pt>
                <c:pt idx="14">
                  <c:v>0.16700338646146923</c:v>
                </c:pt>
                <c:pt idx="15">
                  <c:v>0.16707432292276334</c:v>
                </c:pt>
                <c:pt idx="16">
                  <c:v>0.16720633246533323</c:v>
                </c:pt>
                <c:pt idx="17">
                  <c:v>0.1693413405469916</c:v>
                </c:pt>
                <c:pt idx="18">
                  <c:v>0.17431076505813536</c:v>
                </c:pt>
                <c:pt idx="19">
                  <c:v>0.174332188039094</c:v>
                </c:pt>
                <c:pt idx="20">
                  <c:v>0.17591562765128899</c:v>
                </c:pt>
                <c:pt idx="21">
                  <c:v>0.17839824550378069</c:v>
                </c:pt>
                <c:pt idx="22">
                  <c:v>0.17870636192916162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65-4BC7-A2C5-AFCF78D3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16624"/>
        <c:axId val="746219248"/>
      </c:lineChart>
      <c:catAx>
        <c:axId val="74621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9248"/>
        <c:crosses val="autoZero"/>
        <c:auto val="1"/>
        <c:lblAlgn val="ctr"/>
        <c:lblOffset val="100"/>
        <c:noMultiLvlLbl val="0"/>
      </c:catAx>
      <c:valAx>
        <c:axId val="74621924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1662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'Seasonal AR(2)'!$B$286:$B$308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AR(2)'!$G$286:$G$308</c:f>
              <c:numCache>
                <c:formatCode>0.000</c:formatCode>
                <c:ptCount val="23"/>
                <c:pt idx="0">
                  <c:v>1</c:v>
                </c:pt>
                <c:pt idx="1">
                  <c:v>9.1219891172439851E-2</c:v>
                </c:pt>
                <c:pt idx="2">
                  <c:v>-3.2004958547431246E-2</c:v>
                </c:pt>
                <c:pt idx="3">
                  <c:v>1.4394765191212059E-2</c:v>
                </c:pt>
                <c:pt idx="4">
                  <c:v>-6.4656338860655305E-2</c:v>
                </c:pt>
                <c:pt idx="5">
                  <c:v>1.1282582240762862E-2</c:v>
                </c:pt>
                <c:pt idx="6">
                  <c:v>0.13298838213019076</c:v>
                </c:pt>
                <c:pt idx="7">
                  <c:v>-6.9811579835991663E-2</c:v>
                </c:pt>
                <c:pt idx="8">
                  <c:v>1.802958551637189E-2</c:v>
                </c:pt>
                <c:pt idx="9">
                  <c:v>0.13891397982605874</c:v>
                </c:pt>
                <c:pt idx="10">
                  <c:v>-8.4960715456092573E-2</c:v>
                </c:pt>
                <c:pt idx="11">
                  <c:v>4.8732471373934855E-2</c:v>
                </c:pt>
                <c:pt idx="12">
                  <c:v>-3.4999493253392334E-2</c:v>
                </c:pt>
                <c:pt idx="13">
                  <c:v>-5.1290957806592971E-2</c:v>
                </c:pt>
                <c:pt idx="14">
                  <c:v>2.7144654154504049E-2</c:v>
                </c:pt>
                <c:pt idx="15">
                  <c:v>-1.4910440085283494E-2</c:v>
                </c:pt>
                <c:pt idx="16">
                  <c:v>0.16571538450670378</c:v>
                </c:pt>
                <c:pt idx="17">
                  <c:v>0.14130094316672481</c:v>
                </c:pt>
                <c:pt idx="18">
                  <c:v>-5.9267954174444137E-2</c:v>
                </c:pt>
                <c:pt idx="19">
                  <c:v>-5.4489674020035274E-2</c:v>
                </c:pt>
                <c:pt idx="20">
                  <c:v>-0.15651201430613731</c:v>
                </c:pt>
                <c:pt idx="21">
                  <c:v>7.7514298956684637E-4</c:v>
                </c:pt>
                <c:pt idx="22">
                  <c:v>8.8183461558637752E-2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9-4E21-889D-E4F9486D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222200"/>
        <c:axId val="74622351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AR(2)'!$I$286:$I$308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29-4E21-889D-E4F9486DA664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'Seasonal AR(2)'!$B$286:$B$308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'Seasonal AR(2)'!$J$286:$J$308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29-4E21-889D-E4F9486D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22200"/>
        <c:axId val="746223512"/>
      </c:lineChart>
      <c:catAx>
        <c:axId val="746222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23512"/>
        <c:crosses val="autoZero"/>
        <c:auto val="1"/>
        <c:lblAlgn val="ctr"/>
        <c:lblOffset val="100"/>
        <c:noMultiLvlLbl val="0"/>
      </c:catAx>
      <c:valAx>
        <c:axId val="74622351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4622220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sel="2" val="0">
  <itemLst>
    <item val="Summary statistics"/>
    <item val="Dickey-Fuller test (ADF(stationary) / k: 5 / Series1)"/>
  </itemLst>
</formControlPr>
</file>

<file path=xl/ctrlProps/ctrlProp2.xml><?xml version="1.0" encoding="utf-8"?>
<formControlPr xmlns="http://schemas.microsoft.com/office/spreadsheetml/2009/9/main" objectType="Drop" dropStyle="combo" dx="22" sel="1" val="0">
  <itemLst>
    <item val="Summary statistics"/>
    <item val="Results of ARIMA modeling of the Households series"/>
    <item val="Results after optimization (Households)"/>
    <item val="Goodness of fit statistics"/>
    <item val="Model parameters"/>
    <item val="Predictions and residuals"/>
    <item val="Descriptive analysis (Households)"/>
    <item val="Descriptive analysis (Residuals)"/>
  </itemLst>
</formControlPr>
</file>

<file path=xl/ctrlProps/ctrlProp3.xml><?xml version="1.0" encoding="utf-8"?>
<formControlPr xmlns="http://schemas.microsoft.com/office/spreadsheetml/2009/9/main" objectType="Drop" dropStyle="combo" dx="22" sel="1" val="0">
  <itemLst>
    <item val="Summary statistics"/>
    <item val="Results of ARIMA modeling of the Households series"/>
    <item val="Results after optimization (Households)"/>
    <item val="Goodness of fit statistics"/>
    <item val="Model parameters"/>
    <item val="Predictions and residuals"/>
    <item val="Descriptive analysis (Households)"/>
    <item val="Descriptive analysis (Residuals)"/>
  </itemLst>
</formControlPr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3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6.png"/><Relationship Id="rId7" Type="http://schemas.openxmlformats.org/officeDocument/2006/relationships/chart" Target="../charts/chart5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image" Target="../media/image8.png"/><Relationship Id="rId10" Type="http://schemas.openxmlformats.org/officeDocument/2006/relationships/chart" Target="../charts/chart8.xml"/><Relationship Id="rId4" Type="http://schemas.openxmlformats.org/officeDocument/2006/relationships/image" Target="../media/image7.png"/><Relationship Id="rId9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image" Target="../media/image6.png"/><Relationship Id="rId7" Type="http://schemas.openxmlformats.org/officeDocument/2006/relationships/chart" Target="../charts/chart11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image" Target="../media/image8.png"/><Relationship Id="rId10" Type="http://schemas.openxmlformats.org/officeDocument/2006/relationships/chart" Target="../charts/chart14.xml"/><Relationship Id="rId4" Type="http://schemas.openxmlformats.org/officeDocument/2006/relationships/image" Target="../media/image7.png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2</xdr:row>
      <xdr:rowOff>133350</xdr:rowOff>
    </xdr:from>
    <xdr:to>
      <xdr:col>10</xdr:col>
      <xdr:colOff>285750</xdr:colOff>
      <xdr:row>15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52675" y="514350"/>
          <a:ext cx="4181475" cy="240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</a:t>
          </a:r>
          <a:r>
            <a:rPr lang="en-US" sz="1100" baseline="0"/>
            <a:t> models built for the Household electricity consumption, out of which finally ARIMA was selected [AR2]. Model tried were:</a:t>
          </a:r>
        </a:p>
        <a:p>
          <a:endParaRPr lang="en-US" sz="1100" baseline="0"/>
        </a:p>
        <a:p>
          <a:r>
            <a:rPr lang="en-US" sz="1100" baseline="0"/>
            <a:t>1) Exponential Smothing </a:t>
          </a:r>
          <a:r>
            <a:rPr lang="en-US" sz="1100" baseline="0">
              <a:solidFill>
                <a:srgbClr val="FF0000"/>
              </a:solidFill>
            </a:rPr>
            <a:t>(Rjected)</a:t>
          </a:r>
        </a:p>
        <a:p>
          <a:r>
            <a:rPr lang="en-US" sz="1100" baseline="0"/>
            <a:t>2) Decomposition </a:t>
          </a:r>
          <a:r>
            <a:rPr lang="en-US" sz="1100" baseline="0">
              <a:solidFill>
                <a:srgbClr val="FF0000"/>
              </a:solidFill>
            </a:rPr>
            <a:t>(Rejected)</a:t>
          </a:r>
        </a:p>
        <a:p>
          <a:r>
            <a:rPr lang="en-US" sz="1100" baseline="0"/>
            <a:t>3) ARIMA </a:t>
          </a:r>
          <a:r>
            <a:rPr lang="en-US" sz="1100" baseline="0">
              <a:solidFill>
                <a:srgbClr val="92D050"/>
              </a:solidFill>
            </a:rPr>
            <a:t>(Selected)</a:t>
          </a:r>
        </a:p>
        <a:p>
          <a:endParaRPr lang="en-US" sz="1100" baseline="0">
            <a:solidFill>
              <a:srgbClr val="92D050"/>
            </a:solidFill>
          </a:endParaRPr>
        </a:p>
        <a:p>
          <a:r>
            <a:rPr lang="en-US" sz="1100">
              <a:solidFill>
                <a:sysClr val="windowText" lastClr="000000"/>
              </a:solidFill>
            </a:rPr>
            <a:t>Criteria for selection/rejection</a:t>
          </a:r>
          <a:r>
            <a:rPr lang="en-US" sz="1100" baseline="0">
              <a:solidFill>
                <a:sysClr val="windowText" lastClr="000000"/>
              </a:solidFill>
            </a:rPr>
            <a:t> is the comparison of RMSE. Model with least error is selected.</a:t>
          </a:r>
        </a:p>
        <a:p>
          <a:endParaRPr lang="en-US" sz="1100" baseline="0">
            <a:solidFill>
              <a:sysClr val="windowText" lastClr="000000"/>
            </a:solidFill>
          </a:endParaRPr>
        </a:p>
        <a:p>
          <a:r>
            <a:rPr lang="en-US" sz="1100" b="1" baseline="0">
              <a:solidFill>
                <a:sysClr val="windowText" lastClr="000000"/>
              </a:solidFill>
            </a:rPr>
            <a:t>Final Model Selected:</a:t>
          </a: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AR(2) RMSE: 18.832	MAPE: 2.7186 </a:t>
          </a:r>
          <a:endParaRPr lang="en-US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5</xdr:row>
      <xdr:rowOff>128587</xdr:rowOff>
    </xdr:from>
    <xdr:to>
      <xdr:col>13</xdr:col>
      <xdr:colOff>123825</xdr:colOff>
      <xdr:row>20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7</xdr:row>
      <xdr:rowOff>14287</xdr:rowOff>
    </xdr:from>
    <xdr:to>
      <xdr:col>15</xdr:col>
      <xdr:colOff>66675</xdr:colOff>
      <xdr:row>21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28574</xdr:rowOff>
    </xdr:from>
    <xdr:to>
      <xdr:col>7</xdr:col>
      <xdr:colOff>123825</xdr:colOff>
      <xdr:row>16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7625" y="28574"/>
          <a:ext cx="4343400" cy="30765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Step1) </a:t>
          </a:r>
          <a:r>
            <a:rPr lang="en-US" sz="1100" b="0"/>
            <a:t>Test</a:t>
          </a:r>
          <a:r>
            <a:rPr lang="en-US" sz="1100" b="0" baseline="0"/>
            <a:t> for Stationarity</a:t>
          </a:r>
        </a:p>
        <a:p>
          <a:r>
            <a:rPr lang="en-US" sz="1100" b="0" baseline="0"/>
            <a:t>	Augmented Dicky Fuller test</a:t>
          </a:r>
        </a:p>
        <a:p>
          <a:r>
            <a:rPr lang="en-US" sz="1100" b="0" baseline="0"/>
            <a:t>	p-value = 7.195e-011</a:t>
          </a:r>
        </a:p>
        <a:p>
          <a:r>
            <a:rPr lang="en-US" sz="1100" b="0" baseline="0"/>
            <a:t>Significant p-value, hence the series is already stationary. </a:t>
          </a:r>
          <a:r>
            <a:rPr lang="en-US" sz="1100" b="1" baseline="0"/>
            <a:t>D=0</a:t>
          </a:r>
          <a:endParaRPr lang="en-US" sz="1100" b="1"/>
        </a:p>
        <a:p>
          <a:endParaRPr lang="en-US" sz="1100" b="1"/>
        </a:p>
        <a:p>
          <a:r>
            <a:rPr lang="en-US" sz="1100" b="1"/>
            <a:t>Step</a:t>
          </a:r>
          <a:r>
            <a:rPr lang="en-US" sz="1100" b="1" baseline="0"/>
            <a:t> 2) </a:t>
          </a:r>
          <a:r>
            <a:rPr lang="en-US" sz="1100" b="0" baseline="0"/>
            <a:t>Plot </a:t>
          </a:r>
          <a:r>
            <a:rPr lang="en-US" sz="1100" b="1" baseline="0"/>
            <a:t>ACF | PACF </a:t>
          </a:r>
          <a:r>
            <a:rPr lang="en-US" sz="1100" b="0" baseline="0"/>
            <a:t>graph of the series (</a:t>
          </a:r>
          <a:r>
            <a:rPr lang="en-US" sz="1100" b="0" i="1" baseline="0"/>
            <a:t>as seen in image below)</a:t>
          </a:r>
          <a:endParaRPr lang="en-US" sz="1100" b="0" baseline="0"/>
        </a:p>
        <a:p>
          <a:r>
            <a:rPr lang="en-US" sz="1100" b="0" baseline="0"/>
            <a:t>	acf is constantly reducing</a:t>
          </a:r>
        </a:p>
        <a:p>
          <a:r>
            <a:rPr lang="en-US" sz="1100" b="0" baseline="0"/>
            <a:t>	pacf cuts down at 2</a:t>
          </a:r>
        </a:p>
        <a:p>
          <a:r>
            <a:rPr lang="en-US" sz="1100" b="0" baseline="0"/>
            <a:t>Hence this is a case of AR modelling. 2 models tried - AR(1) AR(2)</a:t>
          </a:r>
          <a:endParaRPr lang="en-US" sz="1100" b="1" baseline="0"/>
        </a:p>
        <a:p>
          <a:endParaRPr lang="en-US" sz="1100" b="1" baseline="0"/>
        </a:p>
        <a:p>
          <a:r>
            <a:rPr lang="en-US" sz="1100" b="1" baseline="0"/>
            <a:t>Step 3) </a:t>
          </a:r>
          <a:r>
            <a:rPr lang="en-US" sz="1100" b="0" baseline="0"/>
            <a:t>AR(2) is selected finally as it gives the least RMSE and also has all the 4 input lag variables significant.</a:t>
          </a:r>
          <a:endParaRPr lang="en-US" sz="1100" b="1" baseline="0"/>
        </a:p>
        <a:p>
          <a:endParaRPr lang="en-US" sz="1100" b="1" baseline="0"/>
        </a:p>
        <a:p>
          <a:endParaRPr lang="en-US" sz="1100" b="1" baseline="0"/>
        </a:p>
        <a:p>
          <a:r>
            <a:rPr lang="en-US" sz="1100" b="0" baseline="0"/>
            <a:t>AR(1) RMSE: 20.416	MAPE: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2.57</a:t>
          </a:r>
          <a:endParaRPr lang="en-US" sz="1100" b="0" baseline="0"/>
        </a:p>
        <a:p>
          <a:r>
            <a:rPr lang="en-US" sz="1100" b="1" baseline="0"/>
            <a:t>AR(2) RMSE: 17.529	MAPE: 2.09 (Selected)</a:t>
          </a:r>
        </a:p>
        <a:p>
          <a:endParaRPr lang="en-US" sz="1100" b="1"/>
        </a:p>
      </xdr:txBody>
    </xdr:sp>
    <xdr:clientData/>
  </xdr:twoCellAnchor>
  <xdr:twoCellAnchor editAs="oneCell">
    <xdr:from>
      <xdr:col>0</xdr:col>
      <xdr:colOff>85725</xdr:colOff>
      <xdr:row>16</xdr:row>
      <xdr:rowOff>95250</xdr:rowOff>
    </xdr:from>
    <xdr:to>
      <xdr:col>7</xdr:col>
      <xdr:colOff>257175</xdr:colOff>
      <xdr:row>40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143250"/>
          <a:ext cx="4438650" cy="4638675"/>
        </a:xfrm>
        <a:prstGeom prst="rect">
          <a:avLst/>
        </a:prstGeom>
      </xdr:spPr>
    </xdr:pic>
    <xdr:clientData/>
  </xdr:twoCellAnchor>
  <xdr:twoCellAnchor>
    <xdr:from>
      <xdr:col>7</xdr:col>
      <xdr:colOff>342900</xdr:colOff>
      <xdr:row>0</xdr:row>
      <xdr:rowOff>9525</xdr:rowOff>
    </xdr:from>
    <xdr:to>
      <xdr:col>10</xdr:col>
      <xdr:colOff>180975</xdr:colOff>
      <xdr:row>141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4610100" y="9525"/>
          <a:ext cx="1666875" cy="268890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Forecasted</a:t>
          </a:r>
          <a:r>
            <a:rPr lang="en-US" sz="1100" b="1" baseline="0"/>
            <a:t> Consumption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492.997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460.172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470.310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514.150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542.097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545.544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552.030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532.148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523.491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515.672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514.759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496.658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466.119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461.948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484.635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513.287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520.344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543.874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521.794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515.963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537.520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537.194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520.354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500.533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478.089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463.390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471.821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498.039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523.413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559.295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536.497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567.047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542.410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509.127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522.406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515.379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475.105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453.613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485.237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492.910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515.989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557.070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562.909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533.561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499.475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520.444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541.756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497.679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469.683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470.553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457.773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505.851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545.962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572.289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587.097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571.140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547.848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547.998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568.427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511.675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499.036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484.038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491.732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573.195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606.040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593.084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574.173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555.383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534.601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542.061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563.977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535.598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515.557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493.924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482.806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511.353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548.690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603.215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582.833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561.919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578.263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582.180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564.425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506.874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487.711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498.070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524.348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547.171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555.045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588.771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588.394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577.821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576.904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566.308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561.223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534.133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507.701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498.378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500.714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535.477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588.247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628.258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607.599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602.230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601.161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541.547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553.492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537.583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521.256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504.274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494.593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535.868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590.069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635.683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617.861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617.899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598.110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575.462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583.747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568.922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547.983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504.654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494.105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575.138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620.023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628.201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617.106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645.854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605.321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615.260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644.105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594.794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578.502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533.887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572.744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630.622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653.489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689.231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686.746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634.198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615.844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638.300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651.814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608.384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532.465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557.746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577.856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588.567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611.800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641.395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630.558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695.847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612.082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619.384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623.303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586.835</a:t>
          </a:r>
        </a:p>
        <a:p>
          <a:endParaRPr lang="en-US" sz="1100" b="1"/>
        </a:p>
      </xdr:txBody>
    </xdr:sp>
    <xdr:clientData/>
  </xdr:twoCellAnchor>
  <xdr:twoCellAnchor editAs="oneCell">
    <xdr:from>
      <xdr:col>10</xdr:col>
      <xdr:colOff>247649</xdr:colOff>
      <xdr:row>0</xdr:row>
      <xdr:rowOff>0</xdr:rowOff>
    </xdr:from>
    <xdr:to>
      <xdr:col>20</xdr:col>
      <xdr:colOff>257175</xdr:colOff>
      <xdr:row>20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49" y="0"/>
          <a:ext cx="6105526" cy="38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222251</xdr:colOff>
      <xdr:row>20</xdr:row>
      <xdr:rowOff>57149</xdr:rowOff>
    </xdr:from>
    <xdr:to>
      <xdr:col>20</xdr:col>
      <xdr:colOff>495301</xdr:colOff>
      <xdr:row>39</xdr:row>
      <xdr:rowOff>114298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251" y="3867149"/>
          <a:ext cx="6369050" cy="36766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4</xdr:row>
      <xdr:rowOff>0</xdr:rowOff>
    </xdr:from>
    <xdr:to>
      <xdr:col>5</xdr:col>
      <xdr:colOff>38100</xdr:colOff>
      <xdr:row>4</xdr:row>
      <xdr:rowOff>25400</xdr:rowOff>
    </xdr:to>
    <xdr:sp macro="" textlink="">
      <xdr:nvSpPr>
        <xdr:cNvPr id="2" name="TX543453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213100" y="762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RunProcURT
Form186.txt
CheckBoxVarLabels,CheckBox,False,True,000000000003_General,True,Series labels,False,
RefEditT,RefEdit,'ARIMA-XLSTAT'!$B$2:$B$157,True,000000000001_General,True,,False,
OptionButton_R,OptionButton,True,True,000000000002_General,True,Range,False,
OptionButton_S,OptionButton,False,True,000000000202_General,True,Sheet,False,
OptionButton_W,OptionButton,False,True,000000000302_General,True,Workbook,False,
RefEdit_R,RefEdit,'ARIMA-XLSTAT'!$E$1,True,000000000102_General,True,Range:,False,
CheckBoxDFuller,CheckBox,True,True,000000000004_General,True,Dickey-Fuller test,False,
CheckBoxPP,CheckBox,False,True,000000000006_General,True,Phillips-Perron test,False,
ComboBoxPP,ComboBox,0,True,000000000007_General,True,PP test:,False,
ComboBoxDF,ComboBox,0,True,000000000008_General,True,,False,
CheckBox_Desc,CheckBox,True,True,300000000000_Outputs,True,Descriptive statistics,False,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OptionButtonMVIgnore,OptionButton,False,True,200000000300_Missing data,True,Ignore missing data,False,
CheckBoxCharts,CheckBox,True,True,400000000000_Charts,True,Display charts,False,
CheckBoxNW,CheckBox,True,True,100000000104_Options,True,Newey-West,False,
TextBox_conf,TextBox,5,True,100000010000_Options,True,Significance level (%):,False,
RefEditDate,RefEdit,,True,000000000009_General,True,Date data:,False,
CheckBoxDate,CheckBox,False,True,000000000010_General,True,Date data,False,
CheckBoxKPSS,CheckBox,False,True,000000000005_General,True,KPSS test,False,
ComboBoxKPSS,ComboBox,0,True,000000000011_General,True,KPSS test:,False,
OptionButton1,OptionButton,True,True,100001010100_Options,True,Automatic,False,
OptionButton2,OptionButton,False,True,100002010100_Options,True,User defined,False,
TextBox1,TextBox,2,True,100003010100_Options,True,Automatic,False,
OptionButton3,OptionButton,True,True,100001010200_Options,True,Automatic,False,
OptionButton4,OptionButton,False,True,100002010200_Options,True,User defined,False,
TextBox2,TextBox,2,True,100003010200_Options,True,User defined:,False,
TextBoxUDFk,TextBox,2,True,100000010102_Options,True,,False,
ComboBoxPpTruncation,ComboBox,0,True,100000010103_Options,True,,False,
ComboBoxADFk,ComboBox,0,True,100000020102_Options,True,k:,False,
TextboxUDFLag,TextBox,2,True,100000000204_Options,True,,False,
ComboBoxKPSSLag,ComboBox,0,True,100000000304_Options,True,,False,
OptionButtonMc,OptionButton,False,True,100000000201_Options,True,Monte Carlo method,False,
OptionButtonMk,OptionButton,True,True,100000000001_Options,True,Surface regression,False,
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6350</xdr:rowOff>
    </xdr:from>
    <xdr:to>
      <xdr:col>4</xdr:col>
      <xdr:colOff>1830578</xdr:colOff>
      <xdr:row>5</xdr:row>
      <xdr:rowOff>0</xdr:rowOff>
    </xdr:to>
    <xdr:sp macro="" textlink="">
      <xdr:nvSpPr>
        <xdr:cNvPr id="3" name="BK54345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597150" y="768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49783</xdr:colOff>
      <xdr:row>4</xdr:row>
      <xdr:rowOff>43434</xdr:rowOff>
    </xdr:from>
    <xdr:to>
      <xdr:col>4</xdr:col>
      <xdr:colOff>392683</xdr:colOff>
      <xdr:row>4</xdr:row>
      <xdr:rowOff>386334</xdr:rowOff>
    </xdr:to>
    <xdr:pic macro="[1]!RelaunchCall">
      <xdr:nvPicPr>
        <xdr:cNvPr id="4" name="BT54345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0583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4</xdr:col>
      <xdr:colOff>527557</xdr:colOff>
      <xdr:row>4</xdr:row>
      <xdr:rowOff>43434</xdr:rowOff>
    </xdr:from>
    <xdr:to>
      <xdr:col>4</xdr:col>
      <xdr:colOff>870457</xdr:colOff>
      <xdr:row>4</xdr:row>
      <xdr:rowOff>386334</xdr:rowOff>
    </xdr:to>
    <xdr:pic macro="[0]!AddRemovGrid">
      <xdr:nvPicPr>
        <xdr:cNvPr id="5" name="RM54345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8357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4</xdr:col>
      <xdr:colOff>527557</xdr:colOff>
      <xdr:row>4</xdr:row>
      <xdr:rowOff>43434</xdr:rowOff>
    </xdr:from>
    <xdr:to>
      <xdr:col>4</xdr:col>
      <xdr:colOff>870457</xdr:colOff>
      <xdr:row>4</xdr:row>
      <xdr:rowOff>386334</xdr:rowOff>
    </xdr:to>
    <xdr:pic macro="AddRemovGrid">
      <xdr:nvPicPr>
        <xdr:cNvPr id="6" name="AD54345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8357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4</xdr:col>
      <xdr:colOff>1005331</xdr:colOff>
      <xdr:row>4</xdr:row>
      <xdr:rowOff>43434</xdr:rowOff>
    </xdr:from>
    <xdr:to>
      <xdr:col>4</xdr:col>
      <xdr:colOff>1348231</xdr:colOff>
      <xdr:row>4</xdr:row>
      <xdr:rowOff>386334</xdr:rowOff>
    </xdr:to>
    <xdr:pic macro="[0]!SendToOfficeLocal">
      <xdr:nvPicPr>
        <xdr:cNvPr id="7" name="WD54345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131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4</xdr:col>
      <xdr:colOff>1439671</xdr:colOff>
      <xdr:row>4</xdr:row>
      <xdr:rowOff>43434</xdr:rowOff>
    </xdr:from>
    <xdr:to>
      <xdr:col>4</xdr:col>
      <xdr:colOff>1782571</xdr:colOff>
      <xdr:row>4</xdr:row>
      <xdr:rowOff>386334</xdr:rowOff>
    </xdr:to>
    <xdr:pic macro="[0]!SendToOfficeLocal">
      <xdr:nvPicPr>
        <xdr:cNvPr id="8" name="PT54345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0471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4</xdr:col>
      <xdr:colOff>0</xdr:colOff>
      <xdr:row>28</xdr:row>
      <xdr:rowOff>0</xdr:rowOff>
    </xdr:from>
    <xdr:to>
      <xdr:col>10</xdr:col>
      <xdr:colOff>0</xdr:colOff>
      <xdr:row>45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5</xdr:row>
          <xdr:rowOff>0</xdr:rowOff>
        </xdr:from>
        <xdr:to>
          <xdr:col>4</xdr:col>
          <xdr:colOff>3048000</xdr:colOff>
          <xdr:row>6</xdr:row>
          <xdr:rowOff>0</xdr:rowOff>
        </xdr:to>
        <xdr:sp macro="" textlink="">
          <xdr:nvSpPr>
            <xdr:cNvPr id="5121" name="DD52692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2" name="TX383525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55675" y="1905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CheckBoxDate,CheckBox,True,True,000000000302_General,True,Date data,False,
RefEditDate,RefEdit0,'Sheet674173X765'!$A$1:$A$157,True,000000000402_General,True,Date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TextBox_p,TextBox,1,True,000000000008_General,True,p:,False,
TextBox_d,TextBox,1,True,000000000308_General,True,d:,False,
TextBox_q,TextBox,0,True,000000000508_General,True,q:,False,
TextBox_Gd,TextBox,1,True,000000000908_General,True,D:,False,
TextBox_s,TextBox,12,True,000000001308_General,True,s:,False,
TextBox_GP,TextBox,1,True,000000000708_General,True,P:,False,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OptionButtonLike,OptionButton,False,True,100000000102_Options,True,Likelihood,False,
OptionButtonLeast,OptionButton,True,True,100000000202_Options,True,Least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TextBoxTestNumber,TextBox,12,True,200000000000_Validation,True,,False,
CheckBox_Validation,CheckBox,True,True,200000000001_Validation,True,Validation,False,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RefEditT,RefEdit0,'Sheet674173X765'!$B$1:$B$157,True,000000000001_General,True,,False,
</a:t>
          </a:r>
        </a:p>
      </xdr:txBody>
    </xdr:sp>
    <xdr:clientData/>
  </xdr:twoCellAnchor>
  <xdr:twoCellAnchor editAs="absolute">
    <xdr:from>
      <xdr:col>0</xdr:col>
      <xdr:colOff>339725</xdr:colOff>
      <xdr:row>10</xdr:row>
      <xdr:rowOff>6350</xdr:rowOff>
    </xdr:from>
    <xdr:to>
      <xdr:col>2</xdr:col>
      <xdr:colOff>782828</xdr:colOff>
      <xdr:row>11</xdr:row>
      <xdr:rowOff>0</xdr:rowOff>
    </xdr:to>
    <xdr:sp macro="" textlink="">
      <xdr:nvSpPr>
        <xdr:cNvPr id="3" name="BK38352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9725" y="1911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383158</xdr:colOff>
      <xdr:row>10</xdr:row>
      <xdr:rowOff>43434</xdr:rowOff>
    </xdr:from>
    <xdr:to>
      <xdr:col>1</xdr:col>
      <xdr:colOff>326008</xdr:colOff>
      <xdr:row>10</xdr:row>
      <xdr:rowOff>386334</xdr:rowOff>
    </xdr:to>
    <xdr:pic macro="[0]!ReRunXLSTAT">
      <xdr:nvPicPr>
        <xdr:cNvPr id="4" name="BT38352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460882</xdr:colOff>
      <xdr:row>10</xdr:row>
      <xdr:rowOff>43434</xdr:rowOff>
    </xdr:from>
    <xdr:to>
      <xdr:col>1</xdr:col>
      <xdr:colOff>803782</xdr:colOff>
      <xdr:row>10</xdr:row>
      <xdr:rowOff>386334</xdr:rowOff>
    </xdr:to>
    <xdr:pic macro="[0]!AddRemovGrid">
      <xdr:nvPicPr>
        <xdr:cNvPr id="5" name="RM38352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460882</xdr:colOff>
      <xdr:row>10</xdr:row>
      <xdr:rowOff>43434</xdr:rowOff>
    </xdr:from>
    <xdr:to>
      <xdr:col>1</xdr:col>
      <xdr:colOff>803782</xdr:colOff>
      <xdr:row>10</xdr:row>
      <xdr:rowOff>386334</xdr:rowOff>
    </xdr:to>
    <xdr:pic macro="AddRemovGrid">
      <xdr:nvPicPr>
        <xdr:cNvPr id="6" name="AD383525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938656</xdr:colOff>
      <xdr:row>10</xdr:row>
      <xdr:rowOff>43434</xdr:rowOff>
    </xdr:from>
    <xdr:to>
      <xdr:col>2</xdr:col>
      <xdr:colOff>300481</xdr:colOff>
      <xdr:row>10</xdr:row>
      <xdr:rowOff>386334</xdr:rowOff>
    </xdr:to>
    <xdr:pic macro="[0]!SendToOfficeLocal">
      <xdr:nvPicPr>
        <xdr:cNvPr id="7" name="WD383525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391921</xdr:colOff>
      <xdr:row>10</xdr:row>
      <xdr:rowOff>43434</xdr:rowOff>
    </xdr:from>
    <xdr:to>
      <xdr:col>2</xdr:col>
      <xdr:colOff>734821</xdr:colOff>
      <xdr:row>10</xdr:row>
      <xdr:rowOff>386334</xdr:rowOff>
    </xdr:to>
    <xdr:pic macro="[0]!SendToOfficeLocal">
      <xdr:nvPicPr>
        <xdr:cNvPr id="8" name="PT383525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214</xdr:row>
      <xdr:rowOff>0</xdr:rowOff>
    </xdr:from>
    <xdr:to>
      <xdr:col>7</xdr:col>
      <xdr:colOff>0</xdr:colOff>
      <xdr:row>231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214</xdr:row>
      <xdr:rowOff>0</xdr:rowOff>
    </xdr:from>
    <xdr:to>
      <xdr:col>13</xdr:col>
      <xdr:colOff>127000</xdr:colOff>
      <xdr:row>231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261</xdr:row>
      <xdr:rowOff>0</xdr:rowOff>
    </xdr:from>
    <xdr:to>
      <xdr:col>7</xdr:col>
      <xdr:colOff>0</xdr:colOff>
      <xdr:row>278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127000</xdr:colOff>
      <xdr:row>261</xdr:row>
      <xdr:rowOff>0</xdr:rowOff>
    </xdr:from>
    <xdr:to>
      <xdr:col>13</xdr:col>
      <xdr:colOff>127000</xdr:colOff>
      <xdr:row>278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308</xdr:row>
      <xdr:rowOff>0</xdr:rowOff>
    </xdr:from>
    <xdr:to>
      <xdr:col>7</xdr:col>
      <xdr:colOff>0</xdr:colOff>
      <xdr:row>325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127000</xdr:colOff>
      <xdr:row>308</xdr:row>
      <xdr:rowOff>0</xdr:rowOff>
    </xdr:from>
    <xdr:to>
      <xdr:col>13</xdr:col>
      <xdr:colOff>127000</xdr:colOff>
      <xdr:row>325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11</xdr:row>
          <xdr:rowOff>0</xdr:rowOff>
        </xdr:from>
        <xdr:to>
          <xdr:col>3</xdr:col>
          <xdr:colOff>444500</xdr:colOff>
          <xdr:row>12</xdr:row>
          <xdr:rowOff>0</xdr:rowOff>
        </xdr:to>
        <xdr:sp macro="" textlink="">
          <xdr:nvSpPr>
            <xdr:cNvPr id="16385" name="DD776164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2" name="TX586073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55675" y="1905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CheckBoxDate,CheckBox,True,True,000000000302_General,True,Date data,False,
RefEditDate,RefEdit0,'Sheet674173X765'!$A$1:$A$157,True,000000000402_General,True,Date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TextBox_p,TextBox,2,True,000000000008_General,True,p:,False,
TextBox_d,TextBox,1,True,000000000308_General,True,d:,False,
TextBox_q,TextBox,0,True,000000000508_General,True,q:,False,
TextBox_Gd,TextBox,1,True,000000000908_General,True,D:,False,
TextBox_s,TextBox,12,True,000000001308_General,True,s:,False,
TextBox_GP,TextBox,2,True,000000000708_General,True,P:,False,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OptionButtonLike,OptionButton,False,True,100000000102_Options,True,Likelihood,False,
OptionButtonLeast,OptionButton,True,True,100000000202_Options,True,Least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TextBoxTestNumber,TextBox,12,True,200000000000_Validation,True,,False,
CheckBox_Validation,CheckBox,True,True,200000000001_Validation,True,Validation,False,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RefEditT,RefEdit0,'Sheet674173X765'!$B$1:$B$157,True,000000000001_General,True,,False,
</a:t>
          </a:r>
        </a:p>
      </xdr:txBody>
    </xdr:sp>
    <xdr:clientData/>
  </xdr:twoCellAnchor>
  <xdr:twoCellAnchor editAs="absolute">
    <xdr:from>
      <xdr:col>1</xdr:col>
      <xdr:colOff>6350</xdr:colOff>
      <xdr:row>10</xdr:row>
      <xdr:rowOff>6350</xdr:rowOff>
    </xdr:from>
    <xdr:to>
      <xdr:col>3</xdr:col>
      <xdr:colOff>77978</xdr:colOff>
      <xdr:row>11</xdr:row>
      <xdr:rowOff>0</xdr:rowOff>
    </xdr:to>
    <xdr:sp macro="" textlink="">
      <xdr:nvSpPr>
        <xdr:cNvPr id="3" name="BK58607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9725" y="1911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10</xdr:row>
      <xdr:rowOff>43434</xdr:rowOff>
    </xdr:from>
    <xdr:to>
      <xdr:col>1</xdr:col>
      <xdr:colOff>392683</xdr:colOff>
      <xdr:row>10</xdr:row>
      <xdr:rowOff>386334</xdr:rowOff>
    </xdr:to>
    <xdr:pic macro="[1]!RelaunchCall">
      <xdr:nvPicPr>
        <xdr:cNvPr id="4" name="BT58607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10</xdr:row>
      <xdr:rowOff>43434</xdr:rowOff>
    </xdr:from>
    <xdr:to>
      <xdr:col>2</xdr:col>
      <xdr:colOff>32257</xdr:colOff>
      <xdr:row>10</xdr:row>
      <xdr:rowOff>386334</xdr:rowOff>
    </xdr:to>
    <xdr:pic macro="[0]!AddRemovGrid">
      <xdr:nvPicPr>
        <xdr:cNvPr id="5" name="RM58607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10</xdr:row>
      <xdr:rowOff>43434</xdr:rowOff>
    </xdr:from>
    <xdr:to>
      <xdr:col>2</xdr:col>
      <xdr:colOff>32257</xdr:colOff>
      <xdr:row>10</xdr:row>
      <xdr:rowOff>386334</xdr:rowOff>
    </xdr:to>
    <xdr:pic macro="AddRemovGrid">
      <xdr:nvPicPr>
        <xdr:cNvPr id="6" name="AD586073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167131</xdr:colOff>
      <xdr:row>10</xdr:row>
      <xdr:rowOff>43434</xdr:rowOff>
    </xdr:from>
    <xdr:to>
      <xdr:col>2</xdr:col>
      <xdr:colOff>510031</xdr:colOff>
      <xdr:row>10</xdr:row>
      <xdr:rowOff>386334</xdr:rowOff>
    </xdr:to>
    <xdr:pic macro="[0]!SendToOfficeLocal">
      <xdr:nvPicPr>
        <xdr:cNvPr id="7" name="WD58607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601471</xdr:colOff>
      <xdr:row>10</xdr:row>
      <xdr:rowOff>43434</xdr:rowOff>
    </xdr:from>
    <xdr:to>
      <xdr:col>3</xdr:col>
      <xdr:colOff>29971</xdr:colOff>
      <xdr:row>10</xdr:row>
      <xdr:rowOff>386334</xdr:rowOff>
    </xdr:to>
    <xdr:pic macro="[0]!SendToOfficeLocal">
      <xdr:nvPicPr>
        <xdr:cNvPr id="8" name="PT58607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216</xdr:row>
      <xdr:rowOff>0</xdr:rowOff>
    </xdr:from>
    <xdr:to>
      <xdr:col>7</xdr:col>
      <xdr:colOff>0</xdr:colOff>
      <xdr:row>233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216</xdr:row>
      <xdr:rowOff>0</xdr:rowOff>
    </xdr:from>
    <xdr:to>
      <xdr:col>13</xdr:col>
      <xdr:colOff>127000</xdr:colOff>
      <xdr:row>233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263</xdr:row>
      <xdr:rowOff>0</xdr:rowOff>
    </xdr:from>
    <xdr:to>
      <xdr:col>7</xdr:col>
      <xdr:colOff>0</xdr:colOff>
      <xdr:row>280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127000</xdr:colOff>
      <xdr:row>263</xdr:row>
      <xdr:rowOff>0</xdr:rowOff>
    </xdr:from>
    <xdr:to>
      <xdr:col>13</xdr:col>
      <xdr:colOff>127000</xdr:colOff>
      <xdr:row>280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310</xdr:row>
      <xdr:rowOff>0</xdr:rowOff>
    </xdr:from>
    <xdr:to>
      <xdr:col>7</xdr:col>
      <xdr:colOff>0</xdr:colOff>
      <xdr:row>327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127000</xdr:colOff>
      <xdr:row>310</xdr:row>
      <xdr:rowOff>0</xdr:rowOff>
    </xdr:from>
    <xdr:to>
      <xdr:col>13</xdr:col>
      <xdr:colOff>127000</xdr:colOff>
      <xdr:row>327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11</xdr:row>
          <xdr:rowOff>0</xdr:rowOff>
        </xdr:from>
        <xdr:to>
          <xdr:col>3</xdr:col>
          <xdr:colOff>673100</xdr:colOff>
          <xdr:row>12</xdr:row>
          <xdr:rowOff>0</xdr:rowOff>
        </xdr:to>
        <xdr:sp macro="" textlink="">
          <xdr:nvSpPr>
            <xdr:cNvPr id="15361" name="DD858005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0267516/AppData/Local/Programs/Addinsoft/XLSTAT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RelaunchCall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57"/>
  <sheetViews>
    <sheetView workbookViewId="0">
      <selection activeCell="F1" sqref="F1"/>
    </sheetView>
  </sheetViews>
  <sheetFormatPr baseColWidth="10" defaultColWidth="8.83203125" defaultRowHeight="15" x14ac:dyDescent="0.2"/>
  <cols>
    <col min="1" max="1" width="18" bestFit="1" customWidth="1"/>
    <col min="2" max="2" width="15.33203125" bestFit="1" customWidth="1"/>
    <col min="3" max="3" width="14.5" bestFit="1" customWidth="1"/>
    <col min="4" max="4" width="16.5" bestFit="1" customWidth="1"/>
    <col min="5" max="5" width="11.5" bestFit="1" customWidth="1"/>
  </cols>
  <sheetData>
    <row r="1" spans="1:7" x14ac:dyDescent="0.2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">
      <c r="A2" t="s">
        <v>7</v>
      </c>
      <c r="B2">
        <v>2796.8</v>
      </c>
      <c r="C2">
        <v>1179.4000000000001</v>
      </c>
      <c r="D2">
        <v>1023.2</v>
      </c>
      <c r="E2">
        <v>93.3</v>
      </c>
      <c r="F2">
        <v>447.8</v>
      </c>
      <c r="G2">
        <v>53.1</v>
      </c>
    </row>
    <row r="3" spans="1:7" x14ac:dyDescent="0.2">
      <c r="A3" t="s">
        <v>8</v>
      </c>
      <c r="B3">
        <v>2791</v>
      </c>
      <c r="C3">
        <v>1171.2</v>
      </c>
      <c r="D3">
        <v>1036.2</v>
      </c>
      <c r="E3">
        <v>95.7</v>
      </c>
      <c r="F3">
        <v>437.1</v>
      </c>
      <c r="G3">
        <v>50.8</v>
      </c>
    </row>
    <row r="4" spans="1:7" x14ac:dyDescent="0.2">
      <c r="A4" t="s">
        <v>9</v>
      </c>
      <c r="B4">
        <v>2754.2</v>
      </c>
      <c r="C4">
        <v>1108.5</v>
      </c>
      <c r="D4">
        <v>1022.1</v>
      </c>
      <c r="E4">
        <v>93.8</v>
      </c>
      <c r="F4">
        <v>479.7</v>
      </c>
      <c r="G4">
        <v>50.1</v>
      </c>
    </row>
    <row r="5" spans="1:7" x14ac:dyDescent="0.2">
      <c r="A5" t="s">
        <v>10</v>
      </c>
      <c r="B5">
        <v>2968.7</v>
      </c>
      <c r="C5">
        <v>1233.8</v>
      </c>
      <c r="D5">
        <v>1050.0999999999999</v>
      </c>
      <c r="E5">
        <v>99.4</v>
      </c>
      <c r="F5">
        <v>533.6</v>
      </c>
      <c r="G5">
        <v>51.8</v>
      </c>
    </row>
    <row r="6" spans="1:7" x14ac:dyDescent="0.2">
      <c r="A6" t="s">
        <v>11</v>
      </c>
      <c r="B6">
        <v>2957.3</v>
      </c>
      <c r="C6">
        <v>1163.0999999999999</v>
      </c>
      <c r="D6">
        <v>1105.3</v>
      </c>
      <c r="E6">
        <v>100</v>
      </c>
      <c r="F6">
        <v>535</v>
      </c>
      <c r="G6">
        <v>53.9</v>
      </c>
    </row>
    <row r="7" spans="1:7" x14ac:dyDescent="0.2">
      <c r="A7" t="s">
        <v>12</v>
      </c>
      <c r="B7">
        <v>3097.4</v>
      </c>
      <c r="C7">
        <v>1220</v>
      </c>
      <c r="D7">
        <v>1157.3</v>
      </c>
      <c r="E7">
        <v>105.6</v>
      </c>
      <c r="F7">
        <v>560.20000000000005</v>
      </c>
      <c r="G7">
        <v>54.2</v>
      </c>
    </row>
    <row r="8" spans="1:7" x14ac:dyDescent="0.2">
      <c r="A8" t="s">
        <v>13</v>
      </c>
      <c r="B8">
        <v>2994.9</v>
      </c>
      <c r="C8">
        <v>1243.0999999999999</v>
      </c>
      <c r="D8">
        <v>1064.9000000000001</v>
      </c>
      <c r="E8">
        <v>99.4</v>
      </c>
      <c r="F8">
        <v>537.4</v>
      </c>
      <c r="G8">
        <v>50.2</v>
      </c>
    </row>
    <row r="9" spans="1:7" x14ac:dyDescent="0.2">
      <c r="A9" t="s">
        <v>14</v>
      </c>
      <c r="B9">
        <v>3116.5</v>
      </c>
      <c r="C9">
        <v>1272.0999999999999</v>
      </c>
      <c r="D9">
        <v>1155.9000000000001</v>
      </c>
      <c r="E9">
        <v>106.3</v>
      </c>
      <c r="F9">
        <v>528.79999999999995</v>
      </c>
      <c r="G9">
        <v>53.4</v>
      </c>
    </row>
    <row r="10" spans="1:7" x14ac:dyDescent="0.2">
      <c r="A10" t="s">
        <v>15</v>
      </c>
      <c r="B10">
        <v>3037.8</v>
      </c>
      <c r="C10">
        <v>1226.3</v>
      </c>
      <c r="D10">
        <v>1140.3</v>
      </c>
      <c r="E10">
        <v>104.2</v>
      </c>
      <c r="F10">
        <v>516.29999999999995</v>
      </c>
      <c r="G10">
        <v>50.7</v>
      </c>
    </row>
    <row r="11" spans="1:7" x14ac:dyDescent="0.2">
      <c r="A11" t="s">
        <v>16</v>
      </c>
      <c r="B11">
        <v>2916.7</v>
      </c>
      <c r="C11">
        <v>1150.0999999999999</v>
      </c>
      <c r="D11">
        <v>1098.8</v>
      </c>
      <c r="E11">
        <v>99.5</v>
      </c>
      <c r="F11">
        <v>520</v>
      </c>
      <c r="G11">
        <v>48.4</v>
      </c>
    </row>
    <row r="12" spans="1:7" x14ac:dyDescent="0.2">
      <c r="A12" t="s">
        <v>17</v>
      </c>
      <c r="B12">
        <v>3156.6</v>
      </c>
      <c r="C12">
        <v>1318.2</v>
      </c>
      <c r="D12">
        <v>1163.2</v>
      </c>
      <c r="E12">
        <v>105.7</v>
      </c>
      <c r="F12">
        <v>518.6</v>
      </c>
      <c r="G12">
        <v>50.9</v>
      </c>
    </row>
    <row r="13" spans="1:7" x14ac:dyDescent="0.2">
      <c r="A13" t="s">
        <v>18</v>
      </c>
      <c r="B13">
        <v>2901.3</v>
      </c>
      <c r="C13">
        <v>1223.2</v>
      </c>
      <c r="D13">
        <v>1058.3</v>
      </c>
      <c r="E13">
        <v>97.1</v>
      </c>
      <c r="F13">
        <v>478</v>
      </c>
      <c r="G13">
        <v>44.7</v>
      </c>
    </row>
    <row r="14" spans="1:7" x14ac:dyDescent="0.2">
      <c r="A14" t="s">
        <v>19</v>
      </c>
      <c r="B14">
        <v>2975.3</v>
      </c>
      <c r="C14">
        <v>1266.3</v>
      </c>
      <c r="D14">
        <v>1096</v>
      </c>
      <c r="E14">
        <v>101.4</v>
      </c>
      <c r="F14">
        <v>465.5</v>
      </c>
      <c r="G14">
        <v>46</v>
      </c>
    </row>
    <row r="15" spans="1:7" x14ac:dyDescent="0.2">
      <c r="A15" t="s">
        <v>20</v>
      </c>
      <c r="B15">
        <v>2887.4</v>
      </c>
      <c r="C15">
        <v>1212.9000000000001</v>
      </c>
      <c r="D15">
        <v>1079.8</v>
      </c>
      <c r="E15">
        <v>97.7</v>
      </c>
      <c r="F15">
        <v>452.3</v>
      </c>
      <c r="G15">
        <v>44.7</v>
      </c>
    </row>
    <row r="16" spans="1:7" x14ac:dyDescent="0.2">
      <c r="A16" t="s">
        <v>21</v>
      </c>
      <c r="B16">
        <v>2893.8</v>
      </c>
      <c r="C16">
        <v>1184.4000000000001</v>
      </c>
      <c r="D16">
        <v>1098.9000000000001</v>
      </c>
      <c r="E16">
        <v>95.8</v>
      </c>
      <c r="F16">
        <v>470</v>
      </c>
      <c r="G16">
        <v>44.7</v>
      </c>
    </row>
    <row r="17" spans="1:7" x14ac:dyDescent="0.2">
      <c r="A17" t="s">
        <v>22</v>
      </c>
      <c r="B17">
        <v>3023.6</v>
      </c>
      <c r="C17">
        <v>1262</v>
      </c>
      <c r="D17">
        <v>1102.0999999999999</v>
      </c>
      <c r="E17">
        <v>103</v>
      </c>
      <c r="F17">
        <v>511.3</v>
      </c>
      <c r="G17">
        <v>45.2</v>
      </c>
    </row>
    <row r="18" spans="1:7" x14ac:dyDescent="0.2">
      <c r="A18" t="s">
        <v>23</v>
      </c>
      <c r="B18">
        <v>3092.5</v>
      </c>
      <c r="C18">
        <v>1243.7</v>
      </c>
      <c r="D18">
        <v>1174</v>
      </c>
      <c r="E18">
        <v>105</v>
      </c>
      <c r="F18">
        <v>522</v>
      </c>
      <c r="G18">
        <v>47.7</v>
      </c>
    </row>
    <row r="19" spans="1:7" x14ac:dyDescent="0.2">
      <c r="A19" t="s">
        <v>24</v>
      </c>
      <c r="B19">
        <v>3182.1</v>
      </c>
      <c r="C19">
        <v>1324.6</v>
      </c>
      <c r="D19">
        <v>1171</v>
      </c>
      <c r="E19">
        <v>106.5</v>
      </c>
      <c r="F19">
        <v>533.20000000000005</v>
      </c>
      <c r="G19">
        <v>46.8</v>
      </c>
    </row>
    <row r="20" spans="1:7" x14ac:dyDescent="0.2">
      <c r="A20" t="s">
        <v>25</v>
      </c>
      <c r="B20">
        <v>3007.5</v>
      </c>
      <c r="C20">
        <v>1230.9000000000001</v>
      </c>
      <c r="D20">
        <v>1118.0999999999999</v>
      </c>
      <c r="E20">
        <v>102</v>
      </c>
      <c r="F20">
        <v>513.20000000000005</v>
      </c>
      <c r="G20">
        <v>43.3</v>
      </c>
    </row>
    <row r="21" spans="1:7" x14ac:dyDescent="0.2">
      <c r="A21" t="s">
        <v>26</v>
      </c>
      <c r="B21">
        <v>3264</v>
      </c>
      <c r="C21">
        <v>1321.1</v>
      </c>
      <c r="D21">
        <v>1239.0999999999999</v>
      </c>
      <c r="E21">
        <v>110.5</v>
      </c>
      <c r="F21">
        <v>544.20000000000005</v>
      </c>
      <c r="G21">
        <v>49.1</v>
      </c>
    </row>
    <row r="22" spans="1:7" x14ac:dyDescent="0.2">
      <c r="A22" t="s">
        <v>27</v>
      </c>
      <c r="B22">
        <v>3114</v>
      </c>
      <c r="C22">
        <v>1257.5</v>
      </c>
      <c r="D22">
        <v>1164.4000000000001</v>
      </c>
      <c r="E22">
        <v>105.5</v>
      </c>
      <c r="F22">
        <v>541.4</v>
      </c>
      <c r="G22">
        <v>45.2</v>
      </c>
    </row>
    <row r="23" spans="1:7" x14ac:dyDescent="0.2">
      <c r="A23" t="s">
        <v>28</v>
      </c>
      <c r="B23">
        <v>3107.1</v>
      </c>
      <c r="C23">
        <v>1249.8</v>
      </c>
      <c r="D23">
        <v>1180.2</v>
      </c>
      <c r="E23">
        <v>106.2</v>
      </c>
      <c r="F23">
        <v>525.70000000000005</v>
      </c>
      <c r="G23">
        <v>45.2</v>
      </c>
    </row>
    <row r="24" spans="1:7" x14ac:dyDescent="0.2">
      <c r="A24" t="s">
        <v>29</v>
      </c>
      <c r="B24">
        <v>3215</v>
      </c>
      <c r="C24">
        <v>1291.8</v>
      </c>
      <c r="D24">
        <v>1231.5999999999999</v>
      </c>
      <c r="E24">
        <v>110</v>
      </c>
      <c r="F24">
        <v>535.20000000000005</v>
      </c>
      <c r="G24">
        <v>46.5</v>
      </c>
    </row>
    <row r="25" spans="1:7" x14ac:dyDescent="0.2">
      <c r="A25" t="s">
        <v>30</v>
      </c>
      <c r="B25">
        <v>3039.4</v>
      </c>
      <c r="C25">
        <v>1270.3</v>
      </c>
      <c r="D25">
        <v>1130.5</v>
      </c>
      <c r="E25">
        <v>101.9</v>
      </c>
      <c r="F25">
        <v>495</v>
      </c>
      <c r="G25">
        <v>41.7</v>
      </c>
    </row>
    <row r="26" spans="1:7" x14ac:dyDescent="0.2">
      <c r="A26" t="s">
        <v>31</v>
      </c>
      <c r="B26">
        <v>3166.4</v>
      </c>
      <c r="C26">
        <v>1338</v>
      </c>
      <c r="D26">
        <v>1202.5999999999999</v>
      </c>
      <c r="E26">
        <v>107.5</v>
      </c>
      <c r="F26">
        <v>473.6</v>
      </c>
      <c r="G26">
        <v>44.7</v>
      </c>
    </row>
    <row r="27" spans="1:7" x14ac:dyDescent="0.2">
      <c r="A27" t="s">
        <v>32</v>
      </c>
      <c r="B27">
        <v>2938.6</v>
      </c>
      <c r="C27">
        <v>1257.2</v>
      </c>
      <c r="D27">
        <v>1098.3</v>
      </c>
      <c r="E27">
        <v>99.7</v>
      </c>
      <c r="F27">
        <v>444.4</v>
      </c>
      <c r="G27">
        <v>39.1</v>
      </c>
    </row>
    <row r="28" spans="1:7" x14ac:dyDescent="0.2">
      <c r="A28" t="s">
        <v>33</v>
      </c>
      <c r="B28">
        <v>3018.8</v>
      </c>
      <c r="C28">
        <v>1241.4000000000001</v>
      </c>
      <c r="D28">
        <v>1182.4000000000001</v>
      </c>
      <c r="E28">
        <v>101.9</v>
      </c>
      <c r="F28">
        <v>451.8</v>
      </c>
      <c r="G28">
        <v>41.3</v>
      </c>
    </row>
    <row r="29" spans="1:7" x14ac:dyDescent="0.2">
      <c r="A29" t="s">
        <v>34</v>
      </c>
      <c r="B29">
        <v>3150</v>
      </c>
      <c r="C29">
        <v>1311.7</v>
      </c>
      <c r="D29">
        <v>1180.9000000000001</v>
      </c>
      <c r="E29">
        <v>106.4</v>
      </c>
      <c r="F29">
        <v>511</v>
      </c>
      <c r="G29">
        <v>40</v>
      </c>
    </row>
    <row r="30" spans="1:7" x14ac:dyDescent="0.2">
      <c r="A30" t="s">
        <v>35</v>
      </c>
      <c r="B30">
        <v>3271.1</v>
      </c>
      <c r="C30">
        <v>1323.7</v>
      </c>
      <c r="D30">
        <v>1251.2</v>
      </c>
      <c r="E30">
        <v>108.5</v>
      </c>
      <c r="F30">
        <v>542.79999999999995</v>
      </c>
      <c r="G30">
        <v>44.9</v>
      </c>
    </row>
    <row r="31" spans="1:7" x14ac:dyDescent="0.2">
      <c r="A31" t="s">
        <v>36</v>
      </c>
      <c r="B31">
        <v>3222.5</v>
      </c>
      <c r="C31">
        <v>1304.4000000000001</v>
      </c>
      <c r="D31">
        <v>1212.5999999999999</v>
      </c>
      <c r="E31">
        <v>108.5</v>
      </c>
      <c r="F31">
        <v>556</v>
      </c>
      <c r="G31">
        <v>40.9</v>
      </c>
    </row>
    <row r="32" spans="1:7" x14ac:dyDescent="0.2">
      <c r="A32" t="s">
        <v>37</v>
      </c>
      <c r="B32">
        <v>3288.9</v>
      </c>
      <c r="C32">
        <v>1344.6</v>
      </c>
      <c r="D32">
        <v>1225.2</v>
      </c>
      <c r="E32">
        <v>111.7</v>
      </c>
      <c r="F32">
        <v>563.1</v>
      </c>
      <c r="G32">
        <v>44.3</v>
      </c>
    </row>
    <row r="33" spans="1:7" x14ac:dyDescent="0.2">
      <c r="A33" t="s">
        <v>38</v>
      </c>
      <c r="B33">
        <v>3277.4</v>
      </c>
      <c r="C33">
        <v>1296.5</v>
      </c>
      <c r="D33">
        <v>1268.2</v>
      </c>
      <c r="E33">
        <v>113.3</v>
      </c>
      <c r="F33">
        <v>555</v>
      </c>
      <c r="G33">
        <v>44.4</v>
      </c>
    </row>
    <row r="34" spans="1:7" x14ac:dyDescent="0.2">
      <c r="A34" t="s">
        <v>39</v>
      </c>
      <c r="B34">
        <v>3205.8</v>
      </c>
      <c r="C34">
        <v>1359.9</v>
      </c>
      <c r="D34">
        <v>1182.2</v>
      </c>
      <c r="E34">
        <v>109.5</v>
      </c>
      <c r="F34">
        <v>513.6</v>
      </c>
      <c r="G34">
        <v>40.700000000000003</v>
      </c>
    </row>
    <row r="35" spans="1:7" x14ac:dyDescent="0.2">
      <c r="A35" t="s">
        <v>40</v>
      </c>
      <c r="B35">
        <v>3268.2</v>
      </c>
      <c r="C35">
        <v>1345.8</v>
      </c>
      <c r="D35">
        <v>1253.5</v>
      </c>
      <c r="E35">
        <v>112.3</v>
      </c>
      <c r="F35">
        <v>514.70000000000005</v>
      </c>
      <c r="G35">
        <v>41.9</v>
      </c>
    </row>
    <row r="36" spans="1:7" x14ac:dyDescent="0.2">
      <c r="A36" t="s">
        <v>41</v>
      </c>
      <c r="B36">
        <v>3378.1</v>
      </c>
      <c r="C36">
        <v>1403.2</v>
      </c>
      <c r="D36">
        <v>1271.4000000000001</v>
      </c>
      <c r="E36">
        <v>113.8</v>
      </c>
      <c r="F36">
        <v>547.9</v>
      </c>
      <c r="G36">
        <v>41.7</v>
      </c>
    </row>
    <row r="37" spans="1:7" x14ac:dyDescent="0.2">
      <c r="A37" t="s">
        <v>42</v>
      </c>
      <c r="B37">
        <v>3119.2</v>
      </c>
      <c r="C37">
        <v>1292.4000000000001</v>
      </c>
      <c r="D37">
        <v>1192.0999999999999</v>
      </c>
      <c r="E37">
        <v>107.1</v>
      </c>
      <c r="F37">
        <v>489.9</v>
      </c>
      <c r="G37">
        <v>37.700000000000003</v>
      </c>
    </row>
    <row r="38" spans="1:7" x14ac:dyDescent="0.2">
      <c r="A38" t="s">
        <v>43</v>
      </c>
      <c r="B38">
        <v>3149.8</v>
      </c>
      <c r="C38">
        <v>1280.9000000000001</v>
      </c>
      <c r="D38">
        <v>1248.7</v>
      </c>
      <c r="E38">
        <v>113.4</v>
      </c>
      <c r="F38">
        <v>467.1</v>
      </c>
      <c r="G38">
        <v>39.700000000000003</v>
      </c>
    </row>
    <row r="39" spans="1:7" x14ac:dyDescent="0.2">
      <c r="A39" t="s">
        <v>44</v>
      </c>
      <c r="B39">
        <v>3166.2</v>
      </c>
      <c r="C39">
        <v>1329.7</v>
      </c>
      <c r="D39">
        <v>1217.0999999999999</v>
      </c>
      <c r="E39">
        <v>110.5</v>
      </c>
      <c r="F39">
        <v>472.7</v>
      </c>
      <c r="G39">
        <v>36.1</v>
      </c>
    </row>
    <row r="40" spans="1:7" x14ac:dyDescent="0.2">
      <c r="A40" t="s">
        <v>45</v>
      </c>
      <c r="B40">
        <v>2987.2</v>
      </c>
      <c r="C40">
        <v>1236</v>
      </c>
      <c r="D40">
        <v>1163.0999999999999</v>
      </c>
      <c r="E40">
        <v>105.5</v>
      </c>
      <c r="F40">
        <v>449.5</v>
      </c>
      <c r="G40">
        <v>33.1</v>
      </c>
    </row>
    <row r="41" spans="1:7" x14ac:dyDescent="0.2">
      <c r="A41" t="s">
        <v>46</v>
      </c>
      <c r="B41">
        <v>3289</v>
      </c>
      <c r="C41">
        <v>1362.3</v>
      </c>
      <c r="D41">
        <v>1281.4000000000001</v>
      </c>
      <c r="E41">
        <v>116.5</v>
      </c>
      <c r="F41">
        <v>491.5</v>
      </c>
      <c r="G41">
        <v>37.200000000000003</v>
      </c>
    </row>
    <row r="42" spans="1:7" x14ac:dyDescent="0.2">
      <c r="A42" t="s">
        <v>47</v>
      </c>
      <c r="B42">
        <v>3279.6</v>
      </c>
      <c r="C42">
        <v>1335.3</v>
      </c>
      <c r="D42">
        <v>1249.0999999999999</v>
      </c>
      <c r="E42">
        <v>114.2</v>
      </c>
      <c r="F42">
        <v>544</v>
      </c>
      <c r="G42">
        <v>36.9</v>
      </c>
    </row>
    <row r="43" spans="1:7" x14ac:dyDescent="0.2">
      <c r="A43" t="s">
        <v>48</v>
      </c>
      <c r="B43">
        <v>3396.1</v>
      </c>
      <c r="C43">
        <v>1352.4</v>
      </c>
      <c r="D43">
        <v>1311.2</v>
      </c>
      <c r="E43">
        <v>121.8</v>
      </c>
      <c r="F43">
        <v>572.5</v>
      </c>
      <c r="G43">
        <v>38.1</v>
      </c>
    </row>
    <row r="44" spans="1:7" x14ac:dyDescent="0.2">
      <c r="A44" t="s">
        <v>49</v>
      </c>
      <c r="B44">
        <v>3368.5</v>
      </c>
      <c r="C44">
        <v>1385.2</v>
      </c>
      <c r="D44">
        <v>1298.7</v>
      </c>
      <c r="E44">
        <v>121.2</v>
      </c>
      <c r="F44">
        <v>525.79999999999995</v>
      </c>
      <c r="G44">
        <v>37.6</v>
      </c>
    </row>
    <row r="45" spans="1:7" x14ac:dyDescent="0.2">
      <c r="A45" t="s">
        <v>50</v>
      </c>
      <c r="B45">
        <v>3176.1</v>
      </c>
      <c r="C45">
        <v>1320.1</v>
      </c>
      <c r="D45">
        <v>1190.2</v>
      </c>
      <c r="E45">
        <v>117.4</v>
      </c>
      <c r="F45">
        <v>510.1</v>
      </c>
      <c r="G45">
        <v>38.4</v>
      </c>
    </row>
    <row r="46" spans="1:7" x14ac:dyDescent="0.2">
      <c r="A46" t="s">
        <v>51</v>
      </c>
      <c r="B46">
        <v>3381.5</v>
      </c>
      <c r="C46">
        <v>1398.4</v>
      </c>
      <c r="D46">
        <v>1298.5999999999999</v>
      </c>
      <c r="E46">
        <v>123.5</v>
      </c>
      <c r="F46">
        <v>519.1</v>
      </c>
      <c r="G46">
        <v>41.8</v>
      </c>
    </row>
    <row r="47" spans="1:7" x14ac:dyDescent="0.2">
      <c r="A47" t="s">
        <v>52</v>
      </c>
      <c r="B47">
        <v>3364.9</v>
      </c>
      <c r="C47">
        <v>1395.4</v>
      </c>
      <c r="D47">
        <v>1282.5999999999999</v>
      </c>
      <c r="E47">
        <v>120.1</v>
      </c>
      <c r="F47">
        <v>522.1</v>
      </c>
      <c r="G47">
        <v>44.7</v>
      </c>
    </row>
    <row r="48" spans="1:7" x14ac:dyDescent="0.2">
      <c r="A48" t="s">
        <v>53</v>
      </c>
      <c r="B48">
        <v>3249</v>
      </c>
      <c r="C48">
        <v>1340.1</v>
      </c>
      <c r="D48">
        <v>1218.4000000000001</v>
      </c>
      <c r="E48">
        <v>117.5</v>
      </c>
      <c r="F48">
        <v>535.6</v>
      </c>
      <c r="G48">
        <v>37.5</v>
      </c>
    </row>
    <row r="49" spans="1:7" x14ac:dyDescent="0.2">
      <c r="A49" t="s">
        <v>54</v>
      </c>
      <c r="B49">
        <v>3179.2</v>
      </c>
      <c r="C49">
        <v>1294.7</v>
      </c>
      <c r="D49">
        <v>1245.8</v>
      </c>
      <c r="E49">
        <v>118.2</v>
      </c>
      <c r="F49">
        <v>484</v>
      </c>
      <c r="G49">
        <v>36.5</v>
      </c>
    </row>
    <row r="50" spans="1:7" x14ac:dyDescent="0.2">
      <c r="A50" t="s">
        <v>55</v>
      </c>
      <c r="B50">
        <v>3005.9</v>
      </c>
      <c r="C50">
        <v>1217.9000000000001</v>
      </c>
      <c r="D50">
        <v>1169.5</v>
      </c>
      <c r="E50">
        <v>109</v>
      </c>
      <c r="F50">
        <v>476.4</v>
      </c>
      <c r="G50">
        <v>33.200000000000003</v>
      </c>
    </row>
    <row r="51" spans="1:7" x14ac:dyDescent="0.2">
      <c r="A51" t="s">
        <v>56</v>
      </c>
      <c r="B51">
        <v>3004.8</v>
      </c>
      <c r="C51">
        <v>1210.5</v>
      </c>
      <c r="D51">
        <v>1190.2</v>
      </c>
      <c r="E51">
        <v>109.7</v>
      </c>
      <c r="F51">
        <v>460.5</v>
      </c>
      <c r="G51">
        <v>34</v>
      </c>
    </row>
    <row r="52" spans="1:7" x14ac:dyDescent="0.2">
      <c r="A52" t="s">
        <v>57</v>
      </c>
      <c r="B52">
        <v>2931.1</v>
      </c>
      <c r="C52">
        <v>1142.4000000000001</v>
      </c>
      <c r="D52">
        <v>1188.3</v>
      </c>
      <c r="E52">
        <v>106.3</v>
      </c>
      <c r="F52">
        <v>461.2</v>
      </c>
      <c r="G52">
        <v>32.799999999999997</v>
      </c>
    </row>
    <row r="53" spans="1:7" x14ac:dyDescent="0.2">
      <c r="A53" t="s">
        <v>58</v>
      </c>
      <c r="B53">
        <v>3103.5</v>
      </c>
      <c r="C53">
        <v>1229.2</v>
      </c>
      <c r="D53">
        <v>1211.7</v>
      </c>
      <c r="E53">
        <v>117.6</v>
      </c>
      <c r="F53">
        <v>510.5</v>
      </c>
      <c r="G53">
        <v>34.4</v>
      </c>
    </row>
    <row r="54" spans="1:7" x14ac:dyDescent="0.2">
      <c r="A54" t="s">
        <v>59</v>
      </c>
      <c r="B54">
        <v>3054.9</v>
      </c>
      <c r="C54">
        <v>1143.9000000000001</v>
      </c>
      <c r="D54">
        <v>1207.2</v>
      </c>
      <c r="E54">
        <v>112.5</v>
      </c>
      <c r="F54">
        <v>556.6</v>
      </c>
      <c r="G54">
        <v>34.700000000000003</v>
      </c>
    </row>
    <row r="55" spans="1:7" x14ac:dyDescent="0.2">
      <c r="A55" t="s">
        <v>60</v>
      </c>
      <c r="B55">
        <v>3425.6</v>
      </c>
      <c r="C55">
        <v>1340.6</v>
      </c>
      <c r="D55">
        <v>1315.3</v>
      </c>
      <c r="E55">
        <v>123.2</v>
      </c>
      <c r="F55">
        <v>609.5</v>
      </c>
      <c r="G55">
        <v>37</v>
      </c>
    </row>
    <row r="56" spans="1:7" x14ac:dyDescent="0.2">
      <c r="A56" t="s">
        <v>61</v>
      </c>
      <c r="B56">
        <v>3414.1</v>
      </c>
      <c r="C56">
        <v>1361.2</v>
      </c>
      <c r="D56">
        <v>1304.7</v>
      </c>
      <c r="E56">
        <v>119.9</v>
      </c>
      <c r="F56">
        <v>592.70000000000005</v>
      </c>
      <c r="G56">
        <v>35.6</v>
      </c>
    </row>
    <row r="57" spans="1:7" x14ac:dyDescent="0.2">
      <c r="A57" t="s">
        <v>62</v>
      </c>
      <c r="B57">
        <v>3342.7</v>
      </c>
      <c r="C57">
        <v>1365.1</v>
      </c>
      <c r="D57">
        <v>1241.4000000000001</v>
      </c>
      <c r="E57">
        <v>129.1</v>
      </c>
      <c r="F57">
        <v>572.1</v>
      </c>
      <c r="G57">
        <v>35</v>
      </c>
    </row>
    <row r="58" spans="1:7" x14ac:dyDescent="0.2">
      <c r="A58" t="s">
        <v>63</v>
      </c>
      <c r="B58">
        <v>3395.7</v>
      </c>
      <c r="C58">
        <v>1391.5</v>
      </c>
      <c r="D58">
        <v>1241.8</v>
      </c>
      <c r="E58">
        <v>172.3</v>
      </c>
      <c r="F58">
        <v>554.9</v>
      </c>
      <c r="G58">
        <v>35.4</v>
      </c>
    </row>
    <row r="59" spans="1:7" x14ac:dyDescent="0.2">
      <c r="A59" t="s">
        <v>64</v>
      </c>
      <c r="B59">
        <v>3419.5</v>
      </c>
      <c r="C59">
        <v>1377.1</v>
      </c>
      <c r="D59">
        <v>1277.5</v>
      </c>
      <c r="E59">
        <v>171.8</v>
      </c>
      <c r="F59">
        <v>557.4</v>
      </c>
      <c r="G59">
        <v>35.700000000000003</v>
      </c>
    </row>
    <row r="60" spans="1:7" x14ac:dyDescent="0.2">
      <c r="A60" t="s">
        <v>65</v>
      </c>
      <c r="B60">
        <v>3379.9</v>
      </c>
      <c r="C60">
        <v>1394.2</v>
      </c>
      <c r="D60">
        <v>1222.7</v>
      </c>
      <c r="E60">
        <v>167.3</v>
      </c>
      <c r="F60">
        <v>562.9</v>
      </c>
      <c r="G60">
        <v>32.799999999999997</v>
      </c>
    </row>
    <row r="61" spans="1:7" x14ac:dyDescent="0.2">
      <c r="A61" t="s">
        <v>66</v>
      </c>
      <c r="B61">
        <v>3345.1</v>
      </c>
      <c r="C61">
        <v>1396.8</v>
      </c>
      <c r="D61">
        <v>1229.7</v>
      </c>
      <c r="E61">
        <v>169.1</v>
      </c>
      <c r="F61">
        <v>516</v>
      </c>
      <c r="G61">
        <v>33.5</v>
      </c>
    </row>
    <row r="62" spans="1:7" x14ac:dyDescent="0.2">
      <c r="A62" t="s">
        <v>67</v>
      </c>
      <c r="B62">
        <v>3242.9</v>
      </c>
      <c r="C62">
        <v>1395.9</v>
      </c>
      <c r="D62">
        <v>1161.7</v>
      </c>
      <c r="E62">
        <v>163.80000000000001</v>
      </c>
      <c r="F62">
        <v>490.6</v>
      </c>
      <c r="G62">
        <v>30.9</v>
      </c>
    </row>
    <row r="63" spans="1:7" x14ac:dyDescent="0.2">
      <c r="A63" t="s">
        <v>68</v>
      </c>
      <c r="B63">
        <v>3287.1</v>
      </c>
      <c r="C63">
        <v>1405.9</v>
      </c>
      <c r="D63">
        <v>1180</v>
      </c>
      <c r="E63">
        <v>166.3</v>
      </c>
      <c r="F63">
        <v>503.9</v>
      </c>
      <c r="G63">
        <v>31</v>
      </c>
    </row>
    <row r="64" spans="1:7" x14ac:dyDescent="0.2">
      <c r="A64" t="s">
        <v>69</v>
      </c>
      <c r="B64">
        <v>3420.6</v>
      </c>
      <c r="C64">
        <v>1329.3</v>
      </c>
      <c r="D64">
        <v>1345.4</v>
      </c>
      <c r="E64">
        <v>165</v>
      </c>
      <c r="F64">
        <v>547.6</v>
      </c>
      <c r="G64">
        <v>33.200000000000003</v>
      </c>
    </row>
    <row r="65" spans="1:7" x14ac:dyDescent="0.2">
      <c r="A65" t="s">
        <v>70</v>
      </c>
      <c r="B65">
        <v>3588.8</v>
      </c>
      <c r="C65">
        <v>1488.9</v>
      </c>
      <c r="D65">
        <v>1308.8</v>
      </c>
      <c r="E65">
        <v>173.6</v>
      </c>
      <c r="F65">
        <v>585</v>
      </c>
      <c r="G65">
        <v>32.4</v>
      </c>
    </row>
    <row r="66" spans="1:7" x14ac:dyDescent="0.2">
      <c r="A66" t="s">
        <v>71</v>
      </c>
      <c r="B66">
        <v>3479.4</v>
      </c>
      <c r="C66">
        <v>1471.5</v>
      </c>
      <c r="D66">
        <v>1235</v>
      </c>
      <c r="E66">
        <v>167.3</v>
      </c>
      <c r="F66">
        <v>573.5</v>
      </c>
      <c r="G66">
        <v>32.1</v>
      </c>
    </row>
    <row r="67" spans="1:7" x14ac:dyDescent="0.2">
      <c r="A67" t="s">
        <v>72</v>
      </c>
      <c r="B67">
        <v>3718.7</v>
      </c>
      <c r="C67">
        <v>1523.8</v>
      </c>
      <c r="D67">
        <v>1373.2</v>
      </c>
      <c r="E67">
        <v>181</v>
      </c>
      <c r="F67">
        <v>606</v>
      </c>
      <c r="G67">
        <v>34.799999999999997</v>
      </c>
    </row>
    <row r="68" spans="1:7" x14ac:dyDescent="0.2">
      <c r="A68" t="s">
        <v>73</v>
      </c>
      <c r="B68">
        <v>3571.7</v>
      </c>
      <c r="C68">
        <v>1474.1</v>
      </c>
      <c r="D68">
        <v>1317.3</v>
      </c>
      <c r="E68">
        <v>173.4</v>
      </c>
      <c r="F68">
        <v>575.20000000000005</v>
      </c>
      <c r="G68">
        <v>31.7</v>
      </c>
    </row>
    <row r="69" spans="1:7" x14ac:dyDescent="0.2">
      <c r="A69" t="s">
        <v>74</v>
      </c>
      <c r="B69">
        <v>3601.5</v>
      </c>
      <c r="C69">
        <v>1538.4</v>
      </c>
      <c r="D69">
        <v>1308.3</v>
      </c>
      <c r="E69">
        <v>182.8</v>
      </c>
      <c r="F69">
        <v>539.70000000000005</v>
      </c>
      <c r="G69">
        <v>32.299999999999997</v>
      </c>
    </row>
    <row r="70" spans="1:7" x14ac:dyDescent="0.2">
      <c r="A70" t="s">
        <v>75</v>
      </c>
      <c r="B70">
        <v>3555.8</v>
      </c>
      <c r="C70">
        <v>1516.6</v>
      </c>
      <c r="D70">
        <v>1287.3</v>
      </c>
      <c r="E70">
        <v>181.1</v>
      </c>
      <c r="F70">
        <v>539.20000000000005</v>
      </c>
      <c r="G70">
        <v>31.6</v>
      </c>
    </row>
    <row r="71" spans="1:7" x14ac:dyDescent="0.2">
      <c r="A71" t="s">
        <v>76</v>
      </c>
      <c r="B71">
        <v>3514.9</v>
      </c>
      <c r="C71">
        <v>1472.5</v>
      </c>
      <c r="D71">
        <v>1278.3</v>
      </c>
      <c r="E71">
        <v>174.9</v>
      </c>
      <c r="F71">
        <v>557.79999999999995</v>
      </c>
      <c r="G71">
        <v>31.3</v>
      </c>
    </row>
    <row r="72" spans="1:7" x14ac:dyDescent="0.2">
      <c r="A72" t="s">
        <v>77</v>
      </c>
      <c r="B72">
        <v>3614.4</v>
      </c>
      <c r="C72">
        <v>1516.5</v>
      </c>
      <c r="D72">
        <v>1299.2</v>
      </c>
      <c r="E72">
        <v>185.5</v>
      </c>
      <c r="F72">
        <v>581.4</v>
      </c>
      <c r="G72">
        <v>31.7</v>
      </c>
    </row>
    <row r="73" spans="1:7" x14ac:dyDescent="0.2">
      <c r="A73" t="s">
        <v>78</v>
      </c>
      <c r="B73">
        <v>3656</v>
      </c>
      <c r="C73">
        <v>1529</v>
      </c>
      <c r="D73">
        <v>1375.3</v>
      </c>
      <c r="E73">
        <v>183.7</v>
      </c>
      <c r="F73">
        <v>536.20000000000005</v>
      </c>
      <c r="G73">
        <v>31.8</v>
      </c>
    </row>
    <row r="74" spans="1:7" x14ac:dyDescent="0.2">
      <c r="A74" t="s">
        <v>79</v>
      </c>
      <c r="B74">
        <v>3470.4</v>
      </c>
      <c r="C74">
        <v>1498.5</v>
      </c>
      <c r="D74">
        <v>1266.4000000000001</v>
      </c>
      <c r="E74">
        <v>176.9</v>
      </c>
      <c r="F74">
        <v>499.3</v>
      </c>
      <c r="G74">
        <v>29.3</v>
      </c>
    </row>
    <row r="75" spans="1:7" x14ac:dyDescent="0.2">
      <c r="A75" t="s">
        <v>80</v>
      </c>
      <c r="B75">
        <v>3426.5</v>
      </c>
      <c r="C75">
        <v>1506.3</v>
      </c>
      <c r="D75">
        <v>1253.8</v>
      </c>
      <c r="E75">
        <v>176.7</v>
      </c>
      <c r="F75">
        <v>461.7</v>
      </c>
      <c r="G75">
        <v>27.9</v>
      </c>
    </row>
    <row r="76" spans="1:7" x14ac:dyDescent="0.2">
      <c r="A76" t="s">
        <v>81</v>
      </c>
      <c r="B76">
        <v>3308</v>
      </c>
      <c r="C76">
        <v>1386.5</v>
      </c>
      <c r="D76">
        <v>1261.5</v>
      </c>
      <c r="E76">
        <v>166.3</v>
      </c>
      <c r="F76">
        <v>465.7</v>
      </c>
      <c r="G76">
        <v>28</v>
      </c>
    </row>
    <row r="77" spans="1:7" x14ac:dyDescent="0.2">
      <c r="A77" t="s">
        <v>82</v>
      </c>
      <c r="B77">
        <v>3489.2</v>
      </c>
      <c r="C77">
        <v>1472.5</v>
      </c>
      <c r="D77">
        <v>1283.4000000000001</v>
      </c>
      <c r="E77">
        <v>180.2</v>
      </c>
      <c r="F77">
        <v>524.4</v>
      </c>
      <c r="G77">
        <v>28.7</v>
      </c>
    </row>
    <row r="78" spans="1:7" x14ac:dyDescent="0.2">
      <c r="A78" t="s">
        <v>83</v>
      </c>
      <c r="B78">
        <v>3552</v>
      </c>
      <c r="C78">
        <v>1458.2</v>
      </c>
      <c r="D78">
        <v>1314.3</v>
      </c>
      <c r="E78">
        <v>184</v>
      </c>
      <c r="F78">
        <v>565.1</v>
      </c>
      <c r="G78">
        <v>30.5</v>
      </c>
    </row>
    <row r="79" spans="1:7" x14ac:dyDescent="0.2">
      <c r="A79" t="s">
        <v>84</v>
      </c>
      <c r="B79">
        <v>3859.7</v>
      </c>
      <c r="C79">
        <v>1624.4</v>
      </c>
      <c r="D79">
        <v>1405.6</v>
      </c>
      <c r="E79">
        <v>195.6</v>
      </c>
      <c r="F79">
        <v>602.79999999999995</v>
      </c>
      <c r="G79">
        <v>31.3</v>
      </c>
    </row>
    <row r="80" spans="1:7" x14ac:dyDescent="0.2">
      <c r="A80" t="s">
        <v>85</v>
      </c>
      <c r="B80">
        <v>3639.9</v>
      </c>
      <c r="C80">
        <v>1537.9</v>
      </c>
      <c r="D80">
        <v>1300.5999999999999</v>
      </c>
      <c r="E80">
        <v>186.2</v>
      </c>
      <c r="F80">
        <v>586</v>
      </c>
      <c r="G80">
        <v>29.2</v>
      </c>
    </row>
    <row r="81" spans="1:7" x14ac:dyDescent="0.2">
      <c r="A81" t="s">
        <v>86</v>
      </c>
      <c r="B81">
        <v>3854.2</v>
      </c>
      <c r="C81">
        <v>1591.2</v>
      </c>
      <c r="D81">
        <v>1440.5</v>
      </c>
      <c r="E81">
        <v>201</v>
      </c>
      <c r="F81">
        <v>590.6</v>
      </c>
      <c r="G81">
        <v>30.9</v>
      </c>
    </row>
    <row r="82" spans="1:7" x14ac:dyDescent="0.2">
      <c r="A82" t="s">
        <v>87</v>
      </c>
      <c r="B82">
        <v>3697.8</v>
      </c>
      <c r="C82">
        <v>1530.2</v>
      </c>
      <c r="D82">
        <v>1361.9</v>
      </c>
      <c r="E82">
        <v>194.1</v>
      </c>
      <c r="F82">
        <v>582.6</v>
      </c>
      <c r="G82">
        <v>29.1</v>
      </c>
    </row>
    <row r="83" spans="1:7" x14ac:dyDescent="0.2">
      <c r="A83" t="s">
        <v>88</v>
      </c>
      <c r="B83">
        <v>3582</v>
      </c>
      <c r="C83">
        <v>1513.1</v>
      </c>
      <c r="D83">
        <v>1299.7</v>
      </c>
      <c r="E83">
        <v>183.9</v>
      </c>
      <c r="F83">
        <v>557.70000000000005</v>
      </c>
      <c r="G83">
        <v>27.6</v>
      </c>
    </row>
    <row r="84" spans="1:7" x14ac:dyDescent="0.2">
      <c r="A84" t="s">
        <v>89</v>
      </c>
      <c r="B84">
        <v>3652.8</v>
      </c>
      <c r="C84">
        <v>1500.8</v>
      </c>
      <c r="D84">
        <v>1386.2</v>
      </c>
      <c r="E84">
        <v>196.5</v>
      </c>
      <c r="F84">
        <v>541.1</v>
      </c>
      <c r="G84">
        <v>28.3</v>
      </c>
    </row>
    <row r="85" spans="1:7" x14ac:dyDescent="0.2">
      <c r="A85" t="s">
        <v>90</v>
      </c>
      <c r="B85">
        <v>3474.7</v>
      </c>
      <c r="C85">
        <v>1457.9</v>
      </c>
      <c r="D85">
        <v>1302.5</v>
      </c>
      <c r="E85">
        <v>182.8</v>
      </c>
      <c r="F85">
        <v>505.9</v>
      </c>
      <c r="G85">
        <v>25.8</v>
      </c>
    </row>
    <row r="86" spans="1:7" x14ac:dyDescent="0.2">
      <c r="A86" t="s">
        <v>91</v>
      </c>
      <c r="B86">
        <v>3413.9</v>
      </c>
      <c r="C86">
        <v>1494.9</v>
      </c>
      <c r="D86">
        <v>1202.5999999999999</v>
      </c>
      <c r="E86">
        <v>187.8</v>
      </c>
      <c r="F86">
        <v>503.3</v>
      </c>
      <c r="G86">
        <v>25.3</v>
      </c>
    </row>
    <row r="87" spans="1:7" x14ac:dyDescent="0.2">
      <c r="A87" t="s">
        <v>92</v>
      </c>
      <c r="B87">
        <v>3520.9</v>
      </c>
      <c r="C87">
        <v>1456</v>
      </c>
      <c r="D87">
        <v>1344.4</v>
      </c>
      <c r="E87">
        <v>189.8</v>
      </c>
      <c r="F87">
        <v>505</v>
      </c>
      <c r="G87">
        <v>25.6</v>
      </c>
    </row>
    <row r="88" spans="1:7" x14ac:dyDescent="0.2">
      <c r="A88" t="s">
        <v>93</v>
      </c>
      <c r="B88">
        <v>3464.8</v>
      </c>
      <c r="C88">
        <v>1459.3</v>
      </c>
      <c r="D88">
        <v>1291.5</v>
      </c>
      <c r="E88">
        <v>181.3</v>
      </c>
      <c r="F88">
        <v>508.6</v>
      </c>
      <c r="G88">
        <v>24.1</v>
      </c>
    </row>
    <row r="89" spans="1:7" x14ac:dyDescent="0.2">
      <c r="A89" t="s">
        <v>94</v>
      </c>
      <c r="B89">
        <v>3713.5</v>
      </c>
      <c r="C89">
        <v>1560.6</v>
      </c>
      <c r="D89">
        <v>1391.3</v>
      </c>
      <c r="E89">
        <v>194.9</v>
      </c>
      <c r="F89">
        <v>540.9</v>
      </c>
      <c r="G89">
        <v>25.8</v>
      </c>
    </row>
    <row r="90" spans="1:7" x14ac:dyDescent="0.2">
      <c r="A90" t="s">
        <v>95</v>
      </c>
      <c r="B90">
        <v>3689.9</v>
      </c>
      <c r="C90">
        <v>1522.4</v>
      </c>
      <c r="D90">
        <v>1388.1</v>
      </c>
      <c r="E90">
        <v>196</v>
      </c>
      <c r="F90">
        <v>557.1</v>
      </c>
      <c r="G90">
        <v>26.2</v>
      </c>
    </row>
    <row r="91" spans="1:7" x14ac:dyDescent="0.2">
      <c r="A91" t="s">
        <v>96</v>
      </c>
      <c r="B91">
        <v>3820</v>
      </c>
      <c r="C91">
        <v>1595</v>
      </c>
      <c r="D91">
        <v>1391.2</v>
      </c>
      <c r="E91">
        <v>199.2</v>
      </c>
      <c r="F91">
        <v>607.9</v>
      </c>
      <c r="G91">
        <v>26.6</v>
      </c>
    </row>
    <row r="92" spans="1:7" x14ac:dyDescent="0.2">
      <c r="A92" t="s">
        <v>97</v>
      </c>
      <c r="B92">
        <v>3736</v>
      </c>
      <c r="C92">
        <v>1540.3</v>
      </c>
      <c r="D92">
        <v>1375.8</v>
      </c>
      <c r="E92">
        <v>199.1</v>
      </c>
      <c r="F92">
        <v>594.79999999999995</v>
      </c>
      <c r="G92">
        <v>26</v>
      </c>
    </row>
    <row r="93" spans="1:7" x14ac:dyDescent="0.2">
      <c r="A93" t="s">
        <v>98</v>
      </c>
      <c r="B93">
        <v>3869.3</v>
      </c>
      <c r="C93">
        <v>1613.8</v>
      </c>
      <c r="D93">
        <v>1443.2</v>
      </c>
      <c r="E93">
        <v>200.1</v>
      </c>
      <c r="F93">
        <v>585.6</v>
      </c>
      <c r="G93">
        <v>26.6</v>
      </c>
    </row>
    <row r="94" spans="1:7" x14ac:dyDescent="0.2">
      <c r="A94" t="s">
        <v>99</v>
      </c>
      <c r="B94">
        <v>3833.2</v>
      </c>
      <c r="C94">
        <v>1634.4</v>
      </c>
      <c r="D94">
        <v>1401.3</v>
      </c>
      <c r="E94">
        <v>198.9</v>
      </c>
      <c r="F94">
        <v>573.20000000000005</v>
      </c>
      <c r="G94">
        <v>25.3</v>
      </c>
    </row>
    <row r="95" spans="1:7" x14ac:dyDescent="0.2">
      <c r="A95" t="s">
        <v>100</v>
      </c>
      <c r="B95">
        <v>3716.3</v>
      </c>
      <c r="C95">
        <v>1558.8</v>
      </c>
      <c r="D95">
        <v>1378.7</v>
      </c>
      <c r="E95">
        <v>193.6</v>
      </c>
      <c r="F95">
        <v>560.20000000000005</v>
      </c>
      <c r="G95">
        <v>24.9</v>
      </c>
    </row>
    <row r="96" spans="1:7" x14ac:dyDescent="0.2">
      <c r="A96" t="s">
        <v>101</v>
      </c>
      <c r="B96">
        <v>3772.2</v>
      </c>
      <c r="C96">
        <v>1602</v>
      </c>
      <c r="D96">
        <v>1378.8</v>
      </c>
      <c r="E96">
        <v>198.5</v>
      </c>
      <c r="F96">
        <v>568.1</v>
      </c>
      <c r="G96">
        <v>24.8</v>
      </c>
    </row>
    <row r="97" spans="1:7" x14ac:dyDescent="0.2">
      <c r="A97" t="s">
        <v>102</v>
      </c>
      <c r="B97">
        <v>3650.8</v>
      </c>
      <c r="C97">
        <v>1534.9</v>
      </c>
      <c r="D97">
        <v>1378.9</v>
      </c>
      <c r="E97">
        <v>189.3</v>
      </c>
      <c r="F97">
        <v>524.79999999999995</v>
      </c>
      <c r="G97">
        <v>22.9</v>
      </c>
    </row>
    <row r="98" spans="1:7" x14ac:dyDescent="0.2">
      <c r="A98" t="s">
        <v>103</v>
      </c>
      <c r="B98">
        <v>3711</v>
      </c>
      <c r="C98">
        <v>1594.3</v>
      </c>
      <c r="D98">
        <v>1383.3</v>
      </c>
      <c r="E98">
        <v>197.2</v>
      </c>
      <c r="F98">
        <v>513.1</v>
      </c>
      <c r="G98">
        <v>23.2</v>
      </c>
    </row>
    <row r="99" spans="1:7" x14ac:dyDescent="0.2">
      <c r="A99" t="s">
        <v>104</v>
      </c>
      <c r="B99">
        <v>3470.8</v>
      </c>
      <c r="C99">
        <v>1479.1</v>
      </c>
      <c r="D99">
        <v>1283.3</v>
      </c>
      <c r="E99">
        <v>189.6</v>
      </c>
      <c r="F99">
        <v>498</v>
      </c>
      <c r="G99">
        <v>20.8</v>
      </c>
    </row>
    <row r="100" spans="1:7" x14ac:dyDescent="0.2">
      <c r="A100" t="s">
        <v>105</v>
      </c>
      <c r="B100">
        <v>3397.3</v>
      </c>
      <c r="C100">
        <v>1410.8</v>
      </c>
      <c r="D100">
        <v>1291.0999999999999</v>
      </c>
      <c r="E100">
        <v>176.4</v>
      </c>
      <c r="F100">
        <v>498.3</v>
      </c>
      <c r="G100">
        <v>20.7</v>
      </c>
    </row>
    <row r="101" spans="1:7" x14ac:dyDescent="0.2">
      <c r="A101" t="s">
        <v>106</v>
      </c>
      <c r="B101">
        <v>3772</v>
      </c>
      <c r="C101">
        <v>1576.8</v>
      </c>
      <c r="D101">
        <v>1406.5</v>
      </c>
      <c r="E101">
        <v>198.1</v>
      </c>
      <c r="F101">
        <v>568.29999999999995</v>
      </c>
      <c r="G101">
        <v>22.4</v>
      </c>
    </row>
    <row r="102" spans="1:7" x14ac:dyDescent="0.2">
      <c r="A102" t="s">
        <v>107</v>
      </c>
      <c r="B102">
        <v>3793.3</v>
      </c>
      <c r="C102">
        <v>1567.9</v>
      </c>
      <c r="D102">
        <v>1400.9</v>
      </c>
      <c r="E102">
        <v>199.8</v>
      </c>
      <c r="F102">
        <v>601.79999999999995</v>
      </c>
      <c r="G102">
        <v>23</v>
      </c>
    </row>
    <row r="103" spans="1:7" x14ac:dyDescent="0.2">
      <c r="A103" t="s">
        <v>108</v>
      </c>
      <c r="B103">
        <v>3853.7</v>
      </c>
      <c r="C103">
        <v>1586</v>
      </c>
      <c r="D103">
        <v>1412.7</v>
      </c>
      <c r="E103">
        <v>202.1</v>
      </c>
      <c r="F103">
        <v>629.6</v>
      </c>
      <c r="G103">
        <v>23.4</v>
      </c>
    </row>
    <row r="104" spans="1:7" x14ac:dyDescent="0.2">
      <c r="A104" t="s">
        <v>109</v>
      </c>
      <c r="B104">
        <v>3904.5</v>
      </c>
      <c r="C104">
        <v>1598.4</v>
      </c>
      <c r="D104">
        <v>1466.6</v>
      </c>
      <c r="E104">
        <v>204.5</v>
      </c>
      <c r="F104">
        <v>612</v>
      </c>
      <c r="G104">
        <v>23.1</v>
      </c>
    </row>
    <row r="105" spans="1:7" x14ac:dyDescent="0.2">
      <c r="A105" t="s">
        <v>110</v>
      </c>
      <c r="B105">
        <v>3911.2</v>
      </c>
      <c r="C105">
        <v>1644.9</v>
      </c>
      <c r="D105">
        <v>1423.7</v>
      </c>
      <c r="E105">
        <v>202.5</v>
      </c>
      <c r="F105">
        <v>617.5</v>
      </c>
      <c r="G105">
        <v>22.6</v>
      </c>
    </row>
    <row r="106" spans="1:7" x14ac:dyDescent="0.2">
      <c r="A106" t="s">
        <v>111</v>
      </c>
      <c r="B106">
        <v>3832.5</v>
      </c>
      <c r="C106">
        <v>1636.3</v>
      </c>
      <c r="D106">
        <v>1411.2</v>
      </c>
      <c r="E106">
        <v>202.7</v>
      </c>
      <c r="F106">
        <v>560.6</v>
      </c>
      <c r="G106">
        <v>21.6</v>
      </c>
    </row>
    <row r="107" spans="1:7" x14ac:dyDescent="0.2">
      <c r="A107" t="s">
        <v>112</v>
      </c>
      <c r="B107">
        <v>3717.4</v>
      </c>
      <c r="C107">
        <v>1534.1</v>
      </c>
      <c r="D107">
        <v>1411</v>
      </c>
      <c r="E107">
        <v>196.2</v>
      </c>
      <c r="F107">
        <v>555</v>
      </c>
      <c r="G107">
        <v>21.1</v>
      </c>
    </row>
    <row r="108" spans="1:7" x14ac:dyDescent="0.2">
      <c r="A108" t="s">
        <v>113</v>
      </c>
      <c r="B108">
        <v>3884.6</v>
      </c>
      <c r="C108">
        <v>1641.7</v>
      </c>
      <c r="D108">
        <v>1447.4</v>
      </c>
      <c r="E108">
        <v>203.5</v>
      </c>
      <c r="F108">
        <v>570.70000000000005</v>
      </c>
      <c r="G108">
        <v>21.3</v>
      </c>
    </row>
    <row r="109" spans="1:7" x14ac:dyDescent="0.2">
      <c r="A109" t="s">
        <v>114</v>
      </c>
      <c r="B109">
        <v>3700.4</v>
      </c>
      <c r="C109">
        <v>1572.5</v>
      </c>
      <c r="D109">
        <v>1381.1</v>
      </c>
      <c r="E109">
        <v>196.4</v>
      </c>
      <c r="F109">
        <v>530.1</v>
      </c>
      <c r="G109">
        <v>20.3</v>
      </c>
    </row>
    <row r="110" spans="1:7" x14ac:dyDescent="0.2">
      <c r="A110" t="s">
        <v>115</v>
      </c>
      <c r="B110">
        <v>3726.7</v>
      </c>
      <c r="C110">
        <v>1645.6</v>
      </c>
      <c r="D110">
        <v>1354</v>
      </c>
      <c r="E110">
        <v>197.7</v>
      </c>
      <c r="F110">
        <v>509.7</v>
      </c>
      <c r="G110">
        <v>19.7</v>
      </c>
    </row>
    <row r="111" spans="1:7" x14ac:dyDescent="0.2">
      <c r="A111" t="s">
        <v>116</v>
      </c>
      <c r="B111">
        <v>3680.6</v>
      </c>
      <c r="C111">
        <v>1609.5</v>
      </c>
      <c r="D111">
        <v>1370.3</v>
      </c>
      <c r="E111">
        <v>193</v>
      </c>
      <c r="F111">
        <v>489.3</v>
      </c>
      <c r="G111">
        <v>18.5</v>
      </c>
    </row>
    <row r="112" spans="1:7" x14ac:dyDescent="0.2">
      <c r="A112" t="s">
        <v>117</v>
      </c>
      <c r="B112">
        <v>3491.4</v>
      </c>
      <c r="C112">
        <v>1488.1</v>
      </c>
      <c r="D112">
        <v>1316.5</v>
      </c>
      <c r="E112">
        <v>180.1</v>
      </c>
      <c r="F112">
        <v>488.7</v>
      </c>
      <c r="G112">
        <v>17.899999999999999</v>
      </c>
    </row>
    <row r="113" spans="1:7" x14ac:dyDescent="0.2">
      <c r="A113" t="s">
        <v>118</v>
      </c>
      <c r="B113">
        <v>3874.3</v>
      </c>
      <c r="C113">
        <v>1666.3</v>
      </c>
      <c r="D113">
        <v>1416.3</v>
      </c>
      <c r="E113">
        <v>203.7</v>
      </c>
      <c r="F113">
        <v>568.1</v>
      </c>
      <c r="G113">
        <v>19.899999999999999</v>
      </c>
    </row>
    <row r="114" spans="1:7" x14ac:dyDescent="0.2">
      <c r="A114" t="s">
        <v>119</v>
      </c>
      <c r="B114">
        <v>3931.1</v>
      </c>
      <c r="C114">
        <v>1681.2</v>
      </c>
      <c r="D114">
        <v>1416.9</v>
      </c>
      <c r="E114">
        <v>202.8</v>
      </c>
      <c r="F114">
        <v>609.5</v>
      </c>
      <c r="G114">
        <v>20.6</v>
      </c>
    </row>
    <row r="115" spans="1:7" x14ac:dyDescent="0.2">
      <c r="A115" t="s">
        <v>120</v>
      </c>
      <c r="B115">
        <v>3973</v>
      </c>
      <c r="C115">
        <v>1656.8</v>
      </c>
      <c r="D115">
        <v>1447.2</v>
      </c>
      <c r="E115">
        <v>209.1</v>
      </c>
      <c r="F115">
        <v>639</v>
      </c>
      <c r="G115">
        <v>20.9</v>
      </c>
    </row>
    <row r="116" spans="1:7" x14ac:dyDescent="0.2">
      <c r="A116" t="s">
        <v>121</v>
      </c>
      <c r="B116">
        <v>3971.4</v>
      </c>
      <c r="C116">
        <v>1663.1</v>
      </c>
      <c r="D116">
        <v>1451.6</v>
      </c>
      <c r="E116">
        <v>208.2</v>
      </c>
      <c r="F116">
        <v>628.1</v>
      </c>
      <c r="G116">
        <v>20.3</v>
      </c>
    </row>
    <row r="117" spans="1:7" x14ac:dyDescent="0.2">
      <c r="A117" t="s">
        <v>122</v>
      </c>
      <c r="B117">
        <v>4103.6000000000004</v>
      </c>
      <c r="C117">
        <v>1746.1</v>
      </c>
      <c r="D117">
        <v>1486.1</v>
      </c>
      <c r="E117">
        <v>214.7</v>
      </c>
      <c r="F117">
        <v>635.5</v>
      </c>
      <c r="G117">
        <v>21.2</v>
      </c>
    </row>
    <row r="118" spans="1:7" x14ac:dyDescent="0.2">
      <c r="A118" t="s">
        <v>123</v>
      </c>
      <c r="B118">
        <v>3945.7</v>
      </c>
      <c r="C118">
        <v>1676.4</v>
      </c>
      <c r="D118">
        <v>1447.1</v>
      </c>
      <c r="E118">
        <v>210.1</v>
      </c>
      <c r="F118">
        <v>592.4</v>
      </c>
      <c r="G118">
        <v>19.8</v>
      </c>
    </row>
    <row r="119" spans="1:7" x14ac:dyDescent="0.2">
      <c r="A119" t="s">
        <v>124</v>
      </c>
      <c r="B119">
        <v>3977.8</v>
      </c>
      <c r="C119">
        <v>1712.3</v>
      </c>
      <c r="D119">
        <v>1458</v>
      </c>
      <c r="E119">
        <v>206.9</v>
      </c>
      <c r="F119">
        <v>580.9</v>
      </c>
      <c r="G119">
        <v>19.8</v>
      </c>
    </row>
    <row r="120" spans="1:7" x14ac:dyDescent="0.2">
      <c r="A120" t="s">
        <v>125</v>
      </c>
      <c r="B120">
        <v>3931.2</v>
      </c>
      <c r="C120">
        <v>1632.2</v>
      </c>
      <c r="D120">
        <v>1457.4</v>
      </c>
      <c r="E120">
        <v>210.4</v>
      </c>
      <c r="F120">
        <v>611.5</v>
      </c>
      <c r="G120">
        <v>19.7</v>
      </c>
    </row>
    <row r="121" spans="1:7" x14ac:dyDescent="0.2">
      <c r="A121" t="s">
        <v>126</v>
      </c>
      <c r="B121">
        <v>3796.3</v>
      </c>
      <c r="C121">
        <v>1575.6</v>
      </c>
      <c r="D121">
        <v>1425.1</v>
      </c>
      <c r="E121">
        <v>204.4</v>
      </c>
      <c r="F121">
        <v>571.79999999999995</v>
      </c>
      <c r="G121">
        <v>19.399999999999999</v>
      </c>
    </row>
    <row r="122" spans="1:7" x14ac:dyDescent="0.2">
      <c r="A122" t="s">
        <v>127</v>
      </c>
      <c r="B122">
        <v>3897.3</v>
      </c>
      <c r="C122">
        <v>1732.8</v>
      </c>
      <c r="D122">
        <v>1412.2</v>
      </c>
      <c r="E122">
        <v>203.9</v>
      </c>
      <c r="F122">
        <v>525.20000000000005</v>
      </c>
      <c r="G122">
        <v>23.2</v>
      </c>
    </row>
    <row r="123" spans="1:7" x14ac:dyDescent="0.2">
      <c r="A123" t="s">
        <v>128</v>
      </c>
      <c r="B123">
        <v>3685.9</v>
      </c>
      <c r="C123">
        <v>1636.4</v>
      </c>
      <c r="D123">
        <v>1335.3</v>
      </c>
      <c r="E123">
        <v>199.1</v>
      </c>
      <c r="F123">
        <v>493.6</v>
      </c>
      <c r="G123">
        <v>21.6</v>
      </c>
    </row>
    <row r="124" spans="1:7" x14ac:dyDescent="0.2">
      <c r="A124" t="s">
        <v>129</v>
      </c>
      <c r="B124">
        <v>3687</v>
      </c>
      <c r="C124">
        <v>1581.1</v>
      </c>
      <c r="D124">
        <v>1386.4</v>
      </c>
      <c r="E124">
        <v>183.1</v>
      </c>
      <c r="F124">
        <v>513.9</v>
      </c>
      <c r="G124">
        <v>22.5</v>
      </c>
    </row>
    <row r="125" spans="1:7" x14ac:dyDescent="0.2">
      <c r="A125" t="s">
        <v>130</v>
      </c>
      <c r="B125">
        <v>3973.2</v>
      </c>
      <c r="C125">
        <v>1693.7</v>
      </c>
      <c r="D125">
        <v>1455.8</v>
      </c>
      <c r="E125">
        <v>206.2</v>
      </c>
      <c r="F125">
        <v>594.20000000000005</v>
      </c>
      <c r="G125">
        <v>23.2</v>
      </c>
    </row>
    <row r="126" spans="1:7" x14ac:dyDescent="0.2">
      <c r="A126" t="s">
        <v>131</v>
      </c>
      <c r="B126">
        <v>3981.6</v>
      </c>
      <c r="C126">
        <v>1675.9</v>
      </c>
      <c r="D126">
        <v>1467.5</v>
      </c>
      <c r="E126">
        <v>204</v>
      </c>
      <c r="F126">
        <v>610.70000000000005</v>
      </c>
      <c r="G126">
        <v>23.5</v>
      </c>
    </row>
    <row r="127" spans="1:7" x14ac:dyDescent="0.2">
      <c r="A127" t="s">
        <v>132</v>
      </c>
      <c r="B127">
        <v>4030.6</v>
      </c>
      <c r="C127">
        <v>1674.8</v>
      </c>
      <c r="D127">
        <v>1491.5</v>
      </c>
      <c r="E127">
        <v>207.7</v>
      </c>
      <c r="F127">
        <v>632.29999999999995</v>
      </c>
      <c r="G127">
        <v>24.3</v>
      </c>
    </row>
    <row r="128" spans="1:7" x14ac:dyDescent="0.2">
      <c r="A128" t="s">
        <v>133</v>
      </c>
      <c r="B128">
        <v>4030.6</v>
      </c>
      <c r="C128">
        <v>1679.7</v>
      </c>
      <c r="D128">
        <v>1475.4</v>
      </c>
      <c r="E128">
        <v>204.9</v>
      </c>
      <c r="F128">
        <v>647</v>
      </c>
      <c r="G128">
        <v>23.6</v>
      </c>
    </row>
    <row r="129" spans="1:7" x14ac:dyDescent="0.2">
      <c r="A129" t="s">
        <v>134</v>
      </c>
      <c r="B129">
        <v>4148.3</v>
      </c>
      <c r="C129">
        <v>1736.7</v>
      </c>
      <c r="D129">
        <v>1520.4</v>
      </c>
      <c r="E129">
        <v>210</v>
      </c>
      <c r="F129">
        <v>656.7</v>
      </c>
      <c r="G129">
        <v>24.4</v>
      </c>
    </row>
    <row r="130" spans="1:7" x14ac:dyDescent="0.2">
      <c r="A130" t="s">
        <v>135</v>
      </c>
      <c r="B130">
        <v>4068.8</v>
      </c>
      <c r="C130">
        <v>1717</v>
      </c>
      <c r="D130">
        <v>1486</v>
      </c>
      <c r="E130">
        <v>206.7</v>
      </c>
      <c r="F130">
        <v>635.70000000000005</v>
      </c>
      <c r="G130">
        <v>23.5</v>
      </c>
    </row>
    <row r="131" spans="1:7" x14ac:dyDescent="0.2">
      <c r="A131" t="s">
        <v>136</v>
      </c>
      <c r="B131">
        <v>4045.7</v>
      </c>
      <c r="C131">
        <v>1676.6</v>
      </c>
      <c r="D131">
        <v>1499.6</v>
      </c>
      <c r="E131">
        <v>202.5</v>
      </c>
      <c r="F131">
        <v>643.6</v>
      </c>
      <c r="G131">
        <v>23.4</v>
      </c>
    </row>
    <row r="132" spans="1:7" x14ac:dyDescent="0.2">
      <c r="A132" t="s">
        <v>137</v>
      </c>
      <c r="B132">
        <v>4043.5</v>
      </c>
      <c r="C132">
        <v>1657.7</v>
      </c>
      <c r="D132">
        <v>1506.2</v>
      </c>
      <c r="E132">
        <v>211.1</v>
      </c>
      <c r="F132">
        <v>645.70000000000005</v>
      </c>
      <c r="G132">
        <v>22.9</v>
      </c>
    </row>
    <row r="133" spans="1:7" x14ac:dyDescent="0.2">
      <c r="A133" t="s">
        <v>138</v>
      </c>
      <c r="B133">
        <v>3921.4</v>
      </c>
      <c r="C133">
        <v>1625.7</v>
      </c>
      <c r="D133">
        <v>1444.7</v>
      </c>
      <c r="E133">
        <v>205.6</v>
      </c>
      <c r="F133">
        <v>622.4</v>
      </c>
      <c r="G133">
        <v>22.9</v>
      </c>
    </row>
    <row r="134" spans="1:7" x14ac:dyDescent="0.2">
      <c r="A134" t="s">
        <v>139</v>
      </c>
      <c r="B134">
        <v>3876.3</v>
      </c>
      <c r="C134">
        <v>1649.1</v>
      </c>
      <c r="D134">
        <v>1419.1</v>
      </c>
      <c r="E134">
        <v>214.4</v>
      </c>
      <c r="F134">
        <v>570.29999999999995</v>
      </c>
      <c r="G134">
        <v>23.4</v>
      </c>
    </row>
    <row r="135" spans="1:7" x14ac:dyDescent="0.2">
      <c r="A135" t="s">
        <v>140</v>
      </c>
      <c r="B135">
        <v>3928.4</v>
      </c>
      <c r="C135">
        <v>1661.6</v>
      </c>
      <c r="D135">
        <v>1449</v>
      </c>
      <c r="E135">
        <v>214.9</v>
      </c>
      <c r="F135">
        <v>580.4</v>
      </c>
      <c r="G135">
        <v>22.5</v>
      </c>
    </row>
    <row r="136" spans="1:7" x14ac:dyDescent="0.2">
      <c r="A136" t="s">
        <v>141</v>
      </c>
      <c r="B136">
        <v>3727.7</v>
      </c>
      <c r="C136">
        <v>1533.8</v>
      </c>
      <c r="D136">
        <v>1383.4</v>
      </c>
      <c r="E136">
        <v>203.6</v>
      </c>
      <c r="F136">
        <v>585.4</v>
      </c>
      <c r="G136">
        <v>21.5</v>
      </c>
    </row>
    <row r="137" spans="1:7" x14ac:dyDescent="0.2">
      <c r="A137" t="s">
        <v>142</v>
      </c>
      <c r="B137">
        <v>4044.9</v>
      </c>
      <c r="C137">
        <v>1647.1</v>
      </c>
      <c r="D137">
        <v>1504.2</v>
      </c>
      <c r="E137">
        <v>221.9</v>
      </c>
      <c r="F137">
        <v>648.70000000000005</v>
      </c>
      <c r="G137">
        <v>23</v>
      </c>
    </row>
    <row r="138" spans="1:7" x14ac:dyDescent="0.2">
      <c r="A138" t="s">
        <v>143</v>
      </c>
      <c r="B138">
        <v>4068.6</v>
      </c>
      <c r="C138">
        <v>1644.8</v>
      </c>
      <c r="D138">
        <v>1490.3</v>
      </c>
      <c r="E138">
        <v>220.3</v>
      </c>
      <c r="F138">
        <v>689.1</v>
      </c>
      <c r="G138">
        <v>24.1</v>
      </c>
    </row>
    <row r="139" spans="1:7" x14ac:dyDescent="0.2">
      <c r="A139" t="s">
        <v>144</v>
      </c>
      <c r="B139">
        <v>4240.1000000000004</v>
      </c>
      <c r="C139">
        <v>1742.5</v>
      </c>
      <c r="D139">
        <v>1536.4</v>
      </c>
      <c r="E139">
        <v>228.4</v>
      </c>
      <c r="F139">
        <v>708.4</v>
      </c>
      <c r="G139">
        <v>24.4</v>
      </c>
    </row>
    <row r="140" spans="1:7" x14ac:dyDescent="0.2">
      <c r="A140" t="s">
        <v>145</v>
      </c>
      <c r="B140">
        <v>4052.5</v>
      </c>
      <c r="C140">
        <v>1719.7</v>
      </c>
      <c r="D140">
        <v>1449.7</v>
      </c>
      <c r="E140">
        <v>217.7</v>
      </c>
      <c r="F140">
        <v>642.20000000000005</v>
      </c>
      <c r="G140">
        <v>23.2</v>
      </c>
    </row>
    <row r="141" spans="1:7" x14ac:dyDescent="0.2">
      <c r="A141" t="s">
        <v>146</v>
      </c>
      <c r="B141">
        <v>4230.7</v>
      </c>
      <c r="C141">
        <v>1798.7</v>
      </c>
      <c r="D141">
        <v>1533.2</v>
      </c>
      <c r="E141">
        <v>226.7</v>
      </c>
      <c r="F141">
        <v>647.1</v>
      </c>
      <c r="G141">
        <v>25</v>
      </c>
    </row>
    <row r="142" spans="1:7" x14ac:dyDescent="0.2">
      <c r="A142" t="s">
        <v>147</v>
      </c>
      <c r="B142">
        <v>4093</v>
      </c>
      <c r="C142">
        <v>1739.3</v>
      </c>
      <c r="D142">
        <v>1464.3</v>
      </c>
      <c r="E142">
        <v>218.6</v>
      </c>
      <c r="F142">
        <v>647.79999999999995</v>
      </c>
      <c r="G142">
        <v>23</v>
      </c>
    </row>
    <row r="143" spans="1:7" x14ac:dyDescent="0.2">
      <c r="A143" t="s">
        <v>148</v>
      </c>
      <c r="B143">
        <v>4174.1000000000004</v>
      </c>
      <c r="C143">
        <v>1786.2</v>
      </c>
      <c r="D143">
        <v>1493.2</v>
      </c>
      <c r="E143">
        <v>220.4</v>
      </c>
      <c r="F143">
        <v>650.4</v>
      </c>
      <c r="G143">
        <v>23.9</v>
      </c>
    </row>
    <row r="144" spans="1:7" x14ac:dyDescent="0.2">
      <c r="A144" t="s">
        <v>149</v>
      </c>
      <c r="B144">
        <v>4192.3</v>
      </c>
      <c r="C144">
        <v>1785.8</v>
      </c>
      <c r="D144">
        <v>1504.4</v>
      </c>
      <c r="E144">
        <v>233.8</v>
      </c>
      <c r="F144">
        <v>644.70000000000005</v>
      </c>
      <c r="G144">
        <v>23.6</v>
      </c>
    </row>
    <row r="145" spans="1:7" x14ac:dyDescent="0.2">
      <c r="A145" t="s">
        <v>150</v>
      </c>
      <c r="B145">
        <v>3998.1</v>
      </c>
      <c r="C145">
        <v>1712.4</v>
      </c>
      <c r="D145">
        <v>1471</v>
      </c>
      <c r="E145">
        <v>217.1</v>
      </c>
      <c r="F145">
        <v>575.20000000000005</v>
      </c>
      <c r="G145">
        <v>22.4</v>
      </c>
    </row>
    <row r="146" spans="1:7" x14ac:dyDescent="0.2">
      <c r="A146" t="s">
        <v>151</v>
      </c>
      <c r="B146">
        <v>4115.8</v>
      </c>
      <c r="C146">
        <v>1841.1</v>
      </c>
      <c r="D146">
        <v>1459</v>
      </c>
      <c r="E146">
        <v>226.1</v>
      </c>
      <c r="F146">
        <v>567.1</v>
      </c>
      <c r="G146">
        <v>22.5</v>
      </c>
    </row>
    <row r="147" spans="1:7" x14ac:dyDescent="0.2">
      <c r="A147" t="s">
        <v>152</v>
      </c>
      <c r="B147">
        <v>4048.7</v>
      </c>
      <c r="C147">
        <v>1775.8</v>
      </c>
      <c r="D147">
        <v>1454.4</v>
      </c>
      <c r="E147">
        <v>222.6</v>
      </c>
      <c r="F147">
        <v>574</v>
      </c>
      <c r="G147">
        <v>22</v>
      </c>
    </row>
    <row r="148" spans="1:7" x14ac:dyDescent="0.2">
      <c r="A148" t="s">
        <v>153</v>
      </c>
      <c r="B148">
        <v>3854.8</v>
      </c>
      <c r="C148">
        <v>1647.4</v>
      </c>
      <c r="D148">
        <v>1441.8</v>
      </c>
      <c r="E148">
        <v>209.7</v>
      </c>
      <c r="F148">
        <v>533.1</v>
      </c>
      <c r="G148">
        <v>22.8</v>
      </c>
    </row>
    <row r="149" spans="1:7" x14ac:dyDescent="0.2">
      <c r="A149" t="s">
        <v>154</v>
      </c>
      <c r="B149">
        <v>3930.9</v>
      </c>
      <c r="C149">
        <v>1663.6</v>
      </c>
      <c r="D149">
        <v>1442.2</v>
      </c>
      <c r="E149">
        <v>220.9</v>
      </c>
      <c r="F149">
        <v>583.70000000000005</v>
      </c>
      <c r="G149">
        <v>20.399999999999999</v>
      </c>
    </row>
    <row r="150" spans="1:7" x14ac:dyDescent="0.2">
      <c r="A150" t="s">
        <v>155</v>
      </c>
      <c r="B150">
        <v>4169.3</v>
      </c>
      <c r="C150">
        <v>1770.3</v>
      </c>
      <c r="D150">
        <v>1523.6</v>
      </c>
      <c r="E150">
        <v>230</v>
      </c>
      <c r="F150">
        <v>619.9</v>
      </c>
      <c r="G150">
        <v>25.5</v>
      </c>
    </row>
    <row r="151" spans="1:7" x14ac:dyDescent="0.2">
      <c r="A151" t="s">
        <v>156</v>
      </c>
      <c r="B151">
        <v>4070.6</v>
      </c>
      <c r="C151">
        <v>1707</v>
      </c>
      <c r="D151">
        <v>1464.2</v>
      </c>
      <c r="E151">
        <v>228.9</v>
      </c>
      <c r="F151">
        <v>649</v>
      </c>
      <c r="G151">
        <v>21.5</v>
      </c>
    </row>
    <row r="152" spans="1:7" x14ac:dyDescent="0.2">
      <c r="A152" t="s">
        <v>157</v>
      </c>
      <c r="B152">
        <v>4223.5</v>
      </c>
      <c r="C152">
        <v>1761.3</v>
      </c>
      <c r="D152">
        <v>1507.1</v>
      </c>
      <c r="E152">
        <v>232.2</v>
      </c>
      <c r="F152">
        <v>698.1</v>
      </c>
      <c r="G152">
        <v>24.7</v>
      </c>
    </row>
    <row r="153" spans="1:7" x14ac:dyDescent="0.2">
      <c r="A153" t="s">
        <v>158</v>
      </c>
      <c r="B153">
        <v>4369.3</v>
      </c>
      <c r="C153">
        <v>1826.5</v>
      </c>
      <c r="D153">
        <v>1644.4</v>
      </c>
      <c r="E153">
        <v>242.1</v>
      </c>
      <c r="F153">
        <v>630.20000000000005</v>
      </c>
      <c r="G153">
        <v>26.2</v>
      </c>
    </row>
    <row r="154" spans="1:7" x14ac:dyDescent="0.2">
      <c r="A154" t="s">
        <v>159</v>
      </c>
      <c r="B154">
        <v>4112.6000000000004</v>
      </c>
      <c r="C154">
        <v>1719.3</v>
      </c>
      <c r="D154">
        <v>1527.1</v>
      </c>
      <c r="E154">
        <v>231.9</v>
      </c>
      <c r="F154">
        <v>613.1</v>
      </c>
      <c r="G154">
        <v>21.2</v>
      </c>
    </row>
    <row r="155" spans="1:7" x14ac:dyDescent="0.2">
      <c r="A155" t="s">
        <v>160</v>
      </c>
      <c r="B155">
        <v>4165.6000000000004</v>
      </c>
      <c r="C155">
        <v>1760.9</v>
      </c>
      <c r="D155">
        <v>1524</v>
      </c>
      <c r="E155">
        <v>235</v>
      </c>
      <c r="F155">
        <v>622</v>
      </c>
      <c r="G155">
        <v>23.7</v>
      </c>
    </row>
    <row r="156" spans="1:7" x14ac:dyDescent="0.2">
      <c r="A156" t="s">
        <v>161</v>
      </c>
      <c r="B156">
        <v>4212.6000000000004</v>
      </c>
      <c r="C156">
        <v>1758.4</v>
      </c>
      <c r="D156">
        <v>1561.6</v>
      </c>
      <c r="E156">
        <v>247</v>
      </c>
      <c r="F156">
        <v>622.1</v>
      </c>
      <c r="G156">
        <v>23.5</v>
      </c>
    </row>
    <row r="157" spans="1:7" x14ac:dyDescent="0.2">
      <c r="A157" t="s">
        <v>162</v>
      </c>
      <c r="B157">
        <v>4163.5</v>
      </c>
      <c r="C157">
        <v>1802.7</v>
      </c>
      <c r="D157">
        <v>1513.7</v>
      </c>
      <c r="E157">
        <v>241.5</v>
      </c>
      <c r="F157">
        <v>583.1</v>
      </c>
      <c r="G157">
        <v>22.4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49A9-EA7D-4223-8026-912B3CAB62A1}">
  <sheetPr codeName="Sheet2"/>
  <dimension ref="A1:B157"/>
  <sheetViews>
    <sheetView workbookViewId="0">
      <selection activeCell="D157" sqref="D157"/>
    </sheetView>
  </sheetViews>
  <sheetFormatPr baseColWidth="10" defaultColWidth="8.83203125" defaultRowHeight="15" x14ac:dyDescent="0.2"/>
  <cols>
    <col min="2" max="2" width="11.5" bestFit="1" customWidth="1"/>
  </cols>
  <sheetData>
    <row r="1" spans="1:2" x14ac:dyDescent="0.2">
      <c r="A1" t="s">
        <v>163</v>
      </c>
      <c r="B1" t="s">
        <v>4</v>
      </c>
    </row>
    <row r="2" spans="1:2" x14ac:dyDescent="0.2">
      <c r="A2">
        <v>1</v>
      </c>
      <c r="B2">
        <v>447.8</v>
      </c>
    </row>
    <row r="3" spans="1:2" x14ac:dyDescent="0.2">
      <c r="A3">
        <f>A2+1</f>
        <v>2</v>
      </c>
      <c r="B3">
        <v>437.1</v>
      </c>
    </row>
    <row r="4" spans="1:2" x14ac:dyDescent="0.2">
      <c r="A4">
        <f t="shared" ref="A4:A67" si="0">A3+1</f>
        <v>3</v>
      </c>
      <c r="B4">
        <v>479.7</v>
      </c>
    </row>
    <row r="5" spans="1:2" x14ac:dyDescent="0.2">
      <c r="A5">
        <f t="shared" si="0"/>
        <v>4</v>
      </c>
      <c r="B5">
        <v>533.6</v>
      </c>
    </row>
    <row r="6" spans="1:2" x14ac:dyDescent="0.2">
      <c r="A6">
        <f t="shared" si="0"/>
        <v>5</v>
      </c>
      <c r="B6">
        <v>535</v>
      </c>
    </row>
    <row r="7" spans="1:2" x14ac:dyDescent="0.2">
      <c r="A7">
        <f t="shared" si="0"/>
        <v>6</v>
      </c>
      <c r="B7">
        <v>560.20000000000005</v>
      </c>
    </row>
    <row r="8" spans="1:2" x14ac:dyDescent="0.2">
      <c r="A8">
        <f t="shared" si="0"/>
        <v>7</v>
      </c>
      <c r="B8">
        <v>537.4</v>
      </c>
    </row>
    <row r="9" spans="1:2" x14ac:dyDescent="0.2">
      <c r="A9">
        <f t="shared" si="0"/>
        <v>8</v>
      </c>
      <c r="B9">
        <v>528.79999999999995</v>
      </c>
    </row>
    <row r="10" spans="1:2" x14ac:dyDescent="0.2">
      <c r="A10">
        <f t="shared" si="0"/>
        <v>9</v>
      </c>
      <c r="B10">
        <v>516.29999999999995</v>
      </c>
    </row>
    <row r="11" spans="1:2" x14ac:dyDescent="0.2">
      <c r="A11">
        <f t="shared" si="0"/>
        <v>10</v>
      </c>
      <c r="B11">
        <v>520</v>
      </c>
    </row>
    <row r="12" spans="1:2" x14ac:dyDescent="0.2">
      <c r="A12">
        <f t="shared" si="0"/>
        <v>11</v>
      </c>
      <c r="B12">
        <v>518.6</v>
      </c>
    </row>
    <row r="13" spans="1:2" x14ac:dyDescent="0.2">
      <c r="A13">
        <f t="shared" si="0"/>
        <v>12</v>
      </c>
      <c r="B13">
        <v>478</v>
      </c>
    </row>
    <row r="14" spans="1:2" x14ac:dyDescent="0.2">
      <c r="A14">
        <f t="shared" si="0"/>
        <v>13</v>
      </c>
      <c r="B14">
        <v>465.5</v>
      </c>
    </row>
    <row r="15" spans="1:2" x14ac:dyDescent="0.2">
      <c r="A15">
        <f t="shared" si="0"/>
        <v>14</v>
      </c>
      <c r="B15">
        <v>452.3</v>
      </c>
    </row>
    <row r="16" spans="1:2" x14ac:dyDescent="0.2">
      <c r="A16">
        <f t="shared" si="0"/>
        <v>15</v>
      </c>
      <c r="B16">
        <v>470</v>
      </c>
    </row>
    <row r="17" spans="1:2" x14ac:dyDescent="0.2">
      <c r="A17">
        <f t="shared" si="0"/>
        <v>16</v>
      </c>
      <c r="B17">
        <v>511.3</v>
      </c>
    </row>
    <row r="18" spans="1:2" x14ac:dyDescent="0.2">
      <c r="A18">
        <f t="shared" si="0"/>
        <v>17</v>
      </c>
      <c r="B18">
        <v>522</v>
      </c>
    </row>
    <row r="19" spans="1:2" x14ac:dyDescent="0.2">
      <c r="A19">
        <f t="shared" si="0"/>
        <v>18</v>
      </c>
      <c r="B19">
        <v>533.20000000000005</v>
      </c>
    </row>
    <row r="20" spans="1:2" x14ac:dyDescent="0.2">
      <c r="A20">
        <f t="shared" si="0"/>
        <v>19</v>
      </c>
      <c r="B20">
        <v>513.20000000000005</v>
      </c>
    </row>
    <row r="21" spans="1:2" x14ac:dyDescent="0.2">
      <c r="A21">
        <f t="shared" si="0"/>
        <v>20</v>
      </c>
      <c r="B21">
        <v>544.20000000000005</v>
      </c>
    </row>
    <row r="22" spans="1:2" x14ac:dyDescent="0.2">
      <c r="A22">
        <f t="shared" si="0"/>
        <v>21</v>
      </c>
      <c r="B22">
        <v>541.4</v>
      </c>
    </row>
    <row r="23" spans="1:2" x14ac:dyDescent="0.2">
      <c r="A23">
        <f t="shared" si="0"/>
        <v>22</v>
      </c>
      <c r="B23">
        <v>525.70000000000005</v>
      </c>
    </row>
    <row r="24" spans="1:2" x14ac:dyDescent="0.2">
      <c r="A24">
        <f t="shared" si="0"/>
        <v>23</v>
      </c>
      <c r="B24">
        <v>535.20000000000005</v>
      </c>
    </row>
    <row r="25" spans="1:2" x14ac:dyDescent="0.2">
      <c r="A25">
        <f t="shared" si="0"/>
        <v>24</v>
      </c>
      <c r="B25">
        <v>495</v>
      </c>
    </row>
    <row r="26" spans="1:2" x14ac:dyDescent="0.2">
      <c r="A26">
        <f t="shared" si="0"/>
        <v>25</v>
      </c>
      <c r="B26">
        <v>473.6</v>
      </c>
    </row>
    <row r="27" spans="1:2" x14ac:dyDescent="0.2">
      <c r="A27">
        <f t="shared" si="0"/>
        <v>26</v>
      </c>
      <c r="B27">
        <v>444.4</v>
      </c>
    </row>
    <row r="28" spans="1:2" x14ac:dyDescent="0.2">
      <c r="A28">
        <f t="shared" si="0"/>
        <v>27</v>
      </c>
      <c r="B28">
        <v>451.8</v>
      </c>
    </row>
    <row r="29" spans="1:2" x14ac:dyDescent="0.2">
      <c r="A29">
        <f t="shared" si="0"/>
        <v>28</v>
      </c>
      <c r="B29">
        <v>511</v>
      </c>
    </row>
    <row r="30" spans="1:2" x14ac:dyDescent="0.2">
      <c r="A30">
        <f t="shared" si="0"/>
        <v>29</v>
      </c>
      <c r="B30">
        <v>542.79999999999995</v>
      </c>
    </row>
    <row r="31" spans="1:2" x14ac:dyDescent="0.2">
      <c r="A31">
        <f t="shared" si="0"/>
        <v>30</v>
      </c>
      <c r="B31">
        <v>556</v>
      </c>
    </row>
    <row r="32" spans="1:2" x14ac:dyDescent="0.2">
      <c r="A32">
        <f t="shared" si="0"/>
        <v>31</v>
      </c>
      <c r="B32">
        <v>563.1</v>
      </c>
    </row>
    <row r="33" spans="1:2" x14ac:dyDescent="0.2">
      <c r="A33">
        <f t="shared" si="0"/>
        <v>32</v>
      </c>
      <c r="B33">
        <v>555</v>
      </c>
    </row>
    <row r="34" spans="1:2" x14ac:dyDescent="0.2">
      <c r="A34">
        <f t="shared" si="0"/>
        <v>33</v>
      </c>
      <c r="B34">
        <v>513.6</v>
      </c>
    </row>
    <row r="35" spans="1:2" x14ac:dyDescent="0.2">
      <c r="A35">
        <f t="shared" si="0"/>
        <v>34</v>
      </c>
      <c r="B35">
        <v>514.70000000000005</v>
      </c>
    </row>
    <row r="36" spans="1:2" x14ac:dyDescent="0.2">
      <c r="A36">
        <f t="shared" si="0"/>
        <v>35</v>
      </c>
      <c r="B36">
        <v>547.9</v>
      </c>
    </row>
    <row r="37" spans="1:2" x14ac:dyDescent="0.2">
      <c r="A37">
        <f t="shared" si="0"/>
        <v>36</v>
      </c>
      <c r="B37">
        <v>489.9</v>
      </c>
    </row>
    <row r="38" spans="1:2" x14ac:dyDescent="0.2">
      <c r="A38">
        <f t="shared" si="0"/>
        <v>37</v>
      </c>
      <c r="B38">
        <v>467.1</v>
      </c>
    </row>
    <row r="39" spans="1:2" x14ac:dyDescent="0.2">
      <c r="A39">
        <f t="shared" si="0"/>
        <v>38</v>
      </c>
      <c r="B39">
        <v>472.7</v>
      </c>
    </row>
    <row r="40" spans="1:2" x14ac:dyDescent="0.2">
      <c r="A40">
        <f t="shared" si="0"/>
        <v>39</v>
      </c>
      <c r="B40">
        <v>449.5</v>
      </c>
    </row>
    <row r="41" spans="1:2" x14ac:dyDescent="0.2">
      <c r="A41">
        <f t="shared" si="0"/>
        <v>40</v>
      </c>
      <c r="B41">
        <v>491.5</v>
      </c>
    </row>
    <row r="42" spans="1:2" x14ac:dyDescent="0.2">
      <c r="A42">
        <f t="shared" si="0"/>
        <v>41</v>
      </c>
      <c r="B42">
        <v>544</v>
      </c>
    </row>
    <row r="43" spans="1:2" x14ac:dyDescent="0.2">
      <c r="A43">
        <f t="shared" si="0"/>
        <v>42</v>
      </c>
      <c r="B43">
        <v>572.5</v>
      </c>
    </row>
    <row r="44" spans="1:2" x14ac:dyDescent="0.2">
      <c r="A44">
        <f t="shared" si="0"/>
        <v>43</v>
      </c>
      <c r="B44">
        <v>525.79999999999995</v>
      </c>
    </row>
    <row r="45" spans="1:2" x14ac:dyDescent="0.2">
      <c r="A45">
        <f t="shared" si="0"/>
        <v>44</v>
      </c>
      <c r="B45">
        <v>510.1</v>
      </c>
    </row>
    <row r="46" spans="1:2" x14ac:dyDescent="0.2">
      <c r="A46">
        <f t="shared" si="0"/>
        <v>45</v>
      </c>
      <c r="B46">
        <v>519.1</v>
      </c>
    </row>
    <row r="47" spans="1:2" x14ac:dyDescent="0.2">
      <c r="A47">
        <f t="shared" si="0"/>
        <v>46</v>
      </c>
      <c r="B47">
        <v>522.1</v>
      </c>
    </row>
    <row r="48" spans="1:2" x14ac:dyDescent="0.2">
      <c r="A48">
        <f t="shared" si="0"/>
        <v>47</v>
      </c>
      <c r="B48">
        <v>535.6</v>
      </c>
    </row>
    <row r="49" spans="1:2" x14ac:dyDescent="0.2">
      <c r="A49">
        <f t="shared" si="0"/>
        <v>48</v>
      </c>
      <c r="B49">
        <v>484</v>
      </c>
    </row>
    <row r="50" spans="1:2" x14ac:dyDescent="0.2">
      <c r="A50">
        <f t="shared" si="0"/>
        <v>49</v>
      </c>
      <c r="B50">
        <v>476.4</v>
      </c>
    </row>
    <row r="51" spans="1:2" x14ac:dyDescent="0.2">
      <c r="A51">
        <f t="shared" si="0"/>
        <v>50</v>
      </c>
      <c r="B51">
        <v>460.5</v>
      </c>
    </row>
    <row r="52" spans="1:2" x14ac:dyDescent="0.2">
      <c r="A52">
        <f t="shared" si="0"/>
        <v>51</v>
      </c>
      <c r="B52">
        <v>461.2</v>
      </c>
    </row>
    <row r="53" spans="1:2" x14ac:dyDescent="0.2">
      <c r="A53">
        <f t="shared" si="0"/>
        <v>52</v>
      </c>
      <c r="B53">
        <v>510.5</v>
      </c>
    </row>
    <row r="54" spans="1:2" x14ac:dyDescent="0.2">
      <c r="A54">
        <f t="shared" si="0"/>
        <v>53</v>
      </c>
      <c r="B54">
        <v>556.6</v>
      </c>
    </row>
    <row r="55" spans="1:2" x14ac:dyDescent="0.2">
      <c r="A55">
        <f t="shared" si="0"/>
        <v>54</v>
      </c>
      <c r="B55">
        <v>609.5</v>
      </c>
    </row>
    <row r="56" spans="1:2" x14ac:dyDescent="0.2">
      <c r="A56">
        <f t="shared" si="0"/>
        <v>55</v>
      </c>
      <c r="B56">
        <v>592.70000000000005</v>
      </c>
    </row>
    <row r="57" spans="1:2" x14ac:dyDescent="0.2">
      <c r="A57">
        <f t="shared" si="0"/>
        <v>56</v>
      </c>
      <c r="B57">
        <v>572.1</v>
      </c>
    </row>
    <row r="58" spans="1:2" x14ac:dyDescent="0.2">
      <c r="A58">
        <f t="shared" si="0"/>
        <v>57</v>
      </c>
      <c r="B58">
        <v>554.9</v>
      </c>
    </row>
    <row r="59" spans="1:2" x14ac:dyDescent="0.2">
      <c r="A59">
        <f t="shared" si="0"/>
        <v>58</v>
      </c>
      <c r="B59">
        <v>557.4</v>
      </c>
    </row>
    <row r="60" spans="1:2" x14ac:dyDescent="0.2">
      <c r="A60">
        <f t="shared" si="0"/>
        <v>59</v>
      </c>
      <c r="B60">
        <v>562.9</v>
      </c>
    </row>
    <row r="61" spans="1:2" x14ac:dyDescent="0.2">
      <c r="A61">
        <f t="shared" si="0"/>
        <v>60</v>
      </c>
      <c r="B61">
        <v>516</v>
      </c>
    </row>
    <row r="62" spans="1:2" x14ac:dyDescent="0.2">
      <c r="A62">
        <f t="shared" si="0"/>
        <v>61</v>
      </c>
      <c r="B62">
        <v>490.6</v>
      </c>
    </row>
    <row r="63" spans="1:2" x14ac:dyDescent="0.2">
      <c r="A63">
        <f t="shared" si="0"/>
        <v>62</v>
      </c>
      <c r="B63">
        <v>503.9</v>
      </c>
    </row>
    <row r="64" spans="1:2" x14ac:dyDescent="0.2">
      <c r="A64">
        <f t="shared" si="0"/>
        <v>63</v>
      </c>
      <c r="B64">
        <v>547.6</v>
      </c>
    </row>
    <row r="65" spans="1:2" x14ac:dyDescent="0.2">
      <c r="A65">
        <f t="shared" si="0"/>
        <v>64</v>
      </c>
      <c r="B65">
        <v>585</v>
      </c>
    </row>
    <row r="66" spans="1:2" x14ac:dyDescent="0.2">
      <c r="A66">
        <f t="shared" si="0"/>
        <v>65</v>
      </c>
      <c r="B66">
        <v>573.5</v>
      </c>
    </row>
    <row r="67" spans="1:2" x14ac:dyDescent="0.2">
      <c r="A67">
        <f t="shared" si="0"/>
        <v>66</v>
      </c>
      <c r="B67">
        <v>606</v>
      </c>
    </row>
    <row r="68" spans="1:2" x14ac:dyDescent="0.2">
      <c r="A68">
        <f t="shared" ref="A68:A131" si="1">A67+1</f>
        <v>67</v>
      </c>
      <c r="B68">
        <v>575.20000000000005</v>
      </c>
    </row>
    <row r="69" spans="1:2" x14ac:dyDescent="0.2">
      <c r="A69">
        <f t="shared" si="1"/>
        <v>68</v>
      </c>
      <c r="B69">
        <v>539.70000000000005</v>
      </c>
    </row>
    <row r="70" spans="1:2" x14ac:dyDescent="0.2">
      <c r="A70">
        <f t="shared" si="1"/>
        <v>69</v>
      </c>
      <c r="B70">
        <v>539.20000000000005</v>
      </c>
    </row>
    <row r="71" spans="1:2" x14ac:dyDescent="0.2">
      <c r="A71">
        <f t="shared" si="1"/>
        <v>70</v>
      </c>
      <c r="B71">
        <v>557.79999999999995</v>
      </c>
    </row>
    <row r="72" spans="1:2" x14ac:dyDescent="0.2">
      <c r="A72">
        <f t="shared" si="1"/>
        <v>71</v>
      </c>
      <c r="B72">
        <v>581.4</v>
      </c>
    </row>
    <row r="73" spans="1:2" x14ac:dyDescent="0.2">
      <c r="A73">
        <f t="shared" si="1"/>
        <v>72</v>
      </c>
      <c r="B73">
        <v>536.20000000000005</v>
      </c>
    </row>
    <row r="74" spans="1:2" x14ac:dyDescent="0.2">
      <c r="A74">
        <f t="shared" si="1"/>
        <v>73</v>
      </c>
      <c r="B74">
        <v>499.3</v>
      </c>
    </row>
    <row r="75" spans="1:2" x14ac:dyDescent="0.2">
      <c r="A75">
        <f t="shared" si="1"/>
        <v>74</v>
      </c>
      <c r="B75">
        <v>461.7</v>
      </c>
    </row>
    <row r="76" spans="1:2" x14ac:dyDescent="0.2">
      <c r="A76">
        <f t="shared" si="1"/>
        <v>75</v>
      </c>
      <c r="B76">
        <v>465.7</v>
      </c>
    </row>
    <row r="77" spans="1:2" x14ac:dyDescent="0.2">
      <c r="A77">
        <f t="shared" si="1"/>
        <v>76</v>
      </c>
      <c r="B77">
        <v>524.4</v>
      </c>
    </row>
    <row r="78" spans="1:2" x14ac:dyDescent="0.2">
      <c r="A78">
        <f t="shared" si="1"/>
        <v>77</v>
      </c>
      <c r="B78">
        <v>565.1</v>
      </c>
    </row>
    <row r="79" spans="1:2" x14ac:dyDescent="0.2">
      <c r="A79">
        <f t="shared" si="1"/>
        <v>78</v>
      </c>
      <c r="B79">
        <v>602.79999999999995</v>
      </c>
    </row>
    <row r="80" spans="1:2" x14ac:dyDescent="0.2">
      <c r="A80">
        <f t="shared" si="1"/>
        <v>79</v>
      </c>
      <c r="B80">
        <v>586</v>
      </c>
    </row>
    <row r="81" spans="1:2" x14ac:dyDescent="0.2">
      <c r="A81">
        <f t="shared" si="1"/>
        <v>80</v>
      </c>
      <c r="B81">
        <v>590.6</v>
      </c>
    </row>
    <row r="82" spans="1:2" x14ac:dyDescent="0.2">
      <c r="A82">
        <f t="shared" si="1"/>
        <v>81</v>
      </c>
      <c r="B82">
        <v>582.6</v>
      </c>
    </row>
    <row r="83" spans="1:2" x14ac:dyDescent="0.2">
      <c r="A83">
        <f t="shared" si="1"/>
        <v>82</v>
      </c>
      <c r="B83">
        <v>557.70000000000005</v>
      </c>
    </row>
    <row r="84" spans="1:2" x14ac:dyDescent="0.2">
      <c r="A84">
        <f t="shared" si="1"/>
        <v>83</v>
      </c>
      <c r="B84">
        <v>541.1</v>
      </c>
    </row>
    <row r="85" spans="1:2" x14ac:dyDescent="0.2">
      <c r="A85">
        <f t="shared" si="1"/>
        <v>84</v>
      </c>
      <c r="B85">
        <v>505.9</v>
      </c>
    </row>
    <row r="86" spans="1:2" x14ac:dyDescent="0.2">
      <c r="A86">
        <f t="shared" si="1"/>
        <v>85</v>
      </c>
      <c r="B86">
        <v>503.3</v>
      </c>
    </row>
    <row r="87" spans="1:2" x14ac:dyDescent="0.2">
      <c r="A87">
        <f t="shared" si="1"/>
        <v>86</v>
      </c>
      <c r="B87">
        <v>505</v>
      </c>
    </row>
    <row r="88" spans="1:2" x14ac:dyDescent="0.2">
      <c r="A88">
        <f t="shared" si="1"/>
        <v>87</v>
      </c>
      <c r="B88">
        <v>508.6</v>
      </c>
    </row>
    <row r="89" spans="1:2" x14ac:dyDescent="0.2">
      <c r="A89">
        <f t="shared" si="1"/>
        <v>88</v>
      </c>
      <c r="B89">
        <v>540.9</v>
      </c>
    </row>
    <row r="90" spans="1:2" x14ac:dyDescent="0.2">
      <c r="A90">
        <f t="shared" si="1"/>
        <v>89</v>
      </c>
      <c r="B90">
        <v>557.1</v>
      </c>
    </row>
    <row r="91" spans="1:2" x14ac:dyDescent="0.2">
      <c r="A91">
        <f t="shared" si="1"/>
        <v>90</v>
      </c>
      <c r="B91">
        <v>607.9</v>
      </c>
    </row>
    <row r="92" spans="1:2" x14ac:dyDescent="0.2">
      <c r="A92">
        <f t="shared" si="1"/>
        <v>91</v>
      </c>
      <c r="B92">
        <v>594.79999999999995</v>
      </c>
    </row>
    <row r="93" spans="1:2" x14ac:dyDescent="0.2">
      <c r="A93">
        <f t="shared" si="1"/>
        <v>92</v>
      </c>
      <c r="B93">
        <v>585.6</v>
      </c>
    </row>
    <row r="94" spans="1:2" x14ac:dyDescent="0.2">
      <c r="A94">
        <f t="shared" si="1"/>
        <v>93</v>
      </c>
      <c r="B94">
        <v>573.20000000000005</v>
      </c>
    </row>
    <row r="95" spans="1:2" x14ac:dyDescent="0.2">
      <c r="A95">
        <f t="shared" si="1"/>
        <v>94</v>
      </c>
      <c r="B95">
        <v>560.20000000000005</v>
      </c>
    </row>
    <row r="96" spans="1:2" x14ac:dyDescent="0.2">
      <c r="A96">
        <f t="shared" si="1"/>
        <v>95</v>
      </c>
      <c r="B96">
        <v>568.1</v>
      </c>
    </row>
    <row r="97" spans="1:2" x14ac:dyDescent="0.2">
      <c r="A97">
        <f t="shared" si="1"/>
        <v>96</v>
      </c>
      <c r="B97">
        <v>524.79999999999995</v>
      </c>
    </row>
    <row r="98" spans="1:2" x14ac:dyDescent="0.2">
      <c r="A98">
        <f t="shared" si="1"/>
        <v>97</v>
      </c>
      <c r="B98">
        <v>513.1</v>
      </c>
    </row>
    <row r="99" spans="1:2" x14ac:dyDescent="0.2">
      <c r="A99">
        <f t="shared" si="1"/>
        <v>98</v>
      </c>
      <c r="B99">
        <v>498</v>
      </c>
    </row>
    <row r="100" spans="1:2" x14ac:dyDescent="0.2">
      <c r="A100">
        <f t="shared" si="1"/>
        <v>99</v>
      </c>
      <c r="B100">
        <v>498.3</v>
      </c>
    </row>
    <row r="101" spans="1:2" x14ac:dyDescent="0.2">
      <c r="A101">
        <f t="shared" si="1"/>
        <v>100</v>
      </c>
      <c r="B101">
        <v>568.29999999999995</v>
      </c>
    </row>
    <row r="102" spans="1:2" x14ac:dyDescent="0.2">
      <c r="A102">
        <f t="shared" si="1"/>
        <v>101</v>
      </c>
      <c r="B102">
        <v>601.79999999999995</v>
      </c>
    </row>
    <row r="103" spans="1:2" x14ac:dyDescent="0.2">
      <c r="A103">
        <f t="shared" si="1"/>
        <v>102</v>
      </c>
      <c r="B103">
        <v>629.6</v>
      </c>
    </row>
    <row r="104" spans="1:2" x14ac:dyDescent="0.2">
      <c r="A104">
        <f t="shared" si="1"/>
        <v>103</v>
      </c>
      <c r="B104">
        <v>612</v>
      </c>
    </row>
    <row r="105" spans="1:2" x14ac:dyDescent="0.2">
      <c r="A105">
        <f t="shared" si="1"/>
        <v>104</v>
      </c>
      <c r="B105">
        <v>617.5</v>
      </c>
    </row>
    <row r="106" spans="1:2" x14ac:dyDescent="0.2">
      <c r="A106">
        <f t="shared" si="1"/>
        <v>105</v>
      </c>
      <c r="B106">
        <v>560.6</v>
      </c>
    </row>
    <row r="107" spans="1:2" x14ac:dyDescent="0.2">
      <c r="A107">
        <f t="shared" si="1"/>
        <v>106</v>
      </c>
      <c r="B107">
        <v>555</v>
      </c>
    </row>
    <row r="108" spans="1:2" x14ac:dyDescent="0.2">
      <c r="A108">
        <f t="shared" si="1"/>
        <v>107</v>
      </c>
      <c r="B108">
        <v>570.70000000000005</v>
      </c>
    </row>
    <row r="109" spans="1:2" x14ac:dyDescent="0.2">
      <c r="A109">
        <f t="shared" si="1"/>
        <v>108</v>
      </c>
      <c r="B109">
        <v>530.1</v>
      </c>
    </row>
    <row r="110" spans="1:2" x14ac:dyDescent="0.2">
      <c r="A110">
        <f t="shared" si="1"/>
        <v>109</v>
      </c>
      <c r="B110">
        <v>509.7</v>
      </c>
    </row>
    <row r="111" spans="1:2" x14ac:dyDescent="0.2">
      <c r="A111">
        <f t="shared" si="1"/>
        <v>110</v>
      </c>
      <c r="B111">
        <v>489.3</v>
      </c>
    </row>
    <row r="112" spans="1:2" x14ac:dyDescent="0.2">
      <c r="A112">
        <f t="shared" si="1"/>
        <v>111</v>
      </c>
      <c r="B112">
        <v>488.7</v>
      </c>
    </row>
    <row r="113" spans="1:2" x14ac:dyDescent="0.2">
      <c r="A113">
        <f t="shared" si="1"/>
        <v>112</v>
      </c>
      <c r="B113">
        <v>568.1</v>
      </c>
    </row>
    <row r="114" spans="1:2" x14ac:dyDescent="0.2">
      <c r="A114">
        <f t="shared" si="1"/>
        <v>113</v>
      </c>
      <c r="B114">
        <v>609.5</v>
      </c>
    </row>
    <row r="115" spans="1:2" x14ac:dyDescent="0.2">
      <c r="A115">
        <f t="shared" si="1"/>
        <v>114</v>
      </c>
      <c r="B115">
        <v>639</v>
      </c>
    </row>
    <row r="116" spans="1:2" x14ac:dyDescent="0.2">
      <c r="A116">
        <f t="shared" si="1"/>
        <v>115</v>
      </c>
      <c r="B116">
        <v>628.1</v>
      </c>
    </row>
    <row r="117" spans="1:2" x14ac:dyDescent="0.2">
      <c r="A117">
        <f t="shared" si="1"/>
        <v>116</v>
      </c>
      <c r="B117">
        <v>635.5</v>
      </c>
    </row>
    <row r="118" spans="1:2" x14ac:dyDescent="0.2">
      <c r="A118">
        <f t="shared" si="1"/>
        <v>117</v>
      </c>
      <c r="B118">
        <v>592.4</v>
      </c>
    </row>
    <row r="119" spans="1:2" x14ac:dyDescent="0.2">
      <c r="A119">
        <f t="shared" si="1"/>
        <v>118</v>
      </c>
      <c r="B119">
        <v>580.9</v>
      </c>
    </row>
    <row r="120" spans="1:2" x14ac:dyDescent="0.2">
      <c r="A120">
        <f t="shared" si="1"/>
        <v>119</v>
      </c>
      <c r="B120">
        <v>611.5</v>
      </c>
    </row>
    <row r="121" spans="1:2" x14ac:dyDescent="0.2">
      <c r="A121">
        <f t="shared" si="1"/>
        <v>120</v>
      </c>
      <c r="B121">
        <v>571.79999999999995</v>
      </c>
    </row>
    <row r="122" spans="1:2" x14ac:dyDescent="0.2">
      <c r="A122">
        <f t="shared" si="1"/>
        <v>121</v>
      </c>
      <c r="B122">
        <v>525.20000000000005</v>
      </c>
    </row>
    <row r="123" spans="1:2" x14ac:dyDescent="0.2">
      <c r="A123">
        <f t="shared" si="1"/>
        <v>122</v>
      </c>
      <c r="B123">
        <v>493.6</v>
      </c>
    </row>
    <row r="124" spans="1:2" x14ac:dyDescent="0.2">
      <c r="A124">
        <f t="shared" si="1"/>
        <v>123</v>
      </c>
      <c r="B124">
        <v>513.9</v>
      </c>
    </row>
    <row r="125" spans="1:2" x14ac:dyDescent="0.2">
      <c r="A125">
        <f t="shared" si="1"/>
        <v>124</v>
      </c>
      <c r="B125">
        <v>594.20000000000005</v>
      </c>
    </row>
    <row r="126" spans="1:2" x14ac:dyDescent="0.2">
      <c r="A126">
        <f t="shared" si="1"/>
        <v>125</v>
      </c>
      <c r="B126">
        <v>610.70000000000005</v>
      </c>
    </row>
    <row r="127" spans="1:2" x14ac:dyDescent="0.2">
      <c r="A127">
        <f t="shared" si="1"/>
        <v>126</v>
      </c>
      <c r="B127">
        <v>632.29999999999995</v>
      </c>
    </row>
    <row r="128" spans="1:2" x14ac:dyDescent="0.2">
      <c r="A128">
        <f t="shared" si="1"/>
        <v>127</v>
      </c>
      <c r="B128">
        <v>647</v>
      </c>
    </row>
    <row r="129" spans="1:2" x14ac:dyDescent="0.2">
      <c r="A129">
        <f t="shared" si="1"/>
        <v>128</v>
      </c>
      <c r="B129">
        <v>656.7</v>
      </c>
    </row>
    <row r="130" spans="1:2" x14ac:dyDescent="0.2">
      <c r="A130">
        <f t="shared" si="1"/>
        <v>129</v>
      </c>
      <c r="B130">
        <v>635.70000000000005</v>
      </c>
    </row>
    <row r="131" spans="1:2" x14ac:dyDescent="0.2">
      <c r="A131">
        <f t="shared" si="1"/>
        <v>130</v>
      </c>
      <c r="B131">
        <v>643.6</v>
      </c>
    </row>
    <row r="132" spans="1:2" x14ac:dyDescent="0.2">
      <c r="A132">
        <f t="shared" ref="A132:A157" si="2">A131+1</f>
        <v>131</v>
      </c>
      <c r="B132">
        <v>645.70000000000005</v>
      </c>
    </row>
    <row r="133" spans="1:2" x14ac:dyDescent="0.2">
      <c r="A133">
        <f t="shared" si="2"/>
        <v>132</v>
      </c>
      <c r="B133">
        <v>622.4</v>
      </c>
    </row>
    <row r="134" spans="1:2" x14ac:dyDescent="0.2">
      <c r="A134">
        <f t="shared" si="2"/>
        <v>133</v>
      </c>
      <c r="B134">
        <v>570.29999999999995</v>
      </c>
    </row>
    <row r="135" spans="1:2" x14ac:dyDescent="0.2">
      <c r="A135">
        <f t="shared" si="2"/>
        <v>134</v>
      </c>
      <c r="B135">
        <v>580.4</v>
      </c>
    </row>
    <row r="136" spans="1:2" x14ac:dyDescent="0.2">
      <c r="A136">
        <f t="shared" si="2"/>
        <v>135</v>
      </c>
      <c r="B136">
        <v>585.4</v>
      </c>
    </row>
    <row r="137" spans="1:2" x14ac:dyDescent="0.2">
      <c r="A137">
        <f t="shared" si="2"/>
        <v>136</v>
      </c>
      <c r="B137">
        <v>648.70000000000005</v>
      </c>
    </row>
    <row r="138" spans="1:2" x14ac:dyDescent="0.2">
      <c r="A138">
        <f t="shared" si="2"/>
        <v>137</v>
      </c>
      <c r="B138">
        <v>689.1</v>
      </c>
    </row>
    <row r="139" spans="1:2" x14ac:dyDescent="0.2">
      <c r="A139">
        <f t="shared" si="2"/>
        <v>138</v>
      </c>
      <c r="B139">
        <v>708.4</v>
      </c>
    </row>
    <row r="140" spans="1:2" x14ac:dyDescent="0.2">
      <c r="A140">
        <f t="shared" si="2"/>
        <v>139</v>
      </c>
      <c r="B140">
        <v>642.20000000000005</v>
      </c>
    </row>
    <row r="141" spans="1:2" x14ac:dyDescent="0.2">
      <c r="A141">
        <f t="shared" si="2"/>
        <v>140</v>
      </c>
      <c r="B141">
        <v>647.1</v>
      </c>
    </row>
    <row r="142" spans="1:2" x14ac:dyDescent="0.2">
      <c r="A142">
        <f t="shared" si="2"/>
        <v>141</v>
      </c>
      <c r="B142">
        <v>647.79999999999995</v>
      </c>
    </row>
    <row r="143" spans="1:2" x14ac:dyDescent="0.2">
      <c r="A143">
        <f t="shared" si="2"/>
        <v>142</v>
      </c>
      <c r="B143">
        <v>650.4</v>
      </c>
    </row>
    <row r="144" spans="1:2" x14ac:dyDescent="0.2">
      <c r="A144">
        <f t="shared" si="2"/>
        <v>143</v>
      </c>
      <c r="B144">
        <v>644.70000000000005</v>
      </c>
    </row>
    <row r="145" spans="1:2" x14ac:dyDescent="0.2">
      <c r="A145">
        <f t="shared" si="2"/>
        <v>144</v>
      </c>
      <c r="B145">
        <v>575.20000000000005</v>
      </c>
    </row>
    <row r="146" spans="1:2" x14ac:dyDescent="0.2">
      <c r="A146">
        <f t="shared" si="2"/>
        <v>145</v>
      </c>
      <c r="B146">
        <v>567.1</v>
      </c>
    </row>
    <row r="147" spans="1:2" x14ac:dyDescent="0.2">
      <c r="A147">
        <f t="shared" si="2"/>
        <v>146</v>
      </c>
      <c r="B147">
        <v>574</v>
      </c>
    </row>
    <row r="148" spans="1:2" x14ac:dyDescent="0.2">
      <c r="A148">
        <f t="shared" si="2"/>
        <v>147</v>
      </c>
      <c r="B148">
        <v>533.1</v>
      </c>
    </row>
    <row r="149" spans="1:2" x14ac:dyDescent="0.2">
      <c r="A149">
        <f t="shared" si="2"/>
        <v>148</v>
      </c>
      <c r="B149">
        <v>583.70000000000005</v>
      </c>
    </row>
    <row r="150" spans="1:2" x14ac:dyDescent="0.2">
      <c r="A150">
        <f t="shared" si="2"/>
        <v>149</v>
      </c>
      <c r="B150">
        <v>619.9</v>
      </c>
    </row>
    <row r="151" spans="1:2" x14ac:dyDescent="0.2">
      <c r="A151">
        <f t="shared" si="2"/>
        <v>150</v>
      </c>
      <c r="B151">
        <v>649</v>
      </c>
    </row>
    <row r="152" spans="1:2" x14ac:dyDescent="0.2">
      <c r="A152">
        <f t="shared" si="2"/>
        <v>151</v>
      </c>
      <c r="B152">
        <v>698.1</v>
      </c>
    </row>
    <row r="153" spans="1:2" x14ac:dyDescent="0.2">
      <c r="A153">
        <f t="shared" si="2"/>
        <v>152</v>
      </c>
      <c r="B153">
        <v>630.20000000000005</v>
      </c>
    </row>
    <row r="154" spans="1:2" x14ac:dyDescent="0.2">
      <c r="A154">
        <f t="shared" si="2"/>
        <v>153</v>
      </c>
      <c r="B154">
        <v>613.1</v>
      </c>
    </row>
    <row r="155" spans="1:2" x14ac:dyDescent="0.2">
      <c r="A155">
        <f t="shared" si="2"/>
        <v>154</v>
      </c>
      <c r="B155">
        <v>622</v>
      </c>
    </row>
    <row r="156" spans="1:2" x14ac:dyDescent="0.2">
      <c r="A156">
        <f t="shared" si="2"/>
        <v>155</v>
      </c>
      <c r="B156">
        <v>622.1</v>
      </c>
    </row>
    <row r="157" spans="1:2" x14ac:dyDescent="0.2">
      <c r="A157">
        <f t="shared" si="2"/>
        <v>156</v>
      </c>
      <c r="B157">
        <v>583.1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BFB24-A69A-4B31-9E18-8CB2C6CFA499}">
  <sheetPr codeName="Sheet3"/>
  <dimension ref="A1:I157"/>
  <sheetViews>
    <sheetView workbookViewId="0">
      <selection activeCell="L3" sqref="L3"/>
    </sheetView>
  </sheetViews>
  <sheetFormatPr baseColWidth="10" defaultColWidth="8.83203125" defaultRowHeight="15" x14ac:dyDescent="0.2"/>
  <cols>
    <col min="2" max="2" width="11.5" bestFit="1" customWidth="1"/>
    <col min="3" max="3" width="10.6640625" bestFit="1" customWidth="1"/>
    <col min="4" max="4" width="10.5" bestFit="1" customWidth="1"/>
  </cols>
  <sheetData>
    <row r="1" spans="1:9" x14ac:dyDescent="0.2">
      <c r="A1" s="1" t="s">
        <v>163</v>
      </c>
      <c r="B1" s="1" t="s">
        <v>4</v>
      </c>
      <c r="C1" s="2" t="s">
        <v>164</v>
      </c>
      <c r="D1" s="3" t="s">
        <v>165</v>
      </c>
    </row>
    <row r="2" spans="1:9" x14ac:dyDescent="0.2">
      <c r="A2" s="1">
        <v>1</v>
      </c>
      <c r="B2" s="1">
        <v>447.8</v>
      </c>
      <c r="C2" s="2">
        <v>447.8</v>
      </c>
      <c r="D2" s="3">
        <f>C2-B2</f>
        <v>0</v>
      </c>
      <c r="H2" s="2" t="s">
        <v>166</v>
      </c>
      <c r="I2" s="2">
        <v>0.999</v>
      </c>
    </row>
    <row r="3" spans="1:9" x14ac:dyDescent="0.2">
      <c r="A3" s="1">
        <f>A2+1</f>
        <v>2</v>
      </c>
      <c r="B3" s="1">
        <v>437.1</v>
      </c>
      <c r="C3" s="2">
        <f>B2*$I$2+(1-$I$2)*C2</f>
        <v>447.8</v>
      </c>
      <c r="D3" s="3">
        <f t="shared" ref="D3:D66" si="0">C3-B3</f>
        <v>10.699999999999989</v>
      </c>
      <c r="H3" s="2" t="s">
        <v>167</v>
      </c>
      <c r="I3" s="2">
        <f>SQRT(SUMSQ(D2:D157)/COUNTA(D2:D157))</f>
        <v>31.046594647968579</v>
      </c>
    </row>
    <row r="4" spans="1:9" x14ac:dyDescent="0.2">
      <c r="A4" s="1">
        <f t="shared" ref="A4:A67" si="1">A3+1</f>
        <v>3</v>
      </c>
      <c r="B4" s="1">
        <v>479.7</v>
      </c>
      <c r="C4" s="2">
        <f t="shared" ref="C4:C67" si="2">B3*$I$2+(1-$I$2)*C3</f>
        <v>437.11070000000001</v>
      </c>
      <c r="D4" s="3">
        <f t="shared" si="0"/>
        <v>-42.58929999999998</v>
      </c>
    </row>
    <row r="5" spans="1:9" x14ac:dyDescent="0.2">
      <c r="A5" s="1">
        <f t="shared" si="1"/>
        <v>4</v>
      </c>
      <c r="B5" s="1">
        <v>533.6</v>
      </c>
      <c r="C5" s="2">
        <f t="shared" si="2"/>
        <v>479.65741070000001</v>
      </c>
      <c r="D5" s="3">
        <f t="shared" si="0"/>
        <v>-53.942589300000009</v>
      </c>
    </row>
    <row r="6" spans="1:9" x14ac:dyDescent="0.2">
      <c r="A6" s="1">
        <f t="shared" si="1"/>
        <v>5</v>
      </c>
      <c r="B6" s="1">
        <v>535</v>
      </c>
      <c r="C6" s="2">
        <f t="shared" si="2"/>
        <v>533.54605741070009</v>
      </c>
      <c r="D6" s="3">
        <f t="shared" si="0"/>
        <v>-1.4539425892999134</v>
      </c>
    </row>
    <row r="7" spans="1:9" x14ac:dyDescent="0.2">
      <c r="A7" s="1">
        <f t="shared" si="1"/>
        <v>6</v>
      </c>
      <c r="B7" s="1">
        <v>560.20000000000005</v>
      </c>
      <c r="C7" s="2">
        <f t="shared" si="2"/>
        <v>534.99854605741075</v>
      </c>
      <c r="D7" s="3">
        <f t="shared" si="0"/>
        <v>-25.201453942589296</v>
      </c>
    </row>
    <row r="8" spans="1:9" x14ac:dyDescent="0.2">
      <c r="A8" s="1">
        <f t="shared" si="1"/>
        <v>7</v>
      </c>
      <c r="B8" s="1">
        <v>537.4</v>
      </c>
      <c r="C8" s="2">
        <f t="shared" si="2"/>
        <v>560.17479854605745</v>
      </c>
      <c r="D8" s="3">
        <f t="shared" si="0"/>
        <v>22.774798546057468</v>
      </c>
    </row>
    <row r="9" spans="1:9" x14ac:dyDescent="0.2">
      <c r="A9" s="1">
        <f t="shared" si="1"/>
        <v>8</v>
      </c>
      <c r="B9" s="1">
        <v>528.79999999999995</v>
      </c>
      <c r="C9" s="2">
        <f t="shared" si="2"/>
        <v>537.42277479854602</v>
      </c>
      <c r="D9" s="3">
        <f t="shared" si="0"/>
        <v>8.622774798546061</v>
      </c>
    </row>
    <row r="10" spans="1:9" x14ac:dyDescent="0.2">
      <c r="A10" s="1">
        <f t="shared" si="1"/>
        <v>9</v>
      </c>
      <c r="B10" s="1">
        <v>516.29999999999995</v>
      </c>
      <c r="C10" s="2">
        <f t="shared" si="2"/>
        <v>528.80862277479844</v>
      </c>
      <c r="D10" s="3">
        <f t="shared" si="0"/>
        <v>12.508622774798482</v>
      </c>
    </row>
    <row r="11" spans="1:9" x14ac:dyDescent="0.2">
      <c r="A11" s="1">
        <f t="shared" si="1"/>
        <v>10</v>
      </c>
      <c r="B11" s="1">
        <v>520</v>
      </c>
      <c r="C11" s="2">
        <f t="shared" si="2"/>
        <v>516.31250862277477</v>
      </c>
      <c r="D11" s="3">
        <f t="shared" si="0"/>
        <v>-3.6874913772252285</v>
      </c>
    </row>
    <row r="12" spans="1:9" x14ac:dyDescent="0.2">
      <c r="A12" s="1">
        <f t="shared" si="1"/>
        <v>11</v>
      </c>
      <c r="B12" s="1">
        <v>518.6</v>
      </c>
      <c r="C12" s="2">
        <f t="shared" si="2"/>
        <v>519.99631250862285</v>
      </c>
      <c r="D12" s="3">
        <f t="shared" si="0"/>
        <v>1.3963125086228274</v>
      </c>
    </row>
    <row r="13" spans="1:9" x14ac:dyDescent="0.2">
      <c r="A13" s="1">
        <f t="shared" si="1"/>
        <v>12</v>
      </c>
      <c r="B13" s="1">
        <v>478</v>
      </c>
      <c r="C13" s="2">
        <f t="shared" si="2"/>
        <v>518.60139631250865</v>
      </c>
      <c r="D13" s="3">
        <f t="shared" si="0"/>
        <v>40.601396312508655</v>
      </c>
    </row>
    <row r="14" spans="1:9" x14ac:dyDescent="0.2">
      <c r="A14" s="1">
        <f t="shared" si="1"/>
        <v>13</v>
      </c>
      <c r="B14" s="1">
        <v>465.5</v>
      </c>
      <c r="C14" s="2">
        <f t="shared" si="2"/>
        <v>478.04060139631252</v>
      </c>
      <c r="D14" s="3">
        <f t="shared" si="0"/>
        <v>12.540601396312525</v>
      </c>
    </row>
    <row r="15" spans="1:9" x14ac:dyDescent="0.2">
      <c r="A15" s="1">
        <f t="shared" si="1"/>
        <v>14</v>
      </c>
      <c r="B15" s="1">
        <v>452.3</v>
      </c>
      <c r="C15" s="2">
        <f t="shared" si="2"/>
        <v>465.51254060139627</v>
      </c>
      <c r="D15" s="3">
        <f t="shared" si="0"/>
        <v>13.212540601396256</v>
      </c>
    </row>
    <row r="16" spans="1:9" x14ac:dyDescent="0.2">
      <c r="A16" s="1">
        <f t="shared" si="1"/>
        <v>15</v>
      </c>
      <c r="B16" s="1">
        <v>470</v>
      </c>
      <c r="C16" s="2">
        <f t="shared" si="2"/>
        <v>452.31321254060146</v>
      </c>
      <c r="D16" s="3">
        <f t="shared" si="0"/>
        <v>-17.686787459398545</v>
      </c>
    </row>
    <row r="17" spans="1:4" x14ac:dyDescent="0.2">
      <c r="A17" s="1">
        <f t="shared" si="1"/>
        <v>16</v>
      </c>
      <c r="B17" s="1">
        <v>511.3</v>
      </c>
      <c r="C17" s="2">
        <f t="shared" si="2"/>
        <v>469.98231321254059</v>
      </c>
      <c r="D17" s="3">
        <f t="shared" si="0"/>
        <v>-41.317686787459422</v>
      </c>
    </row>
    <row r="18" spans="1:4" x14ac:dyDescent="0.2">
      <c r="A18" s="1">
        <f t="shared" si="1"/>
        <v>17</v>
      </c>
      <c r="B18" s="1">
        <v>522</v>
      </c>
      <c r="C18" s="2">
        <f t="shared" si="2"/>
        <v>511.25868231321255</v>
      </c>
      <c r="D18" s="3">
        <f t="shared" si="0"/>
        <v>-10.741317686787454</v>
      </c>
    </row>
    <row r="19" spans="1:4" x14ac:dyDescent="0.2">
      <c r="A19" s="1">
        <f t="shared" si="1"/>
        <v>18</v>
      </c>
      <c r="B19" s="1">
        <v>533.20000000000005</v>
      </c>
      <c r="C19" s="2">
        <f t="shared" si="2"/>
        <v>521.98925868231322</v>
      </c>
      <c r="D19" s="3">
        <f t="shared" si="0"/>
        <v>-11.210741317686825</v>
      </c>
    </row>
    <row r="20" spans="1:4" x14ac:dyDescent="0.2">
      <c r="A20" s="1">
        <f t="shared" si="1"/>
        <v>19</v>
      </c>
      <c r="B20" s="1">
        <v>513.20000000000005</v>
      </c>
      <c r="C20" s="2">
        <f t="shared" si="2"/>
        <v>533.18878925868239</v>
      </c>
      <c r="D20" s="3">
        <f t="shared" si="0"/>
        <v>19.988789258682345</v>
      </c>
    </row>
    <row r="21" spans="1:4" x14ac:dyDescent="0.2">
      <c r="A21" s="1">
        <f t="shared" si="1"/>
        <v>20</v>
      </c>
      <c r="B21" s="1">
        <v>544.20000000000005</v>
      </c>
      <c r="C21" s="2">
        <f t="shared" si="2"/>
        <v>513.21998878925876</v>
      </c>
      <c r="D21" s="3">
        <f t="shared" si="0"/>
        <v>-30.980011210741282</v>
      </c>
    </row>
    <row r="22" spans="1:4" x14ac:dyDescent="0.2">
      <c r="A22" s="1">
        <f t="shared" si="1"/>
        <v>21</v>
      </c>
      <c r="B22" s="1">
        <v>541.4</v>
      </c>
      <c r="C22" s="2">
        <f t="shared" si="2"/>
        <v>544.16901998878927</v>
      </c>
      <c r="D22" s="3">
        <f t="shared" si="0"/>
        <v>2.7690199887892959</v>
      </c>
    </row>
    <row r="23" spans="1:4" x14ac:dyDescent="0.2">
      <c r="A23" s="1">
        <f t="shared" si="1"/>
        <v>22</v>
      </c>
      <c r="B23" s="1">
        <v>525.70000000000005</v>
      </c>
      <c r="C23" s="2">
        <f t="shared" si="2"/>
        <v>541.4027690199888</v>
      </c>
      <c r="D23" s="3">
        <f t="shared" si="0"/>
        <v>15.70276901998875</v>
      </c>
    </row>
    <row r="24" spans="1:4" x14ac:dyDescent="0.2">
      <c r="A24" s="1">
        <f t="shared" si="1"/>
        <v>23</v>
      </c>
      <c r="B24" s="1">
        <v>535.20000000000005</v>
      </c>
      <c r="C24" s="2">
        <f t="shared" si="2"/>
        <v>525.71570276902003</v>
      </c>
      <c r="D24" s="3">
        <f t="shared" si="0"/>
        <v>-9.4842972309800189</v>
      </c>
    </row>
    <row r="25" spans="1:4" x14ac:dyDescent="0.2">
      <c r="A25" s="1">
        <f t="shared" si="1"/>
        <v>24</v>
      </c>
      <c r="B25" s="1">
        <v>495</v>
      </c>
      <c r="C25" s="2">
        <f t="shared" si="2"/>
        <v>535.19051570276906</v>
      </c>
      <c r="D25" s="3">
        <f t="shared" si="0"/>
        <v>40.190515702769062</v>
      </c>
    </row>
    <row r="26" spans="1:4" x14ac:dyDescent="0.2">
      <c r="A26" s="1">
        <f t="shared" si="1"/>
        <v>25</v>
      </c>
      <c r="B26" s="1">
        <v>473.6</v>
      </c>
      <c r="C26" s="2">
        <f t="shared" si="2"/>
        <v>495.04019051570276</v>
      </c>
      <c r="D26" s="3">
        <f t="shared" si="0"/>
        <v>21.440190515702739</v>
      </c>
    </row>
    <row r="27" spans="1:4" x14ac:dyDescent="0.2">
      <c r="A27" s="1">
        <f t="shared" si="1"/>
        <v>26</v>
      </c>
      <c r="B27" s="1">
        <v>444.4</v>
      </c>
      <c r="C27" s="2">
        <f t="shared" si="2"/>
        <v>473.62144019051573</v>
      </c>
      <c r="D27" s="3">
        <f t="shared" si="0"/>
        <v>29.22144019051575</v>
      </c>
    </row>
    <row r="28" spans="1:4" x14ac:dyDescent="0.2">
      <c r="A28" s="1">
        <f t="shared" si="1"/>
        <v>27</v>
      </c>
      <c r="B28" s="1">
        <v>451.8</v>
      </c>
      <c r="C28" s="2">
        <f t="shared" si="2"/>
        <v>444.42922144019053</v>
      </c>
      <c r="D28" s="3">
        <f t="shared" si="0"/>
        <v>-7.3707785598094802</v>
      </c>
    </row>
    <row r="29" spans="1:4" x14ac:dyDescent="0.2">
      <c r="A29" s="1">
        <f t="shared" si="1"/>
        <v>28</v>
      </c>
      <c r="B29" s="1">
        <v>511</v>
      </c>
      <c r="C29" s="2">
        <f t="shared" si="2"/>
        <v>451.79262922144022</v>
      </c>
      <c r="D29" s="3">
        <f t="shared" si="0"/>
        <v>-59.207370778559778</v>
      </c>
    </row>
    <row r="30" spans="1:4" x14ac:dyDescent="0.2">
      <c r="A30" s="1">
        <f t="shared" si="1"/>
        <v>29</v>
      </c>
      <c r="B30" s="1">
        <v>542.79999999999995</v>
      </c>
      <c r="C30" s="2">
        <f t="shared" si="2"/>
        <v>510.94079262922139</v>
      </c>
      <c r="D30" s="3">
        <f t="shared" si="0"/>
        <v>-31.859207370778563</v>
      </c>
    </row>
    <row r="31" spans="1:4" x14ac:dyDescent="0.2">
      <c r="A31" s="1">
        <f t="shared" si="1"/>
        <v>30</v>
      </c>
      <c r="B31" s="1">
        <v>556</v>
      </c>
      <c r="C31" s="2">
        <f t="shared" si="2"/>
        <v>542.76814079262908</v>
      </c>
      <c r="D31" s="3">
        <f t="shared" si="0"/>
        <v>-13.231859207370917</v>
      </c>
    </row>
    <row r="32" spans="1:4" x14ac:dyDescent="0.2">
      <c r="A32" s="1">
        <f t="shared" si="1"/>
        <v>31</v>
      </c>
      <c r="B32" s="1">
        <v>563.1</v>
      </c>
      <c r="C32" s="2">
        <f t="shared" si="2"/>
        <v>555.98676814079261</v>
      </c>
      <c r="D32" s="3">
        <f t="shared" si="0"/>
        <v>-7.1132318592074171</v>
      </c>
    </row>
    <row r="33" spans="1:4" x14ac:dyDescent="0.2">
      <c r="A33" s="1">
        <f t="shared" si="1"/>
        <v>32</v>
      </c>
      <c r="B33" s="1">
        <v>555</v>
      </c>
      <c r="C33" s="2">
        <f t="shared" si="2"/>
        <v>563.09288676814083</v>
      </c>
      <c r="D33" s="3">
        <f t="shared" si="0"/>
        <v>8.0928867681408292</v>
      </c>
    </row>
    <row r="34" spans="1:4" x14ac:dyDescent="0.2">
      <c r="A34" s="1">
        <f t="shared" si="1"/>
        <v>33</v>
      </c>
      <c r="B34" s="1">
        <v>513.6</v>
      </c>
      <c r="C34" s="2">
        <f t="shared" si="2"/>
        <v>555.00809288676817</v>
      </c>
      <c r="D34" s="3">
        <f t="shared" si="0"/>
        <v>41.408092886768145</v>
      </c>
    </row>
    <row r="35" spans="1:4" x14ac:dyDescent="0.2">
      <c r="A35" s="1">
        <f t="shared" si="1"/>
        <v>34</v>
      </c>
      <c r="B35" s="1">
        <v>514.70000000000005</v>
      </c>
      <c r="C35" s="2">
        <f t="shared" si="2"/>
        <v>513.64140809288676</v>
      </c>
      <c r="D35" s="3">
        <f t="shared" si="0"/>
        <v>-1.0585919071132821</v>
      </c>
    </row>
    <row r="36" spans="1:4" x14ac:dyDescent="0.2">
      <c r="A36" s="1">
        <f t="shared" si="1"/>
        <v>35</v>
      </c>
      <c r="B36" s="1">
        <v>547.9</v>
      </c>
      <c r="C36" s="2">
        <f t="shared" si="2"/>
        <v>514.69894140809299</v>
      </c>
      <c r="D36" s="3">
        <f t="shared" si="0"/>
        <v>-33.201058591906985</v>
      </c>
    </row>
    <row r="37" spans="1:4" x14ac:dyDescent="0.2">
      <c r="A37" s="1">
        <f t="shared" si="1"/>
        <v>36</v>
      </c>
      <c r="B37" s="1">
        <v>489.9</v>
      </c>
      <c r="C37" s="2">
        <f t="shared" si="2"/>
        <v>547.86679894140809</v>
      </c>
      <c r="D37" s="3">
        <f t="shared" si="0"/>
        <v>57.966798941408115</v>
      </c>
    </row>
    <row r="38" spans="1:4" x14ac:dyDescent="0.2">
      <c r="A38" s="1">
        <f t="shared" si="1"/>
        <v>37</v>
      </c>
      <c r="B38" s="1">
        <v>467.1</v>
      </c>
      <c r="C38" s="2">
        <f t="shared" si="2"/>
        <v>489.95796679894141</v>
      </c>
      <c r="D38" s="3">
        <f t="shared" si="0"/>
        <v>22.857966798941391</v>
      </c>
    </row>
    <row r="39" spans="1:4" x14ac:dyDescent="0.2">
      <c r="A39" s="1">
        <f t="shared" si="1"/>
        <v>38</v>
      </c>
      <c r="B39" s="1">
        <v>472.7</v>
      </c>
      <c r="C39" s="2">
        <f t="shared" si="2"/>
        <v>467.12285796679896</v>
      </c>
      <c r="D39" s="3">
        <f t="shared" si="0"/>
        <v>-5.577142033201028</v>
      </c>
    </row>
    <row r="40" spans="1:4" x14ac:dyDescent="0.2">
      <c r="A40" s="1">
        <f t="shared" si="1"/>
        <v>39</v>
      </c>
      <c r="B40" s="1">
        <v>449.5</v>
      </c>
      <c r="C40" s="2">
        <f t="shared" si="2"/>
        <v>472.6944228579668</v>
      </c>
      <c r="D40" s="3">
        <f t="shared" si="0"/>
        <v>23.194422857966799</v>
      </c>
    </row>
    <row r="41" spans="1:4" x14ac:dyDescent="0.2">
      <c r="A41" s="1">
        <f t="shared" si="1"/>
        <v>40</v>
      </c>
      <c r="B41" s="1">
        <v>491.5</v>
      </c>
      <c r="C41" s="2">
        <f t="shared" si="2"/>
        <v>449.52319442285796</v>
      </c>
      <c r="D41" s="3">
        <f t="shared" si="0"/>
        <v>-41.976805577142045</v>
      </c>
    </row>
    <row r="42" spans="1:4" x14ac:dyDescent="0.2">
      <c r="A42" s="1">
        <f t="shared" si="1"/>
        <v>41</v>
      </c>
      <c r="B42" s="1">
        <v>544</v>
      </c>
      <c r="C42" s="2">
        <f t="shared" si="2"/>
        <v>491.45802319442288</v>
      </c>
      <c r="D42" s="3">
        <f t="shared" si="0"/>
        <v>-52.541976805577121</v>
      </c>
    </row>
    <row r="43" spans="1:4" x14ac:dyDescent="0.2">
      <c r="A43" s="1">
        <f t="shared" si="1"/>
        <v>42</v>
      </c>
      <c r="B43" s="1">
        <v>572.5</v>
      </c>
      <c r="C43" s="2">
        <f t="shared" si="2"/>
        <v>543.94745802319449</v>
      </c>
      <c r="D43" s="3">
        <f t="shared" si="0"/>
        <v>-28.552541976805514</v>
      </c>
    </row>
    <row r="44" spans="1:4" x14ac:dyDescent="0.2">
      <c r="A44" s="1">
        <f t="shared" si="1"/>
        <v>43</v>
      </c>
      <c r="B44" s="1">
        <v>525.79999999999995</v>
      </c>
      <c r="C44" s="2">
        <f t="shared" si="2"/>
        <v>572.47144745802325</v>
      </c>
      <c r="D44" s="3">
        <f t="shared" si="0"/>
        <v>46.671447458023295</v>
      </c>
    </row>
    <row r="45" spans="1:4" x14ac:dyDescent="0.2">
      <c r="A45" s="1">
        <f t="shared" si="1"/>
        <v>44</v>
      </c>
      <c r="B45" s="1">
        <v>510.1</v>
      </c>
      <c r="C45" s="2">
        <f t="shared" si="2"/>
        <v>525.84667144745799</v>
      </c>
      <c r="D45" s="3">
        <f t="shared" si="0"/>
        <v>15.74667144745797</v>
      </c>
    </row>
    <row r="46" spans="1:4" x14ac:dyDescent="0.2">
      <c r="A46" s="1">
        <f t="shared" si="1"/>
        <v>45</v>
      </c>
      <c r="B46" s="1">
        <v>519.1</v>
      </c>
      <c r="C46" s="2">
        <f t="shared" si="2"/>
        <v>510.11574667144748</v>
      </c>
      <c r="D46" s="3">
        <f t="shared" si="0"/>
        <v>-8.9842533285525406</v>
      </c>
    </row>
    <row r="47" spans="1:4" x14ac:dyDescent="0.2">
      <c r="A47" s="1">
        <f t="shared" si="1"/>
        <v>46</v>
      </c>
      <c r="B47" s="1">
        <v>522.1</v>
      </c>
      <c r="C47" s="2">
        <f t="shared" si="2"/>
        <v>519.09101574667147</v>
      </c>
      <c r="D47" s="3">
        <f t="shared" si="0"/>
        <v>-3.0089842533285491</v>
      </c>
    </row>
    <row r="48" spans="1:4" x14ac:dyDescent="0.2">
      <c r="A48" s="1">
        <f t="shared" si="1"/>
        <v>47</v>
      </c>
      <c r="B48" s="1">
        <v>535.6</v>
      </c>
      <c r="C48" s="2">
        <f t="shared" si="2"/>
        <v>522.09699101574665</v>
      </c>
      <c r="D48" s="3">
        <f t="shared" si="0"/>
        <v>-13.50300898425337</v>
      </c>
    </row>
    <row r="49" spans="1:4" x14ac:dyDescent="0.2">
      <c r="A49" s="1">
        <f t="shared" si="1"/>
        <v>48</v>
      </c>
      <c r="B49" s="1">
        <v>484</v>
      </c>
      <c r="C49" s="2">
        <f t="shared" si="2"/>
        <v>535.58649699101568</v>
      </c>
      <c r="D49" s="3">
        <f t="shared" si="0"/>
        <v>51.586496991015679</v>
      </c>
    </row>
    <row r="50" spans="1:4" x14ac:dyDescent="0.2">
      <c r="A50" s="1">
        <f t="shared" si="1"/>
        <v>49</v>
      </c>
      <c r="B50" s="1">
        <v>476.4</v>
      </c>
      <c r="C50" s="2">
        <f t="shared" si="2"/>
        <v>484.05158649699104</v>
      </c>
      <c r="D50" s="3">
        <f t="shared" si="0"/>
        <v>7.6515864969910581</v>
      </c>
    </row>
    <row r="51" spans="1:4" x14ac:dyDescent="0.2">
      <c r="A51" s="1">
        <f t="shared" si="1"/>
        <v>50</v>
      </c>
      <c r="B51" s="1">
        <v>460.5</v>
      </c>
      <c r="C51" s="2">
        <f t="shared" si="2"/>
        <v>476.40765158649697</v>
      </c>
      <c r="D51" s="3">
        <f t="shared" si="0"/>
        <v>15.907651586496968</v>
      </c>
    </row>
    <row r="52" spans="1:4" x14ac:dyDescent="0.2">
      <c r="A52" s="1">
        <f t="shared" si="1"/>
        <v>51</v>
      </c>
      <c r="B52" s="1">
        <v>461.2</v>
      </c>
      <c r="C52" s="2">
        <f t="shared" si="2"/>
        <v>460.51590765158647</v>
      </c>
      <c r="D52" s="3">
        <f t="shared" si="0"/>
        <v>-0.68409234841351463</v>
      </c>
    </row>
    <row r="53" spans="1:4" x14ac:dyDescent="0.2">
      <c r="A53" s="1">
        <f t="shared" si="1"/>
        <v>52</v>
      </c>
      <c r="B53" s="1">
        <v>510.5</v>
      </c>
      <c r="C53" s="2">
        <f t="shared" si="2"/>
        <v>461.19931590765157</v>
      </c>
      <c r="D53" s="3">
        <f t="shared" si="0"/>
        <v>-49.300684092348433</v>
      </c>
    </row>
    <row r="54" spans="1:4" x14ac:dyDescent="0.2">
      <c r="A54" s="1">
        <f t="shared" si="1"/>
        <v>53</v>
      </c>
      <c r="B54" s="1">
        <v>556.6</v>
      </c>
      <c r="C54" s="2">
        <f t="shared" si="2"/>
        <v>510.45069931590768</v>
      </c>
      <c r="D54" s="3">
        <f t="shared" si="0"/>
        <v>-46.149300684092339</v>
      </c>
    </row>
    <row r="55" spans="1:4" x14ac:dyDescent="0.2">
      <c r="A55" s="1">
        <f t="shared" si="1"/>
        <v>54</v>
      </c>
      <c r="B55" s="1">
        <v>609.5</v>
      </c>
      <c r="C55" s="2">
        <f t="shared" si="2"/>
        <v>556.55385069931594</v>
      </c>
      <c r="D55" s="3">
        <f t="shared" si="0"/>
        <v>-52.946149300684056</v>
      </c>
    </row>
    <row r="56" spans="1:4" x14ac:dyDescent="0.2">
      <c r="A56" s="1">
        <f t="shared" si="1"/>
        <v>55</v>
      </c>
      <c r="B56" s="1">
        <v>592.70000000000005</v>
      </c>
      <c r="C56" s="2">
        <f t="shared" si="2"/>
        <v>609.44705385069926</v>
      </c>
      <c r="D56" s="3">
        <f t="shared" si="0"/>
        <v>16.747053850699217</v>
      </c>
    </row>
    <row r="57" spans="1:4" x14ac:dyDescent="0.2">
      <c r="A57" s="1">
        <f t="shared" si="1"/>
        <v>56</v>
      </c>
      <c r="B57" s="1">
        <v>572.1</v>
      </c>
      <c r="C57" s="2">
        <f t="shared" si="2"/>
        <v>592.71674705385067</v>
      </c>
      <c r="D57" s="3">
        <f t="shared" si="0"/>
        <v>20.616747053850645</v>
      </c>
    </row>
    <row r="58" spans="1:4" x14ac:dyDescent="0.2">
      <c r="A58" s="1">
        <f t="shared" si="1"/>
        <v>57</v>
      </c>
      <c r="B58" s="1">
        <v>554.9</v>
      </c>
      <c r="C58" s="2">
        <f t="shared" si="2"/>
        <v>572.12061674705387</v>
      </c>
      <c r="D58" s="3">
        <f t="shared" si="0"/>
        <v>17.220616747053896</v>
      </c>
    </row>
    <row r="59" spans="1:4" x14ac:dyDescent="0.2">
      <c r="A59" s="1">
        <f t="shared" si="1"/>
        <v>58</v>
      </c>
      <c r="B59" s="1">
        <v>557.4</v>
      </c>
      <c r="C59" s="2">
        <f t="shared" si="2"/>
        <v>554.91722061674704</v>
      </c>
      <c r="D59" s="3">
        <f t="shared" si="0"/>
        <v>-2.4827793832529323</v>
      </c>
    </row>
    <row r="60" spans="1:4" x14ac:dyDescent="0.2">
      <c r="A60" s="1">
        <f t="shared" si="1"/>
        <v>59</v>
      </c>
      <c r="B60" s="1">
        <v>562.9</v>
      </c>
      <c r="C60" s="2">
        <f t="shared" si="2"/>
        <v>557.39751722061669</v>
      </c>
      <c r="D60" s="3">
        <f t="shared" si="0"/>
        <v>-5.5024827793832856</v>
      </c>
    </row>
    <row r="61" spans="1:4" x14ac:dyDescent="0.2">
      <c r="A61" s="1">
        <f t="shared" si="1"/>
        <v>60</v>
      </c>
      <c r="B61" s="1">
        <v>516</v>
      </c>
      <c r="C61" s="2">
        <f t="shared" si="2"/>
        <v>562.89449751722054</v>
      </c>
      <c r="D61" s="3">
        <f t="shared" si="0"/>
        <v>46.894497517220543</v>
      </c>
    </row>
    <row r="62" spans="1:4" x14ac:dyDescent="0.2">
      <c r="A62" s="1">
        <f t="shared" si="1"/>
        <v>61</v>
      </c>
      <c r="B62" s="1">
        <v>490.6</v>
      </c>
      <c r="C62" s="2">
        <f t="shared" si="2"/>
        <v>516.04689449751731</v>
      </c>
      <c r="D62" s="3">
        <f t="shared" si="0"/>
        <v>25.446894497517292</v>
      </c>
    </row>
    <row r="63" spans="1:4" x14ac:dyDescent="0.2">
      <c r="A63" s="1">
        <f t="shared" si="1"/>
        <v>62</v>
      </c>
      <c r="B63" s="1">
        <v>503.9</v>
      </c>
      <c r="C63" s="2">
        <f t="shared" si="2"/>
        <v>490.62544689449754</v>
      </c>
      <c r="D63" s="3">
        <f t="shared" si="0"/>
        <v>-13.274553105502434</v>
      </c>
    </row>
    <row r="64" spans="1:4" x14ac:dyDescent="0.2">
      <c r="A64" s="1">
        <f t="shared" si="1"/>
        <v>63</v>
      </c>
      <c r="B64" s="1">
        <v>547.6</v>
      </c>
      <c r="C64" s="2">
        <f t="shared" si="2"/>
        <v>503.8867254468945</v>
      </c>
      <c r="D64" s="3">
        <f t="shared" si="0"/>
        <v>-43.713274553105521</v>
      </c>
    </row>
    <row r="65" spans="1:4" x14ac:dyDescent="0.2">
      <c r="A65" s="1">
        <f t="shared" si="1"/>
        <v>64</v>
      </c>
      <c r="B65" s="1">
        <v>585</v>
      </c>
      <c r="C65" s="2">
        <f t="shared" si="2"/>
        <v>547.55628672544697</v>
      </c>
      <c r="D65" s="3">
        <f t="shared" si="0"/>
        <v>-37.443713274553033</v>
      </c>
    </row>
    <row r="66" spans="1:4" x14ac:dyDescent="0.2">
      <c r="A66" s="1">
        <f t="shared" si="1"/>
        <v>65</v>
      </c>
      <c r="B66" s="1">
        <v>573.5</v>
      </c>
      <c r="C66" s="2">
        <f t="shared" si="2"/>
        <v>584.96255628672543</v>
      </c>
      <c r="D66" s="3">
        <f t="shared" si="0"/>
        <v>11.46255628672543</v>
      </c>
    </row>
    <row r="67" spans="1:4" x14ac:dyDescent="0.2">
      <c r="A67" s="1">
        <f t="shared" si="1"/>
        <v>66</v>
      </c>
      <c r="B67" s="1">
        <v>606</v>
      </c>
      <c r="C67" s="2">
        <f t="shared" si="2"/>
        <v>573.5114625562868</v>
      </c>
      <c r="D67" s="3">
        <f t="shared" ref="D67:D130" si="3">C67-B67</f>
        <v>-32.488537443713199</v>
      </c>
    </row>
    <row r="68" spans="1:4" x14ac:dyDescent="0.2">
      <c r="A68" s="1">
        <f t="shared" ref="A68:A131" si="4">A67+1</f>
        <v>67</v>
      </c>
      <c r="B68" s="1">
        <v>575.20000000000005</v>
      </c>
      <c r="C68" s="2">
        <f t="shared" ref="C68:C131" si="5">B67*$I$2+(1-$I$2)*C67</f>
        <v>605.96751146255633</v>
      </c>
      <c r="D68" s="3">
        <f t="shared" si="3"/>
        <v>30.767511462556286</v>
      </c>
    </row>
    <row r="69" spans="1:4" x14ac:dyDescent="0.2">
      <c r="A69" s="1">
        <f t="shared" si="4"/>
        <v>68</v>
      </c>
      <c r="B69" s="1">
        <v>539.70000000000005</v>
      </c>
      <c r="C69" s="2">
        <f t="shared" si="5"/>
        <v>575.23076751146266</v>
      </c>
      <c r="D69" s="3">
        <f t="shared" si="3"/>
        <v>35.530767511462614</v>
      </c>
    </row>
    <row r="70" spans="1:4" x14ac:dyDescent="0.2">
      <c r="A70" s="1">
        <f t="shared" si="4"/>
        <v>69</v>
      </c>
      <c r="B70" s="1">
        <v>539.20000000000005</v>
      </c>
      <c r="C70" s="2">
        <f t="shared" si="5"/>
        <v>539.73553076751148</v>
      </c>
      <c r="D70" s="3">
        <f t="shared" si="3"/>
        <v>0.5355307675114318</v>
      </c>
    </row>
    <row r="71" spans="1:4" x14ac:dyDescent="0.2">
      <c r="A71" s="1">
        <f t="shared" si="4"/>
        <v>70</v>
      </c>
      <c r="B71" s="1">
        <v>557.79999999999995</v>
      </c>
      <c r="C71" s="2">
        <f t="shared" si="5"/>
        <v>539.20053553076752</v>
      </c>
      <c r="D71" s="3">
        <f t="shared" si="3"/>
        <v>-18.59946446923243</v>
      </c>
    </row>
    <row r="72" spans="1:4" x14ac:dyDescent="0.2">
      <c r="A72" s="1">
        <f t="shared" si="4"/>
        <v>71</v>
      </c>
      <c r="B72" s="1">
        <v>581.4</v>
      </c>
      <c r="C72" s="2">
        <f t="shared" si="5"/>
        <v>557.78140053553068</v>
      </c>
      <c r="D72" s="3">
        <f t="shared" si="3"/>
        <v>-23.618599464469298</v>
      </c>
    </row>
    <row r="73" spans="1:4" x14ac:dyDescent="0.2">
      <c r="A73" s="1">
        <f t="shared" si="4"/>
        <v>72</v>
      </c>
      <c r="B73" s="1">
        <v>536.20000000000005</v>
      </c>
      <c r="C73" s="2">
        <f t="shared" si="5"/>
        <v>581.37638140053548</v>
      </c>
      <c r="D73" s="3">
        <f t="shared" si="3"/>
        <v>45.176381400535433</v>
      </c>
    </row>
    <row r="74" spans="1:4" x14ac:dyDescent="0.2">
      <c r="A74" s="1">
        <f t="shared" si="4"/>
        <v>73</v>
      </c>
      <c r="B74" s="1">
        <v>499.3</v>
      </c>
      <c r="C74" s="2">
        <f t="shared" si="5"/>
        <v>536.2451763814006</v>
      </c>
      <c r="D74" s="3">
        <f t="shared" si="3"/>
        <v>36.945176381400586</v>
      </c>
    </row>
    <row r="75" spans="1:4" x14ac:dyDescent="0.2">
      <c r="A75" s="1">
        <f t="shared" si="4"/>
        <v>74</v>
      </c>
      <c r="B75" s="1">
        <v>461.7</v>
      </c>
      <c r="C75" s="2">
        <f t="shared" si="5"/>
        <v>499.33694517638139</v>
      </c>
      <c r="D75" s="3">
        <f t="shared" si="3"/>
        <v>37.636945176381403</v>
      </c>
    </row>
    <row r="76" spans="1:4" x14ac:dyDescent="0.2">
      <c r="A76" s="1">
        <f t="shared" si="4"/>
        <v>75</v>
      </c>
      <c r="B76" s="1">
        <v>465.7</v>
      </c>
      <c r="C76" s="2">
        <f t="shared" si="5"/>
        <v>461.73763694517635</v>
      </c>
      <c r="D76" s="3">
        <f t="shared" si="3"/>
        <v>-3.9623630548236406</v>
      </c>
    </row>
    <row r="77" spans="1:4" x14ac:dyDescent="0.2">
      <c r="A77" s="1">
        <f t="shared" si="4"/>
        <v>76</v>
      </c>
      <c r="B77" s="1">
        <v>524.4</v>
      </c>
      <c r="C77" s="2">
        <f t="shared" si="5"/>
        <v>465.69603763694516</v>
      </c>
      <c r="D77" s="3">
        <f t="shared" si="3"/>
        <v>-58.703962363054814</v>
      </c>
    </row>
    <row r="78" spans="1:4" x14ac:dyDescent="0.2">
      <c r="A78" s="1">
        <f t="shared" si="4"/>
        <v>77</v>
      </c>
      <c r="B78" s="1">
        <v>565.1</v>
      </c>
      <c r="C78" s="2">
        <f t="shared" si="5"/>
        <v>524.34129603763688</v>
      </c>
      <c r="D78" s="3">
        <f t="shared" si="3"/>
        <v>-40.758703962363143</v>
      </c>
    </row>
    <row r="79" spans="1:4" x14ac:dyDescent="0.2">
      <c r="A79" s="1">
        <f t="shared" si="4"/>
        <v>78</v>
      </c>
      <c r="B79" s="1">
        <v>602.79999999999995</v>
      </c>
      <c r="C79" s="2">
        <f t="shared" si="5"/>
        <v>565.05924129603761</v>
      </c>
      <c r="D79" s="3">
        <f t="shared" si="3"/>
        <v>-37.740758703962342</v>
      </c>
    </row>
    <row r="80" spans="1:4" x14ac:dyDescent="0.2">
      <c r="A80" s="1">
        <f t="shared" si="4"/>
        <v>79</v>
      </c>
      <c r="B80" s="1">
        <v>586</v>
      </c>
      <c r="C80" s="2">
        <f t="shared" si="5"/>
        <v>602.76225924129596</v>
      </c>
      <c r="D80" s="3">
        <f t="shared" si="3"/>
        <v>16.762259241295965</v>
      </c>
    </row>
    <row r="81" spans="1:4" x14ac:dyDescent="0.2">
      <c r="A81" s="1">
        <f t="shared" si="4"/>
        <v>80</v>
      </c>
      <c r="B81" s="1">
        <v>590.6</v>
      </c>
      <c r="C81" s="2">
        <f t="shared" si="5"/>
        <v>586.01676225924132</v>
      </c>
      <c r="D81" s="3">
        <f t="shared" si="3"/>
        <v>-4.5832377407587046</v>
      </c>
    </row>
    <row r="82" spans="1:4" x14ac:dyDescent="0.2">
      <c r="A82" s="1">
        <f t="shared" si="4"/>
        <v>81</v>
      </c>
      <c r="B82" s="1">
        <v>582.6</v>
      </c>
      <c r="C82" s="2">
        <f t="shared" si="5"/>
        <v>590.59541676225922</v>
      </c>
      <c r="D82" s="3">
        <f t="shared" si="3"/>
        <v>7.9954167622591967</v>
      </c>
    </row>
    <row r="83" spans="1:4" x14ac:dyDescent="0.2">
      <c r="A83" s="1">
        <f t="shared" si="4"/>
        <v>82</v>
      </c>
      <c r="B83" s="1">
        <v>557.70000000000005</v>
      </c>
      <c r="C83" s="2">
        <f t="shared" si="5"/>
        <v>582.60799541676238</v>
      </c>
      <c r="D83" s="3">
        <f t="shared" si="3"/>
        <v>24.907995416762333</v>
      </c>
    </row>
    <row r="84" spans="1:4" x14ac:dyDescent="0.2">
      <c r="A84" s="1">
        <f t="shared" si="4"/>
        <v>83</v>
      </c>
      <c r="B84" s="1">
        <v>541.1</v>
      </c>
      <c r="C84" s="2">
        <f t="shared" si="5"/>
        <v>557.72490799541686</v>
      </c>
      <c r="D84" s="3">
        <f t="shared" si="3"/>
        <v>16.624907995416834</v>
      </c>
    </row>
    <row r="85" spans="1:4" x14ac:dyDescent="0.2">
      <c r="A85" s="1">
        <f t="shared" si="4"/>
        <v>84</v>
      </c>
      <c r="B85" s="1">
        <v>505.9</v>
      </c>
      <c r="C85" s="2">
        <f t="shared" si="5"/>
        <v>541.1166249079954</v>
      </c>
      <c r="D85" s="3">
        <f t="shared" si="3"/>
        <v>35.216624907995424</v>
      </c>
    </row>
    <row r="86" spans="1:4" x14ac:dyDescent="0.2">
      <c r="A86" s="1">
        <f t="shared" si="4"/>
        <v>85</v>
      </c>
      <c r="B86" s="1">
        <v>503.3</v>
      </c>
      <c r="C86" s="2">
        <f t="shared" si="5"/>
        <v>505.93521662490798</v>
      </c>
      <c r="D86" s="3">
        <f t="shared" si="3"/>
        <v>2.6352166249079687</v>
      </c>
    </row>
    <row r="87" spans="1:4" x14ac:dyDescent="0.2">
      <c r="A87" s="1">
        <f t="shared" si="4"/>
        <v>86</v>
      </c>
      <c r="B87" s="1">
        <v>505</v>
      </c>
      <c r="C87" s="2">
        <f t="shared" si="5"/>
        <v>503.30263521662488</v>
      </c>
      <c r="D87" s="3">
        <f t="shared" si="3"/>
        <v>-1.6973647833751215</v>
      </c>
    </row>
    <row r="88" spans="1:4" x14ac:dyDescent="0.2">
      <c r="A88" s="1">
        <f t="shared" si="4"/>
        <v>87</v>
      </c>
      <c r="B88" s="1">
        <v>508.6</v>
      </c>
      <c r="C88" s="2">
        <f t="shared" si="5"/>
        <v>504.99830263521665</v>
      </c>
      <c r="D88" s="3">
        <f t="shared" si="3"/>
        <v>-3.6016973647833765</v>
      </c>
    </row>
    <row r="89" spans="1:4" x14ac:dyDescent="0.2">
      <c r="A89" s="1">
        <f t="shared" si="4"/>
        <v>88</v>
      </c>
      <c r="B89" s="1">
        <v>540.9</v>
      </c>
      <c r="C89" s="2">
        <f t="shared" si="5"/>
        <v>508.59639830263524</v>
      </c>
      <c r="D89" s="3">
        <f t="shared" si="3"/>
        <v>-32.303601697364741</v>
      </c>
    </row>
    <row r="90" spans="1:4" x14ac:dyDescent="0.2">
      <c r="A90" s="1">
        <f t="shared" si="4"/>
        <v>89</v>
      </c>
      <c r="B90" s="1">
        <v>557.1</v>
      </c>
      <c r="C90" s="2">
        <f t="shared" si="5"/>
        <v>540.86769639830266</v>
      </c>
      <c r="D90" s="3">
        <f t="shared" si="3"/>
        <v>-16.232303601697367</v>
      </c>
    </row>
    <row r="91" spans="1:4" x14ac:dyDescent="0.2">
      <c r="A91" s="1">
        <f t="shared" si="4"/>
        <v>90</v>
      </c>
      <c r="B91" s="1">
        <v>607.9</v>
      </c>
      <c r="C91" s="2">
        <f t="shared" si="5"/>
        <v>557.08376769639835</v>
      </c>
      <c r="D91" s="3">
        <f t="shared" si="3"/>
        <v>-50.816232303601623</v>
      </c>
    </row>
    <row r="92" spans="1:4" x14ac:dyDescent="0.2">
      <c r="A92" s="1">
        <f t="shared" si="4"/>
        <v>91</v>
      </c>
      <c r="B92" s="1">
        <v>594.79999999999995</v>
      </c>
      <c r="C92" s="2">
        <f t="shared" si="5"/>
        <v>607.84918376769645</v>
      </c>
      <c r="D92" s="3">
        <f t="shared" si="3"/>
        <v>13.049183767696491</v>
      </c>
    </row>
    <row r="93" spans="1:4" x14ac:dyDescent="0.2">
      <c r="A93" s="1">
        <f t="shared" si="4"/>
        <v>92</v>
      </c>
      <c r="B93" s="1">
        <v>585.6</v>
      </c>
      <c r="C93" s="2">
        <f t="shared" si="5"/>
        <v>594.8130491837677</v>
      </c>
      <c r="D93" s="3">
        <f t="shared" si="3"/>
        <v>9.21304918376768</v>
      </c>
    </row>
    <row r="94" spans="1:4" x14ac:dyDescent="0.2">
      <c r="A94" s="1">
        <f t="shared" si="4"/>
        <v>93</v>
      </c>
      <c r="B94" s="1">
        <v>573.20000000000005</v>
      </c>
      <c r="C94" s="2">
        <f t="shared" si="5"/>
        <v>585.60921304918384</v>
      </c>
      <c r="D94" s="3">
        <f t="shared" si="3"/>
        <v>12.409213049183791</v>
      </c>
    </row>
    <row r="95" spans="1:4" x14ac:dyDescent="0.2">
      <c r="A95" s="1">
        <f t="shared" si="4"/>
        <v>94</v>
      </c>
      <c r="B95" s="1">
        <v>560.20000000000005</v>
      </c>
      <c r="C95" s="2">
        <f t="shared" si="5"/>
        <v>573.21240921304923</v>
      </c>
      <c r="D95" s="3">
        <f t="shared" si="3"/>
        <v>13.012409213049182</v>
      </c>
    </row>
    <row r="96" spans="1:4" x14ac:dyDescent="0.2">
      <c r="A96" s="1">
        <f t="shared" si="4"/>
        <v>95</v>
      </c>
      <c r="B96" s="1">
        <v>568.1</v>
      </c>
      <c r="C96" s="2">
        <f t="shared" si="5"/>
        <v>560.21301240921309</v>
      </c>
      <c r="D96" s="3">
        <f t="shared" si="3"/>
        <v>-7.88698759078693</v>
      </c>
    </row>
    <row r="97" spans="1:4" x14ac:dyDescent="0.2">
      <c r="A97" s="1">
        <f t="shared" si="4"/>
        <v>96</v>
      </c>
      <c r="B97" s="1">
        <v>524.79999999999995</v>
      </c>
      <c r="C97" s="2">
        <f t="shared" si="5"/>
        <v>568.0921130124093</v>
      </c>
      <c r="D97" s="3">
        <f t="shared" si="3"/>
        <v>43.292113012409345</v>
      </c>
    </row>
    <row r="98" spans="1:4" x14ac:dyDescent="0.2">
      <c r="A98" s="1">
        <f t="shared" si="4"/>
        <v>97</v>
      </c>
      <c r="B98" s="1">
        <v>513.1</v>
      </c>
      <c r="C98" s="2">
        <f t="shared" si="5"/>
        <v>524.84329211301235</v>
      </c>
      <c r="D98" s="3">
        <f t="shared" si="3"/>
        <v>11.74329211301233</v>
      </c>
    </row>
    <row r="99" spans="1:4" x14ac:dyDescent="0.2">
      <c r="A99" s="1">
        <f t="shared" si="4"/>
        <v>98</v>
      </c>
      <c r="B99" s="1">
        <v>498</v>
      </c>
      <c r="C99" s="2">
        <f t="shared" si="5"/>
        <v>513.11174329211303</v>
      </c>
      <c r="D99" s="3">
        <f t="shared" si="3"/>
        <v>15.111743292113033</v>
      </c>
    </row>
    <row r="100" spans="1:4" x14ac:dyDescent="0.2">
      <c r="A100" s="1">
        <f t="shared" si="4"/>
        <v>99</v>
      </c>
      <c r="B100" s="1">
        <v>498.3</v>
      </c>
      <c r="C100" s="2">
        <f t="shared" si="5"/>
        <v>498.0151117432921</v>
      </c>
      <c r="D100" s="3">
        <f t="shared" si="3"/>
        <v>-0.28488825670791584</v>
      </c>
    </row>
    <row r="101" spans="1:4" x14ac:dyDescent="0.2">
      <c r="A101" s="1">
        <f t="shared" si="4"/>
        <v>100</v>
      </c>
      <c r="B101" s="1">
        <v>568.29999999999995</v>
      </c>
      <c r="C101" s="2">
        <f t="shared" si="5"/>
        <v>498.2997151117433</v>
      </c>
      <c r="D101" s="3">
        <f t="shared" si="3"/>
        <v>-70.000284888256658</v>
      </c>
    </row>
    <row r="102" spans="1:4" x14ac:dyDescent="0.2">
      <c r="A102" s="1">
        <f t="shared" si="4"/>
        <v>101</v>
      </c>
      <c r="B102" s="1">
        <v>601.79999999999995</v>
      </c>
      <c r="C102" s="2">
        <f t="shared" si="5"/>
        <v>568.22999971511172</v>
      </c>
      <c r="D102" s="3">
        <f t="shared" si="3"/>
        <v>-33.570000284888238</v>
      </c>
    </row>
    <row r="103" spans="1:4" x14ac:dyDescent="0.2">
      <c r="A103" s="1">
        <f t="shared" si="4"/>
        <v>102</v>
      </c>
      <c r="B103" s="1">
        <v>629.6</v>
      </c>
      <c r="C103" s="2">
        <f t="shared" si="5"/>
        <v>601.766429999715</v>
      </c>
      <c r="D103" s="3">
        <f t="shared" si="3"/>
        <v>-27.833570000285022</v>
      </c>
    </row>
    <row r="104" spans="1:4" x14ac:dyDescent="0.2">
      <c r="A104" s="1">
        <f t="shared" si="4"/>
        <v>103</v>
      </c>
      <c r="B104" s="1">
        <v>612</v>
      </c>
      <c r="C104" s="2">
        <f t="shared" si="5"/>
        <v>629.57216642999981</v>
      </c>
      <c r="D104" s="3">
        <f t="shared" si="3"/>
        <v>17.572166429999811</v>
      </c>
    </row>
    <row r="105" spans="1:4" x14ac:dyDescent="0.2">
      <c r="A105" s="1">
        <f t="shared" si="4"/>
        <v>104</v>
      </c>
      <c r="B105" s="1">
        <v>617.5</v>
      </c>
      <c r="C105" s="2">
        <f t="shared" si="5"/>
        <v>612.01757216643</v>
      </c>
      <c r="D105" s="3">
        <f t="shared" si="3"/>
        <v>-5.4824278335700001</v>
      </c>
    </row>
    <row r="106" spans="1:4" x14ac:dyDescent="0.2">
      <c r="A106" s="1">
        <f t="shared" si="4"/>
        <v>105</v>
      </c>
      <c r="B106" s="1">
        <v>560.6</v>
      </c>
      <c r="C106" s="2">
        <f t="shared" si="5"/>
        <v>617.4945175721665</v>
      </c>
      <c r="D106" s="3">
        <f t="shared" si="3"/>
        <v>56.894517572166478</v>
      </c>
    </row>
    <row r="107" spans="1:4" x14ac:dyDescent="0.2">
      <c r="A107" s="1">
        <f t="shared" si="4"/>
        <v>106</v>
      </c>
      <c r="B107" s="1">
        <v>555</v>
      </c>
      <c r="C107" s="2">
        <f t="shared" si="5"/>
        <v>560.65689451757214</v>
      </c>
      <c r="D107" s="3">
        <f t="shared" si="3"/>
        <v>5.656894517572141</v>
      </c>
    </row>
    <row r="108" spans="1:4" x14ac:dyDescent="0.2">
      <c r="A108" s="1">
        <f t="shared" si="4"/>
        <v>107</v>
      </c>
      <c r="B108" s="1">
        <v>570.70000000000005</v>
      </c>
      <c r="C108" s="2">
        <f t="shared" si="5"/>
        <v>555.00565689451764</v>
      </c>
      <c r="D108" s="3">
        <f t="shared" si="3"/>
        <v>-15.694343105482403</v>
      </c>
    </row>
    <row r="109" spans="1:4" x14ac:dyDescent="0.2">
      <c r="A109" s="1">
        <f t="shared" si="4"/>
        <v>108</v>
      </c>
      <c r="B109" s="1">
        <v>530.1</v>
      </c>
      <c r="C109" s="2">
        <f t="shared" si="5"/>
        <v>570.68430565689459</v>
      </c>
      <c r="D109" s="3">
        <f t="shared" si="3"/>
        <v>40.584305656894571</v>
      </c>
    </row>
    <row r="110" spans="1:4" x14ac:dyDescent="0.2">
      <c r="A110" s="1">
        <f t="shared" si="4"/>
        <v>109</v>
      </c>
      <c r="B110" s="1">
        <v>509.7</v>
      </c>
      <c r="C110" s="2">
        <f t="shared" si="5"/>
        <v>530.14058430565694</v>
      </c>
      <c r="D110" s="3">
        <f t="shared" si="3"/>
        <v>20.440584305656955</v>
      </c>
    </row>
    <row r="111" spans="1:4" x14ac:dyDescent="0.2">
      <c r="A111" s="1">
        <f t="shared" si="4"/>
        <v>110</v>
      </c>
      <c r="B111" s="1">
        <v>489.3</v>
      </c>
      <c r="C111" s="2">
        <f t="shared" si="5"/>
        <v>509.72044058430566</v>
      </c>
      <c r="D111" s="3">
        <f t="shared" si="3"/>
        <v>20.420440584305652</v>
      </c>
    </row>
    <row r="112" spans="1:4" x14ac:dyDescent="0.2">
      <c r="A112" s="1">
        <f t="shared" si="4"/>
        <v>111</v>
      </c>
      <c r="B112" s="1">
        <v>488.7</v>
      </c>
      <c r="C112" s="2">
        <f t="shared" si="5"/>
        <v>489.32042044058431</v>
      </c>
      <c r="D112" s="3">
        <f t="shared" si="3"/>
        <v>0.62042044058432566</v>
      </c>
    </row>
    <row r="113" spans="1:4" x14ac:dyDescent="0.2">
      <c r="A113" s="1">
        <f t="shared" si="4"/>
        <v>112</v>
      </c>
      <c r="B113" s="1">
        <v>568.1</v>
      </c>
      <c r="C113" s="2">
        <f t="shared" si="5"/>
        <v>488.7006204204406</v>
      </c>
      <c r="D113" s="3">
        <f t="shared" si="3"/>
        <v>-79.399379579559422</v>
      </c>
    </row>
    <row r="114" spans="1:4" x14ac:dyDescent="0.2">
      <c r="A114" s="1">
        <f t="shared" si="4"/>
        <v>113</v>
      </c>
      <c r="B114" s="1">
        <v>609.5</v>
      </c>
      <c r="C114" s="2">
        <f t="shared" si="5"/>
        <v>568.02060062042051</v>
      </c>
      <c r="D114" s="3">
        <f t="shared" si="3"/>
        <v>-41.47939937957949</v>
      </c>
    </row>
    <row r="115" spans="1:4" x14ac:dyDescent="0.2">
      <c r="A115" s="1">
        <f t="shared" si="4"/>
        <v>114</v>
      </c>
      <c r="B115" s="1">
        <v>639</v>
      </c>
      <c r="C115" s="2">
        <f t="shared" si="5"/>
        <v>609.45852060062043</v>
      </c>
      <c r="D115" s="3">
        <f t="shared" si="3"/>
        <v>-29.541479399379568</v>
      </c>
    </row>
    <row r="116" spans="1:4" x14ac:dyDescent="0.2">
      <c r="A116" s="1">
        <f t="shared" si="4"/>
        <v>115</v>
      </c>
      <c r="B116" s="1">
        <v>628.1</v>
      </c>
      <c r="C116" s="2">
        <f t="shared" si="5"/>
        <v>638.97045852060057</v>
      </c>
      <c r="D116" s="3">
        <f t="shared" si="3"/>
        <v>10.87045852060055</v>
      </c>
    </row>
    <row r="117" spans="1:4" x14ac:dyDescent="0.2">
      <c r="A117" s="1">
        <f t="shared" si="4"/>
        <v>116</v>
      </c>
      <c r="B117" s="1">
        <v>635.5</v>
      </c>
      <c r="C117" s="2">
        <f t="shared" si="5"/>
        <v>628.11087045852059</v>
      </c>
      <c r="D117" s="3">
        <f t="shared" si="3"/>
        <v>-7.3891295414794058</v>
      </c>
    </row>
    <row r="118" spans="1:4" x14ac:dyDescent="0.2">
      <c r="A118" s="1">
        <f t="shared" si="4"/>
        <v>117</v>
      </c>
      <c r="B118" s="1">
        <v>592.4</v>
      </c>
      <c r="C118" s="2">
        <f t="shared" si="5"/>
        <v>635.49261087045852</v>
      </c>
      <c r="D118" s="3">
        <f t="shared" si="3"/>
        <v>43.092610870458543</v>
      </c>
    </row>
    <row r="119" spans="1:4" x14ac:dyDescent="0.2">
      <c r="A119" s="1">
        <f t="shared" si="4"/>
        <v>118</v>
      </c>
      <c r="B119" s="1">
        <v>580.9</v>
      </c>
      <c r="C119" s="2">
        <f t="shared" si="5"/>
        <v>592.44309261087039</v>
      </c>
      <c r="D119" s="3">
        <f t="shared" si="3"/>
        <v>11.543092610870417</v>
      </c>
    </row>
    <row r="120" spans="1:4" x14ac:dyDescent="0.2">
      <c r="A120" s="1">
        <f t="shared" si="4"/>
        <v>119</v>
      </c>
      <c r="B120" s="1">
        <v>611.5</v>
      </c>
      <c r="C120" s="2">
        <f t="shared" si="5"/>
        <v>580.91154309261083</v>
      </c>
      <c r="D120" s="3">
        <f t="shared" si="3"/>
        <v>-30.588456907389173</v>
      </c>
    </row>
    <row r="121" spans="1:4" x14ac:dyDescent="0.2">
      <c r="A121" s="1">
        <f t="shared" si="4"/>
        <v>120</v>
      </c>
      <c r="B121" s="1">
        <v>571.79999999999995</v>
      </c>
      <c r="C121" s="2">
        <f t="shared" si="5"/>
        <v>611.46941154309263</v>
      </c>
      <c r="D121" s="3">
        <f t="shared" si="3"/>
        <v>39.669411543092679</v>
      </c>
    </row>
    <row r="122" spans="1:4" x14ac:dyDescent="0.2">
      <c r="A122" s="1">
        <f t="shared" si="4"/>
        <v>121</v>
      </c>
      <c r="B122" s="1">
        <v>525.20000000000005</v>
      </c>
      <c r="C122" s="2">
        <f t="shared" si="5"/>
        <v>571.83966941154301</v>
      </c>
      <c r="D122" s="3">
        <f t="shared" si="3"/>
        <v>46.639669411542968</v>
      </c>
    </row>
    <row r="123" spans="1:4" x14ac:dyDescent="0.2">
      <c r="A123" s="1">
        <f t="shared" si="4"/>
        <v>122</v>
      </c>
      <c r="B123" s="1">
        <v>493.6</v>
      </c>
      <c r="C123" s="2">
        <f t="shared" si="5"/>
        <v>525.24663966941159</v>
      </c>
      <c r="D123" s="3">
        <f t="shared" si="3"/>
        <v>31.64663966941157</v>
      </c>
    </row>
    <row r="124" spans="1:4" x14ac:dyDescent="0.2">
      <c r="A124" s="1">
        <f t="shared" si="4"/>
        <v>123</v>
      </c>
      <c r="B124" s="1">
        <v>513.9</v>
      </c>
      <c r="C124" s="2">
        <f t="shared" si="5"/>
        <v>493.63164663966944</v>
      </c>
      <c r="D124" s="3">
        <f t="shared" si="3"/>
        <v>-20.268353360330536</v>
      </c>
    </row>
    <row r="125" spans="1:4" x14ac:dyDescent="0.2">
      <c r="A125" s="1">
        <f t="shared" si="4"/>
        <v>124</v>
      </c>
      <c r="B125" s="1">
        <v>594.20000000000005</v>
      </c>
      <c r="C125" s="2">
        <f t="shared" si="5"/>
        <v>513.87973164663958</v>
      </c>
      <c r="D125" s="3">
        <f t="shared" si="3"/>
        <v>-80.320268353360461</v>
      </c>
    </row>
    <row r="126" spans="1:4" x14ac:dyDescent="0.2">
      <c r="A126" s="1">
        <f t="shared" si="4"/>
        <v>125</v>
      </c>
      <c r="B126" s="1">
        <v>610.70000000000005</v>
      </c>
      <c r="C126" s="2">
        <f t="shared" si="5"/>
        <v>594.11967973164667</v>
      </c>
      <c r="D126" s="3">
        <f t="shared" si="3"/>
        <v>-16.580320268353375</v>
      </c>
    </row>
    <row r="127" spans="1:4" x14ac:dyDescent="0.2">
      <c r="A127" s="1">
        <f t="shared" si="4"/>
        <v>126</v>
      </c>
      <c r="B127" s="1">
        <v>632.29999999999995</v>
      </c>
      <c r="C127" s="2">
        <f t="shared" si="5"/>
        <v>610.68341967973174</v>
      </c>
      <c r="D127" s="3">
        <f t="shared" si="3"/>
        <v>-21.616580320268213</v>
      </c>
    </row>
    <row r="128" spans="1:4" x14ac:dyDescent="0.2">
      <c r="A128" s="1">
        <f t="shared" si="4"/>
        <v>127</v>
      </c>
      <c r="B128" s="1">
        <v>647</v>
      </c>
      <c r="C128" s="2">
        <f t="shared" si="5"/>
        <v>632.2783834196797</v>
      </c>
      <c r="D128" s="3">
        <f t="shared" si="3"/>
        <v>-14.721616580320301</v>
      </c>
    </row>
    <row r="129" spans="1:4" x14ac:dyDescent="0.2">
      <c r="A129" s="1">
        <f t="shared" si="4"/>
        <v>128</v>
      </c>
      <c r="B129" s="1">
        <v>656.7</v>
      </c>
      <c r="C129" s="2">
        <f t="shared" si="5"/>
        <v>646.98527838341965</v>
      </c>
      <c r="D129" s="3">
        <f t="shared" si="3"/>
        <v>-9.7147216165803911</v>
      </c>
    </row>
    <row r="130" spans="1:4" x14ac:dyDescent="0.2">
      <c r="A130" s="1">
        <f t="shared" si="4"/>
        <v>129</v>
      </c>
      <c r="B130" s="1">
        <v>635.70000000000005</v>
      </c>
      <c r="C130" s="2">
        <f t="shared" si="5"/>
        <v>656.6902852783835</v>
      </c>
      <c r="D130" s="3">
        <f t="shared" si="3"/>
        <v>20.990285278383453</v>
      </c>
    </row>
    <row r="131" spans="1:4" x14ac:dyDescent="0.2">
      <c r="A131" s="1">
        <f t="shared" si="4"/>
        <v>130</v>
      </c>
      <c r="B131" s="1">
        <v>643.6</v>
      </c>
      <c r="C131" s="2">
        <f t="shared" si="5"/>
        <v>635.72099028527839</v>
      </c>
      <c r="D131" s="3">
        <f t="shared" ref="D131:D157" si="6">C131-B131</f>
        <v>-7.8790097147216329</v>
      </c>
    </row>
    <row r="132" spans="1:4" x14ac:dyDescent="0.2">
      <c r="A132" s="1">
        <f t="shared" ref="A132:A157" si="7">A131+1</f>
        <v>131</v>
      </c>
      <c r="B132" s="1">
        <v>645.70000000000005</v>
      </c>
      <c r="C132" s="2">
        <f t="shared" ref="C132:C157" si="8">B131*$I$2+(1-$I$2)*C131</f>
        <v>643.59212099028537</v>
      </c>
      <c r="D132" s="3">
        <f t="shared" si="6"/>
        <v>-2.1078790097146793</v>
      </c>
    </row>
    <row r="133" spans="1:4" x14ac:dyDescent="0.2">
      <c r="A133" s="1">
        <f t="shared" si="7"/>
        <v>132</v>
      </c>
      <c r="B133" s="1">
        <v>622.4</v>
      </c>
      <c r="C133" s="2">
        <f t="shared" si="8"/>
        <v>645.69789212099033</v>
      </c>
      <c r="D133" s="3">
        <f t="shared" si="6"/>
        <v>23.297892120990355</v>
      </c>
    </row>
    <row r="134" spans="1:4" x14ac:dyDescent="0.2">
      <c r="A134" s="1">
        <f t="shared" si="7"/>
        <v>133</v>
      </c>
      <c r="B134" s="1">
        <v>570.29999999999995</v>
      </c>
      <c r="C134" s="2">
        <f t="shared" si="8"/>
        <v>622.42329789212101</v>
      </c>
      <c r="D134" s="3">
        <f t="shared" si="6"/>
        <v>52.123297892121059</v>
      </c>
    </row>
    <row r="135" spans="1:4" x14ac:dyDescent="0.2">
      <c r="A135" s="1">
        <f t="shared" si="7"/>
        <v>134</v>
      </c>
      <c r="B135" s="1">
        <v>580.4</v>
      </c>
      <c r="C135" s="2">
        <f t="shared" si="8"/>
        <v>570.35212329789215</v>
      </c>
      <c r="D135" s="3">
        <f t="shared" si="6"/>
        <v>-10.047876702107828</v>
      </c>
    </row>
    <row r="136" spans="1:4" x14ac:dyDescent="0.2">
      <c r="A136" s="1">
        <f t="shared" si="7"/>
        <v>135</v>
      </c>
      <c r="B136" s="1">
        <v>585.4</v>
      </c>
      <c r="C136" s="2">
        <f t="shared" si="8"/>
        <v>580.3899521232978</v>
      </c>
      <c r="D136" s="3">
        <f t="shared" si="6"/>
        <v>-5.0100478767021741</v>
      </c>
    </row>
    <row r="137" spans="1:4" x14ac:dyDescent="0.2">
      <c r="A137" s="1">
        <f t="shared" si="7"/>
        <v>136</v>
      </c>
      <c r="B137" s="1">
        <v>648.70000000000005</v>
      </c>
      <c r="C137" s="2">
        <f t="shared" si="8"/>
        <v>585.39498995212318</v>
      </c>
      <c r="D137" s="3">
        <f t="shared" si="6"/>
        <v>-63.305010047876863</v>
      </c>
    </row>
    <row r="138" spans="1:4" x14ac:dyDescent="0.2">
      <c r="A138" s="1">
        <f t="shared" si="7"/>
        <v>137</v>
      </c>
      <c r="B138" s="1">
        <v>689.1</v>
      </c>
      <c r="C138" s="2">
        <f t="shared" si="8"/>
        <v>648.63669498995216</v>
      </c>
      <c r="D138" s="3">
        <f t="shared" si="6"/>
        <v>-40.463305010047861</v>
      </c>
    </row>
    <row r="139" spans="1:4" x14ac:dyDescent="0.2">
      <c r="A139" s="1">
        <f t="shared" si="7"/>
        <v>138</v>
      </c>
      <c r="B139" s="1">
        <v>708.4</v>
      </c>
      <c r="C139" s="2">
        <f t="shared" si="8"/>
        <v>689.0595366949899</v>
      </c>
      <c r="D139" s="3">
        <f t="shared" si="6"/>
        <v>-19.340463305010076</v>
      </c>
    </row>
    <row r="140" spans="1:4" x14ac:dyDescent="0.2">
      <c r="A140" s="1">
        <f t="shared" si="7"/>
        <v>139</v>
      </c>
      <c r="B140" s="1">
        <v>642.20000000000005</v>
      </c>
      <c r="C140" s="2">
        <f t="shared" si="8"/>
        <v>708.38065953669502</v>
      </c>
      <c r="D140" s="3">
        <f t="shared" si="6"/>
        <v>66.180659536694975</v>
      </c>
    </row>
    <row r="141" spans="1:4" x14ac:dyDescent="0.2">
      <c r="A141" s="1">
        <f t="shared" si="7"/>
        <v>140</v>
      </c>
      <c r="B141" s="1">
        <v>647.1</v>
      </c>
      <c r="C141" s="2">
        <f t="shared" si="8"/>
        <v>642.26618065953676</v>
      </c>
      <c r="D141" s="3">
        <f t="shared" si="6"/>
        <v>-4.8338193404632648</v>
      </c>
    </row>
    <row r="142" spans="1:4" x14ac:dyDescent="0.2">
      <c r="A142" s="1">
        <f t="shared" si="7"/>
        <v>141</v>
      </c>
      <c r="B142" s="1">
        <v>647.79999999999995</v>
      </c>
      <c r="C142" s="2">
        <f t="shared" si="8"/>
        <v>647.09516618065959</v>
      </c>
      <c r="D142" s="3">
        <f t="shared" si="6"/>
        <v>-0.70483381934036515</v>
      </c>
    </row>
    <row r="143" spans="1:4" x14ac:dyDescent="0.2">
      <c r="A143" s="1">
        <f t="shared" si="7"/>
        <v>142</v>
      </c>
      <c r="B143" s="1">
        <v>650.4</v>
      </c>
      <c r="C143" s="2">
        <f t="shared" si="8"/>
        <v>647.79929516618063</v>
      </c>
      <c r="D143" s="3">
        <f t="shared" si="6"/>
        <v>-2.6007048338193499</v>
      </c>
    </row>
    <row r="144" spans="1:4" x14ac:dyDescent="0.2">
      <c r="A144" s="1">
        <f t="shared" si="7"/>
        <v>143</v>
      </c>
      <c r="B144" s="1">
        <v>644.70000000000005</v>
      </c>
      <c r="C144" s="2">
        <f t="shared" si="8"/>
        <v>650.39739929516622</v>
      </c>
      <c r="D144" s="3">
        <f t="shared" si="6"/>
        <v>5.6973992951661785</v>
      </c>
    </row>
    <row r="145" spans="1:4" x14ac:dyDescent="0.2">
      <c r="A145" s="1">
        <f t="shared" si="7"/>
        <v>144</v>
      </c>
      <c r="B145" s="1">
        <v>575.20000000000005</v>
      </c>
      <c r="C145" s="2">
        <f t="shared" si="8"/>
        <v>644.7056973992951</v>
      </c>
      <c r="D145" s="3">
        <f t="shared" si="6"/>
        <v>69.505697399295059</v>
      </c>
    </row>
    <row r="146" spans="1:4" x14ac:dyDescent="0.2">
      <c r="A146" s="1">
        <f t="shared" si="7"/>
        <v>145</v>
      </c>
      <c r="B146" s="1">
        <v>567.1</v>
      </c>
      <c r="C146" s="2">
        <f t="shared" si="8"/>
        <v>575.26950569739938</v>
      </c>
      <c r="D146" s="3">
        <f t="shared" si="6"/>
        <v>8.1695056973993587</v>
      </c>
    </row>
    <row r="147" spans="1:4" x14ac:dyDescent="0.2">
      <c r="A147" s="1">
        <f t="shared" si="7"/>
        <v>146</v>
      </c>
      <c r="B147" s="1">
        <v>574</v>
      </c>
      <c r="C147" s="2">
        <f t="shared" si="8"/>
        <v>567.10816950569745</v>
      </c>
      <c r="D147" s="3">
        <f t="shared" si="6"/>
        <v>-6.8918304943025532</v>
      </c>
    </row>
    <row r="148" spans="1:4" x14ac:dyDescent="0.2">
      <c r="A148" s="1">
        <f t="shared" si="7"/>
        <v>147</v>
      </c>
      <c r="B148" s="1">
        <v>533.1</v>
      </c>
      <c r="C148" s="2">
        <f t="shared" si="8"/>
        <v>573.99310816950572</v>
      </c>
      <c r="D148" s="3">
        <f t="shared" si="6"/>
        <v>40.893108169505695</v>
      </c>
    </row>
    <row r="149" spans="1:4" x14ac:dyDescent="0.2">
      <c r="A149" s="1">
        <f t="shared" si="7"/>
        <v>148</v>
      </c>
      <c r="B149" s="1">
        <v>583.70000000000005</v>
      </c>
      <c r="C149" s="2">
        <f t="shared" si="8"/>
        <v>533.14089310816951</v>
      </c>
      <c r="D149" s="3">
        <f t="shared" si="6"/>
        <v>-50.559106891830538</v>
      </c>
    </row>
    <row r="150" spans="1:4" x14ac:dyDescent="0.2">
      <c r="A150" s="1">
        <f t="shared" si="7"/>
        <v>149</v>
      </c>
      <c r="B150" s="1">
        <v>619.9</v>
      </c>
      <c r="C150" s="2">
        <f t="shared" si="8"/>
        <v>583.64944089310825</v>
      </c>
      <c r="D150" s="3">
        <f t="shared" si="6"/>
        <v>-36.250559106891728</v>
      </c>
    </row>
    <row r="151" spans="1:4" x14ac:dyDescent="0.2">
      <c r="A151" s="1">
        <f t="shared" si="7"/>
        <v>150</v>
      </c>
      <c r="B151" s="1">
        <v>649</v>
      </c>
      <c r="C151" s="2">
        <f t="shared" si="8"/>
        <v>619.863749440893</v>
      </c>
      <c r="D151" s="3">
        <f t="shared" si="6"/>
        <v>-29.136250559106998</v>
      </c>
    </row>
    <row r="152" spans="1:4" x14ac:dyDescent="0.2">
      <c r="A152" s="1">
        <f t="shared" si="7"/>
        <v>151</v>
      </c>
      <c r="B152" s="1">
        <v>698.1</v>
      </c>
      <c r="C152" s="2">
        <f t="shared" si="8"/>
        <v>648.97086374944092</v>
      </c>
      <c r="D152" s="3">
        <f t="shared" si="6"/>
        <v>-49.1291362505591</v>
      </c>
    </row>
    <row r="153" spans="1:4" x14ac:dyDescent="0.2">
      <c r="A153" s="1">
        <f t="shared" si="7"/>
        <v>152</v>
      </c>
      <c r="B153" s="1">
        <v>630.20000000000005</v>
      </c>
      <c r="C153" s="2">
        <f t="shared" si="8"/>
        <v>698.05087086374954</v>
      </c>
      <c r="D153" s="3">
        <f t="shared" si="6"/>
        <v>67.850870863749492</v>
      </c>
    </row>
    <row r="154" spans="1:4" x14ac:dyDescent="0.2">
      <c r="A154" s="1">
        <f t="shared" si="7"/>
        <v>153</v>
      </c>
      <c r="B154" s="1">
        <v>613.1</v>
      </c>
      <c r="C154" s="2">
        <f t="shared" si="8"/>
        <v>630.26785087086387</v>
      </c>
      <c r="D154" s="3">
        <f t="shared" si="6"/>
        <v>17.167850870863845</v>
      </c>
    </row>
    <row r="155" spans="1:4" x14ac:dyDescent="0.2">
      <c r="A155" s="1">
        <f t="shared" si="7"/>
        <v>154</v>
      </c>
      <c r="B155" s="1">
        <v>622</v>
      </c>
      <c r="C155" s="2">
        <f t="shared" si="8"/>
        <v>613.11716785087083</v>
      </c>
      <c r="D155" s="3">
        <f t="shared" si="6"/>
        <v>-8.8828321491291717</v>
      </c>
    </row>
    <row r="156" spans="1:4" x14ac:dyDescent="0.2">
      <c r="A156" s="1">
        <f t="shared" si="7"/>
        <v>155</v>
      </c>
      <c r="B156" s="1">
        <v>622.1</v>
      </c>
      <c r="C156" s="2">
        <f t="shared" si="8"/>
        <v>621.99111716785092</v>
      </c>
      <c r="D156" s="3">
        <f t="shared" si="6"/>
        <v>-0.10888283214910643</v>
      </c>
    </row>
    <row r="157" spans="1:4" x14ac:dyDescent="0.2">
      <c r="A157" s="1">
        <f t="shared" si="7"/>
        <v>156</v>
      </c>
      <c r="B157" s="1">
        <v>583.1</v>
      </c>
      <c r="C157" s="2">
        <f t="shared" si="8"/>
        <v>622.09989111716777</v>
      </c>
      <c r="D157" s="3">
        <f t="shared" si="6"/>
        <v>38.999891117167749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0BCD6-E6B6-4F89-AC3B-6A49876A2DC6}">
  <sheetPr codeName="Sheet4"/>
  <dimension ref="A1:J157"/>
  <sheetViews>
    <sheetView workbookViewId="0">
      <selection activeCell="K3" sqref="K3"/>
    </sheetView>
  </sheetViews>
  <sheetFormatPr baseColWidth="10" defaultColWidth="8.83203125" defaultRowHeight="15" x14ac:dyDescent="0.2"/>
  <cols>
    <col min="2" max="2" width="11.5" bestFit="1" customWidth="1"/>
    <col min="5" max="5" width="16.6640625" bestFit="1" customWidth="1"/>
    <col min="6" max="6" width="10.6640625" bestFit="1" customWidth="1"/>
    <col min="10" max="10" width="20.6640625" bestFit="1" customWidth="1"/>
  </cols>
  <sheetData>
    <row r="1" spans="1:10" x14ac:dyDescent="0.2">
      <c r="A1" s="1" t="s">
        <v>163</v>
      </c>
      <c r="B1" s="1" t="s">
        <v>4</v>
      </c>
      <c r="C1" s="1" t="s">
        <v>168</v>
      </c>
      <c r="D1" s="1" t="s">
        <v>169</v>
      </c>
      <c r="E1" s="1" t="s">
        <v>170</v>
      </c>
      <c r="F1" s="2" t="s">
        <v>164</v>
      </c>
      <c r="G1" s="4" t="s">
        <v>165</v>
      </c>
    </row>
    <row r="2" spans="1:10" x14ac:dyDescent="0.2">
      <c r="A2" s="1">
        <v>1</v>
      </c>
      <c r="B2" s="1">
        <v>447.8</v>
      </c>
      <c r="C2" s="1">
        <f>0.8687*A2+485.81</f>
        <v>486.67869999999999</v>
      </c>
      <c r="D2" s="1">
        <f>B2/C2</f>
        <v>0.92011423553157357</v>
      </c>
      <c r="E2" s="1">
        <f>AVERAGE(D2,D6,D10,D14,D18,D22,D26,D30,D34,D38,D42,D46,D50,D54,D58,D62,D66,D70,D74,D78,D82,D86,D90,D94,D98,D102,D106,D110,D114,D118,D122,D126,D130,D134,D138,D142,D146,D150,D154)</f>
        <v>0.99403512311612097</v>
      </c>
      <c r="F2" s="2">
        <f>C2*$E$2</f>
        <v>483.77572147249367</v>
      </c>
      <c r="G2" s="4">
        <f>B2-F2</f>
        <v>-35.97572147249366</v>
      </c>
      <c r="I2" s="2" t="s">
        <v>167</v>
      </c>
      <c r="J2" s="2">
        <f>SQRT(SUMSQ(G2:G157)/COUNTA(G2:G157))</f>
        <v>42.469114459369067</v>
      </c>
    </row>
    <row r="3" spans="1:10" x14ac:dyDescent="0.2">
      <c r="A3" s="1">
        <f>A2+1</f>
        <v>2</v>
      </c>
      <c r="B3" s="1">
        <v>437.1</v>
      </c>
      <c r="C3" s="1">
        <f t="shared" ref="C3:C66" si="0">0.8687*A3+485.81</f>
        <v>487.54739999999998</v>
      </c>
      <c r="D3" s="1">
        <f t="shared" ref="D3:D66" si="1">B3/C3</f>
        <v>0.89652821448745301</v>
      </c>
      <c r="E3" s="1">
        <f t="shared" ref="E3:E5" si="2">AVERAGE(D3,D7,D11,D15,D19,D23,D27,D31,D35,D39,D43,D47,D51,D55,D59,D63,D67,D71,D75,D79,D83,D87,D91,D95,D99,D103,D107,D111,D115,D119,D123,D127,D131,D135,D139,D143,D147,D151,D155)</f>
        <v>1.0024859669329731</v>
      </c>
      <c r="F3" s="2">
        <f>C3*$E$3</f>
        <v>488.75942671465697</v>
      </c>
      <c r="G3" s="4">
        <f t="shared" ref="G3:G66" si="3">B3-F3</f>
        <v>-51.659426714656945</v>
      </c>
      <c r="I3" s="2" t="s">
        <v>168</v>
      </c>
      <c r="J3" s="2" t="s">
        <v>171</v>
      </c>
    </row>
    <row r="4" spans="1:10" x14ac:dyDescent="0.2">
      <c r="A4" s="1">
        <f t="shared" ref="A4:A67" si="4">A3+1</f>
        <v>3</v>
      </c>
      <c r="B4" s="1">
        <v>479.7</v>
      </c>
      <c r="C4" s="1">
        <f t="shared" si="0"/>
        <v>488.41610000000003</v>
      </c>
      <c r="D4" s="1">
        <f t="shared" si="1"/>
        <v>0.98215435568155918</v>
      </c>
      <c r="E4" s="1">
        <f t="shared" si="2"/>
        <v>1.0015050374937817</v>
      </c>
      <c r="F4" s="2">
        <f>C4*$E$4</f>
        <v>489.15118454306668</v>
      </c>
      <c r="G4" s="4">
        <f t="shared" si="3"/>
        <v>-9.4511845430666881</v>
      </c>
    </row>
    <row r="5" spans="1:10" x14ac:dyDescent="0.2">
      <c r="A5" s="1">
        <f t="shared" si="4"/>
        <v>4</v>
      </c>
      <c r="B5" s="1">
        <v>533.6</v>
      </c>
      <c r="C5" s="1">
        <f t="shared" si="0"/>
        <v>489.28480000000002</v>
      </c>
      <c r="D5" s="1">
        <f t="shared" si="1"/>
        <v>1.0905713809217046</v>
      </c>
      <c r="E5" s="1">
        <f t="shared" si="2"/>
        <v>1.0021607929307894</v>
      </c>
      <c r="F5" s="2">
        <f>C5*$E$5</f>
        <v>490.34204313698274</v>
      </c>
      <c r="G5" s="4">
        <f t="shared" si="3"/>
        <v>43.257956863017284</v>
      </c>
    </row>
    <row r="6" spans="1:10" x14ac:dyDescent="0.2">
      <c r="A6" s="1">
        <f t="shared" si="4"/>
        <v>5</v>
      </c>
      <c r="B6" s="1">
        <v>535</v>
      </c>
      <c r="C6" s="1">
        <f t="shared" si="0"/>
        <v>490.15350000000001</v>
      </c>
      <c r="D6" s="1">
        <f t="shared" si="1"/>
        <v>1.0914948072389568</v>
      </c>
      <c r="E6" s="1"/>
      <c r="F6" s="2">
        <f>C6*$E$2</f>
        <v>487.22979471829763</v>
      </c>
      <c r="G6" s="4">
        <f t="shared" si="3"/>
        <v>47.770205281702374</v>
      </c>
    </row>
    <row r="7" spans="1:10" x14ac:dyDescent="0.2">
      <c r="A7" s="1">
        <f t="shared" si="4"/>
        <v>6</v>
      </c>
      <c r="B7" s="1">
        <v>560.20000000000005</v>
      </c>
      <c r="C7" s="1">
        <f t="shared" si="0"/>
        <v>491.0222</v>
      </c>
      <c r="D7" s="1">
        <f t="shared" si="1"/>
        <v>1.1408852797286966</v>
      </c>
      <c r="E7" s="1"/>
      <c r="F7" s="2">
        <f>C7*$E$3</f>
        <v>492.24286495255569</v>
      </c>
      <c r="G7" s="4">
        <f t="shared" si="3"/>
        <v>67.957135047444353</v>
      </c>
    </row>
    <row r="8" spans="1:10" x14ac:dyDescent="0.2">
      <c r="A8" s="1">
        <f t="shared" si="4"/>
        <v>7</v>
      </c>
      <c r="B8" s="1">
        <v>537.4</v>
      </c>
      <c r="C8" s="1">
        <f t="shared" si="0"/>
        <v>491.89089999999999</v>
      </c>
      <c r="D8" s="1">
        <f t="shared" si="1"/>
        <v>1.0925186865624064</v>
      </c>
      <c r="E8" s="1"/>
      <c r="F8" s="2">
        <f>C8*$E$4</f>
        <v>492.63121424735004</v>
      </c>
      <c r="G8" s="4">
        <f t="shared" si="3"/>
        <v>44.768785752649933</v>
      </c>
    </row>
    <row r="9" spans="1:10" x14ac:dyDescent="0.2">
      <c r="A9" s="1">
        <f t="shared" si="4"/>
        <v>8</v>
      </c>
      <c r="B9" s="1">
        <v>528.79999999999995</v>
      </c>
      <c r="C9" s="1">
        <f t="shared" si="0"/>
        <v>492.75959999999998</v>
      </c>
      <c r="D9" s="1">
        <f t="shared" si="1"/>
        <v>1.0731399246204436</v>
      </c>
      <c r="E9" s="1"/>
      <c r="F9" s="2">
        <f>C9*$E$5</f>
        <v>493.82435146025858</v>
      </c>
      <c r="G9" s="4">
        <f t="shared" si="3"/>
        <v>34.975648539741371</v>
      </c>
    </row>
    <row r="10" spans="1:10" x14ac:dyDescent="0.2">
      <c r="A10" s="1">
        <f t="shared" si="4"/>
        <v>9</v>
      </c>
      <c r="B10" s="1">
        <v>516.29999999999995</v>
      </c>
      <c r="C10" s="1">
        <f t="shared" si="0"/>
        <v>493.62830000000002</v>
      </c>
      <c r="D10" s="1">
        <f t="shared" si="1"/>
        <v>1.0459286876380465</v>
      </c>
      <c r="E10" s="1"/>
      <c r="F10" s="2">
        <f>C10*$E$2</f>
        <v>490.68386796410152</v>
      </c>
      <c r="G10" s="4">
        <f t="shared" si="3"/>
        <v>25.616132035898431</v>
      </c>
    </row>
    <row r="11" spans="1:10" x14ac:dyDescent="0.2">
      <c r="A11" s="1">
        <f t="shared" si="4"/>
        <v>10</v>
      </c>
      <c r="B11" s="1">
        <v>520</v>
      </c>
      <c r="C11" s="1">
        <f t="shared" si="0"/>
        <v>494.49700000000001</v>
      </c>
      <c r="D11" s="1">
        <f t="shared" si="1"/>
        <v>1.0515736192535041</v>
      </c>
      <c r="E11" s="1"/>
      <c r="F11" s="2">
        <f>C11*$E$3</f>
        <v>495.72630319045442</v>
      </c>
      <c r="G11" s="4">
        <f t="shared" si="3"/>
        <v>24.273696809545584</v>
      </c>
    </row>
    <row r="12" spans="1:10" x14ac:dyDescent="0.2">
      <c r="A12" s="1">
        <f t="shared" si="4"/>
        <v>11</v>
      </c>
      <c r="B12" s="1">
        <v>518.6</v>
      </c>
      <c r="C12" s="1">
        <f t="shared" si="0"/>
        <v>495.3657</v>
      </c>
      <c r="D12" s="1">
        <f t="shared" si="1"/>
        <v>1.0469033281876401</v>
      </c>
      <c r="E12" s="1"/>
      <c r="F12" s="2">
        <f>C12*$E$4</f>
        <v>496.11124395163341</v>
      </c>
      <c r="G12" s="4">
        <f t="shared" si="3"/>
        <v>22.488756048366611</v>
      </c>
    </row>
    <row r="13" spans="1:10" x14ac:dyDescent="0.2">
      <c r="A13" s="1">
        <f t="shared" si="4"/>
        <v>12</v>
      </c>
      <c r="B13" s="1">
        <v>478</v>
      </c>
      <c r="C13" s="1">
        <f t="shared" si="0"/>
        <v>496.23439999999999</v>
      </c>
      <c r="D13" s="1">
        <f t="shared" si="1"/>
        <v>0.96325446200424636</v>
      </c>
      <c r="E13" s="1"/>
      <c r="F13" s="2">
        <f>C13*$E$5</f>
        <v>497.30665978353454</v>
      </c>
      <c r="G13" s="4">
        <f t="shared" si="3"/>
        <v>-19.306659783534542</v>
      </c>
    </row>
    <row r="14" spans="1:10" x14ac:dyDescent="0.2">
      <c r="A14" s="1">
        <f t="shared" si="4"/>
        <v>13</v>
      </c>
      <c r="B14" s="1">
        <v>465.5</v>
      </c>
      <c r="C14" s="1">
        <f t="shared" si="0"/>
        <v>497.10309999999998</v>
      </c>
      <c r="D14" s="1">
        <f t="shared" si="1"/>
        <v>0.93642546184081332</v>
      </c>
      <c r="E14" s="1"/>
      <c r="F14" s="2">
        <f>C14*$E$2</f>
        <v>494.13794120990536</v>
      </c>
      <c r="G14" s="4">
        <f t="shared" si="3"/>
        <v>-28.637941209905364</v>
      </c>
    </row>
    <row r="15" spans="1:10" x14ac:dyDescent="0.2">
      <c r="A15" s="1">
        <f t="shared" si="4"/>
        <v>14</v>
      </c>
      <c r="B15" s="1">
        <v>452.3</v>
      </c>
      <c r="C15" s="1">
        <f t="shared" si="0"/>
        <v>497.97180000000003</v>
      </c>
      <c r="D15" s="1">
        <f t="shared" si="1"/>
        <v>0.90828436469695673</v>
      </c>
      <c r="E15" s="1"/>
      <c r="F15" s="2">
        <f>C15*$E$3</f>
        <v>499.20974142835314</v>
      </c>
      <c r="G15" s="4">
        <f t="shared" si="3"/>
        <v>-46.909741428353129</v>
      </c>
    </row>
    <row r="16" spans="1:10" x14ac:dyDescent="0.2">
      <c r="A16" s="1">
        <f t="shared" si="4"/>
        <v>15</v>
      </c>
      <c r="B16" s="1">
        <v>470</v>
      </c>
      <c r="C16" s="1">
        <f t="shared" si="0"/>
        <v>498.84050000000002</v>
      </c>
      <c r="D16" s="1">
        <f t="shared" si="1"/>
        <v>0.94218492684535438</v>
      </c>
      <c r="E16" s="1"/>
      <c r="F16" s="2">
        <f>C16*$E$4</f>
        <v>499.59127365591684</v>
      </c>
      <c r="G16" s="4">
        <f t="shared" si="3"/>
        <v>-29.591273655916837</v>
      </c>
    </row>
    <row r="17" spans="1:7" x14ac:dyDescent="0.2">
      <c r="A17" s="1">
        <f t="shared" si="4"/>
        <v>16</v>
      </c>
      <c r="B17" s="1">
        <v>511.3</v>
      </c>
      <c r="C17" s="1">
        <f t="shared" si="0"/>
        <v>499.70920000000001</v>
      </c>
      <c r="D17" s="1">
        <f t="shared" si="1"/>
        <v>1.0231950902644977</v>
      </c>
      <c r="E17" s="1"/>
      <c r="F17" s="2">
        <f>C17*$E$5</f>
        <v>500.78896810681044</v>
      </c>
      <c r="G17" s="4">
        <f t="shared" si="3"/>
        <v>10.511031893189568</v>
      </c>
    </row>
    <row r="18" spans="1:7" x14ac:dyDescent="0.2">
      <c r="A18" s="1">
        <f t="shared" si="4"/>
        <v>17</v>
      </c>
      <c r="B18" s="1">
        <v>522</v>
      </c>
      <c r="C18" s="1">
        <f t="shared" si="0"/>
        <v>500.5779</v>
      </c>
      <c r="D18" s="1">
        <f t="shared" si="1"/>
        <v>1.0427947378420022</v>
      </c>
      <c r="E18" s="1"/>
      <c r="F18" s="2">
        <f>C18*$E$2</f>
        <v>497.59201445570926</v>
      </c>
      <c r="G18" s="4">
        <f t="shared" si="3"/>
        <v>24.407985544290739</v>
      </c>
    </row>
    <row r="19" spans="1:7" x14ac:dyDescent="0.2">
      <c r="A19" s="1">
        <f t="shared" si="4"/>
        <v>18</v>
      </c>
      <c r="B19" s="1">
        <v>533.20000000000005</v>
      </c>
      <c r="C19" s="1">
        <f t="shared" si="0"/>
        <v>501.44659999999999</v>
      </c>
      <c r="D19" s="1">
        <f t="shared" si="1"/>
        <v>1.0633235921830959</v>
      </c>
      <c r="E19" s="1"/>
      <c r="F19" s="2">
        <f>C19*$E$3</f>
        <v>502.69317966625175</v>
      </c>
      <c r="G19" s="4">
        <f t="shared" si="3"/>
        <v>30.506820333748294</v>
      </c>
    </row>
    <row r="20" spans="1:7" x14ac:dyDescent="0.2">
      <c r="A20" s="1">
        <f t="shared" si="4"/>
        <v>19</v>
      </c>
      <c r="B20" s="1">
        <v>513.20000000000005</v>
      </c>
      <c r="C20" s="1">
        <f t="shared" si="0"/>
        <v>502.31529999999998</v>
      </c>
      <c r="D20" s="1">
        <f t="shared" si="1"/>
        <v>1.0216690592542175</v>
      </c>
      <c r="E20" s="1"/>
      <c r="F20" s="2">
        <f>C20*$E$4</f>
        <v>503.0713033602002</v>
      </c>
      <c r="G20" s="4">
        <f t="shared" si="3"/>
        <v>10.128696639799841</v>
      </c>
    </row>
    <row r="21" spans="1:7" x14ac:dyDescent="0.2">
      <c r="A21" s="1">
        <f t="shared" si="4"/>
        <v>20</v>
      </c>
      <c r="B21" s="1">
        <v>544.20000000000005</v>
      </c>
      <c r="C21" s="1">
        <f t="shared" si="0"/>
        <v>503.18400000000003</v>
      </c>
      <c r="D21" s="1">
        <f t="shared" si="1"/>
        <v>1.0815129256892111</v>
      </c>
      <c r="E21" s="1"/>
      <c r="F21" s="2">
        <f>C21*$E$5</f>
        <v>504.27127643008635</v>
      </c>
      <c r="G21" s="4">
        <f t="shared" si="3"/>
        <v>39.9287235699137</v>
      </c>
    </row>
    <row r="22" spans="1:7" x14ac:dyDescent="0.2">
      <c r="A22" s="1">
        <f t="shared" si="4"/>
        <v>21</v>
      </c>
      <c r="B22" s="1">
        <v>541.4</v>
      </c>
      <c r="C22" s="1">
        <f t="shared" si="0"/>
        <v>504.05270000000002</v>
      </c>
      <c r="D22" s="1">
        <f t="shared" si="1"/>
        <v>1.074094038182912</v>
      </c>
      <c r="E22" s="1"/>
      <c r="F22" s="2">
        <f>C22*$E$2</f>
        <v>501.04608770151322</v>
      </c>
      <c r="G22" s="4">
        <f t="shared" si="3"/>
        <v>40.353912298486762</v>
      </c>
    </row>
    <row r="23" spans="1:7" x14ac:dyDescent="0.2">
      <c r="A23" s="1">
        <f t="shared" si="4"/>
        <v>22</v>
      </c>
      <c r="B23" s="1">
        <v>525.70000000000005</v>
      </c>
      <c r="C23" s="1">
        <f t="shared" si="0"/>
        <v>504.92140000000001</v>
      </c>
      <c r="D23" s="1">
        <f t="shared" si="1"/>
        <v>1.0411521476411973</v>
      </c>
      <c r="E23" s="1"/>
      <c r="F23" s="2">
        <f>C23*$E$3</f>
        <v>506.17661790415048</v>
      </c>
      <c r="G23" s="4">
        <f t="shared" si="3"/>
        <v>19.52338209584957</v>
      </c>
    </row>
    <row r="24" spans="1:7" x14ac:dyDescent="0.2">
      <c r="A24" s="1">
        <f t="shared" si="4"/>
        <v>23</v>
      </c>
      <c r="B24" s="1">
        <v>535.20000000000005</v>
      </c>
      <c r="C24" s="1">
        <f t="shared" si="0"/>
        <v>505.7901</v>
      </c>
      <c r="D24" s="1">
        <f t="shared" si="1"/>
        <v>1.0581464524513233</v>
      </c>
      <c r="E24" s="1"/>
      <c r="F24" s="2">
        <f>C24*$E$4</f>
        <v>506.55133306448363</v>
      </c>
      <c r="G24" s="4">
        <f t="shared" si="3"/>
        <v>28.648666935516417</v>
      </c>
    </row>
    <row r="25" spans="1:7" x14ac:dyDescent="0.2">
      <c r="A25" s="1">
        <f t="shared" si="4"/>
        <v>24</v>
      </c>
      <c r="B25" s="1">
        <v>495</v>
      </c>
      <c r="C25" s="1">
        <f t="shared" si="0"/>
        <v>506.65879999999999</v>
      </c>
      <c r="D25" s="1">
        <f t="shared" si="1"/>
        <v>0.97698885324798468</v>
      </c>
      <c r="E25" s="1"/>
      <c r="F25" s="2">
        <f>C25*$E$5</f>
        <v>507.75358475336225</v>
      </c>
      <c r="G25" s="4">
        <f t="shared" si="3"/>
        <v>-12.753584753362247</v>
      </c>
    </row>
    <row r="26" spans="1:7" x14ac:dyDescent="0.2">
      <c r="A26" s="1">
        <f t="shared" si="4"/>
        <v>25</v>
      </c>
      <c r="B26" s="1">
        <v>473.6</v>
      </c>
      <c r="C26" s="1">
        <f t="shared" si="0"/>
        <v>507.52750000000003</v>
      </c>
      <c r="D26" s="1">
        <f t="shared" si="1"/>
        <v>0.93315140558885967</v>
      </c>
      <c r="E26" s="1"/>
      <c r="F26" s="2">
        <f>C26*$E$2</f>
        <v>504.50016094731711</v>
      </c>
      <c r="G26" s="4">
        <f t="shared" si="3"/>
        <v>-30.90016094731709</v>
      </c>
    </row>
    <row r="27" spans="1:7" x14ac:dyDescent="0.2">
      <c r="A27" s="1">
        <f t="shared" si="4"/>
        <v>26</v>
      </c>
      <c r="B27" s="1">
        <v>444.4</v>
      </c>
      <c r="C27" s="1">
        <f t="shared" si="0"/>
        <v>508.39620000000002</v>
      </c>
      <c r="D27" s="1">
        <f t="shared" si="1"/>
        <v>0.87412140373983904</v>
      </c>
      <c r="E27" s="1"/>
      <c r="F27" s="2">
        <f>C27*$E$3</f>
        <v>509.6600561420492</v>
      </c>
      <c r="G27" s="4">
        <f t="shared" si="3"/>
        <v>-65.260056142049223</v>
      </c>
    </row>
    <row r="28" spans="1:7" x14ac:dyDescent="0.2">
      <c r="A28" s="1">
        <f t="shared" si="4"/>
        <v>27</v>
      </c>
      <c r="B28" s="1">
        <v>451.8</v>
      </c>
      <c r="C28" s="1">
        <f t="shared" si="0"/>
        <v>509.26490000000001</v>
      </c>
      <c r="D28" s="1">
        <f t="shared" si="1"/>
        <v>0.88716108257215454</v>
      </c>
      <c r="E28" s="1"/>
      <c r="F28" s="2">
        <f>C28*$E$4</f>
        <v>510.031362768767</v>
      </c>
      <c r="G28" s="4">
        <f t="shared" si="3"/>
        <v>-58.231362768766985</v>
      </c>
    </row>
    <row r="29" spans="1:7" x14ac:dyDescent="0.2">
      <c r="A29" s="1">
        <f t="shared" si="4"/>
        <v>28</v>
      </c>
      <c r="B29" s="1">
        <v>511</v>
      </c>
      <c r="C29" s="1">
        <f t="shared" si="0"/>
        <v>510.1336</v>
      </c>
      <c r="D29" s="1">
        <f t="shared" si="1"/>
        <v>1.0016983786208162</v>
      </c>
      <c r="E29" s="1"/>
      <c r="F29" s="2">
        <f>C29*$E$5</f>
        <v>511.23589307663815</v>
      </c>
      <c r="G29" s="4">
        <f t="shared" si="3"/>
        <v>-0.23589307663814907</v>
      </c>
    </row>
    <row r="30" spans="1:7" x14ac:dyDescent="0.2">
      <c r="A30" s="1">
        <f t="shared" si="4"/>
        <v>29</v>
      </c>
      <c r="B30" s="1">
        <v>542.79999999999995</v>
      </c>
      <c r="C30" s="1">
        <f t="shared" si="0"/>
        <v>511.00229999999999</v>
      </c>
      <c r="D30" s="1">
        <f t="shared" si="1"/>
        <v>1.0622261387081819</v>
      </c>
      <c r="E30" s="1"/>
      <c r="F30" s="2">
        <f>C30*$E$2</f>
        <v>507.95423419312095</v>
      </c>
      <c r="G30" s="4">
        <f t="shared" si="3"/>
        <v>34.845765806879001</v>
      </c>
    </row>
    <row r="31" spans="1:7" x14ac:dyDescent="0.2">
      <c r="A31" s="1">
        <f t="shared" si="4"/>
        <v>30</v>
      </c>
      <c r="B31" s="1">
        <v>556</v>
      </c>
      <c r="C31" s="1">
        <f t="shared" si="0"/>
        <v>511.87099999999998</v>
      </c>
      <c r="D31" s="1">
        <f t="shared" si="1"/>
        <v>1.0862111742997749</v>
      </c>
      <c r="E31" s="1"/>
      <c r="F31" s="2">
        <f>C31*$E$3</f>
        <v>513.14349437994781</v>
      </c>
      <c r="G31" s="4">
        <f t="shared" si="3"/>
        <v>42.856505620052189</v>
      </c>
    </row>
    <row r="32" spans="1:7" x14ac:dyDescent="0.2">
      <c r="A32" s="1">
        <f t="shared" si="4"/>
        <v>31</v>
      </c>
      <c r="B32" s="1">
        <v>563.1</v>
      </c>
      <c r="C32" s="1">
        <f t="shared" si="0"/>
        <v>512.73969999999997</v>
      </c>
      <c r="D32" s="1">
        <f t="shared" si="1"/>
        <v>1.0982180626934097</v>
      </c>
      <c r="E32" s="1"/>
      <c r="F32" s="2">
        <f>C32*$E$4</f>
        <v>513.51139247305036</v>
      </c>
      <c r="G32" s="4">
        <f t="shared" si="3"/>
        <v>49.588607526949659</v>
      </c>
    </row>
    <row r="33" spans="1:7" x14ac:dyDescent="0.2">
      <c r="A33" s="1">
        <f t="shared" si="4"/>
        <v>32</v>
      </c>
      <c r="B33" s="1">
        <v>555</v>
      </c>
      <c r="C33" s="1">
        <f t="shared" si="0"/>
        <v>513.60839999999996</v>
      </c>
      <c r="D33" s="1">
        <f t="shared" si="1"/>
        <v>1.0805898034377943</v>
      </c>
      <c r="E33" s="1"/>
      <c r="F33" s="2">
        <f>C33*$E$5</f>
        <v>514.71820139991405</v>
      </c>
      <c r="G33" s="4">
        <f t="shared" si="3"/>
        <v>40.281798600085949</v>
      </c>
    </row>
    <row r="34" spans="1:7" x14ac:dyDescent="0.2">
      <c r="A34" s="1">
        <f t="shared" si="4"/>
        <v>33</v>
      </c>
      <c r="B34" s="1">
        <v>513.6</v>
      </c>
      <c r="C34" s="1">
        <f t="shared" si="0"/>
        <v>514.47709999999995</v>
      </c>
      <c r="D34" s="1">
        <f t="shared" si="1"/>
        <v>0.99829516221421721</v>
      </c>
      <c r="E34" s="1"/>
      <c r="F34" s="2">
        <f>C34*$E$2</f>
        <v>511.40830743892485</v>
      </c>
      <c r="G34" s="4">
        <f t="shared" si="3"/>
        <v>2.1916925610751719</v>
      </c>
    </row>
    <row r="35" spans="1:7" x14ac:dyDescent="0.2">
      <c r="A35" s="1">
        <f t="shared" si="4"/>
        <v>34</v>
      </c>
      <c r="B35" s="1">
        <v>514.70000000000005</v>
      </c>
      <c r="C35" s="1">
        <f t="shared" si="0"/>
        <v>515.34580000000005</v>
      </c>
      <c r="D35" s="1">
        <f t="shared" si="1"/>
        <v>0.99874686084566899</v>
      </c>
      <c r="E35" s="1"/>
      <c r="F35" s="2">
        <f>C35*$E$3</f>
        <v>516.62693261784659</v>
      </c>
      <c r="G35" s="4">
        <f t="shared" si="3"/>
        <v>-1.9269326178465462</v>
      </c>
    </row>
    <row r="36" spans="1:7" x14ac:dyDescent="0.2">
      <c r="A36" s="1">
        <f t="shared" si="4"/>
        <v>35</v>
      </c>
      <c r="B36" s="1">
        <v>547.9</v>
      </c>
      <c r="C36" s="1">
        <f t="shared" si="0"/>
        <v>516.21450000000004</v>
      </c>
      <c r="D36" s="1">
        <f t="shared" si="1"/>
        <v>1.0613804920241487</v>
      </c>
      <c r="E36" s="1"/>
      <c r="F36" s="2">
        <f>C36*$E$4</f>
        <v>516.99142217733379</v>
      </c>
      <c r="G36" s="4">
        <f t="shared" si="3"/>
        <v>30.908577822666189</v>
      </c>
    </row>
    <row r="37" spans="1:7" x14ac:dyDescent="0.2">
      <c r="A37" s="1">
        <f t="shared" si="4"/>
        <v>36</v>
      </c>
      <c r="B37" s="1">
        <v>489.9</v>
      </c>
      <c r="C37" s="1">
        <f t="shared" si="0"/>
        <v>517.08320000000003</v>
      </c>
      <c r="D37" s="1">
        <f t="shared" si="1"/>
        <v>0.94742973664586272</v>
      </c>
      <c r="E37" s="1"/>
      <c r="F37" s="2">
        <f>C37*$E$5</f>
        <v>518.20050972318995</v>
      </c>
      <c r="G37" s="4">
        <f t="shared" si="3"/>
        <v>-28.300509723189975</v>
      </c>
    </row>
    <row r="38" spans="1:7" x14ac:dyDescent="0.2">
      <c r="A38" s="1">
        <f t="shared" si="4"/>
        <v>37</v>
      </c>
      <c r="B38" s="1">
        <v>467.1</v>
      </c>
      <c r="C38" s="1">
        <f t="shared" si="0"/>
        <v>517.95190000000002</v>
      </c>
      <c r="D38" s="1">
        <f t="shared" si="1"/>
        <v>0.90182119227673463</v>
      </c>
      <c r="E38" s="1"/>
      <c r="F38" s="2">
        <f>C38*$E$2</f>
        <v>514.86238068472881</v>
      </c>
      <c r="G38" s="4">
        <f t="shared" si="3"/>
        <v>-47.762380684728782</v>
      </c>
    </row>
    <row r="39" spans="1:7" x14ac:dyDescent="0.2">
      <c r="A39" s="1">
        <f t="shared" si="4"/>
        <v>38</v>
      </c>
      <c r="B39" s="1">
        <v>472.7</v>
      </c>
      <c r="C39" s="1">
        <f t="shared" si="0"/>
        <v>518.82060000000001</v>
      </c>
      <c r="D39" s="1">
        <f t="shared" si="1"/>
        <v>0.91110491757651868</v>
      </c>
      <c r="E39" s="1"/>
      <c r="F39" s="2">
        <f>C39*$E$3</f>
        <v>520.11037085574526</v>
      </c>
      <c r="G39" s="4">
        <f t="shared" si="3"/>
        <v>-47.410370855745271</v>
      </c>
    </row>
    <row r="40" spans="1:7" x14ac:dyDescent="0.2">
      <c r="A40" s="1">
        <f t="shared" si="4"/>
        <v>39</v>
      </c>
      <c r="B40" s="1">
        <v>449.5</v>
      </c>
      <c r="C40" s="1">
        <f t="shared" si="0"/>
        <v>519.6893</v>
      </c>
      <c r="D40" s="1">
        <f t="shared" si="1"/>
        <v>0.86493987850048093</v>
      </c>
      <c r="E40" s="1"/>
      <c r="F40" s="2">
        <f>C40*$E$4</f>
        <v>520.47145188161721</v>
      </c>
      <c r="G40" s="4">
        <f t="shared" si="3"/>
        <v>-70.971451881617213</v>
      </c>
    </row>
    <row r="41" spans="1:7" x14ac:dyDescent="0.2">
      <c r="A41" s="1">
        <f t="shared" si="4"/>
        <v>40</v>
      </c>
      <c r="B41" s="1">
        <v>491.5</v>
      </c>
      <c r="C41" s="1">
        <f t="shared" si="0"/>
        <v>520.55799999999999</v>
      </c>
      <c r="D41" s="1">
        <f t="shared" si="1"/>
        <v>0.94417913085573557</v>
      </c>
      <c r="E41" s="1"/>
      <c r="F41" s="2">
        <f>C41*$E$5</f>
        <v>521.68281804646585</v>
      </c>
      <c r="G41" s="4">
        <f t="shared" si="3"/>
        <v>-30.182818046465854</v>
      </c>
    </row>
    <row r="42" spans="1:7" x14ac:dyDescent="0.2">
      <c r="A42" s="1">
        <f t="shared" si="4"/>
        <v>41</v>
      </c>
      <c r="B42" s="1">
        <v>544</v>
      </c>
      <c r="C42" s="1">
        <f t="shared" si="0"/>
        <v>521.42669999999998</v>
      </c>
      <c r="D42" s="1">
        <f t="shared" si="1"/>
        <v>1.0432914156486426</v>
      </c>
      <c r="E42" s="1"/>
      <c r="F42" s="2">
        <f>C42*$E$2</f>
        <v>518.3164539305327</v>
      </c>
      <c r="G42" s="4">
        <f t="shared" si="3"/>
        <v>25.683546069467297</v>
      </c>
    </row>
    <row r="43" spans="1:7" x14ac:dyDescent="0.2">
      <c r="A43" s="1">
        <f t="shared" si="4"/>
        <v>42</v>
      </c>
      <c r="B43" s="1">
        <v>572.5</v>
      </c>
      <c r="C43" s="1">
        <f t="shared" si="0"/>
        <v>522.29539999999997</v>
      </c>
      <c r="D43" s="1">
        <f t="shared" si="1"/>
        <v>1.0961229985942822</v>
      </c>
      <c r="E43" s="1"/>
      <c r="F43" s="2">
        <f>C43*$E$3</f>
        <v>523.59380909364393</v>
      </c>
      <c r="G43" s="4">
        <f t="shared" si="3"/>
        <v>48.906190906356073</v>
      </c>
    </row>
    <row r="44" spans="1:7" x14ac:dyDescent="0.2">
      <c r="A44" s="1">
        <f t="shared" si="4"/>
        <v>43</v>
      </c>
      <c r="B44" s="1">
        <v>525.79999999999995</v>
      </c>
      <c r="C44" s="1">
        <f t="shared" si="0"/>
        <v>523.16409999999996</v>
      </c>
      <c r="D44" s="1">
        <f t="shared" si="1"/>
        <v>1.0050383808827861</v>
      </c>
      <c r="E44" s="1"/>
      <c r="F44" s="2">
        <f>C44*$E$4</f>
        <v>523.95148158590052</v>
      </c>
      <c r="G44" s="4">
        <f t="shared" si="3"/>
        <v>1.8485184140994306</v>
      </c>
    </row>
    <row r="45" spans="1:7" x14ac:dyDescent="0.2">
      <c r="A45" s="1">
        <f t="shared" si="4"/>
        <v>44</v>
      </c>
      <c r="B45" s="1">
        <v>510.1</v>
      </c>
      <c r="C45" s="1">
        <f t="shared" si="0"/>
        <v>524.03279999999995</v>
      </c>
      <c r="D45" s="1">
        <f t="shared" si="1"/>
        <v>0.9734123512879348</v>
      </c>
      <c r="E45" s="1"/>
      <c r="F45" s="2">
        <f>C45*$E$5</f>
        <v>525.16512636974176</v>
      </c>
      <c r="G45" s="4">
        <f t="shared" si="3"/>
        <v>-15.065126369741733</v>
      </c>
    </row>
    <row r="46" spans="1:7" x14ac:dyDescent="0.2">
      <c r="A46" s="1">
        <f t="shared" si="4"/>
        <v>45</v>
      </c>
      <c r="B46" s="1">
        <v>519.1</v>
      </c>
      <c r="C46" s="1">
        <f t="shared" si="0"/>
        <v>524.90150000000006</v>
      </c>
      <c r="D46" s="1">
        <f t="shared" si="1"/>
        <v>0.98894745014064533</v>
      </c>
      <c r="E46" s="1"/>
      <c r="F46" s="2">
        <f>C46*$E$2</f>
        <v>521.7705271763366</v>
      </c>
      <c r="G46" s="4">
        <f t="shared" si="3"/>
        <v>-2.6705271763365772</v>
      </c>
    </row>
    <row r="47" spans="1:7" x14ac:dyDescent="0.2">
      <c r="A47" s="1">
        <f t="shared" si="4"/>
        <v>46</v>
      </c>
      <c r="B47" s="1">
        <v>522.1</v>
      </c>
      <c r="C47" s="1">
        <f t="shared" si="0"/>
        <v>525.77020000000005</v>
      </c>
      <c r="D47" s="1">
        <f t="shared" si="1"/>
        <v>0.99301938375358656</v>
      </c>
      <c r="E47" s="1"/>
      <c r="F47" s="2">
        <f>C47*$E$3</f>
        <v>527.07724733154271</v>
      </c>
      <c r="G47" s="4">
        <f t="shared" si="3"/>
        <v>-4.9772473315426851</v>
      </c>
    </row>
    <row r="48" spans="1:7" x14ac:dyDescent="0.2">
      <c r="A48" s="1">
        <f t="shared" si="4"/>
        <v>47</v>
      </c>
      <c r="B48" s="1">
        <v>535.6</v>
      </c>
      <c r="C48" s="1">
        <f t="shared" si="0"/>
        <v>526.63890000000004</v>
      </c>
      <c r="D48" s="1">
        <f t="shared" si="1"/>
        <v>1.0170156439260374</v>
      </c>
      <c r="E48" s="1"/>
      <c r="F48" s="2">
        <f>C48*$E$4</f>
        <v>527.43151129018395</v>
      </c>
      <c r="G48" s="4">
        <f t="shared" si="3"/>
        <v>8.1684887098160743</v>
      </c>
    </row>
    <row r="49" spans="1:7" x14ac:dyDescent="0.2">
      <c r="A49" s="1">
        <f t="shared" si="4"/>
        <v>48</v>
      </c>
      <c r="B49" s="1">
        <v>484</v>
      </c>
      <c r="C49" s="1">
        <f t="shared" si="0"/>
        <v>527.50760000000002</v>
      </c>
      <c r="D49" s="1">
        <f t="shared" si="1"/>
        <v>0.91752232574469061</v>
      </c>
      <c r="E49" s="1"/>
      <c r="F49" s="2">
        <f>C49*$E$5</f>
        <v>528.64743469301766</v>
      </c>
      <c r="G49" s="4">
        <f t="shared" si="3"/>
        <v>-44.647434693017658</v>
      </c>
    </row>
    <row r="50" spans="1:7" x14ac:dyDescent="0.2">
      <c r="A50" s="1">
        <f t="shared" si="4"/>
        <v>49</v>
      </c>
      <c r="B50" s="1">
        <v>476.4</v>
      </c>
      <c r="C50" s="1">
        <f t="shared" si="0"/>
        <v>528.37630000000001</v>
      </c>
      <c r="D50" s="1">
        <f t="shared" si="1"/>
        <v>0.9016301450311075</v>
      </c>
      <c r="E50" s="1"/>
      <c r="F50" s="2">
        <f>C50*$E$2</f>
        <v>525.2246004221405</v>
      </c>
      <c r="G50" s="4">
        <f t="shared" si="3"/>
        <v>-48.82460042214052</v>
      </c>
    </row>
    <row r="51" spans="1:7" x14ac:dyDescent="0.2">
      <c r="A51" s="1">
        <f t="shared" si="4"/>
        <v>50</v>
      </c>
      <c r="B51" s="1">
        <v>460.5</v>
      </c>
      <c r="C51" s="1">
        <f t="shared" si="0"/>
        <v>529.245</v>
      </c>
      <c r="D51" s="1">
        <f t="shared" si="1"/>
        <v>0.87010741716974183</v>
      </c>
      <c r="E51" s="1"/>
      <c r="F51" s="2">
        <f>C51*$E$3</f>
        <v>530.56068556944138</v>
      </c>
      <c r="G51" s="4">
        <f t="shared" si="3"/>
        <v>-70.060685569441375</v>
      </c>
    </row>
    <row r="52" spans="1:7" x14ac:dyDescent="0.2">
      <c r="A52" s="1">
        <f t="shared" si="4"/>
        <v>51</v>
      </c>
      <c r="B52" s="1">
        <v>461.2</v>
      </c>
      <c r="C52" s="1">
        <f t="shared" si="0"/>
        <v>530.11369999999999</v>
      </c>
      <c r="D52" s="1">
        <f t="shared" si="1"/>
        <v>0.8700020391851786</v>
      </c>
      <c r="E52" s="1"/>
      <c r="F52" s="2">
        <f>C52*$E$4</f>
        <v>530.91154099446737</v>
      </c>
      <c r="G52" s="4">
        <f t="shared" si="3"/>
        <v>-69.711540994467384</v>
      </c>
    </row>
    <row r="53" spans="1:7" x14ac:dyDescent="0.2">
      <c r="A53" s="1">
        <f t="shared" si="4"/>
        <v>52</v>
      </c>
      <c r="B53" s="1">
        <v>510.5</v>
      </c>
      <c r="C53" s="1">
        <f t="shared" si="0"/>
        <v>530.98239999999998</v>
      </c>
      <c r="D53" s="1">
        <f t="shared" si="1"/>
        <v>0.96142546344285618</v>
      </c>
      <c r="E53" s="1"/>
      <c r="F53" s="2">
        <f>C53*$E$5</f>
        <v>532.12974301629356</v>
      </c>
      <c r="G53" s="4">
        <f t="shared" si="3"/>
        <v>-21.62974301629356</v>
      </c>
    </row>
    <row r="54" spans="1:7" x14ac:dyDescent="0.2">
      <c r="A54" s="1">
        <f t="shared" si="4"/>
        <v>53</v>
      </c>
      <c r="B54" s="1">
        <v>556.6</v>
      </c>
      <c r="C54" s="1">
        <f t="shared" si="0"/>
        <v>531.85109999999997</v>
      </c>
      <c r="D54" s="1">
        <f t="shared" si="1"/>
        <v>1.0465335128572641</v>
      </c>
      <c r="E54" s="1"/>
      <c r="F54" s="2">
        <f>C54*$E$2</f>
        <v>528.67867366794439</v>
      </c>
      <c r="G54" s="4">
        <f t="shared" si="3"/>
        <v>27.921326332055628</v>
      </c>
    </row>
    <row r="55" spans="1:7" x14ac:dyDescent="0.2">
      <c r="A55" s="1">
        <f t="shared" si="4"/>
        <v>54</v>
      </c>
      <c r="B55" s="1">
        <v>609.5</v>
      </c>
      <c r="C55" s="1">
        <f t="shared" si="0"/>
        <v>532.71979999999996</v>
      </c>
      <c r="D55" s="1">
        <f t="shared" si="1"/>
        <v>1.1441286770268349</v>
      </c>
      <c r="E55" s="1"/>
      <c r="F55" s="2">
        <f>C55*$E$3</f>
        <v>534.04412380734004</v>
      </c>
      <c r="G55" s="4">
        <f t="shared" si="3"/>
        <v>75.455876192659957</v>
      </c>
    </row>
    <row r="56" spans="1:7" x14ac:dyDescent="0.2">
      <c r="A56" s="1">
        <f t="shared" si="4"/>
        <v>55</v>
      </c>
      <c r="B56" s="1">
        <v>592.70000000000005</v>
      </c>
      <c r="C56" s="1">
        <f t="shared" si="0"/>
        <v>533.58849999999995</v>
      </c>
      <c r="D56" s="1">
        <f t="shared" si="1"/>
        <v>1.110781060686278</v>
      </c>
      <c r="E56" s="1"/>
      <c r="F56" s="2">
        <f>C56*$E$4</f>
        <v>534.39157069875068</v>
      </c>
      <c r="G56" s="4">
        <f t="shared" si="3"/>
        <v>58.308429301249362</v>
      </c>
    </row>
    <row r="57" spans="1:7" x14ac:dyDescent="0.2">
      <c r="A57" s="1">
        <f t="shared" si="4"/>
        <v>56</v>
      </c>
      <c r="B57" s="1">
        <v>572.1</v>
      </c>
      <c r="C57" s="1">
        <f t="shared" si="0"/>
        <v>534.45720000000006</v>
      </c>
      <c r="D57" s="1">
        <f t="shared" si="1"/>
        <v>1.0704318325209201</v>
      </c>
      <c r="E57" s="1"/>
      <c r="F57" s="2">
        <f>C57*$E$5</f>
        <v>535.61205133956958</v>
      </c>
      <c r="G57" s="4">
        <f t="shared" si="3"/>
        <v>36.487948660430447</v>
      </c>
    </row>
    <row r="58" spans="1:7" x14ac:dyDescent="0.2">
      <c r="A58" s="1">
        <f t="shared" si="4"/>
        <v>57</v>
      </c>
      <c r="B58" s="1">
        <v>554.9</v>
      </c>
      <c r="C58" s="1">
        <f t="shared" si="0"/>
        <v>535.32590000000005</v>
      </c>
      <c r="D58" s="1">
        <f t="shared" si="1"/>
        <v>1.0365648290135037</v>
      </c>
      <c r="E58" s="1"/>
      <c r="F58" s="2">
        <f>C58*$E$2</f>
        <v>532.13274691374829</v>
      </c>
      <c r="G58" s="4">
        <f t="shared" si="3"/>
        <v>22.767253086251685</v>
      </c>
    </row>
    <row r="59" spans="1:7" x14ac:dyDescent="0.2">
      <c r="A59" s="1">
        <f t="shared" si="4"/>
        <v>58</v>
      </c>
      <c r="B59" s="1">
        <v>557.4</v>
      </c>
      <c r="C59" s="1">
        <f t="shared" si="0"/>
        <v>536.19460000000004</v>
      </c>
      <c r="D59" s="1">
        <f t="shared" si="1"/>
        <v>1.0395479551640392</v>
      </c>
      <c r="E59" s="1"/>
      <c r="F59" s="2">
        <f>C59*$E$3</f>
        <v>537.52756204523882</v>
      </c>
      <c r="G59" s="4">
        <f t="shared" si="3"/>
        <v>19.872437954761153</v>
      </c>
    </row>
    <row r="60" spans="1:7" x14ac:dyDescent="0.2">
      <c r="A60" s="1">
        <f t="shared" si="4"/>
        <v>59</v>
      </c>
      <c r="B60" s="1">
        <v>562.9</v>
      </c>
      <c r="C60" s="1">
        <f t="shared" si="0"/>
        <v>537.06330000000003</v>
      </c>
      <c r="D60" s="1">
        <f t="shared" si="1"/>
        <v>1.0481073646253616</v>
      </c>
      <c r="E60" s="1"/>
      <c r="F60" s="2">
        <f>C60*$E$4</f>
        <v>537.87160040303422</v>
      </c>
      <c r="G60" s="4">
        <f t="shared" si="3"/>
        <v>25.028399596965755</v>
      </c>
    </row>
    <row r="61" spans="1:7" x14ac:dyDescent="0.2">
      <c r="A61" s="1">
        <f t="shared" si="4"/>
        <v>60</v>
      </c>
      <c r="B61" s="1">
        <v>516</v>
      </c>
      <c r="C61" s="1">
        <f t="shared" si="0"/>
        <v>537.93200000000002</v>
      </c>
      <c r="D61" s="1">
        <f t="shared" si="1"/>
        <v>0.95922904753760696</v>
      </c>
      <c r="E61" s="1"/>
      <c r="F61" s="2">
        <f>C61*$E$5</f>
        <v>539.09435966284548</v>
      </c>
      <c r="G61" s="4">
        <f t="shared" si="3"/>
        <v>-23.094359662845477</v>
      </c>
    </row>
    <row r="62" spans="1:7" x14ac:dyDescent="0.2">
      <c r="A62" s="1">
        <f t="shared" si="4"/>
        <v>61</v>
      </c>
      <c r="B62" s="1">
        <v>490.6</v>
      </c>
      <c r="C62" s="1">
        <f t="shared" si="0"/>
        <v>538.80070000000001</v>
      </c>
      <c r="D62" s="1">
        <f t="shared" si="1"/>
        <v>0.91054076210368695</v>
      </c>
      <c r="E62" s="1"/>
      <c r="F62" s="2">
        <f>C62*$E$2</f>
        <v>535.58682015955219</v>
      </c>
      <c r="G62" s="4">
        <f t="shared" si="3"/>
        <v>-44.986820159552167</v>
      </c>
    </row>
    <row r="63" spans="1:7" x14ac:dyDescent="0.2">
      <c r="A63" s="1">
        <f t="shared" si="4"/>
        <v>62</v>
      </c>
      <c r="B63" s="1">
        <v>503.9</v>
      </c>
      <c r="C63" s="1">
        <f t="shared" si="0"/>
        <v>539.6694</v>
      </c>
      <c r="D63" s="1">
        <f t="shared" si="1"/>
        <v>0.93371979215423362</v>
      </c>
      <c r="E63" s="1"/>
      <c r="F63" s="2">
        <f>C63*$E$3</f>
        <v>541.01100028313738</v>
      </c>
      <c r="G63" s="4">
        <f t="shared" si="3"/>
        <v>-37.1110002831374</v>
      </c>
    </row>
    <row r="64" spans="1:7" x14ac:dyDescent="0.2">
      <c r="A64" s="1">
        <f t="shared" si="4"/>
        <v>63</v>
      </c>
      <c r="B64" s="1">
        <v>547.6</v>
      </c>
      <c r="C64" s="1">
        <f t="shared" si="0"/>
        <v>540.53809999999999</v>
      </c>
      <c r="D64" s="1">
        <f t="shared" si="1"/>
        <v>1.0130645739865516</v>
      </c>
      <c r="E64" s="1"/>
      <c r="F64" s="2">
        <f>C64*$E$4</f>
        <v>541.35163010731753</v>
      </c>
      <c r="G64" s="4">
        <f t="shared" si="3"/>
        <v>6.24836989268249</v>
      </c>
    </row>
    <row r="65" spans="1:7" x14ac:dyDescent="0.2">
      <c r="A65" s="1">
        <f t="shared" si="4"/>
        <v>64</v>
      </c>
      <c r="B65" s="1">
        <v>585</v>
      </c>
      <c r="C65" s="1">
        <f t="shared" si="0"/>
        <v>541.40679999999998</v>
      </c>
      <c r="D65" s="1">
        <f t="shared" si="1"/>
        <v>1.0805183828500122</v>
      </c>
      <c r="E65" s="1"/>
      <c r="F65" s="2">
        <f>C65*$E$5</f>
        <v>542.57666798612127</v>
      </c>
      <c r="G65" s="4">
        <f t="shared" si="3"/>
        <v>42.423332013878735</v>
      </c>
    </row>
    <row r="66" spans="1:7" x14ac:dyDescent="0.2">
      <c r="A66" s="1">
        <f t="shared" si="4"/>
        <v>65</v>
      </c>
      <c r="B66" s="1">
        <v>573.5</v>
      </c>
      <c r="C66" s="1">
        <f t="shared" si="0"/>
        <v>542.27549999999997</v>
      </c>
      <c r="D66" s="1">
        <f t="shared" si="1"/>
        <v>1.057580510275681</v>
      </c>
      <c r="E66" s="1"/>
      <c r="F66" s="2">
        <f>C66*$E$2</f>
        <v>539.04089340535597</v>
      </c>
      <c r="G66" s="4">
        <f t="shared" si="3"/>
        <v>34.459106594644027</v>
      </c>
    </row>
    <row r="67" spans="1:7" x14ac:dyDescent="0.2">
      <c r="A67" s="1">
        <f t="shared" si="4"/>
        <v>66</v>
      </c>
      <c r="B67" s="1">
        <v>606</v>
      </c>
      <c r="C67" s="1">
        <f t="shared" ref="C67:C130" si="5">0.8687*A67+485.81</f>
        <v>543.14419999999996</v>
      </c>
      <c r="D67" s="1">
        <f t="shared" ref="D67:D130" si="6">B67/C67</f>
        <v>1.1157258054122645</v>
      </c>
      <c r="E67" s="1"/>
      <c r="F67" s="2">
        <f>C67*$E$3</f>
        <v>544.49443852103605</v>
      </c>
      <c r="G67" s="4">
        <f t="shared" ref="G67:G130" si="7">B67-F67</f>
        <v>61.505561478963955</v>
      </c>
    </row>
    <row r="68" spans="1:7" x14ac:dyDescent="0.2">
      <c r="A68" s="1">
        <f t="shared" ref="A68:A131" si="8">A67+1</f>
        <v>67</v>
      </c>
      <c r="B68" s="1">
        <v>575.20000000000005</v>
      </c>
      <c r="C68" s="1">
        <f t="shared" si="5"/>
        <v>544.01289999999995</v>
      </c>
      <c r="D68" s="1">
        <f t="shared" si="6"/>
        <v>1.0573278685119418</v>
      </c>
      <c r="E68" s="1"/>
      <c r="F68" s="2">
        <f>C68*$E$4</f>
        <v>544.83165981160084</v>
      </c>
      <c r="G68" s="4">
        <f t="shared" si="7"/>
        <v>30.368340188399202</v>
      </c>
    </row>
    <row r="69" spans="1:7" x14ac:dyDescent="0.2">
      <c r="A69" s="1">
        <f t="shared" si="8"/>
        <v>68</v>
      </c>
      <c r="B69" s="1">
        <v>539.70000000000005</v>
      </c>
      <c r="C69" s="1">
        <f t="shared" si="5"/>
        <v>544.88160000000005</v>
      </c>
      <c r="D69" s="1">
        <f t="shared" si="6"/>
        <v>0.99049041112784864</v>
      </c>
      <c r="E69" s="1"/>
      <c r="F69" s="2">
        <f>C69*$E$5</f>
        <v>546.05897630939728</v>
      </c>
      <c r="G69" s="4">
        <f t="shared" si="7"/>
        <v>-6.3589763093972351</v>
      </c>
    </row>
    <row r="70" spans="1:7" x14ac:dyDescent="0.2">
      <c r="A70" s="1">
        <f t="shared" si="8"/>
        <v>69</v>
      </c>
      <c r="B70" s="1">
        <v>539.20000000000005</v>
      </c>
      <c r="C70" s="1">
        <f t="shared" si="5"/>
        <v>545.75030000000004</v>
      </c>
      <c r="D70" s="1">
        <f t="shared" si="6"/>
        <v>0.98799762455467277</v>
      </c>
      <c r="E70" s="1"/>
      <c r="F70" s="2">
        <f>C70*$E$2</f>
        <v>542.49496665115998</v>
      </c>
      <c r="G70" s="4">
        <f t="shared" si="7"/>
        <v>-3.2949666511599389</v>
      </c>
    </row>
    <row r="71" spans="1:7" x14ac:dyDescent="0.2">
      <c r="A71" s="1">
        <f t="shared" si="8"/>
        <v>70</v>
      </c>
      <c r="B71" s="1">
        <v>557.79999999999995</v>
      </c>
      <c r="C71" s="1">
        <f t="shared" si="5"/>
        <v>546.61900000000003</v>
      </c>
      <c r="D71" s="1">
        <f t="shared" si="6"/>
        <v>1.0204548323420883</v>
      </c>
      <c r="E71" s="1"/>
      <c r="F71" s="2">
        <f>C71*$E$3</f>
        <v>547.97787675893483</v>
      </c>
      <c r="G71" s="4">
        <f t="shared" si="7"/>
        <v>9.8221232410651282</v>
      </c>
    </row>
    <row r="72" spans="1:7" x14ac:dyDescent="0.2">
      <c r="A72" s="1">
        <f t="shared" si="8"/>
        <v>71</v>
      </c>
      <c r="B72" s="1">
        <v>581.4</v>
      </c>
      <c r="C72" s="1">
        <f t="shared" si="5"/>
        <v>547.48770000000002</v>
      </c>
      <c r="D72" s="1">
        <f t="shared" si="6"/>
        <v>1.0619416655387874</v>
      </c>
      <c r="E72" s="1"/>
      <c r="F72" s="2">
        <f>C72*$E$4</f>
        <v>548.31168951588438</v>
      </c>
      <c r="G72" s="4">
        <f t="shared" si="7"/>
        <v>33.088310484115596</v>
      </c>
    </row>
    <row r="73" spans="1:7" x14ac:dyDescent="0.2">
      <c r="A73" s="1">
        <f t="shared" si="8"/>
        <v>72</v>
      </c>
      <c r="B73" s="1">
        <v>536.20000000000005</v>
      </c>
      <c r="C73" s="1">
        <f t="shared" si="5"/>
        <v>548.35640000000001</v>
      </c>
      <c r="D73" s="1">
        <f t="shared" si="6"/>
        <v>0.97783120612798546</v>
      </c>
      <c r="E73" s="1"/>
      <c r="F73" s="2">
        <f>C73*$E$5</f>
        <v>549.54128463267318</v>
      </c>
      <c r="G73" s="4">
        <f t="shared" si="7"/>
        <v>-13.341284632673137</v>
      </c>
    </row>
    <row r="74" spans="1:7" x14ac:dyDescent="0.2">
      <c r="A74" s="1">
        <f t="shared" si="8"/>
        <v>73</v>
      </c>
      <c r="B74" s="1">
        <v>499.3</v>
      </c>
      <c r="C74" s="1">
        <f t="shared" si="5"/>
        <v>549.2251</v>
      </c>
      <c r="D74" s="1">
        <f t="shared" si="6"/>
        <v>0.90909901969156182</v>
      </c>
      <c r="E74" s="1"/>
      <c r="F74" s="2">
        <f>C74*$E$2</f>
        <v>545.94903989696388</v>
      </c>
      <c r="G74" s="4">
        <f t="shared" si="7"/>
        <v>-46.64903989696387</v>
      </c>
    </row>
    <row r="75" spans="1:7" x14ac:dyDescent="0.2">
      <c r="A75" s="1">
        <f t="shared" si="8"/>
        <v>74</v>
      </c>
      <c r="B75" s="1">
        <v>461.7</v>
      </c>
      <c r="C75" s="1">
        <f t="shared" si="5"/>
        <v>550.09379999999999</v>
      </c>
      <c r="D75" s="1">
        <f t="shared" si="6"/>
        <v>0.83931140470952403</v>
      </c>
      <c r="E75" s="1"/>
      <c r="F75" s="2">
        <f>C75*$E$3</f>
        <v>551.46131499683349</v>
      </c>
      <c r="G75" s="4">
        <f t="shared" si="7"/>
        <v>-89.761314996833505</v>
      </c>
    </row>
    <row r="76" spans="1:7" x14ac:dyDescent="0.2">
      <c r="A76" s="1">
        <f t="shared" si="8"/>
        <v>75</v>
      </c>
      <c r="B76" s="1">
        <v>465.7</v>
      </c>
      <c r="C76" s="1">
        <f t="shared" si="5"/>
        <v>550.96249999999998</v>
      </c>
      <c r="D76" s="1">
        <f t="shared" si="6"/>
        <v>0.84524808857227129</v>
      </c>
      <c r="E76" s="1"/>
      <c r="F76" s="2">
        <f>C76*$E$4</f>
        <v>551.79171922016769</v>
      </c>
      <c r="G76" s="4">
        <f t="shared" si="7"/>
        <v>-86.091719220167704</v>
      </c>
    </row>
    <row r="77" spans="1:7" x14ac:dyDescent="0.2">
      <c r="A77" s="1">
        <f t="shared" si="8"/>
        <v>76</v>
      </c>
      <c r="B77" s="1">
        <v>524.4</v>
      </c>
      <c r="C77" s="1">
        <f t="shared" si="5"/>
        <v>551.83119999999997</v>
      </c>
      <c r="D77" s="1">
        <f t="shared" si="6"/>
        <v>0.95029059610982491</v>
      </c>
      <c r="E77" s="1"/>
      <c r="F77" s="2">
        <f>C77*$E$5</f>
        <v>553.02359295594897</v>
      </c>
      <c r="G77" s="4">
        <f t="shared" si="7"/>
        <v>-28.623592955948993</v>
      </c>
    </row>
    <row r="78" spans="1:7" x14ac:dyDescent="0.2">
      <c r="A78" s="1">
        <f t="shared" si="8"/>
        <v>77</v>
      </c>
      <c r="B78" s="1">
        <v>565.1</v>
      </c>
      <c r="C78" s="1">
        <f t="shared" si="5"/>
        <v>552.69989999999996</v>
      </c>
      <c r="D78" s="1">
        <f t="shared" si="6"/>
        <v>1.0224355025213503</v>
      </c>
      <c r="E78" s="1"/>
      <c r="F78" s="2">
        <f>C78*$E$2</f>
        <v>549.40311314276767</v>
      </c>
      <c r="G78" s="4">
        <f t="shared" si="7"/>
        <v>15.696886857232357</v>
      </c>
    </row>
    <row r="79" spans="1:7" x14ac:dyDescent="0.2">
      <c r="A79" s="1">
        <f t="shared" si="8"/>
        <v>78</v>
      </c>
      <c r="B79" s="1">
        <v>602.79999999999995</v>
      </c>
      <c r="C79" s="1">
        <f t="shared" si="5"/>
        <v>553.56860000000006</v>
      </c>
      <c r="D79" s="1">
        <f t="shared" si="6"/>
        <v>1.0889345963625825</v>
      </c>
      <c r="E79" s="1"/>
      <c r="F79" s="2">
        <f>C79*$E$3</f>
        <v>554.94475323473227</v>
      </c>
      <c r="G79" s="4">
        <f t="shared" si="7"/>
        <v>47.85524676526768</v>
      </c>
    </row>
    <row r="80" spans="1:7" x14ac:dyDescent="0.2">
      <c r="A80" s="1">
        <f t="shared" si="8"/>
        <v>79</v>
      </c>
      <c r="B80" s="1">
        <v>586</v>
      </c>
      <c r="C80" s="1">
        <f t="shared" si="5"/>
        <v>554.43730000000005</v>
      </c>
      <c r="D80" s="1">
        <f t="shared" si="6"/>
        <v>1.05692744698093</v>
      </c>
      <c r="E80" s="1"/>
      <c r="F80" s="2">
        <f>C80*$E$4</f>
        <v>555.27174892445112</v>
      </c>
      <c r="G80" s="4">
        <f t="shared" si="7"/>
        <v>30.728251075548883</v>
      </c>
    </row>
    <row r="81" spans="1:7" x14ac:dyDescent="0.2">
      <c r="A81" s="1">
        <f t="shared" si="8"/>
        <v>80</v>
      </c>
      <c r="B81" s="1">
        <v>590.6</v>
      </c>
      <c r="C81" s="1">
        <f t="shared" si="5"/>
        <v>555.30600000000004</v>
      </c>
      <c r="D81" s="1">
        <f t="shared" si="6"/>
        <v>1.0635577501413636</v>
      </c>
      <c r="E81" s="1"/>
      <c r="F81" s="2">
        <f>C81*$E$5</f>
        <v>556.50590127922499</v>
      </c>
      <c r="G81" s="4">
        <f t="shared" si="7"/>
        <v>34.094098720775037</v>
      </c>
    </row>
    <row r="82" spans="1:7" x14ac:dyDescent="0.2">
      <c r="A82" s="1">
        <f t="shared" si="8"/>
        <v>81</v>
      </c>
      <c r="B82" s="1">
        <v>582.6</v>
      </c>
      <c r="C82" s="1">
        <f t="shared" si="5"/>
        <v>556.17470000000003</v>
      </c>
      <c r="D82" s="1">
        <f t="shared" si="6"/>
        <v>1.0475125891199293</v>
      </c>
      <c r="E82" s="1"/>
      <c r="F82" s="2">
        <f>C82*$E$2</f>
        <v>552.85718638857168</v>
      </c>
      <c r="G82" s="4">
        <f t="shared" si="7"/>
        <v>29.742813611428346</v>
      </c>
    </row>
    <row r="83" spans="1:7" x14ac:dyDescent="0.2">
      <c r="A83" s="1">
        <f t="shared" si="8"/>
        <v>82</v>
      </c>
      <c r="B83" s="1">
        <v>557.70000000000005</v>
      </c>
      <c r="C83" s="1">
        <f t="shared" si="5"/>
        <v>557.04340000000002</v>
      </c>
      <c r="D83" s="1">
        <f t="shared" si="6"/>
        <v>1.0011787232377227</v>
      </c>
      <c r="E83" s="1"/>
      <c r="F83" s="2">
        <f>C83*$E$3</f>
        <v>558.42819147263094</v>
      </c>
      <c r="G83" s="4">
        <f t="shared" si="7"/>
        <v>-0.7281914726308969</v>
      </c>
    </row>
    <row r="84" spans="1:7" x14ac:dyDescent="0.2">
      <c r="A84" s="1">
        <f t="shared" si="8"/>
        <v>83</v>
      </c>
      <c r="B84" s="1">
        <v>541.1</v>
      </c>
      <c r="C84" s="1">
        <f t="shared" si="5"/>
        <v>557.91210000000001</v>
      </c>
      <c r="D84" s="1">
        <f t="shared" si="6"/>
        <v>0.96986604162196877</v>
      </c>
      <c r="E84" s="1"/>
      <c r="F84" s="2">
        <f>C84*$E$4</f>
        <v>558.75177862873454</v>
      </c>
      <c r="G84" s="4">
        <f t="shared" si="7"/>
        <v>-17.651778628734519</v>
      </c>
    </row>
    <row r="85" spans="1:7" x14ac:dyDescent="0.2">
      <c r="A85" s="1">
        <f t="shared" si="8"/>
        <v>84</v>
      </c>
      <c r="B85" s="1">
        <v>505.9</v>
      </c>
      <c r="C85" s="1">
        <f t="shared" si="5"/>
        <v>558.7808</v>
      </c>
      <c r="D85" s="1">
        <f t="shared" si="6"/>
        <v>0.90536396382982376</v>
      </c>
      <c r="E85" s="1"/>
      <c r="F85" s="2">
        <f>C85*$E$5</f>
        <v>559.98820960250089</v>
      </c>
      <c r="G85" s="4">
        <f t="shared" si="7"/>
        <v>-54.08820960250091</v>
      </c>
    </row>
    <row r="86" spans="1:7" x14ac:dyDescent="0.2">
      <c r="A86" s="1">
        <f t="shared" si="8"/>
        <v>85</v>
      </c>
      <c r="B86" s="1">
        <v>503.3</v>
      </c>
      <c r="C86" s="1">
        <f t="shared" si="5"/>
        <v>559.64949999999999</v>
      </c>
      <c r="D86" s="1">
        <f t="shared" si="6"/>
        <v>0.89931287350386269</v>
      </c>
      <c r="E86" s="1"/>
      <c r="F86" s="2">
        <f>C86*$E$2</f>
        <v>556.31125963437557</v>
      </c>
      <c r="G86" s="4">
        <f t="shared" si="7"/>
        <v>-53.011259634375563</v>
      </c>
    </row>
    <row r="87" spans="1:7" x14ac:dyDescent="0.2">
      <c r="A87" s="1">
        <f t="shared" si="8"/>
        <v>86</v>
      </c>
      <c r="B87" s="1">
        <v>505</v>
      </c>
      <c r="C87" s="1">
        <f t="shared" si="5"/>
        <v>560.51819999999998</v>
      </c>
      <c r="D87" s="1">
        <f t="shared" si="6"/>
        <v>0.90095201190612551</v>
      </c>
      <c r="E87" s="1"/>
      <c r="F87" s="2">
        <f>C87*$E$3</f>
        <v>561.91162971052961</v>
      </c>
      <c r="G87" s="4">
        <f t="shared" si="7"/>
        <v>-56.91162971052961</v>
      </c>
    </row>
    <row r="88" spans="1:7" x14ac:dyDescent="0.2">
      <c r="A88" s="1">
        <f t="shared" si="8"/>
        <v>87</v>
      </c>
      <c r="B88" s="1">
        <v>508.6</v>
      </c>
      <c r="C88" s="1">
        <f t="shared" si="5"/>
        <v>561.38689999999997</v>
      </c>
      <c r="D88" s="1">
        <f t="shared" si="6"/>
        <v>0.90597055257256631</v>
      </c>
      <c r="E88" s="1"/>
      <c r="F88" s="2">
        <f>C88*$E$4</f>
        <v>562.23180833301785</v>
      </c>
      <c r="G88" s="4">
        <f t="shared" si="7"/>
        <v>-53.63180833301783</v>
      </c>
    </row>
    <row r="89" spans="1:7" x14ac:dyDescent="0.2">
      <c r="A89" s="1">
        <f t="shared" si="8"/>
        <v>88</v>
      </c>
      <c r="B89" s="1">
        <v>540.9</v>
      </c>
      <c r="C89" s="1">
        <f t="shared" si="5"/>
        <v>562.25559999999996</v>
      </c>
      <c r="D89" s="1">
        <f t="shared" si="6"/>
        <v>0.96201798612588296</v>
      </c>
      <c r="E89" s="1"/>
      <c r="F89" s="2">
        <f>C89*$E$5</f>
        <v>563.47051792577668</v>
      </c>
      <c r="G89" s="4">
        <f t="shared" si="7"/>
        <v>-22.570517925776699</v>
      </c>
    </row>
    <row r="90" spans="1:7" x14ac:dyDescent="0.2">
      <c r="A90" s="1">
        <f t="shared" si="8"/>
        <v>89</v>
      </c>
      <c r="B90" s="1">
        <v>557.1</v>
      </c>
      <c r="C90" s="1">
        <f t="shared" si="5"/>
        <v>563.12429999999995</v>
      </c>
      <c r="D90" s="1">
        <f t="shared" si="6"/>
        <v>0.98930200667952006</v>
      </c>
      <c r="E90" s="1"/>
      <c r="F90" s="2">
        <f>C90*$E$2</f>
        <v>559.76533288017936</v>
      </c>
      <c r="G90" s="4">
        <f t="shared" si="7"/>
        <v>-2.665332880179335</v>
      </c>
    </row>
    <row r="91" spans="1:7" x14ac:dyDescent="0.2">
      <c r="A91" s="1">
        <f t="shared" si="8"/>
        <v>90</v>
      </c>
      <c r="B91" s="1">
        <v>607.9</v>
      </c>
      <c r="C91" s="1">
        <f t="shared" si="5"/>
        <v>563.99300000000005</v>
      </c>
      <c r="D91" s="1">
        <f t="shared" si="6"/>
        <v>1.0778502570067359</v>
      </c>
      <c r="E91" s="1"/>
      <c r="F91" s="2">
        <f>C91*$E$3</f>
        <v>565.39506794842839</v>
      </c>
      <c r="G91" s="4">
        <f t="shared" si="7"/>
        <v>42.504932051571586</v>
      </c>
    </row>
    <row r="92" spans="1:7" x14ac:dyDescent="0.2">
      <c r="A92" s="1">
        <f t="shared" si="8"/>
        <v>91</v>
      </c>
      <c r="B92" s="1">
        <v>594.79999999999995</v>
      </c>
      <c r="C92" s="1">
        <f t="shared" si="5"/>
        <v>564.86170000000004</v>
      </c>
      <c r="D92" s="1">
        <f t="shared" si="6"/>
        <v>1.0530011151402192</v>
      </c>
      <c r="E92" s="1"/>
      <c r="F92" s="2">
        <f>C92*$E$4</f>
        <v>565.71183803730128</v>
      </c>
      <c r="G92" s="4">
        <f t="shared" si="7"/>
        <v>29.088161962698678</v>
      </c>
    </row>
    <row r="93" spans="1:7" x14ac:dyDescent="0.2">
      <c r="A93" s="1">
        <f t="shared" si="8"/>
        <v>92</v>
      </c>
      <c r="B93" s="1">
        <v>585.6</v>
      </c>
      <c r="C93" s="1">
        <f t="shared" si="5"/>
        <v>565.73040000000003</v>
      </c>
      <c r="D93" s="1">
        <f t="shared" si="6"/>
        <v>1.0351220298573314</v>
      </c>
      <c r="E93" s="1"/>
      <c r="F93" s="2">
        <f>C93*$E$5</f>
        <v>566.95282624905269</v>
      </c>
      <c r="G93" s="4">
        <f t="shared" si="7"/>
        <v>18.647173750947331</v>
      </c>
    </row>
    <row r="94" spans="1:7" x14ac:dyDescent="0.2">
      <c r="A94" s="1">
        <f t="shared" si="8"/>
        <v>93</v>
      </c>
      <c r="B94" s="1">
        <v>573.20000000000005</v>
      </c>
      <c r="C94" s="1">
        <f t="shared" si="5"/>
        <v>566.59910000000002</v>
      </c>
      <c r="D94" s="1">
        <f t="shared" si="6"/>
        <v>1.0116500361543108</v>
      </c>
      <c r="E94" s="1"/>
      <c r="F94" s="2">
        <f>C94*$E$2</f>
        <v>563.21940612598337</v>
      </c>
      <c r="G94" s="4">
        <f t="shared" si="7"/>
        <v>9.9805938740166766</v>
      </c>
    </row>
    <row r="95" spans="1:7" x14ac:dyDescent="0.2">
      <c r="A95" s="1">
        <f t="shared" si="8"/>
        <v>94</v>
      </c>
      <c r="B95" s="1">
        <v>560.20000000000005</v>
      </c>
      <c r="C95" s="1">
        <f t="shared" si="5"/>
        <v>567.46780000000001</v>
      </c>
      <c r="D95" s="1">
        <f t="shared" si="6"/>
        <v>0.98719257727046372</v>
      </c>
      <c r="E95" s="1"/>
      <c r="F95" s="2">
        <f>C95*$E$3</f>
        <v>568.87850618632694</v>
      </c>
      <c r="G95" s="4">
        <f t="shared" si="7"/>
        <v>-8.6785061863268993</v>
      </c>
    </row>
    <row r="96" spans="1:7" x14ac:dyDescent="0.2">
      <c r="A96" s="1">
        <f t="shared" si="8"/>
        <v>95</v>
      </c>
      <c r="B96" s="1">
        <v>568.1</v>
      </c>
      <c r="C96" s="1">
        <f t="shared" si="5"/>
        <v>568.3365</v>
      </c>
      <c r="D96" s="1">
        <f t="shared" si="6"/>
        <v>0.99958387328633658</v>
      </c>
      <c r="E96" s="1"/>
      <c r="F96" s="2">
        <f>C96*$E$4</f>
        <v>569.1918677415847</v>
      </c>
      <c r="G96" s="4">
        <f t="shared" si="7"/>
        <v>-1.0918677415846787</v>
      </c>
    </row>
    <row r="97" spans="1:7" x14ac:dyDescent="0.2">
      <c r="A97" s="1">
        <f t="shared" si="8"/>
        <v>96</v>
      </c>
      <c r="B97" s="1">
        <v>524.79999999999995</v>
      </c>
      <c r="C97" s="1">
        <f t="shared" si="5"/>
        <v>569.20519999999999</v>
      </c>
      <c r="D97" s="1">
        <f t="shared" si="6"/>
        <v>0.92198736062144193</v>
      </c>
      <c r="E97" s="1"/>
      <c r="F97" s="2">
        <f>C97*$E$5</f>
        <v>570.43513457232859</v>
      </c>
      <c r="G97" s="4">
        <f t="shared" si="7"/>
        <v>-45.635134572328639</v>
      </c>
    </row>
    <row r="98" spans="1:7" x14ac:dyDescent="0.2">
      <c r="A98" s="1">
        <f t="shared" si="8"/>
        <v>97</v>
      </c>
      <c r="B98" s="1">
        <v>513.1</v>
      </c>
      <c r="C98" s="1">
        <f t="shared" si="5"/>
        <v>570.07389999999998</v>
      </c>
      <c r="D98" s="1">
        <f t="shared" si="6"/>
        <v>0.90005874676949782</v>
      </c>
      <c r="E98" s="1"/>
      <c r="F98" s="2">
        <f>C98*$E$2</f>
        <v>566.67347937178727</v>
      </c>
      <c r="G98" s="4">
        <f t="shared" si="7"/>
        <v>-53.573479371787244</v>
      </c>
    </row>
    <row r="99" spans="1:7" x14ac:dyDescent="0.2">
      <c r="A99" s="1">
        <f t="shared" si="8"/>
        <v>98</v>
      </c>
      <c r="B99" s="1">
        <v>498</v>
      </c>
      <c r="C99" s="1">
        <f t="shared" si="5"/>
        <v>570.94259999999997</v>
      </c>
      <c r="D99" s="1">
        <f t="shared" si="6"/>
        <v>0.87224179803714075</v>
      </c>
      <c r="E99" s="1"/>
      <c r="F99" s="2">
        <f>C99*$E$3</f>
        <v>572.36194442422561</v>
      </c>
      <c r="G99" s="4">
        <f t="shared" si="7"/>
        <v>-74.361944424225612</v>
      </c>
    </row>
    <row r="100" spans="1:7" x14ac:dyDescent="0.2">
      <c r="A100" s="1">
        <f t="shared" si="8"/>
        <v>99</v>
      </c>
      <c r="B100" s="1">
        <v>498.3</v>
      </c>
      <c r="C100" s="1">
        <f t="shared" si="5"/>
        <v>571.81129999999996</v>
      </c>
      <c r="D100" s="1">
        <f t="shared" si="6"/>
        <v>0.8714413303829428</v>
      </c>
      <c r="E100" s="1"/>
      <c r="F100" s="2">
        <f>C100*$E$4</f>
        <v>572.67189744586801</v>
      </c>
      <c r="G100" s="4">
        <f t="shared" si="7"/>
        <v>-74.371897445868001</v>
      </c>
    </row>
    <row r="101" spans="1:7" x14ac:dyDescent="0.2">
      <c r="A101" s="1">
        <f t="shared" si="8"/>
        <v>100</v>
      </c>
      <c r="B101" s="1">
        <v>568.29999999999995</v>
      </c>
      <c r="C101" s="1">
        <f t="shared" si="5"/>
        <v>572.68000000000006</v>
      </c>
      <c r="D101" s="1">
        <f t="shared" si="6"/>
        <v>0.99235174966822637</v>
      </c>
      <c r="E101" s="1"/>
      <c r="F101" s="2">
        <f>C101*$E$5</f>
        <v>573.91744289560449</v>
      </c>
      <c r="G101" s="4">
        <f t="shared" si="7"/>
        <v>-5.6174428956045404</v>
      </c>
    </row>
    <row r="102" spans="1:7" x14ac:dyDescent="0.2">
      <c r="A102" s="1">
        <f t="shared" si="8"/>
        <v>101</v>
      </c>
      <c r="B102" s="1">
        <v>601.79999999999995</v>
      </c>
      <c r="C102" s="1">
        <f t="shared" si="5"/>
        <v>573.54870000000005</v>
      </c>
      <c r="D102" s="1">
        <f t="shared" si="6"/>
        <v>1.0492570203715916</v>
      </c>
      <c r="E102" s="1"/>
      <c r="F102" s="2">
        <f>C102*$E$2</f>
        <v>570.12755261759116</v>
      </c>
      <c r="G102" s="4">
        <f t="shared" si="7"/>
        <v>31.672447382408791</v>
      </c>
    </row>
    <row r="103" spans="1:7" x14ac:dyDescent="0.2">
      <c r="A103" s="1">
        <f t="shared" si="8"/>
        <v>102</v>
      </c>
      <c r="B103" s="1">
        <v>629.6</v>
      </c>
      <c r="C103" s="1">
        <f t="shared" si="5"/>
        <v>574.41740000000004</v>
      </c>
      <c r="D103" s="1">
        <f t="shared" si="6"/>
        <v>1.0960670759625317</v>
      </c>
      <c r="E103" s="1"/>
      <c r="F103" s="2">
        <f>C103*$E$3</f>
        <v>575.84538266212439</v>
      </c>
      <c r="G103" s="4">
        <f t="shared" si="7"/>
        <v>53.754617337875629</v>
      </c>
    </row>
    <row r="104" spans="1:7" x14ac:dyDescent="0.2">
      <c r="A104" s="1">
        <f t="shared" si="8"/>
        <v>103</v>
      </c>
      <c r="B104" s="1">
        <v>612</v>
      </c>
      <c r="C104" s="1">
        <f t="shared" si="5"/>
        <v>575.28610000000003</v>
      </c>
      <c r="D104" s="1">
        <f t="shared" si="6"/>
        <v>1.0638185070002559</v>
      </c>
      <c r="E104" s="1"/>
      <c r="F104" s="2">
        <f>C104*$E$4</f>
        <v>576.15192715015155</v>
      </c>
      <c r="G104" s="4">
        <f t="shared" si="7"/>
        <v>35.84807284984845</v>
      </c>
    </row>
    <row r="105" spans="1:7" x14ac:dyDescent="0.2">
      <c r="A105" s="1">
        <f t="shared" si="8"/>
        <v>104</v>
      </c>
      <c r="B105" s="1">
        <v>617.5</v>
      </c>
      <c r="C105" s="1">
        <f t="shared" si="5"/>
        <v>576.15480000000002</v>
      </c>
      <c r="D105" s="1">
        <f t="shared" si="6"/>
        <v>1.0717605754564572</v>
      </c>
      <c r="E105" s="1"/>
      <c r="F105" s="2">
        <f>C105*$E$5</f>
        <v>577.3997512188804</v>
      </c>
      <c r="G105" s="4">
        <f t="shared" si="7"/>
        <v>40.100248781119603</v>
      </c>
    </row>
    <row r="106" spans="1:7" x14ac:dyDescent="0.2">
      <c r="A106" s="1">
        <f t="shared" si="8"/>
        <v>105</v>
      </c>
      <c r="B106" s="1">
        <v>560.6</v>
      </c>
      <c r="C106" s="1">
        <f t="shared" si="5"/>
        <v>577.02350000000001</v>
      </c>
      <c r="D106" s="1">
        <f t="shared" si="6"/>
        <v>0.97153755436303724</v>
      </c>
      <c r="E106" s="1"/>
      <c r="F106" s="2">
        <f>C106*$E$2</f>
        <v>573.58162586339506</v>
      </c>
      <c r="G106" s="4">
        <f t="shared" si="7"/>
        <v>-12.981625863395038</v>
      </c>
    </row>
    <row r="107" spans="1:7" x14ac:dyDescent="0.2">
      <c r="A107" s="1">
        <f t="shared" si="8"/>
        <v>106</v>
      </c>
      <c r="B107" s="1">
        <v>555</v>
      </c>
      <c r="C107" s="1">
        <f t="shared" si="5"/>
        <v>577.8922</v>
      </c>
      <c r="D107" s="1">
        <f t="shared" si="6"/>
        <v>0.96038672956651772</v>
      </c>
      <c r="E107" s="1"/>
      <c r="F107" s="2">
        <f>C107*$E$3</f>
        <v>579.32882090002306</v>
      </c>
      <c r="G107" s="4">
        <f t="shared" si="7"/>
        <v>-24.328820900023061</v>
      </c>
    </row>
    <row r="108" spans="1:7" x14ac:dyDescent="0.2">
      <c r="A108" s="1">
        <f t="shared" si="8"/>
        <v>107</v>
      </c>
      <c r="B108" s="1">
        <v>570.70000000000005</v>
      </c>
      <c r="C108" s="1">
        <f t="shared" si="5"/>
        <v>578.76089999999999</v>
      </c>
      <c r="D108" s="1">
        <f t="shared" si="6"/>
        <v>0.98607214136269405</v>
      </c>
      <c r="E108" s="1"/>
      <c r="F108" s="2">
        <f>C108*$E$4</f>
        <v>579.63195685443486</v>
      </c>
      <c r="G108" s="4">
        <f t="shared" si="7"/>
        <v>-8.9319568544348158</v>
      </c>
    </row>
    <row r="109" spans="1:7" x14ac:dyDescent="0.2">
      <c r="A109" s="1">
        <f t="shared" si="8"/>
        <v>108</v>
      </c>
      <c r="B109" s="1">
        <v>530.1</v>
      </c>
      <c r="C109" s="1">
        <f t="shared" si="5"/>
        <v>579.62959999999998</v>
      </c>
      <c r="D109" s="1">
        <f t="shared" si="6"/>
        <v>0.91454956751691086</v>
      </c>
      <c r="E109" s="1"/>
      <c r="F109" s="2">
        <f>C109*$E$5</f>
        <v>580.8820595421563</v>
      </c>
      <c r="G109" s="4">
        <f t="shared" si="7"/>
        <v>-50.782059542156276</v>
      </c>
    </row>
    <row r="110" spans="1:7" x14ac:dyDescent="0.2">
      <c r="A110" s="1">
        <f t="shared" si="8"/>
        <v>109</v>
      </c>
      <c r="B110" s="1">
        <v>509.7</v>
      </c>
      <c r="C110" s="1">
        <f t="shared" si="5"/>
        <v>580.49829999999997</v>
      </c>
      <c r="D110" s="1">
        <f t="shared" si="6"/>
        <v>0.87803874705576224</v>
      </c>
      <c r="E110" s="1"/>
      <c r="F110" s="2">
        <f>C110*$E$2</f>
        <v>577.03569910919884</v>
      </c>
      <c r="G110" s="4">
        <f t="shared" si="7"/>
        <v>-67.335699109198856</v>
      </c>
    </row>
    <row r="111" spans="1:7" x14ac:dyDescent="0.2">
      <c r="A111" s="1">
        <f t="shared" si="8"/>
        <v>110</v>
      </c>
      <c r="B111" s="1">
        <v>489.3</v>
      </c>
      <c r="C111" s="1">
        <f t="shared" si="5"/>
        <v>581.36699999999996</v>
      </c>
      <c r="D111" s="1">
        <f t="shared" si="6"/>
        <v>0.84163703822198377</v>
      </c>
      <c r="E111" s="1"/>
      <c r="F111" s="2">
        <f>C111*$E$3</f>
        <v>582.81225913792173</v>
      </c>
      <c r="G111" s="4">
        <f t="shared" si="7"/>
        <v>-93.512259137921717</v>
      </c>
    </row>
    <row r="112" spans="1:7" x14ac:dyDescent="0.2">
      <c r="A112" s="1">
        <f t="shared" si="8"/>
        <v>111</v>
      </c>
      <c r="B112" s="1">
        <v>488.7</v>
      </c>
      <c r="C112" s="1">
        <f t="shared" si="5"/>
        <v>582.23569999999995</v>
      </c>
      <c r="D112" s="1">
        <f t="shared" si="6"/>
        <v>0.83935079899772558</v>
      </c>
      <c r="E112" s="1"/>
      <c r="F112" s="2">
        <f>C112*$E$4</f>
        <v>583.11198655871817</v>
      </c>
      <c r="G112" s="4">
        <f t="shared" si="7"/>
        <v>-94.411986558718183</v>
      </c>
    </row>
    <row r="113" spans="1:7" x14ac:dyDescent="0.2">
      <c r="A113" s="1">
        <f t="shared" si="8"/>
        <v>112</v>
      </c>
      <c r="B113" s="1">
        <v>568.1</v>
      </c>
      <c r="C113" s="1">
        <f t="shared" si="5"/>
        <v>583.10439999999994</v>
      </c>
      <c r="D113" s="1">
        <f t="shared" si="6"/>
        <v>0.97426807274992278</v>
      </c>
      <c r="E113" s="1"/>
      <c r="F113" s="2">
        <f>C113*$E$5</f>
        <v>584.36436786543209</v>
      </c>
      <c r="G113" s="4">
        <f t="shared" si="7"/>
        <v>-16.264367865432064</v>
      </c>
    </row>
    <row r="114" spans="1:7" x14ac:dyDescent="0.2">
      <c r="A114" s="1">
        <f t="shared" si="8"/>
        <v>113</v>
      </c>
      <c r="B114" s="1">
        <v>609.5</v>
      </c>
      <c r="C114" s="1">
        <f t="shared" si="5"/>
        <v>583.97310000000004</v>
      </c>
      <c r="D114" s="1">
        <f t="shared" si="6"/>
        <v>1.0437124586731819</v>
      </c>
      <c r="E114" s="1"/>
      <c r="F114" s="2">
        <f>C114*$E$2</f>
        <v>580.48977235500286</v>
      </c>
      <c r="G114" s="4">
        <f t="shared" si="7"/>
        <v>29.010227644997144</v>
      </c>
    </row>
    <row r="115" spans="1:7" x14ac:dyDescent="0.2">
      <c r="A115" s="1">
        <f t="shared" si="8"/>
        <v>114</v>
      </c>
      <c r="B115" s="1">
        <v>639</v>
      </c>
      <c r="C115" s="1">
        <f t="shared" si="5"/>
        <v>584.84180000000003</v>
      </c>
      <c r="D115" s="1">
        <f t="shared" si="6"/>
        <v>1.0926031620858836</v>
      </c>
      <c r="E115" s="1"/>
      <c r="F115" s="2">
        <f>C115*$E$3</f>
        <v>586.29569737582051</v>
      </c>
      <c r="G115" s="4">
        <f t="shared" si="7"/>
        <v>52.704302624179491</v>
      </c>
    </row>
    <row r="116" spans="1:7" x14ac:dyDescent="0.2">
      <c r="A116" s="1">
        <f t="shared" si="8"/>
        <v>115</v>
      </c>
      <c r="B116" s="1">
        <v>628.1</v>
      </c>
      <c r="C116" s="1">
        <f t="shared" si="5"/>
        <v>585.71050000000002</v>
      </c>
      <c r="D116" s="1">
        <f t="shared" si="6"/>
        <v>1.0723727848484874</v>
      </c>
      <c r="E116" s="1"/>
      <c r="F116" s="2">
        <f>C116*$E$4</f>
        <v>586.59201626300171</v>
      </c>
      <c r="G116" s="4">
        <f t="shared" si="7"/>
        <v>41.507983736998312</v>
      </c>
    </row>
    <row r="117" spans="1:7" x14ac:dyDescent="0.2">
      <c r="A117" s="1">
        <f t="shared" si="8"/>
        <v>116</v>
      </c>
      <c r="B117" s="1">
        <v>635.5</v>
      </c>
      <c r="C117" s="1">
        <f t="shared" si="5"/>
        <v>586.57920000000001</v>
      </c>
      <c r="D117" s="1">
        <f t="shared" si="6"/>
        <v>1.0834001614786204</v>
      </c>
      <c r="E117" s="1"/>
      <c r="F117" s="2">
        <f>C117*$E$5</f>
        <v>587.8466761887081</v>
      </c>
      <c r="G117" s="4">
        <f t="shared" si="7"/>
        <v>47.653323811291898</v>
      </c>
    </row>
    <row r="118" spans="1:7" x14ac:dyDescent="0.2">
      <c r="A118" s="1">
        <f t="shared" si="8"/>
        <v>117</v>
      </c>
      <c r="B118" s="1">
        <v>592.4</v>
      </c>
      <c r="C118" s="1">
        <f t="shared" si="5"/>
        <v>587.4479</v>
      </c>
      <c r="D118" s="1">
        <f t="shared" si="6"/>
        <v>1.0084298539496013</v>
      </c>
      <c r="E118" s="1"/>
      <c r="F118" s="2">
        <f>C118*$E$2</f>
        <v>583.94384560080675</v>
      </c>
      <c r="G118" s="4">
        <f t="shared" si="7"/>
        <v>8.456154399193224</v>
      </c>
    </row>
    <row r="119" spans="1:7" x14ac:dyDescent="0.2">
      <c r="A119" s="1">
        <f t="shared" si="8"/>
        <v>118</v>
      </c>
      <c r="B119" s="1">
        <v>580.9</v>
      </c>
      <c r="C119" s="1">
        <f t="shared" si="5"/>
        <v>588.31659999999999</v>
      </c>
      <c r="D119" s="1">
        <f t="shared" si="6"/>
        <v>0.98739352246732459</v>
      </c>
      <c r="E119" s="1"/>
      <c r="F119" s="2">
        <f>C119*$E$3</f>
        <v>589.77913561371918</v>
      </c>
      <c r="G119" s="4">
        <f t="shared" si="7"/>
        <v>-8.8791356137191997</v>
      </c>
    </row>
    <row r="120" spans="1:7" x14ac:dyDescent="0.2">
      <c r="A120" s="1">
        <f t="shared" si="8"/>
        <v>119</v>
      </c>
      <c r="B120" s="1">
        <v>611.5</v>
      </c>
      <c r="C120" s="1">
        <f t="shared" si="5"/>
        <v>589.18529999999998</v>
      </c>
      <c r="D120" s="1">
        <f t="shared" si="6"/>
        <v>1.0378738233964764</v>
      </c>
      <c r="E120" s="1"/>
      <c r="F120" s="2">
        <f>C120*$E$4</f>
        <v>590.07204596728502</v>
      </c>
      <c r="G120" s="4">
        <f t="shared" si="7"/>
        <v>21.427954032714979</v>
      </c>
    </row>
    <row r="121" spans="1:7" x14ac:dyDescent="0.2">
      <c r="A121" s="1">
        <f t="shared" si="8"/>
        <v>120</v>
      </c>
      <c r="B121" s="1">
        <v>571.79999999999995</v>
      </c>
      <c r="C121" s="1">
        <f t="shared" si="5"/>
        <v>590.05399999999997</v>
      </c>
      <c r="D121" s="1">
        <f t="shared" si="6"/>
        <v>0.96906384839353688</v>
      </c>
      <c r="E121" s="1"/>
      <c r="F121" s="2">
        <f>C121*$E$5</f>
        <v>591.328984511984</v>
      </c>
      <c r="G121" s="4">
        <f t="shared" si="7"/>
        <v>-19.528984511984049</v>
      </c>
    </row>
    <row r="122" spans="1:7" x14ac:dyDescent="0.2">
      <c r="A122" s="1">
        <f t="shared" si="8"/>
        <v>121</v>
      </c>
      <c r="B122" s="1">
        <v>525.20000000000005</v>
      </c>
      <c r="C122" s="1">
        <f t="shared" si="5"/>
        <v>590.92269999999996</v>
      </c>
      <c r="D122" s="1">
        <f t="shared" si="6"/>
        <v>0.88877953072373095</v>
      </c>
      <c r="E122" s="1"/>
      <c r="F122" s="2">
        <f>C122*$E$2</f>
        <v>587.39791884661054</v>
      </c>
      <c r="G122" s="4">
        <f t="shared" si="7"/>
        <v>-62.197918846610492</v>
      </c>
    </row>
    <row r="123" spans="1:7" x14ac:dyDescent="0.2">
      <c r="A123" s="1">
        <f t="shared" si="8"/>
        <v>122</v>
      </c>
      <c r="B123" s="1">
        <v>493.6</v>
      </c>
      <c r="C123" s="1">
        <f t="shared" si="5"/>
        <v>591.79140000000007</v>
      </c>
      <c r="D123" s="1">
        <f t="shared" si="6"/>
        <v>0.8340776834540008</v>
      </c>
      <c r="E123" s="1"/>
      <c r="F123" s="2">
        <f>C123*$E$3</f>
        <v>593.26257385161796</v>
      </c>
      <c r="G123" s="4">
        <f t="shared" si="7"/>
        <v>-99.662573851617935</v>
      </c>
    </row>
    <row r="124" spans="1:7" x14ac:dyDescent="0.2">
      <c r="A124" s="1">
        <f t="shared" si="8"/>
        <v>123</v>
      </c>
      <c r="B124" s="1">
        <v>513.9</v>
      </c>
      <c r="C124" s="1">
        <f t="shared" si="5"/>
        <v>592.66010000000006</v>
      </c>
      <c r="D124" s="1">
        <f t="shared" si="6"/>
        <v>0.86710747020087897</v>
      </c>
      <c r="E124" s="1"/>
      <c r="F124" s="2">
        <f>C124*$E$4</f>
        <v>593.55207567156845</v>
      </c>
      <c r="G124" s="4">
        <f t="shared" si="7"/>
        <v>-79.652075671568468</v>
      </c>
    </row>
    <row r="125" spans="1:7" x14ac:dyDescent="0.2">
      <c r="A125" s="1">
        <f t="shared" si="8"/>
        <v>124</v>
      </c>
      <c r="B125" s="1">
        <v>594.20000000000005</v>
      </c>
      <c r="C125" s="1">
        <f t="shared" si="5"/>
        <v>593.52880000000005</v>
      </c>
      <c r="D125" s="1">
        <f t="shared" si="6"/>
        <v>1.001130863405449</v>
      </c>
      <c r="E125" s="1"/>
      <c r="F125" s="2">
        <f>C125*$E$5</f>
        <v>594.81129283526002</v>
      </c>
      <c r="G125" s="4">
        <f t="shared" si="7"/>
        <v>-0.6112928352599738</v>
      </c>
    </row>
    <row r="126" spans="1:7" x14ac:dyDescent="0.2">
      <c r="A126" s="1">
        <f t="shared" si="8"/>
        <v>125</v>
      </c>
      <c r="B126" s="1">
        <v>610.70000000000005</v>
      </c>
      <c r="C126" s="1">
        <f t="shared" si="5"/>
        <v>594.39750000000004</v>
      </c>
      <c r="D126" s="1">
        <f t="shared" si="6"/>
        <v>1.0274269323138137</v>
      </c>
      <c r="E126" s="1"/>
      <c r="F126" s="2">
        <f>C126*$E$2</f>
        <v>590.85199209241455</v>
      </c>
      <c r="G126" s="4">
        <f t="shared" si="7"/>
        <v>19.848007907585497</v>
      </c>
    </row>
    <row r="127" spans="1:7" x14ac:dyDescent="0.2">
      <c r="A127" s="1">
        <f t="shared" si="8"/>
        <v>126</v>
      </c>
      <c r="B127" s="1">
        <v>632.29999999999995</v>
      </c>
      <c r="C127" s="1">
        <f t="shared" si="5"/>
        <v>595.26620000000003</v>
      </c>
      <c r="D127" s="1">
        <f t="shared" si="6"/>
        <v>1.0622138465110229</v>
      </c>
      <c r="E127" s="1"/>
      <c r="F127" s="2">
        <f>C127*$E$3</f>
        <v>596.74601208951663</v>
      </c>
      <c r="G127" s="4">
        <f t="shared" si="7"/>
        <v>35.553987910483329</v>
      </c>
    </row>
    <row r="128" spans="1:7" x14ac:dyDescent="0.2">
      <c r="A128" s="1">
        <f t="shared" si="8"/>
        <v>127</v>
      </c>
      <c r="B128" s="1">
        <v>647</v>
      </c>
      <c r="C128" s="1">
        <f t="shared" si="5"/>
        <v>596.13490000000002</v>
      </c>
      <c r="D128" s="1">
        <f t="shared" si="6"/>
        <v>1.0853248149034722</v>
      </c>
      <c r="E128" s="1"/>
      <c r="F128" s="2">
        <f>C128*$E$4</f>
        <v>597.03210537585187</v>
      </c>
      <c r="G128" s="4">
        <f t="shared" si="7"/>
        <v>49.96789462414813</v>
      </c>
    </row>
    <row r="129" spans="1:7" x14ac:dyDescent="0.2">
      <c r="A129" s="1">
        <f t="shared" si="8"/>
        <v>128</v>
      </c>
      <c r="B129" s="1">
        <v>656.7</v>
      </c>
      <c r="C129" s="1">
        <f t="shared" si="5"/>
        <v>597.00360000000001</v>
      </c>
      <c r="D129" s="1">
        <f t="shared" si="6"/>
        <v>1.0999933668741697</v>
      </c>
      <c r="E129" s="1"/>
      <c r="F129" s="2">
        <f>C129*$E$5</f>
        <v>598.29360115853581</v>
      </c>
      <c r="G129" s="4">
        <f t="shared" si="7"/>
        <v>58.406398841464238</v>
      </c>
    </row>
    <row r="130" spans="1:7" x14ac:dyDescent="0.2">
      <c r="A130" s="1">
        <f t="shared" si="8"/>
        <v>129</v>
      </c>
      <c r="B130" s="1">
        <v>635.70000000000005</v>
      </c>
      <c r="C130" s="1">
        <f t="shared" si="5"/>
        <v>597.8723</v>
      </c>
      <c r="D130" s="1">
        <f t="shared" si="6"/>
        <v>1.0632705345271893</v>
      </c>
      <c r="E130" s="1"/>
      <c r="F130" s="2">
        <f>C130*$E$2</f>
        <v>594.30606533821845</v>
      </c>
      <c r="G130" s="4">
        <f t="shared" si="7"/>
        <v>41.3939346617816</v>
      </c>
    </row>
    <row r="131" spans="1:7" x14ac:dyDescent="0.2">
      <c r="A131" s="1">
        <f t="shared" si="8"/>
        <v>130</v>
      </c>
      <c r="B131" s="1">
        <v>643.6</v>
      </c>
      <c r="C131" s="1">
        <f t="shared" ref="C131:C157" si="9">0.8687*A131+485.81</f>
        <v>598.74099999999999</v>
      </c>
      <c r="D131" s="1">
        <f t="shared" ref="D131:D157" si="10">B131/C131</f>
        <v>1.0749222117743733</v>
      </c>
      <c r="E131" s="1"/>
      <c r="F131" s="2">
        <f>C131*$E$3</f>
        <v>600.22945032741518</v>
      </c>
      <c r="G131" s="4">
        <f t="shared" ref="G131:G157" si="11">B131-F131</f>
        <v>43.370549672584843</v>
      </c>
    </row>
    <row r="132" spans="1:7" x14ac:dyDescent="0.2">
      <c r="A132" s="1">
        <f t="shared" ref="A132:A157" si="12">A131+1</f>
        <v>131</v>
      </c>
      <c r="B132" s="1">
        <v>645.70000000000005</v>
      </c>
      <c r="C132" s="1">
        <f t="shared" si="9"/>
        <v>599.60969999999998</v>
      </c>
      <c r="D132" s="1">
        <f t="shared" si="10"/>
        <v>1.0768671687599451</v>
      </c>
      <c r="E132" s="1"/>
      <c r="F132" s="2">
        <f>C132*$E$4</f>
        <v>600.51213508013518</v>
      </c>
      <c r="G132" s="4">
        <f t="shared" si="11"/>
        <v>45.187864919864865</v>
      </c>
    </row>
    <row r="133" spans="1:7" x14ac:dyDescent="0.2">
      <c r="A133" s="1">
        <f t="shared" si="12"/>
        <v>132</v>
      </c>
      <c r="B133" s="1">
        <v>622.4</v>
      </c>
      <c r="C133" s="1">
        <f t="shared" si="9"/>
        <v>600.47839999999997</v>
      </c>
      <c r="D133" s="1">
        <f t="shared" si="10"/>
        <v>1.036506891838241</v>
      </c>
      <c r="E133" s="1"/>
      <c r="F133" s="2">
        <f>C133*$E$5</f>
        <v>601.77590948181171</v>
      </c>
      <c r="G133" s="4">
        <f t="shared" si="11"/>
        <v>20.624090518188268</v>
      </c>
    </row>
    <row r="134" spans="1:7" x14ac:dyDescent="0.2">
      <c r="A134" s="1">
        <f t="shared" si="12"/>
        <v>133</v>
      </c>
      <c r="B134" s="1">
        <v>570.29999999999995</v>
      </c>
      <c r="C134" s="1">
        <f t="shared" si="9"/>
        <v>601.34709999999995</v>
      </c>
      <c r="D134" s="1">
        <f t="shared" si="10"/>
        <v>0.9483707496053444</v>
      </c>
      <c r="E134" s="1"/>
      <c r="F134" s="2">
        <f>C134*$E$2</f>
        <v>597.76013858402223</v>
      </c>
      <c r="G134" s="4">
        <f t="shared" si="11"/>
        <v>-27.460138584022275</v>
      </c>
    </row>
    <row r="135" spans="1:7" x14ac:dyDescent="0.2">
      <c r="A135" s="1">
        <f t="shared" si="12"/>
        <v>134</v>
      </c>
      <c r="B135" s="1">
        <v>580.4</v>
      </c>
      <c r="C135" s="1">
        <f t="shared" si="9"/>
        <v>602.21579999999994</v>
      </c>
      <c r="D135" s="1">
        <f t="shared" si="10"/>
        <v>0.96377411552470071</v>
      </c>
      <c r="E135" s="1"/>
      <c r="F135" s="2">
        <f>C135*$E$3</f>
        <v>603.71288856531385</v>
      </c>
      <c r="G135" s="4">
        <f t="shared" si="11"/>
        <v>-23.31288856531387</v>
      </c>
    </row>
    <row r="136" spans="1:7" x14ac:dyDescent="0.2">
      <c r="A136" s="1">
        <f t="shared" si="12"/>
        <v>135</v>
      </c>
      <c r="B136" s="1">
        <v>585.4</v>
      </c>
      <c r="C136" s="1">
        <f t="shared" si="9"/>
        <v>603.08450000000005</v>
      </c>
      <c r="D136" s="1">
        <f t="shared" si="10"/>
        <v>0.97067658014755798</v>
      </c>
      <c r="E136" s="1"/>
      <c r="F136" s="2">
        <f>C136*$E$4</f>
        <v>603.99216478441861</v>
      </c>
      <c r="G136" s="4">
        <f t="shared" si="11"/>
        <v>-18.592164784418628</v>
      </c>
    </row>
    <row r="137" spans="1:7" x14ac:dyDescent="0.2">
      <c r="A137" s="1">
        <f t="shared" si="12"/>
        <v>136</v>
      </c>
      <c r="B137" s="1">
        <v>648.70000000000005</v>
      </c>
      <c r="C137" s="1">
        <f t="shared" si="9"/>
        <v>603.95320000000004</v>
      </c>
      <c r="D137" s="1">
        <f t="shared" si="10"/>
        <v>1.0740898466967308</v>
      </c>
      <c r="E137" s="1"/>
      <c r="F137" s="2">
        <f>C137*$E$5</f>
        <v>605.25821780508772</v>
      </c>
      <c r="G137" s="4">
        <f t="shared" si="11"/>
        <v>43.441782194912321</v>
      </c>
    </row>
    <row r="138" spans="1:7" x14ac:dyDescent="0.2">
      <c r="A138" s="1">
        <f t="shared" si="12"/>
        <v>137</v>
      </c>
      <c r="B138" s="1">
        <v>689.1</v>
      </c>
      <c r="C138" s="1">
        <f t="shared" si="9"/>
        <v>604.82190000000003</v>
      </c>
      <c r="D138" s="1">
        <f t="shared" si="10"/>
        <v>1.1393436646391277</v>
      </c>
      <c r="E138" s="1"/>
      <c r="F138" s="2">
        <f>C138*$E$2</f>
        <v>601.21421182982624</v>
      </c>
      <c r="G138" s="4">
        <f t="shared" si="11"/>
        <v>87.885788170173782</v>
      </c>
    </row>
    <row r="139" spans="1:7" x14ac:dyDescent="0.2">
      <c r="A139" s="1">
        <f t="shared" si="12"/>
        <v>138</v>
      </c>
      <c r="B139" s="1">
        <v>708.4</v>
      </c>
      <c r="C139" s="1">
        <f t="shared" si="9"/>
        <v>605.69060000000002</v>
      </c>
      <c r="D139" s="1">
        <f t="shared" si="10"/>
        <v>1.1695740366451122</v>
      </c>
      <c r="E139" s="1"/>
      <c r="F139" s="2">
        <f>C139*$E$3</f>
        <v>607.19632680321263</v>
      </c>
      <c r="G139" s="4">
        <f t="shared" si="11"/>
        <v>101.20367319678735</v>
      </c>
    </row>
    <row r="140" spans="1:7" x14ac:dyDescent="0.2">
      <c r="A140" s="1">
        <f t="shared" si="12"/>
        <v>139</v>
      </c>
      <c r="B140" s="1">
        <v>642.20000000000005</v>
      </c>
      <c r="C140" s="1">
        <f t="shared" si="9"/>
        <v>606.55930000000001</v>
      </c>
      <c r="D140" s="1">
        <f t="shared" si="10"/>
        <v>1.0587588056105974</v>
      </c>
      <c r="E140" s="1"/>
      <c r="F140" s="2">
        <f>C140*$E$4</f>
        <v>607.47219448870203</v>
      </c>
      <c r="G140" s="4">
        <f t="shared" si="11"/>
        <v>34.727805511298016</v>
      </c>
    </row>
    <row r="141" spans="1:7" x14ac:dyDescent="0.2">
      <c r="A141" s="1">
        <f t="shared" si="12"/>
        <v>140</v>
      </c>
      <c r="B141" s="1">
        <v>647.1</v>
      </c>
      <c r="C141" s="1">
        <f t="shared" si="9"/>
        <v>607.428</v>
      </c>
      <c r="D141" s="1">
        <f t="shared" si="10"/>
        <v>1.0653114443193268</v>
      </c>
      <c r="E141" s="1"/>
      <c r="F141" s="2">
        <f>C141*$E$5</f>
        <v>608.74052612836351</v>
      </c>
      <c r="G141" s="4">
        <f t="shared" si="11"/>
        <v>38.35947387163651</v>
      </c>
    </row>
    <row r="142" spans="1:7" x14ac:dyDescent="0.2">
      <c r="A142" s="1">
        <f t="shared" si="12"/>
        <v>141</v>
      </c>
      <c r="B142" s="1">
        <v>647.79999999999995</v>
      </c>
      <c r="C142" s="1">
        <f t="shared" si="9"/>
        <v>608.29669999999999</v>
      </c>
      <c r="D142" s="1">
        <f t="shared" si="10"/>
        <v>1.0649408421909901</v>
      </c>
      <c r="E142" s="1"/>
      <c r="F142" s="2">
        <f>C142*$E$2</f>
        <v>604.66828507563014</v>
      </c>
      <c r="G142" s="4">
        <f t="shared" si="11"/>
        <v>43.131714924369817</v>
      </c>
    </row>
    <row r="143" spans="1:7" x14ac:dyDescent="0.2">
      <c r="A143" s="1">
        <f t="shared" si="12"/>
        <v>142</v>
      </c>
      <c r="B143" s="1">
        <v>650.4</v>
      </c>
      <c r="C143" s="1">
        <f t="shared" si="9"/>
        <v>609.16539999999998</v>
      </c>
      <c r="D143" s="1">
        <f t="shared" si="10"/>
        <v>1.0676903185899922</v>
      </c>
      <c r="E143" s="1"/>
      <c r="F143" s="2">
        <f>C143*$E$3</f>
        <v>610.6797650411113</v>
      </c>
      <c r="G143" s="4">
        <f t="shared" si="11"/>
        <v>39.720234958888682</v>
      </c>
    </row>
    <row r="144" spans="1:7" x14ac:dyDescent="0.2">
      <c r="A144" s="1">
        <f t="shared" si="12"/>
        <v>143</v>
      </c>
      <c r="B144" s="1">
        <v>644.70000000000005</v>
      </c>
      <c r="C144" s="1">
        <f t="shared" si="9"/>
        <v>610.03409999999997</v>
      </c>
      <c r="D144" s="1">
        <f t="shared" si="10"/>
        <v>1.0568261675863695</v>
      </c>
      <c r="E144" s="1"/>
      <c r="F144" s="2">
        <f>C144*$E$4</f>
        <v>610.95222419298534</v>
      </c>
      <c r="G144" s="4">
        <f t="shared" si="11"/>
        <v>33.747775807014705</v>
      </c>
    </row>
    <row r="145" spans="1:7" x14ac:dyDescent="0.2">
      <c r="A145" s="1">
        <f t="shared" si="12"/>
        <v>144</v>
      </c>
      <c r="B145" s="1">
        <v>575.20000000000005</v>
      </c>
      <c r="C145" s="1">
        <f t="shared" si="9"/>
        <v>610.90280000000007</v>
      </c>
      <c r="D145" s="1">
        <f t="shared" si="10"/>
        <v>0.94155731484615879</v>
      </c>
      <c r="E145" s="1"/>
      <c r="F145" s="2">
        <f>C145*$E$5</f>
        <v>612.22283445163953</v>
      </c>
      <c r="G145" s="4">
        <f t="shared" si="11"/>
        <v>-37.022834451639483</v>
      </c>
    </row>
    <row r="146" spans="1:7" x14ac:dyDescent="0.2">
      <c r="A146" s="1">
        <f t="shared" si="12"/>
        <v>145</v>
      </c>
      <c r="B146" s="1">
        <v>567.1</v>
      </c>
      <c r="C146" s="1">
        <f t="shared" si="9"/>
        <v>611.77150000000006</v>
      </c>
      <c r="D146" s="1">
        <f t="shared" si="10"/>
        <v>0.92698008978842583</v>
      </c>
      <c r="E146" s="1"/>
      <c r="F146" s="2">
        <f>C146*$E$2</f>
        <v>608.12235832143404</v>
      </c>
      <c r="G146" s="4">
        <f t="shared" si="11"/>
        <v>-41.022358321434012</v>
      </c>
    </row>
    <row r="147" spans="1:7" x14ac:dyDescent="0.2">
      <c r="A147" s="1">
        <f t="shared" si="12"/>
        <v>146</v>
      </c>
      <c r="B147" s="1">
        <v>574</v>
      </c>
      <c r="C147" s="1">
        <f t="shared" si="9"/>
        <v>612.64020000000005</v>
      </c>
      <c r="D147" s="1">
        <f t="shared" si="10"/>
        <v>0.93692839614507828</v>
      </c>
      <c r="E147" s="1"/>
      <c r="F147" s="2">
        <f>C147*$E$3</f>
        <v>614.16320327901008</v>
      </c>
      <c r="G147" s="4">
        <f t="shared" si="11"/>
        <v>-40.163203279010077</v>
      </c>
    </row>
    <row r="148" spans="1:7" x14ac:dyDescent="0.2">
      <c r="A148" s="1">
        <f t="shared" si="12"/>
        <v>147</v>
      </c>
      <c r="B148" s="1">
        <v>533.1</v>
      </c>
      <c r="C148" s="1">
        <f t="shared" si="9"/>
        <v>613.50890000000004</v>
      </c>
      <c r="D148" s="1">
        <f t="shared" si="10"/>
        <v>0.86893604966447913</v>
      </c>
      <c r="E148" s="1"/>
      <c r="F148" s="2">
        <f>C148*$E$4</f>
        <v>614.43225389726888</v>
      </c>
      <c r="G148" s="4">
        <f t="shared" si="11"/>
        <v>-81.332253897268856</v>
      </c>
    </row>
    <row r="149" spans="1:7" x14ac:dyDescent="0.2">
      <c r="A149" s="1">
        <f t="shared" si="12"/>
        <v>148</v>
      </c>
      <c r="B149" s="1">
        <v>583.70000000000005</v>
      </c>
      <c r="C149" s="1">
        <f t="shared" si="9"/>
        <v>614.37760000000003</v>
      </c>
      <c r="D149" s="1">
        <f t="shared" si="10"/>
        <v>0.95006718994963357</v>
      </c>
      <c r="E149" s="1"/>
      <c r="F149" s="2">
        <f>C149*$E$5</f>
        <v>615.70514277491543</v>
      </c>
      <c r="G149" s="4">
        <f t="shared" si="11"/>
        <v>-32.005142774915385</v>
      </c>
    </row>
    <row r="150" spans="1:7" x14ac:dyDescent="0.2">
      <c r="A150" s="1">
        <f t="shared" si="12"/>
        <v>149</v>
      </c>
      <c r="B150" s="1">
        <v>619.9</v>
      </c>
      <c r="C150" s="1">
        <f t="shared" si="9"/>
        <v>615.24630000000002</v>
      </c>
      <c r="D150" s="1">
        <f t="shared" si="10"/>
        <v>1.0075639625951427</v>
      </c>
      <c r="E150" s="1"/>
      <c r="F150" s="2">
        <f>C150*$E$2</f>
        <v>611.57643156723793</v>
      </c>
      <c r="G150" s="4">
        <f t="shared" si="11"/>
        <v>8.3235684327620447</v>
      </c>
    </row>
    <row r="151" spans="1:7" x14ac:dyDescent="0.2">
      <c r="A151" s="1">
        <f t="shared" si="12"/>
        <v>150</v>
      </c>
      <c r="B151" s="1">
        <v>649</v>
      </c>
      <c r="C151" s="1">
        <f t="shared" si="9"/>
        <v>616.11500000000001</v>
      </c>
      <c r="D151" s="1">
        <f t="shared" si="10"/>
        <v>1.053374775812957</v>
      </c>
      <c r="E151" s="1"/>
      <c r="F151" s="2">
        <f>C151*$E$3</f>
        <v>617.64664151690874</v>
      </c>
      <c r="G151" s="4">
        <f t="shared" si="11"/>
        <v>31.353358483091256</v>
      </c>
    </row>
    <row r="152" spans="1:7" x14ac:dyDescent="0.2">
      <c r="A152" s="1">
        <f t="shared" si="12"/>
        <v>151</v>
      </c>
      <c r="B152" s="1">
        <v>698.1</v>
      </c>
      <c r="C152" s="1">
        <f t="shared" si="9"/>
        <v>616.9837</v>
      </c>
      <c r="D152" s="1">
        <f t="shared" si="10"/>
        <v>1.131472354942278</v>
      </c>
      <c r="E152" s="1"/>
      <c r="F152" s="2">
        <f>C152*$E$4</f>
        <v>617.91228360155219</v>
      </c>
      <c r="G152" s="4">
        <f t="shared" si="11"/>
        <v>80.187716398447833</v>
      </c>
    </row>
    <row r="153" spans="1:7" x14ac:dyDescent="0.2">
      <c r="A153" s="1">
        <f t="shared" si="12"/>
        <v>152</v>
      </c>
      <c r="B153" s="1">
        <v>630.20000000000005</v>
      </c>
      <c r="C153" s="1">
        <f t="shared" si="9"/>
        <v>617.85239999999999</v>
      </c>
      <c r="D153" s="1">
        <f t="shared" si="10"/>
        <v>1.0199847083219229</v>
      </c>
      <c r="E153" s="1"/>
      <c r="F153" s="2">
        <f>C153*$E$5</f>
        <v>619.18745109819122</v>
      </c>
      <c r="G153" s="4">
        <f t="shared" si="11"/>
        <v>11.012548901808827</v>
      </c>
    </row>
    <row r="154" spans="1:7" x14ac:dyDescent="0.2">
      <c r="A154" s="1">
        <f t="shared" si="12"/>
        <v>153</v>
      </c>
      <c r="B154" s="1">
        <v>613.1</v>
      </c>
      <c r="C154" s="1">
        <f t="shared" si="9"/>
        <v>618.72109999999998</v>
      </c>
      <c r="D154" s="1">
        <f t="shared" si="10"/>
        <v>0.99091496960423697</v>
      </c>
      <c r="E154" s="1"/>
      <c r="F154" s="2">
        <f>C154*$E$2</f>
        <v>615.03050481304172</v>
      </c>
      <c r="G154" s="4">
        <f t="shared" si="11"/>
        <v>-1.9305048130416935</v>
      </c>
    </row>
    <row r="155" spans="1:7" x14ac:dyDescent="0.2">
      <c r="A155" s="1">
        <f t="shared" si="12"/>
        <v>154</v>
      </c>
      <c r="B155" s="1">
        <v>622</v>
      </c>
      <c r="C155" s="1">
        <f t="shared" si="9"/>
        <v>619.58979999999997</v>
      </c>
      <c r="D155" s="1">
        <f t="shared" si="10"/>
        <v>1.0038899930244172</v>
      </c>
      <c r="E155" s="1"/>
      <c r="F155" s="2">
        <f>C155*$E$3</f>
        <v>621.13007975480741</v>
      </c>
      <c r="G155" s="4">
        <f t="shared" si="11"/>
        <v>0.86992024519258848</v>
      </c>
    </row>
    <row r="156" spans="1:7" x14ac:dyDescent="0.2">
      <c r="A156" s="1">
        <f t="shared" si="12"/>
        <v>155</v>
      </c>
      <c r="B156" s="1">
        <v>622.1</v>
      </c>
      <c r="C156" s="1">
        <f t="shared" si="9"/>
        <v>620.45849999999996</v>
      </c>
      <c r="D156" s="1">
        <f t="shared" si="10"/>
        <v>1.0026456241634212</v>
      </c>
      <c r="E156" s="1"/>
      <c r="F156" s="2">
        <f>C156*$E$4</f>
        <v>621.3923133058355</v>
      </c>
      <c r="G156" s="4">
        <f t="shared" si="11"/>
        <v>0.70768669416452212</v>
      </c>
    </row>
    <row r="157" spans="1:7" x14ac:dyDescent="0.2">
      <c r="A157" s="1">
        <f t="shared" si="12"/>
        <v>156</v>
      </c>
      <c r="B157" s="1">
        <v>583.1</v>
      </c>
      <c r="C157" s="1">
        <f t="shared" si="9"/>
        <v>621.32719999999995</v>
      </c>
      <c r="D157" s="1">
        <f t="shared" si="10"/>
        <v>0.93847492915166131</v>
      </c>
      <c r="E157" s="1"/>
      <c r="F157" s="2">
        <f>C157*$E$5</f>
        <v>622.66975942146712</v>
      </c>
      <c r="G157" s="4">
        <f t="shared" si="11"/>
        <v>-39.569759421467097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7833B-2030-4209-91F8-1FDC02025D7F}">
  <sheetPr codeName="Sheet5"/>
  <dimension ref="A1"/>
  <sheetViews>
    <sheetView tabSelected="1" workbookViewId="0">
      <selection activeCell="O23" sqref="O23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44E96-CCF4-4631-9283-CF7EFEE81551}">
  <sheetPr codeName="Sheet7"/>
  <dimension ref="A1:B157"/>
  <sheetViews>
    <sheetView workbookViewId="0"/>
  </sheetViews>
  <sheetFormatPr baseColWidth="10" defaultColWidth="8.83203125" defaultRowHeight="15" x14ac:dyDescent="0.2"/>
  <sheetData>
    <row r="1" spans="1:2" x14ac:dyDescent="0.2">
      <c r="A1" t="s">
        <v>177</v>
      </c>
      <c r="B1" s="5" t="s">
        <v>184</v>
      </c>
    </row>
    <row r="2" spans="1:2" x14ac:dyDescent="0.2">
      <c r="A2">
        <v>1</v>
      </c>
      <c r="B2" s="6">
        <v>447.8</v>
      </c>
    </row>
    <row r="3" spans="1:2" x14ac:dyDescent="0.2">
      <c r="A3">
        <v>2</v>
      </c>
      <c r="B3" s="6">
        <v>437.1</v>
      </c>
    </row>
    <row r="4" spans="1:2" x14ac:dyDescent="0.2">
      <c r="A4">
        <v>3</v>
      </c>
      <c r="B4" s="6">
        <v>479.7</v>
      </c>
    </row>
    <row r="5" spans="1:2" x14ac:dyDescent="0.2">
      <c r="A5">
        <v>4</v>
      </c>
      <c r="B5" s="6">
        <v>533.6</v>
      </c>
    </row>
    <row r="6" spans="1:2" x14ac:dyDescent="0.2">
      <c r="A6">
        <v>5</v>
      </c>
      <c r="B6" s="6">
        <v>535</v>
      </c>
    </row>
    <row r="7" spans="1:2" x14ac:dyDescent="0.2">
      <c r="A7">
        <v>6</v>
      </c>
      <c r="B7" s="6">
        <v>560.20000000000005</v>
      </c>
    </row>
    <row r="8" spans="1:2" x14ac:dyDescent="0.2">
      <c r="A8">
        <v>7</v>
      </c>
      <c r="B8" s="6">
        <v>537.4</v>
      </c>
    </row>
    <row r="9" spans="1:2" x14ac:dyDescent="0.2">
      <c r="A9">
        <v>8</v>
      </c>
      <c r="B9" s="6">
        <v>528.79999999999995</v>
      </c>
    </row>
    <row r="10" spans="1:2" x14ac:dyDescent="0.2">
      <c r="A10">
        <v>9</v>
      </c>
      <c r="B10" s="6">
        <v>516.29999999999995</v>
      </c>
    </row>
    <row r="11" spans="1:2" x14ac:dyDescent="0.2">
      <c r="A11">
        <v>10</v>
      </c>
      <c r="B11" s="6">
        <v>520</v>
      </c>
    </row>
    <row r="12" spans="1:2" x14ac:dyDescent="0.2">
      <c r="A12">
        <v>11</v>
      </c>
      <c r="B12" s="6">
        <v>518.6</v>
      </c>
    </row>
    <row r="13" spans="1:2" x14ac:dyDescent="0.2">
      <c r="A13">
        <v>12</v>
      </c>
      <c r="B13" s="6">
        <v>478</v>
      </c>
    </row>
    <row r="14" spans="1:2" x14ac:dyDescent="0.2">
      <c r="A14">
        <v>13</v>
      </c>
      <c r="B14" s="6">
        <v>465.5</v>
      </c>
    </row>
    <row r="15" spans="1:2" x14ac:dyDescent="0.2">
      <c r="A15">
        <v>14</v>
      </c>
      <c r="B15" s="6">
        <v>452.3</v>
      </c>
    </row>
    <row r="16" spans="1:2" x14ac:dyDescent="0.2">
      <c r="A16">
        <v>15</v>
      </c>
      <c r="B16" s="6">
        <v>470</v>
      </c>
    </row>
    <row r="17" spans="1:2" x14ac:dyDescent="0.2">
      <c r="A17">
        <v>16</v>
      </c>
      <c r="B17" s="6">
        <v>511.3</v>
      </c>
    </row>
    <row r="18" spans="1:2" x14ac:dyDescent="0.2">
      <c r="A18">
        <v>17</v>
      </c>
      <c r="B18" s="6">
        <v>522</v>
      </c>
    </row>
    <row r="19" spans="1:2" x14ac:dyDescent="0.2">
      <c r="A19">
        <v>18</v>
      </c>
      <c r="B19" s="6">
        <v>533.20000000000005</v>
      </c>
    </row>
    <row r="20" spans="1:2" x14ac:dyDescent="0.2">
      <c r="A20">
        <v>19</v>
      </c>
      <c r="B20" s="6">
        <v>513.20000000000005</v>
      </c>
    </row>
    <row r="21" spans="1:2" x14ac:dyDescent="0.2">
      <c r="A21">
        <v>20</v>
      </c>
      <c r="B21" s="6">
        <v>544.20000000000005</v>
      </c>
    </row>
    <row r="22" spans="1:2" x14ac:dyDescent="0.2">
      <c r="A22">
        <v>21</v>
      </c>
      <c r="B22" s="6">
        <v>541.4</v>
      </c>
    </row>
    <row r="23" spans="1:2" x14ac:dyDescent="0.2">
      <c r="A23">
        <v>22</v>
      </c>
      <c r="B23" s="6">
        <v>525.70000000000005</v>
      </c>
    </row>
    <row r="24" spans="1:2" x14ac:dyDescent="0.2">
      <c r="A24">
        <v>23</v>
      </c>
      <c r="B24" s="6">
        <v>535.20000000000005</v>
      </c>
    </row>
    <row r="25" spans="1:2" x14ac:dyDescent="0.2">
      <c r="A25">
        <v>24</v>
      </c>
      <c r="B25" s="6">
        <v>495</v>
      </c>
    </row>
    <row r="26" spans="1:2" x14ac:dyDescent="0.2">
      <c r="A26">
        <v>25</v>
      </c>
      <c r="B26" s="6">
        <v>473.6</v>
      </c>
    </row>
    <row r="27" spans="1:2" x14ac:dyDescent="0.2">
      <c r="A27">
        <v>26</v>
      </c>
      <c r="B27" s="6">
        <v>444.4</v>
      </c>
    </row>
    <row r="28" spans="1:2" x14ac:dyDescent="0.2">
      <c r="A28">
        <v>27</v>
      </c>
      <c r="B28" s="6">
        <v>451.8</v>
      </c>
    </row>
    <row r="29" spans="1:2" x14ac:dyDescent="0.2">
      <c r="A29">
        <v>28</v>
      </c>
      <c r="B29" s="6">
        <v>511</v>
      </c>
    </row>
    <row r="30" spans="1:2" x14ac:dyDescent="0.2">
      <c r="A30">
        <v>29</v>
      </c>
      <c r="B30" s="6">
        <v>542.79999999999995</v>
      </c>
    </row>
    <row r="31" spans="1:2" x14ac:dyDescent="0.2">
      <c r="A31">
        <v>30</v>
      </c>
      <c r="B31" s="6">
        <v>556</v>
      </c>
    </row>
    <row r="32" spans="1:2" x14ac:dyDescent="0.2">
      <c r="A32">
        <v>31</v>
      </c>
      <c r="B32" s="6">
        <v>563.1</v>
      </c>
    </row>
    <row r="33" spans="1:2" x14ac:dyDescent="0.2">
      <c r="A33">
        <v>32</v>
      </c>
      <c r="B33" s="6">
        <v>555</v>
      </c>
    </row>
    <row r="34" spans="1:2" x14ac:dyDescent="0.2">
      <c r="A34">
        <v>33</v>
      </c>
      <c r="B34" s="6">
        <v>513.6</v>
      </c>
    </row>
    <row r="35" spans="1:2" x14ac:dyDescent="0.2">
      <c r="A35">
        <v>34</v>
      </c>
      <c r="B35" s="6">
        <v>514.70000000000005</v>
      </c>
    </row>
    <row r="36" spans="1:2" x14ac:dyDescent="0.2">
      <c r="A36">
        <v>35</v>
      </c>
      <c r="B36" s="6">
        <v>547.9</v>
      </c>
    </row>
    <row r="37" spans="1:2" x14ac:dyDescent="0.2">
      <c r="A37">
        <v>36</v>
      </c>
      <c r="B37" s="6">
        <v>489.9</v>
      </c>
    </row>
    <row r="38" spans="1:2" x14ac:dyDescent="0.2">
      <c r="A38">
        <v>37</v>
      </c>
      <c r="B38" s="6">
        <v>467.1</v>
      </c>
    </row>
    <row r="39" spans="1:2" x14ac:dyDescent="0.2">
      <c r="A39">
        <v>38</v>
      </c>
      <c r="B39" s="6">
        <v>472.7</v>
      </c>
    </row>
    <row r="40" spans="1:2" x14ac:dyDescent="0.2">
      <c r="A40">
        <v>39</v>
      </c>
      <c r="B40" s="6">
        <v>449.5</v>
      </c>
    </row>
    <row r="41" spans="1:2" x14ac:dyDescent="0.2">
      <c r="A41">
        <v>40</v>
      </c>
      <c r="B41" s="6">
        <v>491.5</v>
      </c>
    </row>
    <row r="42" spans="1:2" x14ac:dyDescent="0.2">
      <c r="A42">
        <v>41</v>
      </c>
      <c r="B42" s="6">
        <v>544</v>
      </c>
    </row>
    <row r="43" spans="1:2" x14ac:dyDescent="0.2">
      <c r="A43">
        <v>42</v>
      </c>
      <c r="B43" s="6">
        <v>572.5</v>
      </c>
    </row>
    <row r="44" spans="1:2" x14ac:dyDescent="0.2">
      <c r="A44">
        <v>43</v>
      </c>
      <c r="B44" s="6">
        <v>525.79999999999995</v>
      </c>
    </row>
    <row r="45" spans="1:2" x14ac:dyDescent="0.2">
      <c r="A45">
        <v>44</v>
      </c>
      <c r="B45" s="6">
        <v>510.1</v>
      </c>
    </row>
    <row r="46" spans="1:2" x14ac:dyDescent="0.2">
      <c r="A46">
        <v>45</v>
      </c>
      <c r="B46" s="6">
        <v>519.1</v>
      </c>
    </row>
    <row r="47" spans="1:2" x14ac:dyDescent="0.2">
      <c r="A47">
        <v>46</v>
      </c>
      <c r="B47" s="6">
        <v>522.1</v>
      </c>
    </row>
    <row r="48" spans="1:2" x14ac:dyDescent="0.2">
      <c r="A48">
        <v>47</v>
      </c>
      <c r="B48" s="6">
        <v>535.6</v>
      </c>
    </row>
    <row r="49" spans="1:2" x14ac:dyDescent="0.2">
      <c r="A49">
        <v>48</v>
      </c>
      <c r="B49" s="6">
        <v>484</v>
      </c>
    </row>
    <row r="50" spans="1:2" x14ac:dyDescent="0.2">
      <c r="A50">
        <v>49</v>
      </c>
      <c r="B50" s="6">
        <v>476.4</v>
      </c>
    </row>
    <row r="51" spans="1:2" x14ac:dyDescent="0.2">
      <c r="A51">
        <v>50</v>
      </c>
      <c r="B51" s="6">
        <v>460.5</v>
      </c>
    </row>
    <row r="52" spans="1:2" x14ac:dyDescent="0.2">
      <c r="A52">
        <v>51</v>
      </c>
      <c r="B52" s="6">
        <v>461.2</v>
      </c>
    </row>
    <row r="53" spans="1:2" x14ac:dyDescent="0.2">
      <c r="A53">
        <v>52</v>
      </c>
      <c r="B53" s="6">
        <v>510.5</v>
      </c>
    </row>
    <row r="54" spans="1:2" x14ac:dyDescent="0.2">
      <c r="A54">
        <v>53</v>
      </c>
      <c r="B54" s="6">
        <v>556.6</v>
      </c>
    </row>
    <row r="55" spans="1:2" x14ac:dyDescent="0.2">
      <c r="A55">
        <v>54</v>
      </c>
      <c r="B55" s="6">
        <v>609.5</v>
      </c>
    </row>
    <row r="56" spans="1:2" x14ac:dyDescent="0.2">
      <c r="A56">
        <v>55</v>
      </c>
      <c r="B56" s="6">
        <v>592.70000000000005</v>
      </c>
    </row>
    <row r="57" spans="1:2" x14ac:dyDescent="0.2">
      <c r="A57">
        <v>56</v>
      </c>
      <c r="B57" s="6">
        <v>572.1</v>
      </c>
    </row>
    <row r="58" spans="1:2" x14ac:dyDescent="0.2">
      <c r="A58">
        <v>57</v>
      </c>
      <c r="B58" s="6">
        <v>554.9</v>
      </c>
    </row>
    <row r="59" spans="1:2" x14ac:dyDescent="0.2">
      <c r="A59">
        <v>58</v>
      </c>
      <c r="B59" s="6">
        <v>557.4</v>
      </c>
    </row>
    <row r="60" spans="1:2" x14ac:dyDescent="0.2">
      <c r="A60">
        <v>59</v>
      </c>
      <c r="B60" s="6">
        <v>562.9</v>
      </c>
    </row>
    <row r="61" spans="1:2" x14ac:dyDescent="0.2">
      <c r="A61">
        <v>60</v>
      </c>
      <c r="B61" s="6">
        <v>516</v>
      </c>
    </row>
    <row r="62" spans="1:2" x14ac:dyDescent="0.2">
      <c r="A62">
        <v>61</v>
      </c>
      <c r="B62" s="6">
        <v>490.6</v>
      </c>
    </row>
    <row r="63" spans="1:2" x14ac:dyDescent="0.2">
      <c r="A63">
        <v>62</v>
      </c>
      <c r="B63" s="6">
        <v>503.9</v>
      </c>
    </row>
    <row r="64" spans="1:2" x14ac:dyDescent="0.2">
      <c r="A64">
        <v>63</v>
      </c>
      <c r="B64" s="6">
        <v>547.6</v>
      </c>
    </row>
    <row r="65" spans="1:2" x14ac:dyDescent="0.2">
      <c r="A65">
        <v>64</v>
      </c>
      <c r="B65" s="6">
        <v>585</v>
      </c>
    </row>
    <row r="66" spans="1:2" x14ac:dyDescent="0.2">
      <c r="A66">
        <v>65</v>
      </c>
      <c r="B66" s="6">
        <v>573.5</v>
      </c>
    </row>
    <row r="67" spans="1:2" x14ac:dyDescent="0.2">
      <c r="A67">
        <v>66</v>
      </c>
      <c r="B67" s="6">
        <v>606</v>
      </c>
    </row>
    <row r="68" spans="1:2" x14ac:dyDescent="0.2">
      <c r="A68">
        <v>67</v>
      </c>
      <c r="B68" s="6">
        <v>575.20000000000005</v>
      </c>
    </row>
    <row r="69" spans="1:2" x14ac:dyDescent="0.2">
      <c r="A69">
        <v>68</v>
      </c>
      <c r="B69" s="6">
        <v>539.70000000000005</v>
      </c>
    </row>
    <row r="70" spans="1:2" x14ac:dyDescent="0.2">
      <c r="A70">
        <v>69</v>
      </c>
      <c r="B70" s="6">
        <v>539.20000000000005</v>
      </c>
    </row>
    <row r="71" spans="1:2" x14ac:dyDescent="0.2">
      <c r="A71">
        <v>70</v>
      </c>
      <c r="B71" s="6">
        <v>557.79999999999995</v>
      </c>
    </row>
    <row r="72" spans="1:2" x14ac:dyDescent="0.2">
      <c r="A72">
        <v>71</v>
      </c>
      <c r="B72" s="6">
        <v>581.4</v>
      </c>
    </row>
    <row r="73" spans="1:2" x14ac:dyDescent="0.2">
      <c r="A73">
        <v>72</v>
      </c>
      <c r="B73" s="6">
        <v>536.20000000000005</v>
      </c>
    </row>
    <row r="74" spans="1:2" x14ac:dyDescent="0.2">
      <c r="A74">
        <v>73</v>
      </c>
      <c r="B74" s="6">
        <v>499.3</v>
      </c>
    </row>
    <row r="75" spans="1:2" x14ac:dyDescent="0.2">
      <c r="A75">
        <v>74</v>
      </c>
      <c r="B75" s="6">
        <v>461.7</v>
      </c>
    </row>
    <row r="76" spans="1:2" x14ac:dyDescent="0.2">
      <c r="A76">
        <v>75</v>
      </c>
      <c r="B76" s="6">
        <v>465.7</v>
      </c>
    </row>
    <row r="77" spans="1:2" x14ac:dyDescent="0.2">
      <c r="A77">
        <v>76</v>
      </c>
      <c r="B77" s="6">
        <v>524.4</v>
      </c>
    </row>
    <row r="78" spans="1:2" x14ac:dyDescent="0.2">
      <c r="A78">
        <v>77</v>
      </c>
      <c r="B78" s="6">
        <v>565.1</v>
      </c>
    </row>
    <row r="79" spans="1:2" x14ac:dyDescent="0.2">
      <c r="A79">
        <v>78</v>
      </c>
      <c r="B79" s="6">
        <v>602.79999999999995</v>
      </c>
    </row>
    <row r="80" spans="1:2" x14ac:dyDescent="0.2">
      <c r="A80">
        <v>79</v>
      </c>
      <c r="B80" s="6">
        <v>586</v>
      </c>
    </row>
    <row r="81" spans="1:2" x14ac:dyDescent="0.2">
      <c r="A81">
        <v>80</v>
      </c>
      <c r="B81" s="6">
        <v>590.6</v>
      </c>
    </row>
    <row r="82" spans="1:2" x14ac:dyDescent="0.2">
      <c r="A82">
        <v>81</v>
      </c>
      <c r="B82" s="6">
        <v>582.6</v>
      </c>
    </row>
    <row r="83" spans="1:2" x14ac:dyDescent="0.2">
      <c r="A83">
        <v>82</v>
      </c>
      <c r="B83" s="6">
        <v>557.70000000000005</v>
      </c>
    </row>
    <row r="84" spans="1:2" x14ac:dyDescent="0.2">
      <c r="A84">
        <v>83</v>
      </c>
      <c r="B84" s="6">
        <v>541.1</v>
      </c>
    </row>
    <row r="85" spans="1:2" x14ac:dyDescent="0.2">
      <c r="A85">
        <v>84</v>
      </c>
      <c r="B85" s="6">
        <v>505.9</v>
      </c>
    </row>
    <row r="86" spans="1:2" x14ac:dyDescent="0.2">
      <c r="A86">
        <v>85</v>
      </c>
      <c r="B86" s="6">
        <v>503.3</v>
      </c>
    </row>
    <row r="87" spans="1:2" x14ac:dyDescent="0.2">
      <c r="A87">
        <v>86</v>
      </c>
      <c r="B87" s="6">
        <v>505</v>
      </c>
    </row>
    <row r="88" spans="1:2" x14ac:dyDescent="0.2">
      <c r="A88">
        <v>87</v>
      </c>
      <c r="B88" s="6">
        <v>508.6</v>
      </c>
    </row>
    <row r="89" spans="1:2" x14ac:dyDescent="0.2">
      <c r="A89">
        <v>88</v>
      </c>
      <c r="B89" s="6">
        <v>540.9</v>
      </c>
    </row>
    <row r="90" spans="1:2" x14ac:dyDescent="0.2">
      <c r="A90">
        <v>89</v>
      </c>
      <c r="B90" s="6">
        <v>557.1</v>
      </c>
    </row>
    <row r="91" spans="1:2" x14ac:dyDescent="0.2">
      <c r="A91">
        <v>90</v>
      </c>
      <c r="B91" s="6">
        <v>607.9</v>
      </c>
    </row>
    <row r="92" spans="1:2" x14ac:dyDescent="0.2">
      <c r="A92">
        <v>91</v>
      </c>
      <c r="B92" s="6">
        <v>594.79999999999995</v>
      </c>
    </row>
    <row r="93" spans="1:2" x14ac:dyDescent="0.2">
      <c r="A93">
        <v>92</v>
      </c>
      <c r="B93" s="6">
        <v>585.6</v>
      </c>
    </row>
    <row r="94" spans="1:2" x14ac:dyDescent="0.2">
      <c r="A94">
        <v>93</v>
      </c>
      <c r="B94" s="6">
        <v>573.20000000000005</v>
      </c>
    </row>
    <row r="95" spans="1:2" x14ac:dyDescent="0.2">
      <c r="A95">
        <v>94</v>
      </c>
      <c r="B95" s="6">
        <v>560.20000000000005</v>
      </c>
    </row>
    <row r="96" spans="1:2" x14ac:dyDescent="0.2">
      <c r="A96">
        <v>95</v>
      </c>
      <c r="B96" s="6">
        <v>568.1</v>
      </c>
    </row>
    <row r="97" spans="1:2" x14ac:dyDescent="0.2">
      <c r="A97">
        <v>96</v>
      </c>
      <c r="B97" s="6">
        <v>524.79999999999995</v>
      </c>
    </row>
    <row r="98" spans="1:2" x14ac:dyDescent="0.2">
      <c r="A98">
        <v>97</v>
      </c>
      <c r="B98" s="6">
        <v>513.1</v>
      </c>
    </row>
    <row r="99" spans="1:2" x14ac:dyDescent="0.2">
      <c r="A99">
        <v>98</v>
      </c>
      <c r="B99" s="6">
        <v>498</v>
      </c>
    </row>
    <row r="100" spans="1:2" x14ac:dyDescent="0.2">
      <c r="A100">
        <v>99</v>
      </c>
      <c r="B100" s="6">
        <v>498.3</v>
      </c>
    </row>
    <row r="101" spans="1:2" x14ac:dyDescent="0.2">
      <c r="A101">
        <v>100</v>
      </c>
      <c r="B101" s="6">
        <v>568.29999999999995</v>
      </c>
    </row>
    <row r="102" spans="1:2" x14ac:dyDescent="0.2">
      <c r="A102">
        <v>101</v>
      </c>
      <c r="B102" s="6">
        <v>601.79999999999995</v>
      </c>
    </row>
    <row r="103" spans="1:2" x14ac:dyDescent="0.2">
      <c r="A103">
        <v>102</v>
      </c>
      <c r="B103" s="6">
        <v>629.6</v>
      </c>
    </row>
    <row r="104" spans="1:2" x14ac:dyDescent="0.2">
      <c r="A104">
        <v>103</v>
      </c>
      <c r="B104" s="6">
        <v>612</v>
      </c>
    </row>
    <row r="105" spans="1:2" x14ac:dyDescent="0.2">
      <c r="A105">
        <v>104</v>
      </c>
      <c r="B105" s="6">
        <v>617.5</v>
      </c>
    </row>
    <row r="106" spans="1:2" x14ac:dyDescent="0.2">
      <c r="A106">
        <v>105</v>
      </c>
      <c r="B106" s="6">
        <v>560.6</v>
      </c>
    </row>
    <row r="107" spans="1:2" x14ac:dyDescent="0.2">
      <c r="A107">
        <v>106</v>
      </c>
      <c r="B107" s="6">
        <v>555</v>
      </c>
    </row>
    <row r="108" spans="1:2" x14ac:dyDescent="0.2">
      <c r="A108">
        <v>107</v>
      </c>
      <c r="B108" s="6">
        <v>570.70000000000005</v>
      </c>
    </row>
    <row r="109" spans="1:2" x14ac:dyDescent="0.2">
      <c r="A109">
        <v>108</v>
      </c>
      <c r="B109" s="6">
        <v>530.1</v>
      </c>
    </row>
    <row r="110" spans="1:2" x14ac:dyDescent="0.2">
      <c r="A110">
        <v>109</v>
      </c>
      <c r="B110" s="6">
        <v>509.7</v>
      </c>
    </row>
    <row r="111" spans="1:2" x14ac:dyDescent="0.2">
      <c r="A111">
        <v>110</v>
      </c>
      <c r="B111" s="6">
        <v>489.3</v>
      </c>
    </row>
    <row r="112" spans="1:2" x14ac:dyDescent="0.2">
      <c r="A112">
        <v>111</v>
      </c>
      <c r="B112" s="6">
        <v>488.7</v>
      </c>
    </row>
    <row r="113" spans="1:2" x14ac:dyDescent="0.2">
      <c r="A113">
        <v>112</v>
      </c>
      <c r="B113" s="6">
        <v>568.1</v>
      </c>
    </row>
    <row r="114" spans="1:2" x14ac:dyDescent="0.2">
      <c r="A114">
        <v>113</v>
      </c>
      <c r="B114" s="6">
        <v>609.5</v>
      </c>
    </row>
    <row r="115" spans="1:2" x14ac:dyDescent="0.2">
      <c r="A115">
        <v>114</v>
      </c>
      <c r="B115" s="6">
        <v>639</v>
      </c>
    </row>
    <row r="116" spans="1:2" x14ac:dyDescent="0.2">
      <c r="A116">
        <v>115</v>
      </c>
      <c r="B116" s="6">
        <v>628.1</v>
      </c>
    </row>
    <row r="117" spans="1:2" x14ac:dyDescent="0.2">
      <c r="A117">
        <v>116</v>
      </c>
      <c r="B117" s="6">
        <v>635.5</v>
      </c>
    </row>
    <row r="118" spans="1:2" x14ac:dyDescent="0.2">
      <c r="A118">
        <v>117</v>
      </c>
      <c r="B118" s="6">
        <v>592.4</v>
      </c>
    </row>
    <row r="119" spans="1:2" x14ac:dyDescent="0.2">
      <c r="A119">
        <v>118</v>
      </c>
      <c r="B119" s="6">
        <v>580.9</v>
      </c>
    </row>
    <row r="120" spans="1:2" x14ac:dyDescent="0.2">
      <c r="A120">
        <v>119</v>
      </c>
      <c r="B120" s="6">
        <v>611.5</v>
      </c>
    </row>
    <row r="121" spans="1:2" x14ac:dyDescent="0.2">
      <c r="A121">
        <v>120</v>
      </c>
      <c r="B121" s="6">
        <v>571.79999999999995</v>
      </c>
    </row>
    <row r="122" spans="1:2" x14ac:dyDescent="0.2">
      <c r="A122">
        <v>121</v>
      </c>
      <c r="B122" s="6">
        <v>525.20000000000005</v>
      </c>
    </row>
    <row r="123" spans="1:2" x14ac:dyDescent="0.2">
      <c r="A123">
        <v>122</v>
      </c>
      <c r="B123" s="6">
        <v>493.6</v>
      </c>
    </row>
    <row r="124" spans="1:2" x14ac:dyDescent="0.2">
      <c r="A124">
        <v>123</v>
      </c>
      <c r="B124" s="6">
        <v>513.9</v>
      </c>
    </row>
    <row r="125" spans="1:2" x14ac:dyDescent="0.2">
      <c r="A125">
        <v>124</v>
      </c>
      <c r="B125" s="6">
        <v>594.20000000000005</v>
      </c>
    </row>
    <row r="126" spans="1:2" x14ac:dyDescent="0.2">
      <c r="A126">
        <v>125</v>
      </c>
      <c r="B126" s="6">
        <v>610.70000000000005</v>
      </c>
    </row>
    <row r="127" spans="1:2" x14ac:dyDescent="0.2">
      <c r="A127">
        <v>126</v>
      </c>
      <c r="B127" s="6">
        <v>632.29999999999995</v>
      </c>
    </row>
    <row r="128" spans="1:2" x14ac:dyDescent="0.2">
      <c r="A128">
        <v>127</v>
      </c>
      <c r="B128" s="6">
        <v>647</v>
      </c>
    </row>
    <row r="129" spans="1:2" x14ac:dyDescent="0.2">
      <c r="A129">
        <v>128</v>
      </c>
      <c r="B129" s="6">
        <v>656.7</v>
      </c>
    </row>
    <row r="130" spans="1:2" x14ac:dyDescent="0.2">
      <c r="A130">
        <v>129</v>
      </c>
      <c r="B130" s="6">
        <v>635.70000000000005</v>
      </c>
    </row>
    <row r="131" spans="1:2" x14ac:dyDescent="0.2">
      <c r="A131">
        <v>130</v>
      </c>
      <c r="B131" s="6">
        <v>643.6</v>
      </c>
    </row>
    <row r="132" spans="1:2" x14ac:dyDescent="0.2">
      <c r="A132">
        <v>131</v>
      </c>
      <c r="B132" s="6">
        <v>645.70000000000005</v>
      </c>
    </row>
    <row r="133" spans="1:2" x14ac:dyDescent="0.2">
      <c r="A133">
        <v>132</v>
      </c>
      <c r="B133" s="6">
        <v>622.4</v>
      </c>
    </row>
    <row r="134" spans="1:2" x14ac:dyDescent="0.2">
      <c r="A134">
        <v>133</v>
      </c>
      <c r="B134" s="6">
        <v>570.29999999999995</v>
      </c>
    </row>
    <row r="135" spans="1:2" x14ac:dyDescent="0.2">
      <c r="A135">
        <v>134</v>
      </c>
      <c r="B135" s="6">
        <v>580.4</v>
      </c>
    </row>
    <row r="136" spans="1:2" x14ac:dyDescent="0.2">
      <c r="A136">
        <v>135</v>
      </c>
      <c r="B136" s="6">
        <v>585.4</v>
      </c>
    </row>
    <row r="137" spans="1:2" x14ac:dyDescent="0.2">
      <c r="A137">
        <v>136</v>
      </c>
      <c r="B137" s="6">
        <v>648.70000000000005</v>
      </c>
    </row>
    <row r="138" spans="1:2" x14ac:dyDescent="0.2">
      <c r="A138">
        <v>137</v>
      </c>
      <c r="B138" s="6">
        <v>689.1</v>
      </c>
    </row>
    <row r="139" spans="1:2" x14ac:dyDescent="0.2">
      <c r="A139">
        <v>138</v>
      </c>
      <c r="B139" s="6">
        <v>708.4</v>
      </c>
    </row>
    <row r="140" spans="1:2" x14ac:dyDescent="0.2">
      <c r="A140">
        <v>139</v>
      </c>
      <c r="B140" s="6">
        <v>642.20000000000005</v>
      </c>
    </row>
    <row r="141" spans="1:2" x14ac:dyDescent="0.2">
      <c r="A141">
        <v>140</v>
      </c>
      <c r="B141" s="6">
        <v>647.1</v>
      </c>
    </row>
    <row r="142" spans="1:2" x14ac:dyDescent="0.2">
      <c r="A142">
        <v>141</v>
      </c>
      <c r="B142" s="6">
        <v>647.79999999999995</v>
      </c>
    </row>
    <row r="143" spans="1:2" x14ac:dyDescent="0.2">
      <c r="A143">
        <v>142</v>
      </c>
      <c r="B143" s="6">
        <v>650.4</v>
      </c>
    </row>
    <row r="144" spans="1:2" x14ac:dyDescent="0.2">
      <c r="A144">
        <v>143</v>
      </c>
      <c r="B144" s="6">
        <v>644.70000000000005</v>
      </c>
    </row>
    <row r="145" spans="1:2" x14ac:dyDescent="0.2">
      <c r="A145">
        <v>144</v>
      </c>
      <c r="B145" s="6">
        <v>575.20000000000005</v>
      </c>
    </row>
    <row r="146" spans="1:2" x14ac:dyDescent="0.2">
      <c r="A146">
        <v>145</v>
      </c>
      <c r="B146" s="6">
        <v>567.1</v>
      </c>
    </row>
    <row r="147" spans="1:2" x14ac:dyDescent="0.2">
      <c r="A147">
        <v>146</v>
      </c>
      <c r="B147" s="6">
        <v>574</v>
      </c>
    </row>
    <row r="148" spans="1:2" x14ac:dyDescent="0.2">
      <c r="A148">
        <v>147</v>
      </c>
      <c r="B148" s="6">
        <v>533.1</v>
      </c>
    </row>
    <row r="149" spans="1:2" x14ac:dyDescent="0.2">
      <c r="A149">
        <v>148</v>
      </c>
      <c r="B149" s="6">
        <v>583.70000000000005</v>
      </c>
    </row>
    <row r="150" spans="1:2" x14ac:dyDescent="0.2">
      <c r="A150">
        <v>149</v>
      </c>
      <c r="B150" s="6">
        <v>619.9</v>
      </c>
    </row>
    <row r="151" spans="1:2" x14ac:dyDescent="0.2">
      <c r="A151">
        <v>150</v>
      </c>
      <c r="B151" s="6">
        <v>649</v>
      </c>
    </row>
    <row r="152" spans="1:2" x14ac:dyDescent="0.2">
      <c r="A152">
        <v>151</v>
      </c>
      <c r="B152" s="6">
        <v>698.1</v>
      </c>
    </row>
    <row r="153" spans="1:2" x14ac:dyDescent="0.2">
      <c r="A153">
        <v>152</v>
      </c>
      <c r="B153" s="6">
        <v>630.20000000000005</v>
      </c>
    </row>
    <row r="154" spans="1:2" x14ac:dyDescent="0.2">
      <c r="A154">
        <v>153</v>
      </c>
      <c r="B154" s="6">
        <v>613.1</v>
      </c>
    </row>
    <row r="155" spans="1:2" x14ac:dyDescent="0.2">
      <c r="A155">
        <v>154</v>
      </c>
      <c r="B155" s="6">
        <v>622</v>
      </c>
    </row>
    <row r="156" spans="1:2" x14ac:dyDescent="0.2">
      <c r="A156">
        <v>155</v>
      </c>
      <c r="B156" s="6">
        <v>622.1</v>
      </c>
    </row>
    <row r="157" spans="1:2" x14ac:dyDescent="0.2">
      <c r="A157">
        <v>156</v>
      </c>
      <c r="B157" s="6">
        <v>583.1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DB48-62FF-4585-AC90-868B5C8E2F3E}">
  <sheetPr codeName="Sheet674173X765"/>
  <dimension ref="A1:M157"/>
  <sheetViews>
    <sheetView zoomScaleNormal="100" workbookViewId="0">
      <selection activeCell="I19" sqref="I19"/>
    </sheetView>
  </sheetViews>
  <sheetFormatPr baseColWidth="10" defaultColWidth="8.83203125" defaultRowHeight="15" x14ac:dyDescent="0.2"/>
  <cols>
    <col min="2" max="2" width="11.5" bestFit="1" customWidth="1"/>
    <col min="5" max="5" width="48.5" customWidth="1"/>
    <col min="6" max="6" width="12.6640625" bestFit="1" customWidth="1"/>
    <col min="12" max="12" width="13.5" bestFit="1" customWidth="1"/>
  </cols>
  <sheetData>
    <row r="1" spans="1:12" x14ac:dyDescent="0.2">
      <c r="A1" t="s">
        <v>163</v>
      </c>
      <c r="B1" t="s">
        <v>4</v>
      </c>
      <c r="E1" t="s">
        <v>196</v>
      </c>
    </row>
    <row r="2" spans="1:12" x14ac:dyDescent="0.2">
      <c r="A2">
        <v>1</v>
      </c>
      <c r="B2">
        <v>447.8</v>
      </c>
      <c r="E2" t="s">
        <v>172</v>
      </c>
    </row>
    <row r="3" spans="1:12" x14ac:dyDescent="0.2">
      <c r="A3">
        <f>A2+1</f>
        <v>2</v>
      </c>
      <c r="B3">
        <v>437.1</v>
      </c>
      <c r="E3" t="s">
        <v>173</v>
      </c>
    </row>
    <row r="4" spans="1:12" x14ac:dyDescent="0.2">
      <c r="A4">
        <f t="shared" ref="A4:A67" si="0">A3+1</f>
        <v>3</v>
      </c>
      <c r="B4">
        <v>479.7</v>
      </c>
      <c r="E4" s="27" t="s">
        <v>174</v>
      </c>
    </row>
    <row r="5" spans="1:12" ht="34.25" customHeight="1" x14ac:dyDescent="0.2">
      <c r="A5">
        <f t="shared" si="0"/>
        <v>4</v>
      </c>
      <c r="B5">
        <v>533.6</v>
      </c>
    </row>
    <row r="6" spans="1:12" ht="16.25" customHeight="1" x14ac:dyDescent="0.2">
      <c r="A6">
        <f t="shared" si="0"/>
        <v>5</v>
      </c>
      <c r="B6">
        <v>535</v>
      </c>
    </row>
    <row r="7" spans="1:12" x14ac:dyDescent="0.2">
      <c r="A7">
        <f t="shared" si="0"/>
        <v>6</v>
      </c>
      <c r="B7">
        <v>560.20000000000005</v>
      </c>
    </row>
    <row r="8" spans="1:12" x14ac:dyDescent="0.2">
      <c r="A8">
        <f t="shared" si="0"/>
        <v>7</v>
      </c>
      <c r="B8">
        <v>537.4</v>
      </c>
    </row>
    <row r="9" spans="1:12" x14ac:dyDescent="0.2">
      <c r="A9">
        <f t="shared" si="0"/>
        <v>8</v>
      </c>
      <c r="B9">
        <v>528.79999999999995</v>
      </c>
      <c r="E9" t="s">
        <v>175</v>
      </c>
    </row>
    <row r="10" spans="1:12" ht="16" thickBot="1" x14ac:dyDescent="0.25">
      <c r="A10">
        <f t="shared" si="0"/>
        <v>9</v>
      </c>
      <c r="B10">
        <v>516.29999999999995</v>
      </c>
    </row>
    <row r="11" spans="1:12" x14ac:dyDescent="0.2">
      <c r="A11">
        <f t="shared" si="0"/>
        <v>10</v>
      </c>
      <c r="B11">
        <v>520</v>
      </c>
      <c r="E11" s="8" t="s">
        <v>176</v>
      </c>
      <c r="F11" s="9" t="s">
        <v>177</v>
      </c>
      <c r="G11" s="9" t="s">
        <v>178</v>
      </c>
      <c r="H11" s="9" t="s">
        <v>179</v>
      </c>
      <c r="I11" s="9" t="s">
        <v>180</v>
      </c>
      <c r="J11" s="9" t="s">
        <v>181</v>
      </c>
      <c r="K11" s="9" t="s">
        <v>182</v>
      </c>
      <c r="L11" s="9" t="s">
        <v>183</v>
      </c>
    </row>
    <row r="12" spans="1:12" ht="16" thickBot="1" x14ac:dyDescent="0.25">
      <c r="A12">
        <f t="shared" si="0"/>
        <v>11</v>
      </c>
      <c r="B12">
        <v>518.6</v>
      </c>
      <c r="E12" s="11" t="s">
        <v>184</v>
      </c>
      <c r="F12" s="12">
        <v>156</v>
      </c>
      <c r="G12" s="12">
        <v>0</v>
      </c>
      <c r="H12" s="12">
        <v>156</v>
      </c>
      <c r="I12" s="13">
        <v>437.1</v>
      </c>
      <c r="J12" s="13">
        <v>708.4</v>
      </c>
      <c r="K12" s="13">
        <v>554.00064102564113</v>
      </c>
      <c r="L12" s="13">
        <v>57.957320778694594</v>
      </c>
    </row>
    <row r="13" spans="1:12" x14ac:dyDescent="0.2">
      <c r="A13">
        <f t="shared" si="0"/>
        <v>12</v>
      </c>
      <c r="B13">
        <v>478</v>
      </c>
    </row>
    <row r="14" spans="1:12" x14ac:dyDescent="0.2">
      <c r="A14">
        <f t="shared" si="0"/>
        <v>13</v>
      </c>
      <c r="B14">
        <v>465.5</v>
      </c>
    </row>
    <row r="15" spans="1:12" x14ac:dyDescent="0.2">
      <c r="A15">
        <f t="shared" si="0"/>
        <v>14</v>
      </c>
      <c r="B15">
        <v>452.3</v>
      </c>
      <c r="E15" s="26" t="s">
        <v>185</v>
      </c>
    </row>
    <row r="16" spans="1:12" ht="16" thickBot="1" x14ac:dyDescent="0.25">
      <c r="A16">
        <f t="shared" si="0"/>
        <v>15</v>
      </c>
      <c r="B16">
        <v>470</v>
      </c>
    </row>
    <row r="17" spans="1:13" x14ac:dyDescent="0.2">
      <c r="A17">
        <f t="shared" si="0"/>
        <v>16</v>
      </c>
      <c r="B17">
        <v>511.3</v>
      </c>
      <c r="E17" s="14" t="s">
        <v>186</v>
      </c>
      <c r="F17" s="16">
        <v>-7.5121425689920072</v>
      </c>
    </row>
    <row r="18" spans="1:13" x14ac:dyDescent="0.2">
      <c r="A18">
        <f t="shared" si="0"/>
        <v>17</v>
      </c>
      <c r="B18">
        <v>522</v>
      </c>
      <c r="E18" s="7" t="s">
        <v>187</v>
      </c>
      <c r="F18" s="17">
        <v>-3.4205492831050286</v>
      </c>
    </row>
    <row r="19" spans="1:13" x14ac:dyDescent="0.2">
      <c r="A19">
        <f t="shared" si="0"/>
        <v>18</v>
      </c>
      <c r="B19">
        <v>533.20000000000005</v>
      </c>
      <c r="E19" s="28" t="s">
        <v>188</v>
      </c>
      <c r="F19" s="29" t="s">
        <v>190</v>
      </c>
    </row>
    <row r="20" spans="1:13" ht="16" thickBot="1" x14ac:dyDescent="0.25">
      <c r="A20">
        <f t="shared" si="0"/>
        <v>19</v>
      </c>
      <c r="B20">
        <v>513.20000000000005</v>
      </c>
      <c r="E20" s="15" t="s">
        <v>189</v>
      </c>
      <c r="F20" s="18">
        <v>0.05</v>
      </c>
    </row>
    <row r="21" spans="1:13" x14ac:dyDescent="0.2">
      <c r="A21">
        <f t="shared" si="0"/>
        <v>20</v>
      </c>
      <c r="B21">
        <v>544.20000000000005</v>
      </c>
    </row>
    <row r="22" spans="1:13" x14ac:dyDescent="0.2">
      <c r="A22">
        <f t="shared" si="0"/>
        <v>21</v>
      </c>
      <c r="B22">
        <v>541.4</v>
      </c>
      <c r="E22" s="30" t="s">
        <v>191</v>
      </c>
      <c r="F22" s="26"/>
      <c r="G22" s="26"/>
      <c r="H22" s="26"/>
      <c r="I22" s="26"/>
      <c r="J22" s="26"/>
      <c r="K22" s="26"/>
      <c r="L22" s="26"/>
      <c r="M22" s="26"/>
    </row>
    <row r="23" spans="1:13" x14ac:dyDescent="0.2">
      <c r="A23">
        <f t="shared" si="0"/>
        <v>22</v>
      </c>
      <c r="B23">
        <v>525.70000000000005</v>
      </c>
      <c r="E23" s="30" t="s">
        <v>192</v>
      </c>
      <c r="F23" s="26"/>
      <c r="G23" s="26"/>
      <c r="H23" s="26"/>
      <c r="I23" s="26"/>
      <c r="J23" s="26"/>
      <c r="K23" s="26"/>
      <c r="L23" s="26"/>
      <c r="M23" s="26"/>
    </row>
    <row r="24" spans="1:13" x14ac:dyDescent="0.2">
      <c r="A24">
        <f t="shared" si="0"/>
        <v>23</v>
      </c>
      <c r="B24">
        <v>535.20000000000005</v>
      </c>
      <c r="E24" s="30" t="s">
        <v>193</v>
      </c>
      <c r="F24" s="26"/>
      <c r="G24" s="26"/>
      <c r="H24" s="26"/>
      <c r="I24" s="26"/>
      <c r="J24" s="26"/>
      <c r="K24" s="26"/>
      <c r="L24" s="26"/>
      <c r="M24" s="26"/>
    </row>
    <row r="25" spans="1:13" ht="15" customHeight="1" x14ac:dyDescent="0.2">
      <c r="A25">
        <f t="shared" si="0"/>
        <v>24</v>
      </c>
      <c r="B25">
        <v>495</v>
      </c>
      <c r="E25" s="43" t="s">
        <v>194</v>
      </c>
      <c r="F25" s="43"/>
      <c r="G25" s="43"/>
      <c r="H25" s="43"/>
      <c r="I25" s="43"/>
      <c r="J25" s="43"/>
      <c r="K25" s="43"/>
      <c r="L25" s="43"/>
      <c r="M25" s="43"/>
    </row>
    <row r="26" spans="1:13" x14ac:dyDescent="0.2">
      <c r="A26">
        <f t="shared" si="0"/>
        <v>25</v>
      </c>
      <c r="B26">
        <v>473.6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x14ac:dyDescent="0.2">
      <c r="A27">
        <f t="shared" si="0"/>
        <v>26</v>
      </c>
      <c r="B27">
        <v>444.4</v>
      </c>
    </row>
    <row r="28" spans="1:13" x14ac:dyDescent="0.2">
      <c r="A28">
        <f t="shared" si="0"/>
        <v>27</v>
      </c>
      <c r="B28">
        <v>451.8</v>
      </c>
    </row>
    <row r="29" spans="1:13" x14ac:dyDescent="0.2">
      <c r="A29">
        <f t="shared" si="0"/>
        <v>28</v>
      </c>
      <c r="B29">
        <v>511</v>
      </c>
    </row>
    <row r="30" spans="1:13" x14ac:dyDescent="0.2">
      <c r="A30">
        <f t="shared" si="0"/>
        <v>29</v>
      </c>
      <c r="B30">
        <v>542.79999999999995</v>
      </c>
    </row>
    <row r="31" spans="1:13" x14ac:dyDescent="0.2">
      <c r="A31">
        <f t="shared" si="0"/>
        <v>30</v>
      </c>
      <c r="B31">
        <v>556</v>
      </c>
    </row>
    <row r="32" spans="1:13" x14ac:dyDescent="0.2">
      <c r="A32">
        <f t="shared" si="0"/>
        <v>31</v>
      </c>
      <c r="B32">
        <v>563.1</v>
      </c>
    </row>
    <row r="33" spans="1:10" x14ac:dyDescent="0.2">
      <c r="A33">
        <f t="shared" si="0"/>
        <v>32</v>
      </c>
      <c r="B33">
        <v>555</v>
      </c>
    </row>
    <row r="34" spans="1:10" x14ac:dyDescent="0.2">
      <c r="A34">
        <f t="shared" si="0"/>
        <v>33</v>
      </c>
      <c r="B34">
        <v>513.6</v>
      </c>
    </row>
    <row r="35" spans="1:10" x14ac:dyDescent="0.2">
      <c r="A35">
        <f t="shared" si="0"/>
        <v>34</v>
      </c>
      <c r="B35">
        <v>514.70000000000005</v>
      </c>
    </row>
    <row r="36" spans="1:10" x14ac:dyDescent="0.2">
      <c r="A36">
        <f t="shared" si="0"/>
        <v>35</v>
      </c>
      <c r="B36">
        <v>547.9</v>
      </c>
    </row>
    <row r="37" spans="1:10" x14ac:dyDescent="0.2">
      <c r="A37">
        <f t="shared" si="0"/>
        <v>36</v>
      </c>
      <c r="B37">
        <v>489.9</v>
      </c>
    </row>
    <row r="38" spans="1:10" x14ac:dyDescent="0.2">
      <c r="A38">
        <f t="shared" si="0"/>
        <v>37</v>
      </c>
      <c r="B38">
        <v>467.1</v>
      </c>
    </row>
    <row r="39" spans="1:10" x14ac:dyDescent="0.2">
      <c r="A39">
        <f t="shared" si="0"/>
        <v>38</v>
      </c>
      <c r="B39">
        <v>472.7</v>
      </c>
    </row>
    <row r="40" spans="1:10" x14ac:dyDescent="0.2">
      <c r="A40">
        <f t="shared" si="0"/>
        <v>39</v>
      </c>
      <c r="B40">
        <v>449.5</v>
      </c>
    </row>
    <row r="41" spans="1:10" x14ac:dyDescent="0.2">
      <c r="A41">
        <f t="shared" si="0"/>
        <v>40</v>
      </c>
      <c r="B41">
        <v>491.5</v>
      </c>
    </row>
    <row r="42" spans="1:10" x14ac:dyDescent="0.2">
      <c r="A42">
        <f t="shared" si="0"/>
        <v>41</v>
      </c>
      <c r="B42">
        <v>544</v>
      </c>
    </row>
    <row r="43" spans="1:10" x14ac:dyDescent="0.2">
      <c r="A43">
        <f t="shared" si="0"/>
        <v>42</v>
      </c>
      <c r="B43">
        <v>572.5</v>
      </c>
    </row>
    <row r="44" spans="1:10" x14ac:dyDescent="0.2">
      <c r="A44">
        <f t="shared" si="0"/>
        <v>43</v>
      </c>
      <c r="B44">
        <v>525.79999999999995</v>
      </c>
    </row>
    <row r="45" spans="1:10" x14ac:dyDescent="0.2">
      <c r="A45">
        <f t="shared" si="0"/>
        <v>44</v>
      </c>
      <c r="B45">
        <v>510.1</v>
      </c>
      <c r="J45" t="s">
        <v>195</v>
      </c>
    </row>
    <row r="46" spans="1:10" x14ac:dyDescent="0.2">
      <c r="A46">
        <f t="shared" si="0"/>
        <v>45</v>
      </c>
      <c r="B46">
        <v>519.1</v>
      </c>
    </row>
    <row r="47" spans="1:10" x14ac:dyDescent="0.2">
      <c r="A47">
        <f t="shared" si="0"/>
        <v>46</v>
      </c>
      <c r="B47">
        <v>522.1</v>
      </c>
    </row>
    <row r="48" spans="1:10" x14ac:dyDescent="0.2">
      <c r="A48">
        <f t="shared" si="0"/>
        <v>47</v>
      </c>
      <c r="B48">
        <v>535.6</v>
      </c>
    </row>
    <row r="49" spans="1:2" x14ac:dyDescent="0.2">
      <c r="A49">
        <f t="shared" si="0"/>
        <v>48</v>
      </c>
      <c r="B49">
        <v>484</v>
      </c>
    </row>
    <row r="50" spans="1:2" x14ac:dyDescent="0.2">
      <c r="A50">
        <f t="shared" si="0"/>
        <v>49</v>
      </c>
      <c r="B50">
        <v>476.4</v>
      </c>
    </row>
    <row r="51" spans="1:2" x14ac:dyDescent="0.2">
      <c r="A51">
        <f t="shared" si="0"/>
        <v>50</v>
      </c>
      <c r="B51">
        <v>460.5</v>
      </c>
    </row>
    <row r="52" spans="1:2" x14ac:dyDescent="0.2">
      <c r="A52">
        <f t="shared" si="0"/>
        <v>51</v>
      </c>
      <c r="B52">
        <v>461.2</v>
      </c>
    </row>
    <row r="53" spans="1:2" x14ac:dyDescent="0.2">
      <c r="A53">
        <f t="shared" si="0"/>
        <v>52</v>
      </c>
      <c r="B53">
        <v>510.5</v>
      </c>
    </row>
    <row r="54" spans="1:2" x14ac:dyDescent="0.2">
      <c r="A54">
        <f t="shared" si="0"/>
        <v>53</v>
      </c>
      <c r="B54">
        <v>556.6</v>
      </c>
    </row>
    <row r="55" spans="1:2" x14ac:dyDescent="0.2">
      <c r="A55">
        <f t="shared" si="0"/>
        <v>54</v>
      </c>
      <c r="B55">
        <v>609.5</v>
      </c>
    </row>
    <row r="56" spans="1:2" x14ac:dyDescent="0.2">
      <c r="A56">
        <f t="shared" si="0"/>
        <v>55</v>
      </c>
      <c r="B56">
        <v>592.70000000000005</v>
      </c>
    </row>
    <row r="57" spans="1:2" x14ac:dyDescent="0.2">
      <c r="A57">
        <f t="shared" si="0"/>
        <v>56</v>
      </c>
      <c r="B57">
        <v>572.1</v>
      </c>
    </row>
    <row r="58" spans="1:2" x14ac:dyDescent="0.2">
      <c r="A58">
        <f t="shared" si="0"/>
        <v>57</v>
      </c>
      <c r="B58">
        <v>554.9</v>
      </c>
    </row>
    <row r="59" spans="1:2" x14ac:dyDescent="0.2">
      <c r="A59">
        <f t="shared" si="0"/>
        <v>58</v>
      </c>
      <c r="B59">
        <v>557.4</v>
      </c>
    </row>
    <row r="60" spans="1:2" x14ac:dyDescent="0.2">
      <c r="A60">
        <f t="shared" si="0"/>
        <v>59</v>
      </c>
      <c r="B60">
        <v>562.9</v>
      </c>
    </row>
    <row r="61" spans="1:2" x14ac:dyDescent="0.2">
      <c r="A61">
        <f t="shared" si="0"/>
        <v>60</v>
      </c>
      <c r="B61">
        <v>516</v>
      </c>
    </row>
    <row r="62" spans="1:2" x14ac:dyDescent="0.2">
      <c r="A62">
        <f t="shared" si="0"/>
        <v>61</v>
      </c>
      <c r="B62">
        <v>490.6</v>
      </c>
    </row>
    <row r="63" spans="1:2" x14ac:dyDescent="0.2">
      <c r="A63">
        <f t="shared" si="0"/>
        <v>62</v>
      </c>
      <c r="B63">
        <v>503.9</v>
      </c>
    </row>
    <row r="64" spans="1:2" x14ac:dyDescent="0.2">
      <c r="A64">
        <f t="shared" si="0"/>
        <v>63</v>
      </c>
      <c r="B64">
        <v>547.6</v>
      </c>
    </row>
    <row r="65" spans="1:2" x14ac:dyDescent="0.2">
      <c r="A65">
        <f t="shared" si="0"/>
        <v>64</v>
      </c>
      <c r="B65">
        <v>585</v>
      </c>
    </row>
    <row r="66" spans="1:2" x14ac:dyDescent="0.2">
      <c r="A66">
        <f t="shared" si="0"/>
        <v>65</v>
      </c>
      <c r="B66">
        <v>573.5</v>
      </c>
    </row>
    <row r="67" spans="1:2" x14ac:dyDescent="0.2">
      <c r="A67">
        <f t="shared" si="0"/>
        <v>66</v>
      </c>
      <c r="B67">
        <v>606</v>
      </c>
    </row>
    <row r="68" spans="1:2" x14ac:dyDescent="0.2">
      <c r="A68">
        <f t="shared" ref="A68:A131" si="1">A67+1</f>
        <v>67</v>
      </c>
      <c r="B68">
        <v>575.20000000000005</v>
      </c>
    </row>
    <row r="69" spans="1:2" x14ac:dyDescent="0.2">
      <c r="A69">
        <f t="shared" si="1"/>
        <v>68</v>
      </c>
      <c r="B69">
        <v>539.70000000000005</v>
      </c>
    </row>
    <row r="70" spans="1:2" x14ac:dyDescent="0.2">
      <c r="A70">
        <f t="shared" si="1"/>
        <v>69</v>
      </c>
      <c r="B70">
        <v>539.20000000000005</v>
      </c>
    </row>
    <row r="71" spans="1:2" x14ac:dyDescent="0.2">
      <c r="A71">
        <f t="shared" si="1"/>
        <v>70</v>
      </c>
      <c r="B71">
        <v>557.79999999999995</v>
      </c>
    </row>
    <row r="72" spans="1:2" x14ac:dyDescent="0.2">
      <c r="A72">
        <f t="shared" si="1"/>
        <v>71</v>
      </c>
      <c r="B72">
        <v>581.4</v>
      </c>
    </row>
    <row r="73" spans="1:2" x14ac:dyDescent="0.2">
      <c r="A73">
        <f t="shared" si="1"/>
        <v>72</v>
      </c>
      <c r="B73">
        <v>536.20000000000005</v>
      </c>
    </row>
    <row r="74" spans="1:2" x14ac:dyDescent="0.2">
      <c r="A74">
        <f t="shared" si="1"/>
        <v>73</v>
      </c>
      <c r="B74">
        <v>499.3</v>
      </c>
    </row>
    <row r="75" spans="1:2" x14ac:dyDescent="0.2">
      <c r="A75">
        <f t="shared" si="1"/>
        <v>74</v>
      </c>
      <c r="B75">
        <v>461.7</v>
      </c>
    </row>
    <row r="76" spans="1:2" x14ac:dyDescent="0.2">
      <c r="A76">
        <f t="shared" si="1"/>
        <v>75</v>
      </c>
      <c r="B76">
        <v>465.7</v>
      </c>
    </row>
    <row r="77" spans="1:2" x14ac:dyDescent="0.2">
      <c r="A77">
        <f t="shared" si="1"/>
        <v>76</v>
      </c>
      <c r="B77">
        <v>524.4</v>
      </c>
    </row>
    <row r="78" spans="1:2" x14ac:dyDescent="0.2">
      <c r="A78">
        <f t="shared" si="1"/>
        <v>77</v>
      </c>
      <c r="B78">
        <v>565.1</v>
      </c>
    </row>
    <row r="79" spans="1:2" x14ac:dyDescent="0.2">
      <c r="A79">
        <f t="shared" si="1"/>
        <v>78</v>
      </c>
      <c r="B79">
        <v>602.79999999999995</v>
      </c>
    </row>
    <row r="80" spans="1:2" x14ac:dyDescent="0.2">
      <c r="A80">
        <f t="shared" si="1"/>
        <v>79</v>
      </c>
      <c r="B80">
        <v>586</v>
      </c>
    </row>
    <row r="81" spans="1:2" x14ac:dyDescent="0.2">
      <c r="A81">
        <f t="shared" si="1"/>
        <v>80</v>
      </c>
      <c r="B81">
        <v>590.6</v>
      </c>
    </row>
    <row r="82" spans="1:2" x14ac:dyDescent="0.2">
      <c r="A82">
        <f t="shared" si="1"/>
        <v>81</v>
      </c>
      <c r="B82">
        <v>582.6</v>
      </c>
    </row>
    <row r="83" spans="1:2" x14ac:dyDescent="0.2">
      <c r="A83">
        <f t="shared" si="1"/>
        <v>82</v>
      </c>
      <c r="B83">
        <v>557.70000000000005</v>
      </c>
    </row>
    <row r="84" spans="1:2" x14ac:dyDescent="0.2">
      <c r="A84">
        <f t="shared" si="1"/>
        <v>83</v>
      </c>
      <c r="B84">
        <v>541.1</v>
      </c>
    </row>
    <row r="85" spans="1:2" x14ac:dyDescent="0.2">
      <c r="A85">
        <f t="shared" si="1"/>
        <v>84</v>
      </c>
      <c r="B85">
        <v>505.9</v>
      </c>
    </row>
    <row r="86" spans="1:2" x14ac:dyDescent="0.2">
      <c r="A86">
        <f t="shared" si="1"/>
        <v>85</v>
      </c>
      <c r="B86">
        <v>503.3</v>
      </c>
    </row>
    <row r="87" spans="1:2" x14ac:dyDescent="0.2">
      <c r="A87">
        <f t="shared" si="1"/>
        <v>86</v>
      </c>
      <c r="B87">
        <v>505</v>
      </c>
    </row>
    <row r="88" spans="1:2" x14ac:dyDescent="0.2">
      <c r="A88">
        <f t="shared" si="1"/>
        <v>87</v>
      </c>
      <c r="B88">
        <v>508.6</v>
      </c>
    </row>
    <row r="89" spans="1:2" x14ac:dyDescent="0.2">
      <c r="A89">
        <f t="shared" si="1"/>
        <v>88</v>
      </c>
      <c r="B89">
        <v>540.9</v>
      </c>
    </row>
    <row r="90" spans="1:2" x14ac:dyDescent="0.2">
      <c r="A90">
        <f t="shared" si="1"/>
        <v>89</v>
      </c>
      <c r="B90">
        <v>557.1</v>
      </c>
    </row>
    <row r="91" spans="1:2" x14ac:dyDescent="0.2">
      <c r="A91">
        <f t="shared" si="1"/>
        <v>90</v>
      </c>
      <c r="B91">
        <v>607.9</v>
      </c>
    </row>
    <row r="92" spans="1:2" x14ac:dyDescent="0.2">
      <c r="A92">
        <f t="shared" si="1"/>
        <v>91</v>
      </c>
      <c r="B92">
        <v>594.79999999999995</v>
      </c>
    </row>
    <row r="93" spans="1:2" x14ac:dyDescent="0.2">
      <c r="A93">
        <f t="shared" si="1"/>
        <v>92</v>
      </c>
      <c r="B93">
        <v>585.6</v>
      </c>
    </row>
    <row r="94" spans="1:2" x14ac:dyDescent="0.2">
      <c r="A94">
        <f t="shared" si="1"/>
        <v>93</v>
      </c>
      <c r="B94">
        <v>573.20000000000005</v>
      </c>
    </row>
    <row r="95" spans="1:2" x14ac:dyDescent="0.2">
      <c r="A95">
        <f t="shared" si="1"/>
        <v>94</v>
      </c>
      <c r="B95">
        <v>560.20000000000005</v>
      </c>
    </row>
    <row r="96" spans="1:2" x14ac:dyDescent="0.2">
      <c r="A96">
        <f t="shared" si="1"/>
        <v>95</v>
      </c>
      <c r="B96">
        <v>568.1</v>
      </c>
    </row>
    <row r="97" spans="1:2" x14ac:dyDescent="0.2">
      <c r="A97">
        <f t="shared" si="1"/>
        <v>96</v>
      </c>
      <c r="B97">
        <v>524.79999999999995</v>
      </c>
    </row>
    <row r="98" spans="1:2" x14ac:dyDescent="0.2">
      <c r="A98">
        <f t="shared" si="1"/>
        <v>97</v>
      </c>
      <c r="B98">
        <v>513.1</v>
      </c>
    </row>
    <row r="99" spans="1:2" x14ac:dyDescent="0.2">
      <c r="A99">
        <f t="shared" si="1"/>
        <v>98</v>
      </c>
      <c r="B99">
        <v>498</v>
      </c>
    </row>
    <row r="100" spans="1:2" x14ac:dyDescent="0.2">
      <c r="A100">
        <f t="shared" si="1"/>
        <v>99</v>
      </c>
      <c r="B100">
        <v>498.3</v>
      </c>
    </row>
    <row r="101" spans="1:2" x14ac:dyDescent="0.2">
      <c r="A101">
        <f t="shared" si="1"/>
        <v>100</v>
      </c>
      <c r="B101">
        <v>568.29999999999995</v>
      </c>
    </row>
    <row r="102" spans="1:2" x14ac:dyDescent="0.2">
      <c r="A102">
        <f t="shared" si="1"/>
        <v>101</v>
      </c>
      <c r="B102">
        <v>601.79999999999995</v>
      </c>
    </row>
    <row r="103" spans="1:2" x14ac:dyDescent="0.2">
      <c r="A103">
        <f t="shared" si="1"/>
        <v>102</v>
      </c>
      <c r="B103">
        <v>629.6</v>
      </c>
    </row>
    <row r="104" spans="1:2" x14ac:dyDescent="0.2">
      <c r="A104">
        <f t="shared" si="1"/>
        <v>103</v>
      </c>
      <c r="B104">
        <v>612</v>
      </c>
    </row>
    <row r="105" spans="1:2" x14ac:dyDescent="0.2">
      <c r="A105">
        <f t="shared" si="1"/>
        <v>104</v>
      </c>
      <c r="B105">
        <v>617.5</v>
      </c>
    </row>
    <row r="106" spans="1:2" x14ac:dyDescent="0.2">
      <c r="A106">
        <f t="shared" si="1"/>
        <v>105</v>
      </c>
      <c r="B106">
        <v>560.6</v>
      </c>
    </row>
    <row r="107" spans="1:2" x14ac:dyDescent="0.2">
      <c r="A107">
        <f t="shared" si="1"/>
        <v>106</v>
      </c>
      <c r="B107">
        <v>555</v>
      </c>
    </row>
    <row r="108" spans="1:2" x14ac:dyDescent="0.2">
      <c r="A108">
        <f t="shared" si="1"/>
        <v>107</v>
      </c>
      <c r="B108">
        <v>570.70000000000005</v>
      </c>
    </row>
    <row r="109" spans="1:2" x14ac:dyDescent="0.2">
      <c r="A109">
        <f t="shared" si="1"/>
        <v>108</v>
      </c>
      <c r="B109">
        <v>530.1</v>
      </c>
    </row>
    <row r="110" spans="1:2" x14ac:dyDescent="0.2">
      <c r="A110">
        <f t="shared" si="1"/>
        <v>109</v>
      </c>
      <c r="B110">
        <v>509.7</v>
      </c>
    </row>
    <row r="111" spans="1:2" x14ac:dyDescent="0.2">
      <c r="A111">
        <f t="shared" si="1"/>
        <v>110</v>
      </c>
      <c r="B111">
        <v>489.3</v>
      </c>
    </row>
    <row r="112" spans="1:2" x14ac:dyDescent="0.2">
      <c r="A112">
        <f t="shared" si="1"/>
        <v>111</v>
      </c>
      <c r="B112">
        <v>488.7</v>
      </c>
    </row>
    <row r="113" spans="1:2" x14ac:dyDescent="0.2">
      <c r="A113">
        <f t="shared" si="1"/>
        <v>112</v>
      </c>
      <c r="B113">
        <v>568.1</v>
      </c>
    </row>
    <row r="114" spans="1:2" x14ac:dyDescent="0.2">
      <c r="A114">
        <f t="shared" si="1"/>
        <v>113</v>
      </c>
      <c r="B114">
        <v>609.5</v>
      </c>
    </row>
    <row r="115" spans="1:2" x14ac:dyDescent="0.2">
      <c r="A115">
        <f t="shared" si="1"/>
        <v>114</v>
      </c>
      <c r="B115">
        <v>639</v>
      </c>
    </row>
    <row r="116" spans="1:2" x14ac:dyDescent="0.2">
      <c r="A116">
        <f t="shared" si="1"/>
        <v>115</v>
      </c>
      <c r="B116">
        <v>628.1</v>
      </c>
    </row>
    <row r="117" spans="1:2" x14ac:dyDescent="0.2">
      <c r="A117">
        <f t="shared" si="1"/>
        <v>116</v>
      </c>
      <c r="B117">
        <v>635.5</v>
      </c>
    </row>
    <row r="118" spans="1:2" x14ac:dyDescent="0.2">
      <c r="A118">
        <f t="shared" si="1"/>
        <v>117</v>
      </c>
      <c r="B118">
        <v>592.4</v>
      </c>
    </row>
    <row r="119" spans="1:2" x14ac:dyDescent="0.2">
      <c r="A119">
        <f t="shared" si="1"/>
        <v>118</v>
      </c>
      <c r="B119">
        <v>580.9</v>
      </c>
    </row>
    <row r="120" spans="1:2" x14ac:dyDescent="0.2">
      <c r="A120">
        <f t="shared" si="1"/>
        <v>119</v>
      </c>
      <c r="B120">
        <v>611.5</v>
      </c>
    </row>
    <row r="121" spans="1:2" x14ac:dyDescent="0.2">
      <c r="A121">
        <f t="shared" si="1"/>
        <v>120</v>
      </c>
      <c r="B121">
        <v>571.79999999999995</v>
      </c>
    </row>
    <row r="122" spans="1:2" x14ac:dyDescent="0.2">
      <c r="A122">
        <f t="shared" si="1"/>
        <v>121</v>
      </c>
      <c r="B122">
        <v>525.20000000000005</v>
      </c>
    </row>
    <row r="123" spans="1:2" x14ac:dyDescent="0.2">
      <c r="A123">
        <f t="shared" si="1"/>
        <v>122</v>
      </c>
      <c r="B123">
        <v>493.6</v>
      </c>
    </row>
    <row r="124" spans="1:2" x14ac:dyDescent="0.2">
      <c r="A124">
        <f t="shared" si="1"/>
        <v>123</v>
      </c>
      <c r="B124">
        <v>513.9</v>
      </c>
    </row>
    <row r="125" spans="1:2" x14ac:dyDescent="0.2">
      <c r="A125">
        <f t="shared" si="1"/>
        <v>124</v>
      </c>
      <c r="B125">
        <v>594.20000000000005</v>
      </c>
    </row>
    <row r="126" spans="1:2" x14ac:dyDescent="0.2">
      <c r="A126">
        <f t="shared" si="1"/>
        <v>125</v>
      </c>
      <c r="B126">
        <v>610.70000000000005</v>
      </c>
    </row>
    <row r="127" spans="1:2" x14ac:dyDescent="0.2">
      <c r="A127">
        <f t="shared" si="1"/>
        <v>126</v>
      </c>
      <c r="B127">
        <v>632.29999999999995</v>
      </c>
    </row>
    <row r="128" spans="1:2" x14ac:dyDescent="0.2">
      <c r="A128">
        <f t="shared" si="1"/>
        <v>127</v>
      </c>
      <c r="B128">
        <v>647</v>
      </c>
    </row>
    <row r="129" spans="1:2" x14ac:dyDescent="0.2">
      <c r="A129">
        <f t="shared" si="1"/>
        <v>128</v>
      </c>
      <c r="B129">
        <v>656.7</v>
      </c>
    </row>
    <row r="130" spans="1:2" x14ac:dyDescent="0.2">
      <c r="A130">
        <f t="shared" si="1"/>
        <v>129</v>
      </c>
      <c r="B130">
        <v>635.70000000000005</v>
      </c>
    </row>
    <row r="131" spans="1:2" x14ac:dyDescent="0.2">
      <c r="A131">
        <f t="shared" si="1"/>
        <v>130</v>
      </c>
      <c r="B131">
        <v>643.6</v>
      </c>
    </row>
    <row r="132" spans="1:2" x14ac:dyDescent="0.2">
      <c r="A132">
        <f t="shared" ref="A132:A157" si="2">A131+1</f>
        <v>131</v>
      </c>
      <c r="B132">
        <v>645.70000000000005</v>
      </c>
    </row>
    <row r="133" spans="1:2" x14ac:dyDescent="0.2">
      <c r="A133">
        <f t="shared" si="2"/>
        <v>132</v>
      </c>
      <c r="B133">
        <v>622.4</v>
      </c>
    </row>
    <row r="134" spans="1:2" x14ac:dyDescent="0.2">
      <c r="A134">
        <f t="shared" si="2"/>
        <v>133</v>
      </c>
      <c r="B134">
        <v>570.29999999999995</v>
      </c>
    </row>
    <row r="135" spans="1:2" x14ac:dyDescent="0.2">
      <c r="A135">
        <f t="shared" si="2"/>
        <v>134</v>
      </c>
      <c r="B135">
        <v>580.4</v>
      </c>
    </row>
    <row r="136" spans="1:2" x14ac:dyDescent="0.2">
      <c r="A136">
        <f t="shared" si="2"/>
        <v>135</v>
      </c>
      <c r="B136">
        <v>585.4</v>
      </c>
    </row>
    <row r="137" spans="1:2" x14ac:dyDescent="0.2">
      <c r="A137">
        <f t="shared" si="2"/>
        <v>136</v>
      </c>
      <c r="B137">
        <v>648.70000000000005</v>
      </c>
    </row>
    <row r="138" spans="1:2" x14ac:dyDescent="0.2">
      <c r="A138">
        <f t="shared" si="2"/>
        <v>137</v>
      </c>
      <c r="B138">
        <v>689.1</v>
      </c>
    </row>
    <row r="139" spans="1:2" x14ac:dyDescent="0.2">
      <c r="A139">
        <f t="shared" si="2"/>
        <v>138</v>
      </c>
      <c r="B139">
        <v>708.4</v>
      </c>
    </row>
    <row r="140" spans="1:2" x14ac:dyDescent="0.2">
      <c r="A140">
        <f t="shared" si="2"/>
        <v>139</v>
      </c>
      <c r="B140">
        <v>642.20000000000005</v>
      </c>
    </row>
    <row r="141" spans="1:2" x14ac:dyDescent="0.2">
      <c r="A141">
        <f t="shared" si="2"/>
        <v>140</v>
      </c>
      <c r="B141">
        <v>647.1</v>
      </c>
    </row>
    <row r="142" spans="1:2" x14ac:dyDescent="0.2">
      <c r="A142">
        <f t="shared" si="2"/>
        <v>141</v>
      </c>
      <c r="B142">
        <v>647.79999999999995</v>
      </c>
    </row>
    <row r="143" spans="1:2" x14ac:dyDescent="0.2">
      <c r="A143">
        <f t="shared" si="2"/>
        <v>142</v>
      </c>
      <c r="B143">
        <v>650.4</v>
      </c>
    </row>
    <row r="144" spans="1:2" x14ac:dyDescent="0.2">
      <c r="A144">
        <f t="shared" si="2"/>
        <v>143</v>
      </c>
      <c r="B144">
        <v>644.70000000000005</v>
      </c>
    </row>
    <row r="145" spans="1:2" x14ac:dyDescent="0.2">
      <c r="A145">
        <f t="shared" si="2"/>
        <v>144</v>
      </c>
      <c r="B145">
        <v>575.20000000000005</v>
      </c>
    </row>
    <row r="146" spans="1:2" x14ac:dyDescent="0.2">
      <c r="A146">
        <f t="shared" si="2"/>
        <v>145</v>
      </c>
      <c r="B146">
        <v>567.1</v>
      </c>
    </row>
    <row r="147" spans="1:2" x14ac:dyDescent="0.2">
      <c r="A147">
        <f t="shared" si="2"/>
        <v>146</v>
      </c>
      <c r="B147">
        <v>574</v>
      </c>
    </row>
    <row r="148" spans="1:2" x14ac:dyDescent="0.2">
      <c r="A148">
        <f t="shared" si="2"/>
        <v>147</v>
      </c>
      <c r="B148">
        <v>533.1</v>
      </c>
    </row>
    <row r="149" spans="1:2" x14ac:dyDescent="0.2">
      <c r="A149">
        <f t="shared" si="2"/>
        <v>148</v>
      </c>
      <c r="B149">
        <v>583.70000000000005</v>
      </c>
    </row>
    <row r="150" spans="1:2" x14ac:dyDescent="0.2">
      <c r="A150">
        <f t="shared" si="2"/>
        <v>149</v>
      </c>
      <c r="B150">
        <v>619.9</v>
      </c>
    </row>
    <row r="151" spans="1:2" x14ac:dyDescent="0.2">
      <c r="A151">
        <f t="shared" si="2"/>
        <v>150</v>
      </c>
      <c r="B151">
        <v>649</v>
      </c>
    </row>
    <row r="152" spans="1:2" x14ac:dyDescent="0.2">
      <c r="A152">
        <f t="shared" si="2"/>
        <v>151</v>
      </c>
      <c r="B152">
        <v>698.1</v>
      </c>
    </row>
    <row r="153" spans="1:2" x14ac:dyDescent="0.2">
      <c r="A153">
        <f t="shared" si="2"/>
        <v>152</v>
      </c>
      <c r="B153">
        <v>630.20000000000005</v>
      </c>
    </row>
    <row r="154" spans="1:2" x14ac:dyDescent="0.2">
      <c r="A154">
        <f t="shared" si="2"/>
        <v>153</v>
      </c>
      <c r="B154">
        <v>613.1</v>
      </c>
    </row>
    <row r="155" spans="1:2" x14ac:dyDescent="0.2">
      <c r="A155">
        <f t="shared" si="2"/>
        <v>154</v>
      </c>
      <c r="B155">
        <v>622</v>
      </c>
    </row>
    <row r="156" spans="1:2" x14ac:dyDescent="0.2">
      <c r="A156">
        <f t="shared" si="2"/>
        <v>155</v>
      </c>
      <c r="B156">
        <v>622.1</v>
      </c>
    </row>
    <row r="157" spans="1:2" x14ac:dyDescent="0.2">
      <c r="A157">
        <f t="shared" si="2"/>
        <v>156</v>
      </c>
      <c r="B157">
        <v>583.1</v>
      </c>
    </row>
  </sheetData>
  <mergeCells count="1">
    <mergeCell ref="E25:M26"/>
  </mergeCells>
  <pageMargins left="0.7" right="0.7" top="0.75" bottom="0.75" header="0.3" footer="0.3"/>
  <pageSetup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D526922">
              <controlPr defaultSize="0" autoFill="0" autoPict="0" macro="[0]!GoToResultsNew101220183072783">
                <anchor moveWithCells="1">
                  <from>
                    <xdr:col>3</xdr:col>
                    <xdr:colOff>609600</xdr:colOff>
                    <xdr:row>5</xdr:row>
                    <xdr:rowOff>0</xdr:rowOff>
                  </from>
                  <to>
                    <xdr:col>4</xdr:col>
                    <xdr:colOff>3048000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BFC6E-90A7-4729-A1E7-C0F8A977B3B3}">
  <sheetPr codeName="Sheet16">
    <tabColor rgb="FF007800"/>
  </sheetPr>
  <dimension ref="B1:J325"/>
  <sheetViews>
    <sheetView zoomScaleNormal="100" workbookViewId="0">
      <selection activeCell="E58" sqref="E58"/>
    </sheetView>
  </sheetViews>
  <sheetFormatPr baseColWidth="10" defaultColWidth="8.83203125" defaultRowHeight="15" x14ac:dyDescent="0.2"/>
  <cols>
    <col min="1" max="1" width="6" customWidth="1"/>
    <col min="2" max="2" width="14.6640625" customWidth="1"/>
    <col min="3" max="3" width="14" customWidth="1"/>
    <col min="4" max="4" width="20.6640625" customWidth="1"/>
  </cols>
  <sheetData>
    <row r="1" spans="2:2" x14ac:dyDescent="0.2">
      <c r="B1" t="s">
        <v>244</v>
      </c>
    </row>
    <row r="2" spans="2:2" x14ac:dyDescent="0.2">
      <c r="B2" t="s">
        <v>234</v>
      </c>
    </row>
    <row r="3" spans="2:2" x14ac:dyDescent="0.2">
      <c r="B3" t="s">
        <v>235</v>
      </c>
    </row>
    <row r="4" spans="2:2" x14ac:dyDescent="0.2">
      <c r="B4" t="s">
        <v>197</v>
      </c>
    </row>
    <row r="5" spans="2:2" x14ac:dyDescent="0.2">
      <c r="B5" t="s">
        <v>236</v>
      </c>
    </row>
    <row r="6" spans="2:2" x14ac:dyDescent="0.2">
      <c r="B6" t="s">
        <v>243</v>
      </c>
    </row>
    <row r="7" spans="2:2" x14ac:dyDescent="0.2">
      <c r="B7" t="s">
        <v>238</v>
      </c>
    </row>
    <row r="8" spans="2:2" x14ac:dyDescent="0.2">
      <c r="B8" t="s">
        <v>237</v>
      </c>
    </row>
    <row r="9" spans="2:2" x14ac:dyDescent="0.2">
      <c r="B9" t="s">
        <v>197</v>
      </c>
    </row>
    <row r="10" spans="2:2" x14ac:dyDescent="0.2">
      <c r="B10" t="s">
        <v>229</v>
      </c>
    </row>
    <row r="11" spans="2:2" ht="34.25" customHeight="1" x14ac:dyDescent="0.2"/>
    <row r="12" spans="2:2" ht="16.25" customHeight="1" x14ac:dyDescent="0.2"/>
    <row r="15" spans="2:2" x14ac:dyDescent="0.2">
      <c r="B15" t="s">
        <v>175</v>
      </c>
    </row>
    <row r="16" spans="2:2" ht="16" thickBot="1" x14ac:dyDescent="0.25"/>
    <row r="17" spans="2:9" x14ac:dyDescent="0.2">
      <c r="B17" s="8" t="s">
        <v>176</v>
      </c>
      <c r="C17" s="9" t="s">
        <v>177</v>
      </c>
      <c r="D17" s="9" t="s">
        <v>178</v>
      </c>
      <c r="E17" s="9" t="s">
        <v>179</v>
      </c>
      <c r="F17" s="9" t="s">
        <v>180</v>
      </c>
      <c r="G17" s="9" t="s">
        <v>181</v>
      </c>
      <c r="H17" s="9" t="s">
        <v>182</v>
      </c>
      <c r="I17" s="9" t="s">
        <v>183</v>
      </c>
    </row>
    <row r="18" spans="2:9" ht="16" thickBot="1" x14ac:dyDescent="0.25">
      <c r="B18" s="11" t="s">
        <v>4</v>
      </c>
      <c r="C18" s="12">
        <v>156</v>
      </c>
      <c r="D18" s="12">
        <v>0</v>
      </c>
      <c r="E18" s="12">
        <v>156</v>
      </c>
      <c r="F18" s="13">
        <v>437.1</v>
      </c>
      <c r="G18" s="13">
        <v>708.4</v>
      </c>
      <c r="H18" s="13">
        <v>554.00064102564113</v>
      </c>
      <c r="I18" s="13">
        <v>57.957320778694594</v>
      </c>
    </row>
    <row r="21" spans="2:9" x14ac:dyDescent="0.2">
      <c r="B21" s="19" t="s">
        <v>230</v>
      </c>
    </row>
    <row r="23" spans="2:9" x14ac:dyDescent="0.2">
      <c r="B23" t="s">
        <v>231</v>
      </c>
    </row>
    <row r="25" spans="2:9" x14ac:dyDescent="0.2">
      <c r="B25" s="26" t="s">
        <v>198</v>
      </c>
      <c r="C25" s="26"/>
      <c r="D25" s="26"/>
    </row>
    <row r="26" spans="2:9" ht="16" thickBot="1" x14ac:dyDescent="0.25"/>
    <row r="27" spans="2:9" x14ac:dyDescent="0.2">
      <c r="B27" s="14" t="s">
        <v>177</v>
      </c>
      <c r="C27" s="14">
        <v>131</v>
      </c>
    </row>
    <row r="28" spans="2:9" x14ac:dyDescent="0.2">
      <c r="B28" s="7" t="s">
        <v>199</v>
      </c>
      <c r="C28" s="7">
        <v>127</v>
      </c>
    </row>
    <row r="29" spans="2:9" x14ac:dyDescent="0.2">
      <c r="B29" s="7" t="s">
        <v>200</v>
      </c>
      <c r="C29" s="7">
        <v>52936.457420194813</v>
      </c>
    </row>
    <row r="30" spans="2:9" x14ac:dyDescent="0.2">
      <c r="B30" s="7" t="s">
        <v>201</v>
      </c>
      <c r="C30" s="7">
        <v>416.82249937161271</v>
      </c>
    </row>
    <row r="31" spans="2:9" x14ac:dyDescent="0.2">
      <c r="B31" s="28" t="s">
        <v>167</v>
      </c>
      <c r="C31" s="28">
        <v>20.416231272485447</v>
      </c>
    </row>
    <row r="32" spans="2:9" x14ac:dyDescent="0.2">
      <c r="B32" s="7" t="s">
        <v>202</v>
      </c>
      <c r="C32" s="7">
        <v>416.82249937161271</v>
      </c>
    </row>
    <row r="33" spans="2:6" x14ac:dyDescent="0.2">
      <c r="B33" s="7" t="s">
        <v>203</v>
      </c>
      <c r="C33" s="7">
        <v>163.7920556372888</v>
      </c>
    </row>
    <row r="34" spans="2:6" x14ac:dyDescent="0.2">
      <c r="B34" s="28" t="s">
        <v>204</v>
      </c>
      <c r="C34" s="28">
        <v>2.5767066838793804</v>
      </c>
    </row>
    <row r="35" spans="2:6" x14ac:dyDescent="0.2">
      <c r="B35" s="7" t="s">
        <v>205</v>
      </c>
      <c r="C35" s="7">
        <v>1166.5583388400319</v>
      </c>
    </row>
    <row r="36" spans="2:6" x14ac:dyDescent="0.2">
      <c r="B36" s="7" t="s">
        <v>206</v>
      </c>
      <c r="C36" s="7">
        <v>508.66474499586633</v>
      </c>
    </row>
    <row r="37" spans="2:6" x14ac:dyDescent="0.2">
      <c r="B37" s="7" t="s">
        <v>207</v>
      </c>
      <c r="C37" s="7">
        <v>1174.5583388400319</v>
      </c>
    </row>
    <row r="38" spans="2:6" x14ac:dyDescent="0.2">
      <c r="B38" s="7" t="s">
        <v>208</v>
      </c>
      <c r="C38" s="7">
        <v>1174.8757991574921</v>
      </c>
    </row>
    <row r="39" spans="2:6" x14ac:dyDescent="0.2">
      <c r="B39" s="7" t="s">
        <v>209</v>
      </c>
      <c r="C39" s="7">
        <v>1186.0591281328366</v>
      </c>
    </row>
    <row r="40" spans="2:6" ht="16" thickBot="1" x14ac:dyDescent="0.25">
      <c r="B40" s="15" t="s">
        <v>210</v>
      </c>
      <c r="C40" s="15">
        <v>14</v>
      </c>
    </row>
    <row r="43" spans="2:6" x14ac:dyDescent="0.2">
      <c r="B43" t="s">
        <v>211</v>
      </c>
    </row>
    <row r="44" spans="2:6" ht="16" thickBot="1" x14ac:dyDescent="0.25"/>
    <row r="45" spans="2:6" x14ac:dyDescent="0.2">
      <c r="B45" s="8" t="s">
        <v>212</v>
      </c>
      <c r="C45" s="9" t="s">
        <v>213</v>
      </c>
      <c r="D45" s="9" t="s">
        <v>214</v>
      </c>
      <c r="E45" s="9" t="s">
        <v>215</v>
      </c>
      <c r="F45" s="9" t="s">
        <v>216</v>
      </c>
    </row>
    <row r="46" spans="2:6" ht="16" thickBot="1" x14ac:dyDescent="0.25">
      <c r="B46" s="11" t="s">
        <v>217</v>
      </c>
      <c r="C46" s="13">
        <v>-0.23325950699075554</v>
      </c>
      <c r="D46" s="13">
        <v>5.4231217509069516E-3</v>
      </c>
      <c r="E46" s="13">
        <v>-0.24388863030630897</v>
      </c>
      <c r="F46" s="13">
        <v>-0.2226303836752021</v>
      </c>
    </row>
    <row r="48" spans="2:6" ht="16" thickBot="1" x14ac:dyDescent="0.25"/>
    <row r="49" spans="2:9" x14ac:dyDescent="0.2">
      <c r="B49" s="8" t="s">
        <v>212</v>
      </c>
      <c r="C49" s="9" t="s">
        <v>213</v>
      </c>
      <c r="D49" s="9" t="s">
        <v>214</v>
      </c>
      <c r="E49" s="9" t="s">
        <v>215</v>
      </c>
      <c r="F49" s="9" t="s">
        <v>216</v>
      </c>
      <c r="G49" s="9" t="s">
        <v>218</v>
      </c>
      <c r="H49" s="9" t="s">
        <v>215</v>
      </c>
      <c r="I49" s="9" t="s">
        <v>216</v>
      </c>
    </row>
    <row r="50" spans="2:9" x14ac:dyDescent="0.2">
      <c r="B50" s="10" t="s">
        <v>219</v>
      </c>
      <c r="C50" s="20">
        <v>6.6959273804903546E-2</v>
      </c>
      <c r="D50" s="20">
        <v>8.8213269472747727E-2</v>
      </c>
      <c r="E50" s="20">
        <v>-0.10593555732020857</v>
      </c>
      <c r="F50" s="20">
        <v>0.23985410493001566</v>
      </c>
      <c r="G50" s="20">
        <v>8.7308984584107019E-2</v>
      </c>
      <c r="H50" s="20">
        <v>-0.10416319150670897</v>
      </c>
      <c r="I50" s="20">
        <v>0.23808173911651606</v>
      </c>
    </row>
    <row r="51" spans="2:9" ht="16" thickBot="1" x14ac:dyDescent="0.25">
      <c r="B51" s="15" t="s">
        <v>240</v>
      </c>
      <c r="C51" s="21">
        <v>-0.55989227813755926</v>
      </c>
      <c r="D51" s="21">
        <v>7.7154613362926144E-2</v>
      </c>
      <c r="E51" s="21">
        <v>-0.71111254157000725</v>
      </c>
      <c r="F51" s="21">
        <v>-0.40867201470511128</v>
      </c>
      <c r="G51" s="21">
        <v>7.2554200987558673E-2</v>
      </c>
      <c r="H51" s="21">
        <v>-0.7020958990002546</v>
      </c>
      <c r="I51" s="21">
        <v>-0.41768865727486387</v>
      </c>
    </row>
    <row r="54" spans="2:9" x14ac:dyDescent="0.2">
      <c r="B54" t="s">
        <v>221</v>
      </c>
    </row>
    <row r="55" spans="2:9" ht="16" thickBot="1" x14ac:dyDescent="0.25"/>
    <row r="56" spans="2:9" x14ac:dyDescent="0.2">
      <c r="B56" s="31" t="s">
        <v>177</v>
      </c>
      <c r="C56" s="32" t="s">
        <v>4</v>
      </c>
      <c r="D56" s="39" t="s">
        <v>232</v>
      </c>
      <c r="E56" s="9" t="s">
        <v>222</v>
      </c>
      <c r="F56" s="9" t="s">
        <v>223</v>
      </c>
      <c r="G56" s="9" t="s">
        <v>226</v>
      </c>
      <c r="H56" s="9" t="s">
        <v>215</v>
      </c>
      <c r="I56" s="9" t="s">
        <v>216</v>
      </c>
    </row>
    <row r="57" spans="2:9" x14ac:dyDescent="0.2">
      <c r="B57" s="33">
        <v>1</v>
      </c>
      <c r="C57" s="34">
        <v>447.8</v>
      </c>
      <c r="D57" s="40">
        <v>447.8</v>
      </c>
      <c r="E57" s="20">
        <v>0</v>
      </c>
      <c r="F57" s="20">
        <v>0</v>
      </c>
      <c r="G57" s="20"/>
      <c r="H57" s="20"/>
      <c r="I57" s="20"/>
    </row>
    <row r="58" spans="2:9" x14ac:dyDescent="0.2">
      <c r="B58" s="35">
        <v>2</v>
      </c>
      <c r="C58" s="36">
        <v>437.1</v>
      </c>
      <c r="D58" s="41">
        <v>437.1</v>
      </c>
      <c r="E58" s="22">
        <v>0</v>
      </c>
      <c r="F58" s="22">
        <v>0</v>
      </c>
      <c r="G58" s="22"/>
      <c r="H58" s="22"/>
      <c r="I58" s="22"/>
    </row>
    <row r="59" spans="2:9" x14ac:dyDescent="0.2">
      <c r="B59" s="35">
        <v>3</v>
      </c>
      <c r="C59" s="36">
        <v>479.7</v>
      </c>
      <c r="D59" s="41">
        <v>479.7</v>
      </c>
      <c r="E59" s="22">
        <v>0</v>
      </c>
      <c r="F59" s="22">
        <v>0</v>
      </c>
      <c r="G59" s="22"/>
      <c r="H59" s="22"/>
      <c r="I59" s="22"/>
    </row>
    <row r="60" spans="2:9" x14ac:dyDescent="0.2">
      <c r="B60" s="35">
        <v>4</v>
      </c>
      <c r="C60" s="36">
        <v>533.6</v>
      </c>
      <c r="D60" s="41">
        <v>533.6</v>
      </c>
      <c r="E60" s="22">
        <v>0</v>
      </c>
      <c r="F60" s="22">
        <v>0</v>
      </c>
      <c r="G60" s="22"/>
      <c r="H60" s="22"/>
      <c r="I60" s="22"/>
    </row>
    <row r="61" spans="2:9" x14ac:dyDescent="0.2">
      <c r="B61" s="35">
        <v>5</v>
      </c>
      <c r="C61" s="36">
        <v>535</v>
      </c>
      <c r="D61" s="41">
        <v>535</v>
      </c>
      <c r="E61" s="22">
        <v>0</v>
      </c>
      <c r="F61" s="22">
        <v>0</v>
      </c>
      <c r="G61" s="22"/>
      <c r="H61" s="22"/>
      <c r="I61" s="22"/>
    </row>
    <row r="62" spans="2:9" x14ac:dyDescent="0.2">
      <c r="B62" s="35">
        <v>6</v>
      </c>
      <c r="C62" s="36">
        <v>560.20000000000005</v>
      </c>
      <c r="D62" s="41">
        <v>560.20000000000005</v>
      </c>
      <c r="E62" s="22">
        <v>0</v>
      </c>
      <c r="F62" s="22">
        <v>0</v>
      </c>
      <c r="G62" s="22"/>
      <c r="H62" s="22"/>
      <c r="I62" s="22"/>
    </row>
    <row r="63" spans="2:9" x14ac:dyDescent="0.2">
      <c r="B63" s="35">
        <v>7</v>
      </c>
      <c r="C63" s="36">
        <v>537.4</v>
      </c>
      <c r="D63" s="41">
        <v>537.4</v>
      </c>
      <c r="E63" s="22">
        <v>0</v>
      </c>
      <c r="F63" s="22">
        <v>0</v>
      </c>
      <c r="G63" s="22"/>
      <c r="H63" s="22"/>
      <c r="I63" s="22"/>
    </row>
    <row r="64" spans="2:9" x14ac:dyDescent="0.2">
      <c r="B64" s="35">
        <v>8</v>
      </c>
      <c r="C64" s="36">
        <v>528.79999999999995</v>
      </c>
      <c r="D64" s="41">
        <v>528.79999999999995</v>
      </c>
      <c r="E64" s="22">
        <v>0</v>
      </c>
      <c r="F64" s="22">
        <v>0</v>
      </c>
      <c r="G64" s="22"/>
      <c r="H64" s="22"/>
      <c r="I64" s="22"/>
    </row>
    <row r="65" spans="2:9" x14ac:dyDescent="0.2">
      <c r="B65" s="35">
        <v>9</v>
      </c>
      <c r="C65" s="36">
        <v>516.29999999999995</v>
      </c>
      <c r="D65" s="41">
        <v>516.29999999999995</v>
      </c>
      <c r="E65" s="22">
        <v>0</v>
      </c>
      <c r="F65" s="22">
        <v>0</v>
      </c>
      <c r="G65" s="22"/>
      <c r="H65" s="22"/>
      <c r="I65" s="22"/>
    </row>
    <row r="66" spans="2:9" x14ac:dyDescent="0.2">
      <c r="B66" s="35">
        <v>10</v>
      </c>
      <c r="C66" s="36">
        <v>520</v>
      </c>
      <c r="D66" s="41">
        <v>520</v>
      </c>
      <c r="E66" s="22">
        <v>0</v>
      </c>
      <c r="F66" s="22">
        <v>0</v>
      </c>
      <c r="G66" s="22"/>
      <c r="H66" s="22"/>
      <c r="I66" s="22"/>
    </row>
    <row r="67" spans="2:9" x14ac:dyDescent="0.2">
      <c r="B67" s="35">
        <v>11</v>
      </c>
      <c r="C67" s="36">
        <v>518.6</v>
      </c>
      <c r="D67" s="41">
        <v>518.6</v>
      </c>
      <c r="E67" s="22">
        <v>0</v>
      </c>
      <c r="F67" s="22">
        <v>0</v>
      </c>
      <c r="G67" s="22"/>
      <c r="H67" s="22"/>
      <c r="I67" s="22"/>
    </row>
    <row r="68" spans="2:9" x14ac:dyDescent="0.2">
      <c r="B68" s="35">
        <v>12</v>
      </c>
      <c r="C68" s="36">
        <v>478</v>
      </c>
      <c r="D68" s="41">
        <v>478</v>
      </c>
      <c r="E68" s="22">
        <v>0</v>
      </c>
      <c r="F68" s="22">
        <v>0</v>
      </c>
      <c r="G68" s="22"/>
      <c r="H68" s="22"/>
      <c r="I68" s="22"/>
    </row>
    <row r="69" spans="2:9" x14ac:dyDescent="0.2">
      <c r="B69" s="35">
        <v>13</v>
      </c>
      <c r="C69" s="36">
        <v>465.5</v>
      </c>
      <c r="D69" s="41">
        <v>465.5</v>
      </c>
      <c r="E69" s="22">
        <v>0</v>
      </c>
      <c r="F69" s="22">
        <v>0</v>
      </c>
      <c r="G69" s="22"/>
      <c r="H69" s="22"/>
      <c r="I69" s="22"/>
    </row>
    <row r="70" spans="2:9" x14ac:dyDescent="0.2">
      <c r="B70" s="35">
        <v>14</v>
      </c>
      <c r="C70" s="36">
        <v>452.3</v>
      </c>
      <c r="D70" s="41">
        <v>454.17392766539831</v>
      </c>
      <c r="E70" s="22">
        <v>-1.8739276653982984</v>
      </c>
      <c r="F70" s="22">
        <v>-9.1786169562242059E-2</v>
      </c>
      <c r="G70" s="22"/>
      <c r="H70" s="22"/>
      <c r="I70" s="22"/>
    </row>
    <row r="71" spans="2:9" x14ac:dyDescent="0.2">
      <c r="B71" s="35">
        <v>15</v>
      </c>
      <c r="C71" s="36">
        <v>470</v>
      </c>
      <c r="D71" s="41">
        <v>490.3122488481103</v>
      </c>
      <c r="E71" s="22">
        <v>-20.312248848110301</v>
      </c>
      <c r="F71" s="22">
        <v>-0.99490687468282735</v>
      </c>
      <c r="G71" s="22"/>
      <c r="H71" s="22"/>
      <c r="I71" s="22"/>
    </row>
    <row r="72" spans="2:9" x14ac:dyDescent="0.2">
      <c r="B72" s="35">
        <v>16</v>
      </c>
      <c r="C72" s="36">
        <v>511.3</v>
      </c>
      <c r="D72" s="41">
        <v>520.17813922518553</v>
      </c>
      <c r="E72" s="22">
        <v>-8.8781392251855209</v>
      </c>
      <c r="F72" s="22">
        <v>-0.4348569090295531</v>
      </c>
      <c r="G72" s="22"/>
      <c r="H72" s="22"/>
      <c r="I72" s="22"/>
    </row>
    <row r="73" spans="2:9" x14ac:dyDescent="0.2">
      <c r="B73" s="35">
        <v>17</v>
      </c>
      <c r="C73" s="36">
        <v>522</v>
      </c>
      <c r="D73" s="41">
        <v>513.41496246796726</v>
      </c>
      <c r="E73" s="22">
        <v>8.585037532032743</v>
      </c>
      <c r="F73" s="22">
        <v>0.42050060157785479</v>
      </c>
      <c r="G73" s="22"/>
      <c r="H73" s="22"/>
      <c r="I73" s="22"/>
    </row>
    <row r="74" spans="2:9" x14ac:dyDescent="0.2">
      <c r="B74" s="35">
        <v>18</v>
      </c>
      <c r="C74" s="36">
        <v>533.20000000000005</v>
      </c>
      <c r="D74" s="41">
        <v>545.1355515205214</v>
      </c>
      <c r="E74" s="22">
        <v>-11.935551520521358</v>
      </c>
      <c r="F74" s="22">
        <v>-0.58461090890005074</v>
      </c>
      <c r="G74" s="22"/>
      <c r="H74" s="22"/>
      <c r="I74" s="22"/>
    </row>
    <row r="75" spans="2:9" x14ac:dyDescent="0.2">
      <c r="B75" s="35">
        <v>19</v>
      </c>
      <c r="C75" s="36">
        <v>513.20000000000005</v>
      </c>
      <c r="D75" s="41">
        <v>509.92296543901261</v>
      </c>
      <c r="E75" s="22">
        <v>3.2770345609874312</v>
      </c>
      <c r="F75" s="22">
        <v>0.16051123820309707</v>
      </c>
      <c r="G75" s="22"/>
      <c r="H75" s="22"/>
      <c r="I75" s="22"/>
    </row>
    <row r="76" spans="2:9" x14ac:dyDescent="0.2">
      <c r="B76" s="35">
        <v>20</v>
      </c>
      <c r="C76" s="36">
        <v>544.20000000000005</v>
      </c>
      <c r="D76" s="41">
        <v>511.36382479805434</v>
      </c>
      <c r="E76" s="22">
        <v>32.836175201945707</v>
      </c>
      <c r="F76" s="22">
        <v>1.608336757342594</v>
      </c>
      <c r="G76" s="22"/>
      <c r="H76" s="22"/>
      <c r="I76" s="22"/>
    </row>
    <row r="77" spans="2:9" x14ac:dyDescent="0.2">
      <c r="B77" s="35">
        <v>21</v>
      </c>
      <c r="C77" s="36">
        <v>541.4</v>
      </c>
      <c r="D77" s="41">
        <v>535.37960092132573</v>
      </c>
      <c r="E77" s="22">
        <v>6.0203990786742452</v>
      </c>
      <c r="F77" s="22">
        <v>0.29488297807381414</v>
      </c>
      <c r="G77" s="22"/>
      <c r="H77" s="22"/>
      <c r="I77" s="22"/>
    </row>
    <row r="78" spans="2:9" x14ac:dyDescent="0.2">
      <c r="B78" s="35">
        <v>22</v>
      </c>
      <c r="C78" s="36">
        <v>525.70000000000005</v>
      </c>
      <c r="D78" s="41">
        <v>542.13201782835563</v>
      </c>
      <c r="E78" s="22">
        <v>-16.432017828355583</v>
      </c>
      <c r="F78" s="22">
        <v>-0.80485069007327958</v>
      </c>
      <c r="G78" s="22"/>
      <c r="H78" s="22"/>
      <c r="I78" s="22"/>
    </row>
    <row r="79" spans="2:9" x14ac:dyDescent="0.2">
      <c r="B79" s="35">
        <v>23</v>
      </c>
      <c r="C79" s="36">
        <v>535.20000000000005</v>
      </c>
      <c r="D79" s="41">
        <v>524.91230703773215</v>
      </c>
      <c r="E79" s="22">
        <v>10.287692962267897</v>
      </c>
      <c r="F79" s="22">
        <v>0.50389774806932264</v>
      </c>
      <c r="G79" s="22"/>
      <c r="H79" s="22"/>
      <c r="I79" s="22"/>
    </row>
    <row r="80" spans="2:9" x14ac:dyDescent="0.2">
      <c r="B80" s="35">
        <v>24</v>
      </c>
      <c r="C80" s="36">
        <v>495</v>
      </c>
      <c r="D80" s="41">
        <v>495.09766785065023</v>
      </c>
      <c r="E80" s="22">
        <v>-9.7667850650225319E-2</v>
      </c>
      <c r="F80" s="22">
        <v>-4.7838334777217358E-3</v>
      </c>
      <c r="G80" s="22"/>
      <c r="H80" s="22"/>
      <c r="I80" s="22"/>
    </row>
    <row r="81" spans="2:9" x14ac:dyDescent="0.2">
      <c r="B81" s="35">
        <v>25</v>
      </c>
      <c r="C81" s="36">
        <v>473.6</v>
      </c>
      <c r="D81" s="41">
        <v>480.89124459217965</v>
      </c>
      <c r="E81" s="22">
        <v>-7.2912445921796234</v>
      </c>
      <c r="F81" s="22">
        <v>-0.35712980005305339</v>
      </c>
      <c r="G81" s="22"/>
      <c r="H81" s="22"/>
      <c r="I81" s="22"/>
    </row>
    <row r="82" spans="2:9" x14ac:dyDescent="0.2">
      <c r="B82" s="35">
        <v>26</v>
      </c>
      <c r="C82" s="36">
        <v>444.4</v>
      </c>
      <c r="D82" s="41">
        <v>461.02130464522031</v>
      </c>
      <c r="E82" s="22">
        <v>-16.621304645220334</v>
      </c>
      <c r="F82" s="22">
        <v>-0.81412207881973497</v>
      </c>
      <c r="G82" s="22"/>
      <c r="H82" s="22"/>
      <c r="I82" s="22"/>
    </row>
    <row r="83" spans="2:9" x14ac:dyDescent="0.2">
      <c r="B83" s="35">
        <v>27</v>
      </c>
      <c r="C83" s="36">
        <v>451.8</v>
      </c>
      <c r="D83" s="41">
        <v>474.53674847163745</v>
      </c>
      <c r="E83" s="22">
        <v>-22.736748471637441</v>
      </c>
      <c r="F83" s="22">
        <v>-1.1136604091216045</v>
      </c>
      <c r="G83" s="22"/>
      <c r="H83" s="22"/>
      <c r="I83" s="22"/>
    </row>
    <row r="84" spans="2:9" x14ac:dyDescent="0.2">
      <c r="B84" s="35">
        <v>28</v>
      </c>
      <c r="C84" s="36">
        <v>511</v>
      </c>
      <c r="D84" s="41">
        <v>498.19196575132486</v>
      </c>
      <c r="E84" s="22">
        <v>12.808034248675142</v>
      </c>
      <c r="F84" s="22">
        <v>0.62734566814671022</v>
      </c>
      <c r="G84" s="22"/>
      <c r="H84" s="22"/>
      <c r="I84" s="22"/>
    </row>
    <row r="85" spans="2:9" x14ac:dyDescent="0.2">
      <c r="B85" s="35">
        <v>29</v>
      </c>
      <c r="C85" s="36">
        <v>542.79999999999995</v>
      </c>
      <c r="D85" s="41">
        <v>516.87970313975325</v>
      </c>
      <c r="E85" s="22">
        <v>25.920296860246708</v>
      </c>
      <c r="F85" s="22">
        <v>1.2695926351098394</v>
      </c>
      <c r="G85" s="22"/>
      <c r="H85" s="22"/>
      <c r="I85" s="22"/>
    </row>
    <row r="86" spans="2:9" x14ac:dyDescent="0.2">
      <c r="B86" s="35">
        <v>30</v>
      </c>
      <c r="C86" s="36">
        <v>556</v>
      </c>
      <c r="D86" s="41">
        <v>563.26049346626621</v>
      </c>
      <c r="E86" s="22">
        <v>-7.2604934662662117</v>
      </c>
      <c r="F86" s="22">
        <v>-0.35562359033672564</v>
      </c>
      <c r="G86" s="22"/>
      <c r="H86" s="22"/>
      <c r="I86" s="22"/>
    </row>
    <row r="87" spans="2:9" x14ac:dyDescent="0.2">
      <c r="B87" s="35">
        <v>31</v>
      </c>
      <c r="C87" s="36">
        <v>563.1</v>
      </c>
      <c r="D87" s="41">
        <v>533.70186452165512</v>
      </c>
      <c r="E87" s="22">
        <v>29.398135478344898</v>
      </c>
      <c r="F87" s="22">
        <v>1.4399393838158654</v>
      </c>
      <c r="G87" s="22"/>
      <c r="H87" s="22"/>
      <c r="I87" s="22"/>
    </row>
    <row r="88" spans="2:9" x14ac:dyDescent="0.2">
      <c r="B88" s="35">
        <v>32</v>
      </c>
      <c r="C88" s="36">
        <v>555</v>
      </c>
      <c r="D88" s="41">
        <v>573.50833812862754</v>
      </c>
      <c r="E88" s="22">
        <v>-18.508338128627543</v>
      </c>
      <c r="F88" s="22">
        <v>-0.90655017968820062</v>
      </c>
      <c r="G88" s="22"/>
      <c r="H88" s="22"/>
      <c r="I88" s="22"/>
    </row>
    <row r="89" spans="2:9" x14ac:dyDescent="0.2">
      <c r="B89" s="35">
        <v>33</v>
      </c>
      <c r="C89" s="36">
        <v>513.6</v>
      </c>
      <c r="D89" s="41">
        <v>545.29604459604866</v>
      </c>
      <c r="E89" s="22">
        <v>-31.696044596048637</v>
      </c>
      <c r="F89" s="22">
        <v>-1.5524924347210336</v>
      </c>
      <c r="G89" s="22"/>
      <c r="H89" s="22"/>
      <c r="I89" s="22"/>
    </row>
    <row r="90" spans="2:9" x14ac:dyDescent="0.2">
      <c r="B90" s="35">
        <v>34</v>
      </c>
      <c r="C90" s="36">
        <v>514.70000000000005</v>
      </c>
      <c r="D90" s="41">
        <v>506.20143911419757</v>
      </c>
      <c r="E90" s="22">
        <v>8.4985608858024762</v>
      </c>
      <c r="F90" s="22">
        <v>0.41626492041436752</v>
      </c>
      <c r="G90" s="22"/>
      <c r="H90" s="22"/>
      <c r="I90" s="22"/>
    </row>
    <row r="91" spans="2:9" x14ac:dyDescent="0.2">
      <c r="B91" s="35">
        <v>35</v>
      </c>
      <c r="C91" s="36">
        <v>547.9</v>
      </c>
      <c r="D91" s="41">
        <v>518.15528842714696</v>
      </c>
      <c r="E91" s="22">
        <v>29.744711572853021</v>
      </c>
      <c r="F91" s="22">
        <v>1.4569149014754443</v>
      </c>
      <c r="G91" s="22"/>
      <c r="H91" s="22"/>
      <c r="I91" s="22"/>
    </row>
    <row r="92" spans="2:9" x14ac:dyDescent="0.2">
      <c r="B92" s="35">
        <v>36</v>
      </c>
      <c r="C92" s="36">
        <v>489.9</v>
      </c>
      <c r="D92" s="41">
        <v>509.1321227415429</v>
      </c>
      <c r="E92" s="22">
        <v>-19.232122741542923</v>
      </c>
      <c r="F92" s="22">
        <v>-0.94200161062348842</v>
      </c>
      <c r="G92" s="22"/>
      <c r="H92" s="22"/>
      <c r="I92" s="22"/>
    </row>
    <row r="93" spans="2:9" x14ac:dyDescent="0.2">
      <c r="B93" s="35">
        <v>37</v>
      </c>
      <c r="C93" s="36">
        <v>467.1</v>
      </c>
      <c r="D93" s="41">
        <v>471.96666627161159</v>
      </c>
      <c r="E93" s="22">
        <v>-4.8666662716115638</v>
      </c>
      <c r="F93" s="22">
        <v>-0.23837241098313156</v>
      </c>
      <c r="G93" s="22"/>
      <c r="H93" s="22"/>
      <c r="I93" s="22"/>
    </row>
    <row r="94" spans="2:9" x14ac:dyDescent="0.2">
      <c r="B94" s="35">
        <v>38</v>
      </c>
      <c r="C94" s="36">
        <v>472.7</v>
      </c>
      <c r="D94" s="41">
        <v>446.09137671950521</v>
      </c>
      <c r="E94" s="22">
        <v>26.608623280494783</v>
      </c>
      <c r="F94" s="22">
        <v>1.3033073012037584</v>
      </c>
      <c r="G94" s="22"/>
      <c r="H94" s="22"/>
      <c r="I94" s="22"/>
    </row>
    <row r="95" spans="2:9" x14ac:dyDescent="0.2">
      <c r="B95" s="35">
        <v>39</v>
      </c>
      <c r="C95" s="36">
        <v>449.5</v>
      </c>
      <c r="D95" s="41">
        <v>487.25773758535183</v>
      </c>
      <c r="E95" s="22">
        <v>-37.757737585351833</v>
      </c>
      <c r="F95" s="22">
        <v>-1.8493980148156528</v>
      </c>
      <c r="G95" s="22"/>
      <c r="H95" s="22"/>
      <c r="I95" s="22"/>
    </row>
    <row r="96" spans="2:9" x14ac:dyDescent="0.2">
      <c r="B96" s="35">
        <v>40</v>
      </c>
      <c r="C96" s="36">
        <v>491.5</v>
      </c>
      <c r="D96" s="41">
        <v>495.90333172304446</v>
      </c>
      <c r="E96" s="22">
        <v>-4.4033317230444595</v>
      </c>
      <c r="F96" s="22">
        <v>-0.21567798994218601</v>
      </c>
      <c r="G96" s="22"/>
      <c r="H96" s="22"/>
      <c r="I96" s="22"/>
    </row>
    <row r="97" spans="2:9" x14ac:dyDescent="0.2">
      <c r="B97" s="35">
        <v>41</v>
      </c>
      <c r="C97" s="36">
        <v>544</v>
      </c>
      <c r="D97" s="41">
        <v>510.66614814794639</v>
      </c>
      <c r="E97" s="22">
        <v>33.333851852053613</v>
      </c>
      <c r="F97" s="22">
        <v>1.6327132763712855</v>
      </c>
      <c r="G97" s="22"/>
      <c r="H97" s="22"/>
      <c r="I97" s="22"/>
    </row>
    <row r="98" spans="2:9" x14ac:dyDescent="0.2">
      <c r="B98" s="35">
        <v>42</v>
      </c>
      <c r="C98" s="36">
        <v>572.5</v>
      </c>
      <c r="D98" s="41">
        <v>557.91781507470944</v>
      </c>
      <c r="E98" s="22">
        <v>14.582184925290562</v>
      </c>
      <c r="F98" s="22">
        <v>0.71424469730330131</v>
      </c>
      <c r="G98" s="22"/>
      <c r="H98" s="22"/>
      <c r="I98" s="22"/>
    </row>
    <row r="99" spans="2:9" x14ac:dyDescent="0.2">
      <c r="B99" s="35">
        <v>43</v>
      </c>
      <c r="C99" s="36">
        <v>525.79999999999995</v>
      </c>
      <c r="D99" s="41">
        <v>565.18688019016668</v>
      </c>
      <c r="E99" s="22">
        <v>-39.386880190166721</v>
      </c>
      <c r="F99" s="22">
        <v>-1.9291944563366914</v>
      </c>
      <c r="G99" s="22"/>
      <c r="H99" s="22"/>
      <c r="I99" s="22"/>
    </row>
    <row r="100" spans="2:9" x14ac:dyDescent="0.2">
      <c r="B100" s="35">
        <v>44</v>
      </c>
      <c r="C100" s="36">
        <v>510.1</v>
      </c>
      <c r="D100" s="41">
        <v>536.6658616898161</v>
      </c>
      <c r="E100" s="22">
        <v>-26.565861689816074</v>
      </c>
      <c r="F100" s="22">
        <v>-1.3012128112801291</v>
      </c>
      <c r="G100" s="22"/>
      <c r="H100" s="22"/>
      <c r="I100" s="22"/>
    </row>
    <row r="101" spans="2:9" x14ac:dyDescent="0.2">
      <c r="B101" s="35">
        <v>45</v>
      </c>
      <c r="C101" s="36">
        <v>519.1</v>
      </c>
      <c r="D101" s="41">
        <v>487.99759730116108</v>
      </c>
      <c r="E101" s="22">
        <v>31.102402698838944</v>
      </c>
      <c r="F101" s="22">
        <v>1.5234154768199084</v>
      </c>
      <c r="G101" s="22"/>
      <c r="H101" s="22"/>
      <c r="I101" s="22"/>
    </row>
    <row r="102" spans="2:9" x14ac:dyDescent="0.2">
      <c r="B102" s="35">
        <v>46</v>
      </c>
      <c r="C102" s="36">
        <v>522.1</v>
      </c>
      <c r="D102" s="41">
        <v>512.38194796320136</v>
      </c>
      <c r="E102" s="22">
        <v>9.7180520367986674</v>
      </c>
      <c r="F102" s="22">
        <v>0.47599637303753972</v>
      </c>
      <c r="G102" s="22"/>
      <c r="H102" s="22"/>
      <c r="I102" s="22"/>
    </row>
    <row r="103" spans="2:9" x14ac:dyDescent="0.2">
      <c r="B103" s="35">
        <v>47</v>
      </c>
      <c r="C103" s="36">
        <v>535.6</v>
      </c>
      <c r="D103" s="41">
        <v>542.44811137607405</v>
      </c>
      <c r="E103" s="22">
        <v>-6.84811137607403</v>
      </c>
      <c r="F103" s="22">
        <v>-0.33542485313159115</v>
      </c>
      <c r="G103" s="22"/>
      <c r="H103" s="22"/>
      <c r="I103" s="22"/>
    </row>
    <row r="104" spans="2:9" x14ac:dyDescent="0.2">
      <c r="B104" s="35">
        <v>48</v>
      </c>
      <c r="C104" s="36">
        <v>484</v>
      </c>
      <c r="D104" s="41">
        <v>486.79600146903294</v>
      </c>
      <c r="E104" s="22">
        <v>-2.7960014690329444</v>
      </c>
      <c r="F104" s="22">
        <v>-0.13694993124421845</v>
      </c>
      <c r="G104" s="22"/>
      <c r="H104" s="22"/>
      <c r="I104" s="22"/>
    </row>
    <row r="105" spans="2:9" x14ac:dyDescent="0.2">
      <c r="B105" s="35">
        <v>49</v>
      </c>
      <c r="C105" s="36">
        <v>476.4</v>
      </c>
      <c r="D105" s="41">
        <v>461.40557096923283</v>
      </c>
      <c r="E105" s="22">
        <v>14.994429030767151</v>
      </c>
      <c r="F105" s="22">
        <v>0.73443667592925665</v>
      </c>
      <c r="G105" s="22"/>
      <c r="H105" s="22"/>
      <c r="I105" s="22"/>
    </row>
    <row r="106" spans="2:9" x14ac:dyDescent="0.2">
      <c r="B106" s="35">
        <v>50</v>
      </c>
      <c r="C106" s="36">
        <v>460.5</v>
      </c>
      <c r="D106" s="41">
        <v>463.14154778792653</v>
      </c>
      <c r="E106" s="22">
        <v>-2.6415477879265268</v>
      </c>
      <c r="F106" s="22">
        <v>-0.12938469165396302</v>
      </c>
      <c r="G106" s="22"/>
      <c r="H106" s="22"/>
      <c r="I106" s="22"/>
    </row>
    <row r="107" spans="2:9" x14ac:dyDescent="0.2">
      <c r="B107" s="35">
        <v>51</v>
      </c>
      <c r="C107" s="36">
        <v>461.2</v>
      </c>
      <c r="D107" s="41">
        <v>453.95823471826395</v>
      </c>
      <c r="E107" s="22">
        <v>7.2417652817360363</v>
      </c>
      <c r="F107" s="22">
        <v>0.35470627194038601</v>
      </c>
      <c r="G107" s="22"/>
      <c r="H107" s="22"/>
      <c r="I107" s="22"/>
    </row>
    <row r="108" spans="2:9" x14ac:dyDescent="0.2">
      <c r="B108" s="35">
        <v>52</v>
      </c>
      <c r="C108" s="36">
        <v>510.5</v>
      </c>
      <c r="D108" s="41">
        <v>512.94378450687282</v>
      </c>
      <c r="E108" s="22">
        <v>-2.4437845068728166</v>
      </c>
      <c r="F108" s="22">
        <v>-0.11969812029736639</v>
      </c>
      <c r="G108" s="22"/>
      <c r="H108" s="22"/>
      <c r="I108" s="22"/>
    </row>
    <row r="109" spans="2:9" x14ac:dyDescent="0.2">
      <c r="B109" s="35">
        <v>53</v>
      </c>
      <c r="C109" s="36">
        <v>556.6</v>
      </c>
      <c r="D109" s="41">
        <v>550.91470895702901</v>
      </c>
      <c r="E109" s="22">
        <v>5.6852910429710164</v>
      </c>
      <c r="F109" s="22">
        <v>0.27846917323242565</v>
      </c>
      <c r="G109" s="22"/>
      <c r="H109" s="22"/>
      <c r="I109" s="22"/>
    </row>
    <row r="110" spans="2:9" x14ac:dyDescent="0.2">
      <c r="B110" s="35">
        <v>54</v>
      </c>
      <c r="C110" s="36">
        <v>609.5</v>
      </c>
      <c r="D110" s="41">
        <v>576.54165546322588</v>
      </c>
      <c r="E110" s="22">
        <v>32.958344536774121</v>
      </c>
      <c r="F110" s="22">
        <v>1.6143206891073689</v>
      </c>
      <c r="G110" s="22"/>
      <c r="H110" s="22"/>
      <c r="I110" s="22"/>
    </row>
    <row r="111" spans="2:9" x14ac:dyDescent="0.2">
      <c r="B111" s="35">
        <v>55</v>
      </c>
      <c r="C111" s="36">
        <v>592.70000000000005</v>
      </c>
      <c r="D111" s="41">
        <v>594.79011162181564</v>
      </c>
      <c r="E111" s="22">
        <v>-2.0901116218155948</v>
      </c>
      <c r="F111" s="22">
        <v>-0.10237499732050925</v>
      </c>
      <c r="G111" s="22"/>
      <c r="H111" s="22"/>
      <c r="I111" s="22"/>
    </row>
    <row r="112" spans="2:9" x14ac:dyDescent="0.2">
      <c r="B112" s="35">
        <v>56</v>
      </c>
      <c r="C112" s="36">
        <v>572.1</v>
      </c>
      <c r="D112" s="41">
        <v>580.90080673539069</v>
      </c>
      <c r="E112" s="22">
        <v>-8.8008067353906654</v>
      </c>
      <c r="F112" s="22">
        <v>-0.43106911446733753</v>
      </c>
      <c r="G112" s="22"/>
      <c r="H112" s="22"/>
      <c r="I112" s="22"/>
    </row>
    <row r="113" spans="2:9" x14ac:dyDescent="0.2">
      <c r="B113" s="35">
        <v>57</v>
      </c>
      <c r="C113" s="36">
        <v>554.9</v>
      </c>
      <c r="D113" s="41">
        <v>551.92890896731308</v>
      </c>
      <c r="E113" s="22">
        <v>2.9710910326868998</v>
      </c>
      <c r="F113" s="22">
        <v>0.14552592949370535</v>
      </c>
      <c r="G113" s="22"/>
      <c r="H113" s="22"/>
      <c r="I113" s="22"/>
    </row>
    <row r="114" spans="2:9" x14ac:dyDescent="0.2">
      <c r="B114" s="35">
        <v>58</v>
      </c>
      <c r="C114" s="36">
        <v>557.4</v>
      </c>
      <c r="D114" s="41">
        <v>556.63187078541796</v>
      </c>
      <c r="E114" s="22">
        <v>0.76812921458201799</v>
      </c>
      <c r="F114" s="22">
        <v>3.7623457744486395E-2</v>
      </c>
      <c r="G114" s="22"/>
      <c r="H114" s="22"/>
      <c r="I114" s="22"/>
    </row>
    <row r="115" spans="2:9" x14ac:dyDescent="0.2">
      <c r="B115" s="35">
        <v>59</v>
      </c>
      <c r="C115" s="36">
        <v>562.9</v>
      </c>
      <c r="D115" s="41">
        <v>581.62813328285165</v>
      </c>
      <c r="E115" s="22">
        <v>-18.728133282851672</v>
      </c>
      <c r="F115" s="22">
        <v>-0.91731588621310378</v>
      </c>
      <c r="G115" s="22"/>
      <c r="H115" s="22"/>
      <c r="I115" s="22"/>
    </row>
    <row r="116" spans="2:9" x14ac:dyDescent="0.2">
      <c r="B116" s="35">
        <v>60</v>
      </c>
      <c r="C116" s="36">
        <v>516</v>
      </c>
      <c r="D116" s="41">
        <v>506.1029666942984</v>
      </c>
      <c r="E116" s="22">
        <v>9.8970333057015978</v>
      </c>
      <c r="F116" s="22">
        <v>0.48476298948668528</v>
      </c>
      <c r="G116" s="22"/>
      <c r="H116" s="22"/>
      <c r="I116" s="22"/>
    </row>
    <row r="117" spans="2:9" x14ac:dyDescent="0.2">
      <c r="B117" s="35">
        <v>61</v>
      </c>
      <c r="C117" s="36">
        <v>490.6</v>
      </c>
      <c r="D117" s="41">
        <v>500.10478591122518</v>
      </c>
      <c r="E117" s="22">
        <v>-9.5047859112251558</v>
      </c>
      <c r="F117" s="22">
        <v>-0.46555046249082066</v>
      </c>
      <c r="G117" s="22"/>
      <c r="H117" s="22"/>
      <c r="I117" s="22"/>
    </row>
    <row r="118" spans="2:9" x14ac:dyDescent="0.2">
      <c r="B118" s="35">
        <v>62</v>
      </c>
      <c r="C118" s="36">
        <v>503.9</v>
      </c>
      <c r="D118" s="41">
        <v>485.7761606853702</v>
      </c>
      <c r="E118" s="22">
        <v>18.123839314629777</v>
      </c>
      <c r="F118" s="22">
        <v>0.88771718309514436</v>
      </c>
      <c r="G118" s="22"/>
      <c r="H118" s="22"/>
      <c r="I118" s="22"/>
    </row>
    <row r="119" spans="2:9" x14ac:dyDescent="0.2">
      <c r="B119" s="35">
        <v>63</v>
      </c>
      <c r="C119" s="36">
        <v>547.6</v>
      </c>
      <c r="D119" s="41">
        <v>492.028254847798</v>
      </c>
      <c r="E119" s="22">
        <v>55.571745152202027</v>
      </c>
      <c r="F119" s="22">
        <v>2.7219394417369758</v>
      </c>
      <c r="G119" s="22"/>
      <c r="H119" s="22"/>
      <c r="I119" s="22"/>
    </row>
    <row r="120" spans="2:9" x14ac:dyDescent="0.2">
      <c r="B120" s="35">
        <v>64</v>
      </c>
      <c r="C120" s="36">
        <v>585</v>
      </c>
      <c r="D120" s="41">
        <v>596.2485497514183</v>
      </c>
      <c r="E120" s="22">
        <v>-11.248549751418295</v>
      </c>
      <c r="F120" s="22">
        <v>-0.55096112506218242</v>
      </c>
      <c r="G120" s="22"/>
      <c r="H120" s="22"/>
      <c r="I120" s="22"/>
    </row>
    <row r="121" spans="2:9" x14ac:dyDescent="0.2">
      <c r="B121" s="35">
        <v>65</v>
      </c>
      <c r="C121" s="36">
        <v>573.5</v>
      </c>
      <c r="D121" s="41">
        <v>633.82067615615279</v>
      </c>
      <c r="E121" s="22">
        <v>-60.320676156152786</v>
      </c>
      <c r="F121" s="22">
        <v>-2.9545451043869089</v>
      </c>
      <c r="G121" s="22"/>
      <c r="H121" s="22"/>
      <c r="I121" s="22"/>
    </row>
    <row r="122" spans="2:9" x14ac:dyDescent="0.2">
      <c r="B122" s="35">
        <v>66</v>
      </c>
      <c r="C122" s="36">
        <v>606</v>
      </c>
      <c r="D122" s="41">
        <v>608.30234244579492</v>
      </c>
      <c r="E122" s="22">
        <v>-2.3023424457949204</v>
      </c>
      <c r="F122" s="22">
        <v>-0.1127701981363104</v>
      </c>
      <c r="G122" s="22"/>
      <c r="H122" s="22"/>
      <c r="I122" s="22"/>
    </row>
    <row r="123" spans="2:9" x14ac:dyDescent="0.2">
      <c r="B123" s="35">
        <v>67</v>
      </c>
      <c r="C123" s="36">
        <v>575.20000000000005</v>
      </c>
      <c r="D123" s="41">
        <v>571.66851129645511</v>
      </c>
      <c r="E123" s="22">
        <v>3.5314887035449374</v>
      </c>
      <c r="F123" s="22">
        <v>0.17297456403250364</v>
      </c>
      <c r="G123" s="22"/>
      <c r="H123" s="22"/>
      <c r="I123" s="22"/>
    </row>
    <row r="124" spans="2:9" x14ac:dyDescent="0.2">
      <c r="B124" s="35">
        <v>68</v>
      </c>
      <c r="C124" s="36">
        <v>539.70000000000005</v>
      </c>
      <c r="D124" s="41">
        <v>557.18749681993552</v>
      </c>
      <c r="E124" s="22">
        <v>-17.487496819935473</v>
      </c>
      <c r="F124" s="22">
        <v>-0.85654872275585103</v>
      </c>
      <c r="G124" s="22"/>
      <c r="H124" s="22"/>
      <c r="I124" s="22"/>
    </row>
    <row r="125" spans="2:9" x14ac:dyDescent="0.2">
      <c r="B125" s="35">
        <v>69</v>
      </c>
      <c r="C125" s="36">
        <v>539.20000000000005</v>
      </c>
      <c r="D125" s="41">
        <v>535.64828768155439</v>
      </c>
      <c r="E125" s="22">
        <v>3.5517123184456523</v>
      </c>
      <c r="F125" s="22">
        <v>0.17396512956003907</v>
      </c>
      <c r="G125" s="22"/>
      <c r="H125" s="22"/>
      <c r="I125" s="22"/>
    </row>
    <row r="126" spans="2:9" x14ac:dyDescent="0.2">
      <c r="B126" s="35">
        <v>70</v>
      </c>
      <c r="C126" s="36">
        <v>557.79999999999995</v>
      </c>
      <c r="D126" s="41">
        <v>541.77643260413379</v>
      </c>
      <c r="E126" s="22">
        <v>16.023567395866166</v>
      </c>
      <c r="F126" s="22">
        <v>0.78484452796441484</v>
      </c>
      <c r="G126" s="22"/>
      <c r="H126" s="22"/>
      <c r="I126" s="22"/>
    </row>
    <row r="127" spans="2:9" x14ac:dyDescent="0.2">
      <c r="B127" s="35">
        <v>71</v>
      </c>
      <c r="C127" s="36">
        <v>581.4</v>
      </c>
      <c r="D127" s="41">
        <v>568.4989416209562</v>
      </c>
      <c r="E127" s="22">
        <v>12.901058379043775</v>
      </c>
      <c r="F127" s="22">
        <v>0.631902049249916</v>
      </c>
      <c r="G127" s="22"/>
      <c r="H127" s="22"/>
      <c r="I127" s="22"/>
    </row>
    <row r="128" spans="2:9" x14ac:dyDescent="0.2">
      <c r="B128" s="35">
        <v>72</v>
      </c>
      <c r="C128" s="36">
        <v>536.20000000000005</v>
      </c>
      <c r="D128" s="41">
        <v>532.4410533835711</v>
      </c>
      <c r="E128" s="22">
        <v>3.7589466164289433</v>
      </c>
      <c r="F128" s="22">
        <v>0.18411559735291605</v>
      </c>
      <c r="G128" s="22"/>
      <c r="H128" s="22"/>
      <c r="I128" s="22"/>
    </row>
    <row r="129" spans="2:9" x14ac:dyDescent="0.2">
      <c r="B129" s="35">
        <v>73</v>
      </c>
      <c r="C129" s="36">
        <v>499.3</v>
      </c>
      <c r="D129" s="41">
        <v>520.71662030174969</v>
      </c>
      <c r="E129" s="22">
        <v>-21.416620301749674</v>
      </c>
      <c r="F129" s="22">
        <v>-1.0489996912707602</v>
      </c>
      <c r="G129" s="22"/>
      <c r="H129" s="22"/>
      <c r="I129" s="22"/>
    </row>
    <row r="130" spans="2:9" x14ac:dyDescent="0.2">
      <c r="B130" s="35">
        <v>74</v>
      </c>
      <c r="C130" s="36">
        <v>461.7</v>
      </c>
      <c r="D130" s="41">
        <v>494.47429625711572</v>
      </c>
      <c r="E130" s="22">
        <v>-32.774296257115736</v>
      </c>
      <c r="F130" s="22">
        <v>-1.6053058872469284</v>
      </c>
      <c r="G130" s="22"/>
      <c r="H130" s="22"/>
      <c r="I130" s="22"/>
    </row>
    <row r="131" spans="2:9" x14ac:dyDescent="0.2">
      <c r="B131" s="35">
        <v>75</v>
      </c>
      <c r="C131" s="36">
        <v>465.7</v>
      </c>
      <c r="D131" s="41">
        <v>478.67161650749824</v>
      </c>
      <c r="E131" s="22">
        <v>-12.971616507498254</v>
      </c>
      <c r="F131" s="22">
        <v>-0.63535803128268076</v>
      </c>
      <c r="G131" s="22"/>
      <c r="H131" s="22"/>
      <c r="I131" s="22"/>
    </row>
    <row r="132" spans="2:9" x14ac:dyDescent="0.2">
      <c r="B132" s="35">
        <v>76</v>
      </c>
      <c r="C132" s="36">
        <v>524.4</v>
      </c>
      <c r="D132" s="41">
        <v>508.37700817273736</v>
      </c>
      <c r="E132" s="22">
        <v>16.022991827262615</v>
      </c>
      <c r="F132" s="22">
        <v>0.78481633624793845</v>
      </c>
      <c r="G132" s="22"/>
      <c r="H132" s="22"/>
      <c r="I132" s="22"/>
    </row>
    <row r="133" spans="2:9" x14ac:dyDescent="0.2">
      <c r="B133" s="35">
        <v>77</v>
      </c>
      <c r="C133" s="36">
        <v>565.1</v>
      </c>
      <c r="D133" s="41">
        <v>545.79040106433979</v>
      </c>
      <c r="E133" s="22">
        <v>19.309598935660233</v>
      </c>
      <c r="F133" s="22">
        <v>0.94579644391486684</v>
      </c>
      <c r="G133" s="22"/>
      <c r="H133" s="22"/>
      <c r="I133" s="22"/>
    </row>
    <row r="134" spans="2:9" x14ac:dyDescent="0.2">
      <c r="B134" s="35">
        <v>78</v>
      </c>
      <c r="C134" s="36">
        <v>602.79999999999995</v>
      </c>
      <c r="D134" s="41">
        <v>610.01815777605907</v>
      </c>
      <c r="E134" s="22">
        <v>-7.2181577760591153</v>
      </c>
      <c r="F134" s="22">
        <v>-0.353549961289226</v>
      </c>
      <c r="G134" s="22"/>
      <c r="H134" s="22"/>
      <c r="I134" s="22"/>
    </row>
    <row r="135" spans="2:9" x14ac:dyDescent="0.2">
      <c r="B135" s="35">
        <v>79</v>
      </c>
      <c r="C135" s="36">
        <v>586</v>
      </c>
      <c r="D135" s="41">
        <v>579.08238859628216</v>
      </c>
      <c r="E135" s="22">
        <v>6.9176114037178422</v>
      </c>
      <c r="F135" s="22">
        <v>0.33882900871330601</v>
      </c>
      <c r="G135" s="22"/>
      <c r="H135" s="22"/>
      <c r="I135" s="22"/>
    </row>
    <row r="136" spans="2:9" x14ac:dyDescent="0.2">
      <c r="B136" s="35">
        <v>80</v>
      </c>
      <c r="C136" s="36">
        <v>590.6</v>
      </c>
      <c r="D136" s="41">
        <v>558.91546913034881</v>
      </c>
      <c r="E136" s="22">
        <v>31.684530869651212</v>
      </c>
      <c r="F136" s="22">
        <v>1.5519284850750996</v>
      </c>
      <c r="G136" s="22"/>
      <c r="H136" s="22"/>
      <c r="I136" s="22"/>
    </row>
    <row r="137" spans="2:9" x14ac:dyDescent="0.2">
      <c r="B137" s="35">
        <v>81</v>
      </c>
      <c r="C137" s="36">
        <v>582.6</v>
      </c>
      <c r="D137" s="41">
        <v>582.53676920519217</v>
      </c>
      <c r="E137" s="22">
        <v>6.3230794807850543E-2</v>
      </c>
      <c r="F137" s="22">
        <v>3.0970845678587821E-3</v>
      </c>
      <c r="G137" s="22"/>
      <c r="H137" s="22"/>
      <c r="I137" s="22"/>
    </row>
    <row r="138" spans="2:9" x14ac:dyDescent="0.2">
      <c r="B138" s="35">
        <v>82</v>
      </c>
      <c r="C138" s="36">
        <v>557.70000000000005</v>
      </c>
      <c r="D138" s="41">
        <v>591.97012651811804</v>
      </c>
      <c r="E138" s="22">
        <v>-34.270126518117991</v>
      </c>
      <c r="F138" s="22">
        <v>-1.6785726053320704</v>
      </c>
      <c r="G138" s="22"/>
      <c r="H138" s="22"/>
      <c r="I138" s="22"/>
    </row>
    <row r="139" spans="2:9" x14ac:dyDescent="0.2">
      <c r="B139" s="35">
        <v>83</v>
      </c>
      <c r="C139" s="36">
        <v>541.1</v>
      </c>
      <c r="D139" s="41">
        <v>568.51731411665469</v>
      </c>
      <c r="E139" s="22">
        <v>-27.417314116654666</v>
      </c>
      <c r="F139" s="22">
        <v>-1.3429174929853209</v>
      </c>
      <c r="G139" s="22"/>
      <c r="H139" s="22"/>
      <c r="I139" s="22"/>
    </row>
    <row r="140" spans="2:9" x14ac:dyDescent="0.2">
      <c r="B140" s="35">
        <v>84</v>
      </c>
      <c r="C140" s="36">
        <v>505.9</v>
      </c>
      <c r="D140" s="41">
        <v>492.59549304237294</v>
      </c>
      <c r="E140" s="22">
        <v>13.304506957627041</v>
      </c>
      <c r="F140" s="22">
        <v>0.65166321737142852</v>
      </c>
      <c r="G140" s="22"/>
      <c r="H140" s="22"/>
      <c r="I140" s="22"/>
    </row>
    <row r="141" spans="2:9" x14ac:dyDescent="0.2">
      <c r="B141" s="35">
        <v>85</v>
      </c>
      <c r="C141" s="36">
        <v>503.3</v>
      </c>
      <c r="D141" s="41">
        <v>475.8325909810045</v>
      </c>
      <c r="E141" s="22">
        <v>27.467409018995511</v>
      </c>
      <c r="F141" s="22">
        <v>1.3453711731808602</v>
      </c>
      <c r="G141" s="22"/>
      <c r="H141" s="22"/>
      <c r="I141" s="22"/>
    </row>
    <row r="142" spans="2:9" x14ac:dyDescent="0.2">
      <c r="B142" s="35">
        <v>86</v>
      </c>
      <c r="C142" s="36">
        <v>505</v>
      </c>
      <c r="D142" s="41">
        <v>495.7245893524231</v>
      </c>
      <c r="E142" s="22">
        <v>9.2754106475769049</v>
      </c>
      <c r="F142" s="22">
        <v>0.45431551610983134</v>
      </c>
      <c r="G142" s="22"/>
      <c r="H142" s="22"/>
      <c r="I142" s="22"/>
    </row>
    <row r="143" spans="2:9" x14ac:dyDescent="0.2">
      <c r="B143" s="35">
        <v>87</v>
      </c>
      <c r="C143" s="36">
        <v>508.6</v>
      </c>
      <c r="D143" s="41">
        <v>531.61148698039631</v>
      </c>
      <c r="E143" s="22">
        <v>-23.011486980396285</v>
      </c>
      <c r="F143" s="22">
        <v>-1.1271172761159114</v>
      </c>
      <c r="G143" s="22"/>
      <c r="H143" s="22"/>
      <c r="I143" s="22"/>
    </row>
    <row r="144" spans="2:9" x14ac:dyDescent="0.2">
      <c r="B144" s="35">
        <v>88</v>
      </c>
      <c r="C144" s="36">
        <v>540.9</v>
      </c>
      <c r="D144" s="41">
        <v>553.51966262390476</v>
      </c>
      <c r="E144" s="22">
        <v>-12.619662623904787</v>
      </c>
      <c r="F144" s="22">
        <v>-0.61811910609143905</v>
      </c>
      <c r="G144" s="22"/>
      <c r="H144" s="22"/>
      <c r="I144" s="22"/>
    </row>
    <row r="145" spans="2:9" x14ac:dyDescent="0.2">
      <c r="B145" s="35">
        <v>89</v>
      </c>
      <c r="C145" s="36">
        <v>557.1</v>
      </c>
      <c r="D145" s="41">
        <v>551.06493891206355</v>
      </c>
      <c r="E145" s="22">
        <v>6.0350610879364694</v>
      </c>
      <c r="F145" s="22">
        <v>0.2956011326179383</v>
      </c>
      <c r="G145" s="22"/>
      <c r="H145" s="22"/>
      <c r="I145" s="22"/>
    </row>
    <row r="146" spans="2:9" x14ac:dyDescent="0.2">
      <c r="B146" s="35">
        <v>90</v>
      </c>
      <c r="C146" s="36">
        <v>607.9</v>
      </c>
      <c r="D146" s="41">
        <v>591.86553899766784</v>
      </c>
      <c r="E146" s="22">
        <v>16.034461002332137</v>
      </c>
      <c r="F146" s="22">
        <v>0.78537810374148065</v>
      </c>
      <c r="G146" s="22"/>
      <c r="H146" s="22"/>
      <c r="I146" s="22"/>
    </row>
    <row r="147" spans="2:9" x14ac:dyDescent="0.2">
      <c r="B147" s="35">
        <v>91</v>
      </c>
      <c r="C147" s="36">
        <v>594.79999999999995</v>
      </c>
      <c r="D147" s="41">
        <v>583.99412656852769</v>
      </c>
      <c r="E147" s="22">
        <v>10.805873431472264</v>
      </c>
      <c r="F147" s="22">
        <v>0.52927855720537054</v>
      </c>
      <c r="G147" s="22"/>
      <c r="H147" s="22"/>
      <c r="I147" s="22"/>
    </row>
    <row r="148" spans="2:9" x14ac:dyDescent="0.2">
      <c r="B148" s="35">
        <v>92</v>
      </c>
      <c r="C148" s="36">
        <v>585.6</v>
      </c>
      <c r="D148" s="41">
        <v>577.38143276247831</v>
      </c>
      <c r="E148" s="22">
        <v>8.2185672375217109</v>
      </c>
      <c r="F148" s="22">
        <v>0.40255065334206475</v>
      </c>
      <c r="G148" s="22"/>
      <c r="H148" s="22"/>
      <c r="I148" s="22"/>
    </row>
    <row r="149" spans="2:9" x14ac:dyDescent="0.2">
      <c r="B149" s="35">
        <v>93</v>
      </c>
      <c r="C149" s="36">
        <v>573.20000000000005</v>
      </c>
      <c r="D149" s="41">
        <v>582.0390063974553</v>
      </c>
      <c r="E149" s="22">
        <v>-8.8390063974552504</v>
      </c>
      <c r="F149" s="22">
        <v>-0.43294015822437343</v>
      </c>
      <c r="G149" s="22"/>
      <c r="H149" s="22"/>
      <c r="I149" s="22"/>
    </row>
    <row r="150" spans="2:9" x14ac:dyDescent="0.2">
      <c r="B150" s="35">
        <v>94</v>
      </c>
      <c r="C150" s="36">
        <v>560.20000000000005</v>
      </c>
      <c r="D150" s="41">
        <v>571.7400225193677</v>
      </c>
      <c r="E150" s="22">
        <v>-11.540022519367653</v>
      </c>
      <c r="F150" s="22">
        <v>-0.56523764672081833</v>
      </c>
      <c r="G150" s="22"/>
      <c r="H150" s="22"/>
      <c r="I150" s="22"/>
    </row>
    <row r="151" spans="2:9" x14ac:dyDescent="0.2">
      <c r="B151" s="35">
        <v>95</v>
      </c>
      <c r="C151" s="36">
        <v>568.1</v>
      </c>
      <c r="D151" s="41">
        <v>564.93417487182342</v>
      </c>
      <c r="E151" s="22">
        <v>3.165825128176607</v>
      </c>
      <c r="F151" s="22">
        <v>0.15506412941369482</v>
      </c>
      <c r="G151" s="22"/>
      <c r="H151" s="22"/>
      <c r="I151" s="22"/>
    </row>
    <row r="152" spans="2:9" x14ac:dyDescent="0.2">
      <c r="B152" s="35">
        <v>96</v>
      </c>
      <c r="C152" s="36">
        <v>524.79999999999995</v>
      </c>
      <c r="D152" s="41">
        <v>527.09498629442476</v>
      </c>
      <c r="E152" s="22">
        <v>-2.2949862944248025</v>
      </c>
      <c r="F152" s="22">
        <v>-0.11240988916096921</v>
      </c>
      <c r="G152" s="22"/>
      <c r="H152" s="22"/>
      <c r="I152" s="22"/>
    </row>
    <row r="153" spans="2:9" x14ac:dyDescent="0.2">
      <c r="B153" s="35">
        <v>97</v>
      </c>
      <c r="C153" s="36">
        <v>513.1</v>
      </c>
      <c r="D153" s="41">
        <v>502.488728623366</v>
      </c>
      <c r="E153" s="22">
        <v>10.611271376634022</v>
      </c>
      <c r="F153" s="22">
        <v>0.51974682472051659</v>
      </c>
      <c r="G153" s="22"/>
      <c r="H153" s="22"/>
      <c r="I153" s="22"/>
    </row>
    <row r="154" spans="2:9" x14ac:dyDescent="0.2">
      <c r="B154" s="35">
        <v>98</v>
      </c>
      <c r="C154" s="36">
        <v>498</v>
      </c>
      <c r="D154" s="41">
        <v>493.13331448145277</v>
      </c>
      <c r="E154" s="22">
        <v>4.8666855185472286</v>
      </c>
      <c r="F154" s="22">
        <v>0.23837335371028859</v>
      </c>
      <c r="G154" s="22"/>
      <c r="H154" s="22"/>
      <c r="I154" s="22"/>
    </row>
    <row r="155" spans="2:9" x14ac:dyDescent="0.2">
      <c r="B155" s="35">
        <v>99</v>
      </c>
      <c r="C155" s="36">
        <v>498.3</v>
      </c>
      <c r="D155" s="41">
        <v>501.83290141698143</v>
      </c>
      <c r="E155" s="22">
        <v>-3.5329014169814172</v>
      </c>
      <c r="F155" s="22">
        <v>-0.17304375963563065</v>
      </c>
      <c r="G155" s="22"/>
      <c r="H155" s="22"/>
      <c r="I155" s="22"/>
    </row>
    <row r="156" spans="2:9" x14ac:dyDescent="0.2">
      <c r="B156" s="35">
        <v>100</v>
      </c>
      <c r="C156" s="36">
        <v>568.29999999999995</v>
      </c>
      <c r="D156" s="41">
        <v>544.80569862490756</v>
      </c>
      <c r="E156" s="22">
        <v>23.494301375092391</v>
      </c>
      <c r="F156" s="22">
        <v>1.1507658324166419</v>
      </c>
      <c r="G156" s="22"/>
      <c r="H156" s="22"/>
      <c r="I156" s="22"/>
    </row>
    <row r="157" spans="2:9" x14ac:dyDescent="0.2">
      <c r="B157" s="35">
        <v>101</v>
      </c>
      <c r="C157" s="36">
        <v>601.79999999999995</v>
      </c>
      <c r="D157" s="41">
        <v>599.41249403326754</v>
      </c>
      <c r="E157" s="22">
        <v>2.3875059667324194</v>
      </c>
      <c r="F157" s="22">
        <v>0.11694156158732461</v>
      </c>
      <c r="G157" s="22"/>
      <c r="H157" s="22"/>
      <c r="I157" s="22"/>
    </row>
    <row r="158" spans="2:9" x14ac:dyDescent="0.2">
      <c r="B158" s="35">
        <v>102</v>
      </c>
      <c r="C158" s="36">
        <v>629.6</v>
      </c>
      <c r="D158" s="41">
        <v>645.16580615234602</v>
      </c>
      <c r="E158" s="22">
        <v>-15.565806152345999</v>
      </c>
      <c r="F158" s="22">
        <v>-0.76242309095135152</v>
      </c>
      <c r="G158" s="22"/>
      <c r="H158" s="22"/>
      <c r="I158" s="22"/>
    </row>
    <row r="159" spans="2:9" x14ac:dyDescent="0.2">
      <c r="B159" s="35">
        <v>103</v>
      </c>
      <c r="C159" s="36">
        <v>612</v>
      </c>
      <c r="D159" s="41">
        <v>613.03995809377682</v>
      </c>
      <c r="E159" s="22">
        <v>-1.0399580937768178</v>
      </c>
      <c r="F159" s="22">
        <v>-5.0937809231145853E-2</v>
      </c>
      <c r="G159" s="22"/>
      <c r="H159" s="22"/>
      <c r="I159" s="22"/>
    </row>
    <row r="160" spans="2:9" x14ac:dyDescent="0.2">
      <c r="B160" s="35">
        <v>104</v>
      </c>
      <c r="C160" s="36">
        <v>617.5</v>
      </c>
      <c r="D160" s="41">
        <v>610.02441371125599</v>
      </c>
      <c r="E160" s="22">
        <v>7.4755862887440117</v>
      </c>
      <c r="F160" s="22">
        <v>0.36615897366027156</v>
      </c>
      <c r="G160" s="22"/>
      <c r="H160" s="22"/>
      <c r="I160" s="22"/>
    </row>
    <row r="161" spans="2:9" x14ac:dyDescent="0.2">
      <c r="B161" s="35">
        <v>105</v>
      </c>
      <c r="C161" s="36">
        <v>560.6</v>
      </c>
      <c r="D161" s="41">
        <v>607.69096969763848</v>
      </c>
      <c r="E161" s="22">
        <v>-47.090969697638457</v>
      </c>
      <c r="F161" s="22">
        <v>-2.3065456630628018</v>
      </c>
      <c r="G161" s="22"/>
      <c r="H161" s="22"/>
      <c r="I161" s="22"/>
    </row>
    <row r="162" spans="2:9" x14ac:dyDescent="0.2">
      <c r="B162" s="35">
        <v>106</v>
      </c>
      <c r="C162" s="36">
        <v>555</v>
      </c>
      <c r="D162" s="41">
        <v>537.45314237006482</v>
      </c>
      <c r="E162" s="22">
        <v>17.546857629935175</v>
      </c>
      <c r="F162" s="22">
        <v>0.85945625300506512</v>
      </c>
      <c r="G162" s="22"/>
      <c r="H162" s="22"/>
      <c r="I162" s="22"/>
    </row>
    <row r="163" spans="2:9" x14ac:dyDescent="0.2">
      <c r="B163" s="35">
        <v>107</v>
      </c>
      <c r="C163" s="36">
        <v>570.70000000000005</v>
      </c>
      <c r="D163" s="41">
        <v>549.78477265576089</v>
      </c>
      <c r="E163" s="22">
        <v>20.915227344239156</v>
      </c>
      <c r="F163" s="22">
        <v>1.0244411451405429</v>
      </c>
      <c r="G163" s="22"/>
      <c r="H163" s="22"/>
      <c r="I163" s="22"/>
    </row>
    <row r="164" spans="2:9" x14ac:dyDescent="0.2">
      <c r="B164" s="35">
        <v>108</v>
      </c>
      <c r="C164" s="36">
        <v>530.1</v>
      </c>
      <c r="D164" s="41">
        <v>533.03641838501596</v>
      </c>
      <c r="E164" s="22">
        <v>-2.9364183850159407</v>
      </c>
      <c r="F164" s="22">
        <v>-0.14382764114615482</v>
      </c>
      <c r="G164" s="22"/>
      <c r="H164" s="22"/>
      <c r="I164" s="22"/>
    </row>
    <row r="165" spans="2:9" x14ac:dyDescent="0.2">
      <c r="B165" s="35">
        <v>109</v>
      </c>
      <c r="C165" s="36">
        <v>509.7</v>
      </c>
      <c r="D165" s="41">
        <v>523.03264500723867</v>
      </c>
      <c r="E165" s="22">
        <v>-13.332645007238682</v>
      </c>
      <c r="F165" s="22">
        <v>-0.65304143694761263</v>
      </c>
      <c r="G165" s="22"/>
      <c r="H165" s="22"/>
      <c r="I165" s="22"/>
    </row>
    <row r="166" spans="2:9" x14ac:dyDescent="0.2">
      <c r="B166" s="35">
        <v>110</v>
      </c>
      <c r="C166" s="36">
        <v>489.3</v>
      </c>
      <c r="D166" s="41">
        <v>502.74298984716881</v>
      </c>
      <c r="E166" s="22">
        <v>-13.442989847168803</v>
      </c>
      <c r="F166" s="22">
        <v>-0.6584461974275172</v>
      </c>
      <c r="G166" s="22"/>
      <c r="H166" s="22"/>
      <c r="I166" s="22"/>
    </row>
    <row r="167" spans="2:9" x14ac:dyDescent="0.2">
      <c r="B167" s="35">
        <v>111</v>
      </c>
      <c r="C167" s="36">
        <v>488.7</v>
      </c>
      <c r="D167" s="41">
        <v>490.12343277452987</v>
      </c>
      <c r="E167" s="22">
        <v>-1.4234327745298856</v>
      </c>
      <c r="F167" s="22">
        <v>-6.9720643126149243E-2</v>
      </c>
      <c r="G167" s="22"/>
      <c r="H167" s="22"/>
      <c r="I167" s="22"/>
    </row>
    <row r="168" spans="2:9" x14ac:dyDescent="0.2">
      <c r="B168" s="35">
        <v>112</v>
      </c>
      <c r="C168" s="36">
        <v>568.1</v>
      </c>
      <c r="D168" s="41">
        <v>537.06858491039782</v>
      </c>
      <c r="E168" s="22">
        <v>31.031415089602206</v>
      </c>
      <c r="F168" s="22">
        <v>1.5199384585451201</v>
      </c>
      <c r="G168" s="22"/>
      <c r="H168" s="22"/>
      <c r="I168" s="22"/>
    </row>
    <row r="169" spans="2:9" x14ac:dyDescent="0.2">
      <c r="B169" s="35">
        <v>113</v>
      </c>
      <c r="C169" s="36">
        <v>609.5</v>
      </c>
      <c r="D169" s="41">
        <v>593.61715709907025</v>
      </c>
      <c r="E169" s="22">
        <v>15.882842900929745</v>
      </c>
      <c r="F169" s="22">
        <v>0.77795175264960581</v>
      </c>
      <c r="G169" s="22"/>
      <c r="H169" s="22"/>
      <c r="I169" s="22"/>
    </row>
    <row r="170" spans="2:9" x14ac:dyDescent="0.2">
      <c r="B170" s="35">
        <v>114</v>
      </c>
      <c r="C170" s="36">
        <v>639</v>
      </c>
      <c r="D170" s="41">
        <v>651.01558139810402</v>
      </c>
      <c r="E170" s="22">
        <v>-12.015581398104018</v>
      </c>
      <c r="F170" s="22">
        <v>-0.58853082323264927</v>
      </c>
      <c r="G170" s="22"/>
      <c r="H170" s="22"/>
      <c r="I170" s="22"/>
    </row>
    <row r="171" spans="2:9" x14ac:dyDescent="0.2">
      <c r="B171" s="35">
        <v>115</v>
      </c>
      <c r="C171" s="36">
        <v>628.1</v>
      </c>
      <c r="D171" s="41">
        <v>622.83158054674027</v>
      </c>
      <c r="E171" s="22">
        <v>5.268419453259753</v>
      </c>
      <c r="F171" s="22">
        <v>0.25805053748386453</v>
      </c>
      <c r="G171" s="22"/>
      <c r="H171" s="22"/>
      <c r="I171" s="22"/>
    </row>
    <row r="172" spans="2:9" x14ac:dyDescent="0.2">
      <c r="B172" s="35">
        <v>116</v>
      </c>
      <c r="C172" s="36">
        <v>635.5</v>
      </c>
      <c r="D172" s="41">
        <v>625.31000981205534</v>
      </c>
      <c r="E172" s="22">
        <v>10.189990187944659</v>
      </c>
      <c r="F172" s="22">
        <v>0.49911220400787232</v>
      </c>
      <c r="G172" s="22"/>
      <c r="H172" s="22"/>
      <c r="I172" s="22"/>
    </row>
    <row r="173" spans="2:9" x14ac:dyDescent="0.2">
      <c r="B173" s="35">
        <v>117</v>
      </c>
      <c r="C173" s="36">
        <v>592.4</v>
      </c>
      <c r="D173" s="41">
        <v>603.85403578631417</v>
      </c>
      <c r="E173" s="22">
        <v>-11.454035786314194</v>
      </c>
      <c r="F173" s="22">
        <v>-0.561025961816497</v>
      </c>
      <c r="G173" s="22"/>
      <c r="H173" s="22"/>
      <c r="I173" s="22"/>
    </row>
    <row r="174" spans="2:9" x14ac:dyDescent="0.2">
      <c r="B174" s="35">
        <v>118</v>
      </c>
      <c r="C174" s="36">
        <v>580.9</v>
      </c>
      <c r="D174" s="41">
        <v>581.57303507235179</v>
      </c>
      <c r="E174" s="22">
        <v>-0.67303507235180859</v>
      </c>
      <c r="F174" s="22">
        <v>-3.2965686143007433E-2</v>
      </c>
      <c r="G174" s="22"/>
      <c r="H174" s="22"/>
      <c r="I174" s="22"/>
    </row>
    <row r="175" spans="2:9" x14ac:dyDescent="0.2">
      <c r="B175" s="35">
        <v>119</v>
      </c>
      <c r="C175" s="36">
        <v>611.5</v>
      </c>
      <c r="D175" s="41">
        <v>591.77571044746412</v>
      </c>
      <c r="E175" s="22">
        <v>19.724289552535879</v>
      </c>
      <c r="F175" s="22">
        <v>0.96610825422603419</v>
      </c>
      <c r="G175" s="22"/>
      <c r="H175" s="22"/>
      <c r="I175" s="22"/>
    </row>
    <row r="176" spans="2:9" x14ac:dyDescent="0.2">
      <c r="B176" s="35">
        <v>120</v>
      </c>
      <c r="C176" s="36">
        <v>571.79999999999995</v>
      </c>
      <c r="D176" s="41">
        <v>570.33890995324884</v>
      </c>
      <c r="E176" s="22">
        <v>1.4610900467511101</v>
      </c>
      <c r="F176" s="22">
        <v>7.1565120283496805E-2</v>
      </c>
      <c r="G176" s="22"/>
      <c r="H176" s="22"/>
      <c r="I176" s="22"/>
    </row>
    <row r="177" spans="2:9" x14ac:dyDescent="0.2">
      <c r="B177" s="35">
        <v>121</v>
      </c>
      <c r="C177" s="36">
        <v>525.20000000000005</v>
      </c>
      <c r="D177" s="41">
        <v>556.09305319094778</v>
      </c>
      <c r="E177" s="22">
        <v>-30.893053190947739</v>
      </c>
      <c r="F177" s="22">
        <v>-1.5131614046996862</v>
      </c>
      <c r="G177" s="22"/>
      <c r="H177" s="22"/>
      <c r="I177" s="22"/>
    </row>
    <row r="178" spans="2:9" x14ac:dyDescent="0.2">
      <c r="B178" s="35">
        <v>122</v>
      </c>
      <c r="C178" s="36">
        <v>493.6</v>
      </c>
      <c r="D178" s="41">
        <v>505.34743734914241</v>
      </c>
      <c r="E178" s="22">
        <v>-11.747437349142388</v>
      </c>
      <c r="F178" s="22">
        <v>-0.57539695707572525</v>
      </c>
      <c r="G178" s="22"/>
      <c r="H178" s="22"/>
      <c r="I178" s="22"/>
    </row>
    <row r="179" spans="2:9" x14ac:dyDescent="0.2">
      <c r="B179" s="35">
        <v>123</v>
      </c>
      <c r="C179" s="36">
        <v>513.9</v>
      </c>
      <c r="D179" s="41">
        <v>492.21576636561105</v>
      </c>
      <c r="E179" s="22">
        <v>21.684233634388931</v>
      </c>
      <c r="F179" s="22">
        <v>1.0621075626044825</v>
      </c>
      <c r="G179" s="22"/>
      <c r="H179" s="22"/>
      <c r="I179" s="22"/>
    </row>
    <row r="180" spans="2:9" x14ac:dyDescent="0.2">
      <c r="B180" s="35">
        <v>124</v>
      </c>
      <c r="C180" s="36">
        <v>594.20000000000005</v>
      </c>
      <c r="D180" s="41">
        <v>589.063224503485</v>
      </c>
      <c r="E180" s="22">
        <v>5.1367754965150425</v>
      </c>
      <c r="F180" s="22">
        <v>0.25160253270826599</v>
      </c>
      <c r="G180" s="22"/>
      <c r="H180" s="22"/>
      <c r="I180" s="22"/>
    </row>
    <row r="181" spans="2:9" x14ac:dyDescent="0.2">
      <c r="B181" s="35">
        <v>125</v>
      </c>
      <c r="C181" s="36">
        <v>610.70000000000005</v>
      </c>
      <c r="D181" s="41">
        <v>631.25002424222987</v>
      </c>
      <c r="E181" s="22">
        <v>-20.550024242229824</v>
      </c>
      <c r="F181" s="22">
        <v>-1.0065532647998892</v>
      </c>
      <c r="G181" s="22"/>
      <c r="H181" s="22"/>
      <c r="I181" s="22"/>
    </row>
    <row r="182" spans="2:9" x14ac:dyDescent="0.2">
      <c r="B182" s="35">
        <v>126</v>
      </c>
      <c r="C182" s="36">
        <v>632.29999999999995</v>
      </c>
      <c r="D182" s="41">
        <v>637.53757213198674</v>
      </c>
      <c r="E182" s="22">
        <v>-5.2375721319867807</v>
      </c>
      <c r="F182" s="22">
        <v>-0.25653961605760967</v>
      </c>
      <c r="G182" s="22"/>
      <c r="H182" s="22"/>
      <c r="I182" s="22"/>
    </row>
    <row r="183" spans="2:9" x14ac:dyDescent="0.2">
      <c r="B183" s="35">
        <v>127</v>
      </c>
      <c r="C183" s="36">
        <v>647</v>
      </c>
      <c r="D183" s="41">
        <v>616.84398051779317</v>
      </c>
      <c r="E183" s="22">
        <v>30.15601948220683</v>
      </c>
      <c r="F183" s="22">
        <v>1.477061024619539</v>
      </c>
      <c r="G183" s="22"/>
      <c r="H183" s="22"/>
      <c r="I183" s="22"/>
    </row>
    <row r="184" spans="2:9" x14ac:dyDescent="0.2">
      <c r="B184" s="35">
        <v>128</v>
      </c>
      <c r="C184" s="36">
        <v>656.7</v>
      </c>
      <c r="D184" s="41">
        <v>654.96204902708303</v>
      </c>
      <c r="E184" s="22">
        <v>1.7379509729170195</v>
      </c>
      <c r="F184" s="22">
        <v>8.5125944633044084E-2</v>
      </c>
      <c r="G184" s="22"/>
      <c r="H184" s="22"/>
      <c r="I184" s="22"/>
    </row>
    <row r="185" spans="2:9" x14ac:dyDescent="0.2">
      <c r="B185" s="35">
        <v>129</v>
      </c>
      <c r="C185" s="36">
        <v>635.70000000000005</v>
      </c>
      <c r="D185" s="41">
        <v>605.75922793189727</v>
      </c>
      <c r="E185" s="22">
        <v>29.940772068102774</v>
      </c>
      <c r="F185" s="22">
        <v>1.4665180692997617</v>
      </c>
      <c r="G185" s="22"/>
      <c r="H185" s="22"/>
      <c r="I185" s="22"/>
    </row>
    <row r="186" spans="2:9" x14ac:dyDescent="0.2">
      <c r="B186" s="35">
        <v>130</v>
      </c>
      <c r="C186" s="36">
        <v>643.6</v>
      </c>
      <c r="D186" s="41">
        <v>629.16103019874572</v>
      </c>
      <c r="E186" s="22">
        <v>14.438969801254302</v>
      </c>
      <c r="F186" s="22">
        <v>0.70722992939022089</v>
      </c>
      <c r="G186" s="22"/>
      <c r="H186" s="22"/>
      <c r="I186" s="22"/>
    </row>
    <row r="187" spans="2:9" x14ac:dyDescent="0.2">
      <c r="B187" s="35">
        <v>131</v>
      </c>
      <c r="C187" s="36">
        <v>645.70000000000005</v>
      </c>
      <c r="D187" s="41">
        <v>666.59592816125587</v>
      </c>
      <c r="E187" s="22">
        <v>-20.895928161255824</v>
      </c>
      <c r="F187" s="22">
        <v>-1.0234958588766014</v>
      </c>
      <c r="G187" s="22"/>
      <c r="H187" s="22"/>
      <c r="I187" s="22"/>
    </row>
    <row r="188" spans="2:9" x14ac:dyDescent="0.2">
      <c r="B188" s="35">
        <v>132</v>
      </c>
      <c r="C188" s="36">
        <v>622.4</v>
      </c>
      <c r="D188" s="41">
        <v>603.80686243127047</v>
      </c>
      <c r="E188" s="22">
        <v>18.593137568729503</v>
      </c>
      <c r="F188" s="22">
        <v>0.91070371022820007</v>
      </c>
      <c r="G188" s="22"/>
      <c r="H188" s="22"/>
      <c r="I188" s="22"/>
    </row>
    <row r="189" spans="2:9" x14ac:dyDescent="0.2">
      <c r="B189" s="35">
        <v>133</v>
      </c>
      <c r="C189" s="36">
        <v>570.29999999999995</v>
      </c>
      <c r="D189" s="41">
        <v>591.2615548376956</v>
      </c>
      <c r="E189" s="22">
        <v>-20.961554837695644</v>
      </c>
      <c r="F189" s="22">
        <v>-1.0267102952514608</v>
      </c>
      <c r="G189" s="22"/>
      <c r="H189" s="22"/>
      <c r="I189" s="22"/>
    </row>
    <row r="190" spans="2:9" x14ac:dyDescent="0.2">
      <c r="B190" s="35">
        <v>134</v>
      </c>
      <c r="C190" s="36">
        <v>580.4</v>
      </c>
      <c r="D190" s="41">
        <v>543.2807841017368</v>
      </c>
      <c r="E190" s="22">
        <v>37.119215898263178</v>
      </c>
      <c r="F190" s="22">
        <v>1.8181228162461116</v>
      </c>
      <c r="G190" s="22"/>
      <c r="H190" s="22"/>
      <c r="I190" s="22"/>
    </row>
    <row r="191" spans="2:9" x14ac:dyDescent="0.2">
      <c r="B191" s="35">
        <v>135</v>
      </c>
      <c r="C191" s="36">
        <v>585.4</v>
      </c>
      <c r="D191" s="41">
        <v>591.03106940240855</v>
      </c>
      <c r="E191" s="22">
        <v>-5.6310694024085706</v>
      </c>
      <c r="F191" s="22">
        <v>-0.27581336277266078</v>
      </c>
      <c r="G191" s="22"/>
      <c r="H191" s="22"/>
      <c r="I191" s="22"/>
    </row>
    <row r="192" spans="2:9" x14ac:dyDescent="0.2">
      <c r="B192" s="35">
        <v>136</v>
      </c>
      <c r="C192" s="36">
        <v>648.70000000000005</v>
      </c>
      <c r="D192" s="41">
        <v>664.61566472761365</v>
      </c>
      <c r="E192" s="22">
        <v>-15.915664727613603</v>
      </c>
      <c r="F192" s="22">
        <v>-0.77955938660740143</v>
      </c>
      <c r="G192" s="22"/>
      <c r="H192" s="22"/>
      <c r="I192" s="22"/>
    </row>
    <row r="193" spans="2:9" x14ac:dyDescent="0.2">
      <c r="B193" s="35">
        <v>137</v>
      </c>
      <c r="C193" s="36">
        <v>689.1</v>
      </c>
      <c r="D193" s="41">
        <v>677.69725513103299</v>
      </c>
      <c r="E193" s="22">
        <v>11.402744868967034</v>
      </c>
      <c r="F193" s="22">
        <v>0.55851370004484069</v>
      </c>
      <c r="G193" s="22"/>
      <c r="H193" s="22"/>
      <c r="I193" s="22"/>
    </row>
    <row r="194" spans="2:9" x14ac:dyDescent="0.2">
      <c r="B194" s="35">
        <v>138</v>
      </c>
      <c r="C194" s="36">
        <v>708.4</v>
      </c>
      <c r="D194" s="41">
        <v>715.45047920820593</v>
      </c>
      <c r="E194" s="22">
        <v>-7.0504792082059566</v>
      </c>
      <c r="F194" s="22">
        <v>-0.34533695833019623</v>
      </c>
      <c r="G194" s="22"/>
      <c r="H194" s="22"/>
      <c r="I194" s="22"/>
    </row>
    <row r="195" spans="2:9" x14ac:dyDescent="0.2">
      <c r="B195" s="35">
        <v>139</v>
      </c>
      <c r="C195" s="36">
        <v>642.20000000000005</v>
      </c>
      <c r="D195" s="41">
        <v>707.9770845829114</v>
      </c>
      <c r="E195" s="22">
        <v>-65.777084582911357</v>
      </c>
      <c r="F195" s="22">
        <v>-3.2218034614232569</v>
      </c>
      <c r="G195" s="22"/>
      <c r="H195" s="22"/>
      <c r="I195" s="22"/>
    </row>
    <row r="196" spans="2:9" x14ac:dyDescent="0.2">
      <c r="B196" s="35">
        <v>140</v>
      </c>
      <c r="C196" s="36">
        <v>647.1</v>
      </c>
      <c r="D196" s="41">
        <v>645.81549008427885</v>
      </c>
      <c r="E196" s="22">
        <v>1.2845099157211735</v>
      </c>
      <c r="F196" s="22">
        <v>6.2916113095382212E-2</v>
      </c>
      <c r="G196" s="22"/>
      <c r="H196" s="22"/>
      <c r="I196" s="22"/>
    </row>
    <row r="197" spans="2:9" x14ac:dyDescent="0.2">
      <c r="B197" s="35">
        <v>141</v>
      </c>
      <c r="C197" s="36">
        <v>647.79999999999995</v>
      </c>
      <c r="D197" s="41">
        <v>613.1517071714818</v>
      </c>
      <c r="E197" s="22">
        <v>34.648292828518152</v>
      </c>
      <c r="F197" s="22">
        <v>1.6970954318691018</v>
      </c>
      <c r="G197" s="22"/>
      <c r="H197" s="22"/>
      <c r="I197" s="22"/>
    </row>
    <row r="198" spans="2:9" x14ac:dyDescent="0.2">
      <c r="B198" s="35">
        <v>142</v>
      </c>
      <c r="C198" s="36">
        <v>650.4</v>
      </c>
      <c r="D198" s="41">
        <v>646.78013868927383</v>
      </c>
      <c r="E198" s="22">
        <v>3.6198613107261508</v>
      </c>
      <c r="F198" s="22">
        <v>0.17730311056990067</v>
      </c>
      <c r="G198" s="22"/>
      <c r="H198" s="22"/>
      <c r="I198" s="22"/>
    </row>
    <row r="199" spans="2:9" x14ac:dyDescent="0.2">
      <c r="B199" s="35">
        <v>143</v>
      </c>
      <c r="C199" s="36">
        <v>644.70000000000005</v>
      </c>
      <c r="D199" s="41">
        <v>668.48985547237726</v>
      </c>
      <c r="E199" s="22">
        <v>-23.789855472377212</v>
      </c>
      <c r="F199" s="22">
        <v>-1.1652422601833636</v>
      </c>
      <c r="G199" s="22"/>
      <c r="H199" s="22"/>
      <c r="I199" s="22"/>
    </row>
    <row r="200" spans="2:9" x14ac:dyDescent="0.2">
      <c r="B200" s="35">
        <v>144</v>
      </c>
      <c r="C200" s="36">
        <v>575.20000000000005</v>
      </c>
      <c r="D200" s="41">
        <v>610.28752394057688</v>
      </c>
      <c r="E200" s="22">
        <v>-35.08752394057683</v>
      </c>
      <c r="F200" s="22">
        <v>-1.7186092512511648</v>
      </c>
      <c r="G200" s="22"/>
      <c r="H200" s="22"/>
      <c r="I200" s="22"/>
    </row>
    <row r="201" spans="2:9" x14ac:dyDescent="0.2">
      <c r="B201" s="35">
        <v>145</v>
      </c>
      <c r="C201" s="36">
        <v>567.1</v>
      </c>
      <c r="D201" s="41">
        <v>523.59448834252453</v>
      </c>
      <c r="E201" s="22">
        <v>43.505511657475495</v>
      </c>
      <c r="F201" s="22">
        <v>2.1309276465782898</v>
      </c>
      <c r="G201" s="22">
        <v>20.416231272485447</v>
      </c>
      <c r="H201" s="22">
        <v>483.57941034841269</v>
      </c>
      <c r="I201" s="22">
        <v>563.60956633663636</v>
      </c>
    </row>
    <row r="202" spans="2:9" x14ac:dyDescent="0.2">
      <c r="B202" s="35">
        <v>146</v>
      </c>
      <c r="C202" s="36">
        <v>574</v>
      </c>
      <c r="D202" s="41">
        <v>510.05204073013482</v>
      </c>
      <c r="E202" s="22">
        <v>63.94795926986518</v>
      </c>
      <c r="F202" s="22">
        <v>3.1322117395900873</v>
      </c>
      <c r="G202" s="22">
        <v>29.855219051809659</v>
      </c>
      <c r="H202" s="22">
        <v>451.53688663803382</v>
      </c>
      <c r="I202" s="22">
        <v>568.56719482223582</v>
      </c>
    </row>
    <row r="203" spans="2:9" x14ac:dyDescent="0.2">
      <c r="B203" s="35">
        <v>147</v>
      </c>
      <c r="C203" s="36">
        <v>533.1</v>
      </c>
      <c r="D203" s="41">
        <v>523.4767883408341</v>
      </c>
      <c r="E203" s="22">
        <v>9.6232116591659178</v>
      </c>
      <c r="F203" s="22">
        <v>0.4713510309875325</v>
      </c>
      <c r="G203" s="22">
        <v>37.011377249149923</v>
      </c>
      <c r="H203" s="22">
        <v>450.93582191427515</v>
      </c>
      <c r="I203" s="22">
        <v>596.01775476739306</v>
      </c>
    </row>
    <row r="204" spans="2:9" x14ac:dyDescent="0.2">
      <c r="B204" s="35">
        <v>148</v>
      </c>
      <c r="C204" s="36">
        <v>583.70000000000005</v>
      </c>
      <c r="D204" s="41">
        <v>596.16362004934081</v>
      </c>
      <c r="E204" s="22">
        <v>-12.463620049340761</v>
      </c>
      <c r="F204" s="22">
        <v>-0.61047604148850609</v>
      </c>
      <c r="G204" s="22">
        <v>42.995559974302481</v>
      </c>
      <c r="H204" s="22">
        <v>511.89387100457606</v>
      </c>
      <c r="I204" s="22">
        <v>680.4333690941055</v>
      </c>
    </row>
    <row r="205" spans="2:9" x14ac:dyDescent="0.2">
      <c r="B205" s="35">
        <v>149</v>
      </c>
      <c r="C205" s="36">
        <v>619.9</v>
      </c>
      <c r="D205" s="41">
        <v>623.05154506794941</v>
      </c>
      <c r="E205" s="22">
        <v>-3.1515450679494279</v>
      </c>
      <c r="F205" s="22">
        <v>-0.15436468297636807</v>
      </c>
      <c r="G205" s="22">
        <v>48.243261391055057</v>
      </c>
      <c r="H205" s="22">
        <v>528.49649024472978</v>
      </c>
      <c r="I205" s="22">
        <v>717.60659989116903</v>
      </c>
    </row>
    <row r="206" spans="2:9" x14ac:dyDescent="0.2">
      <c r="B206" s="35">
        <v>150</v>
      </c>
      <c r="C206" s="36">
        <v>649</v>
      </c>
      <c r="D206" s="41">
        <v>643.50869380732058</v>
      </c>
      <c r="E206" s="22">
        <v>5.4913061926794171</v>
      </c>
      <c r="F206" s="22">
        <v>0.26896767181903658</v>
      </c>
      <c r="G206" s="22">
        <v>52.973649717785982</v>
      </c>
      <c r="H206" s="22">
        <v>539.68224823081971</v>
      </c>
      <c r="I206" s="22">
        <v>747.33513938382146</v>
      </c>
    </row>
    <row r="207" spans="2:9" x14ac:dyDescent="0.2">
      <c r="B207" s="35">
        <v>151</v>
      </c>
      <c r="C207" s="36">
        <v>698.1</v>
      </c>
      <c r="D207" s="41">
        <v>622.47337869067769</v>
      </c>
      <c r="E207" s="22">
        <v>75.626621309322331</v>
      </c>
      <c r="F207" s="22">
        <v>3.7042400382308971</v>
      </c>
      <c r="G207" s="22">
        <v>57.314945169016283</v>
      </c>
      <c r="H207" s="22">
        <v>510.13815038351783</v>
      </c>
      <c r="I207" s="22">
        <v>734.8086069978375</v>
      </c>
    </row>
    <row r="208" spans="2:9" x14ac:dyDescent="0.2">
      <c r="B208" s="35">
        <v>152</v>
      </c>
      <c r="C208" s="36">
        <v>630.20000000000005</v>
      </c>
      <c r="D208" s="41">
        <v>629.93026141415999</v>
      </c>
      <c r="E208" s="22">
        <v>0.26973858584005939</v>
      </c>
      <c r="F208" s="22">
        <v>1.3211967587944635E-2</v>
      </c>
      <c r="G208" s="22">
        <v>61.349802937125013</v>
      </c>
      <c r="H208" s="22">
        <v>509.68685719876538</v>
      </c>
      <c r="I208" s="22">
        <v>750.17366562955465</v>
      </c>
    </row>
    <row r="209" spans="2:9" x14ac:dyDescent="0.2">
      <c r="B209" s="35">
        <v>153</v>
      </c>
      <c r="C209" s="36">
        <v>613.1</v>
      </c>
      <c r="D209" s="41">
        <v>618.3499987808168</v>
      </c>
      <c r="E209" s="22">
        <v>-5.2499987808167816</v>
      </c>
      <c r="F209" s="22">
        <v>-0.25714828122524758</v>
      </c>
      <c r="G209" s="22">
        <v>65.135195566466606</v>
      </c>
      <c r="H209" s="22">
        <v>490.6873613445693</v>
      </c>
      <c r="I209" s="22">
        <v>746.01263621706437</v>
      </c>
    </row>
    <row r="210" spans="2:9" x14ac:dyDescent="0.2">
      <c r="B210" s="35">
        <v>154</v>
      </c>
      <c r="C210" s="36">
        <v>622</v>
      </c>
      <c r="D210" s="41">
        <v>623.78682765811311</v>
      </c>
      <c r="E210" s="22">
        <v>-1.7868276581131113</v>
      </c>
      <c r="F210" s="22">
        <v>-8.7519955777596609E-2</v>
      </c>
      <c r="G210" s="22">
        <v>68.712364844791978</v>
      </c>
      <c r="H210" s="22">
        <v>489.1130672697447</v>
      </c>
      <c r="I210" s="22">
        <v>758.46058804648146</v>
      </c>
    </row>
    <row r="211" spans="2:9" x14ac:dyDescent="0.2">
      <c r="B211" s="35">
        <v>155</v>
      </c>
      <c r="C211" s="36">
        <v>622.1</v>
      </c>
      <c r="D211" s="41">
        <v>622.32338723081534</v>
      </c>
      <c r="E211" s="22">
        <v>-0.22338723081531953</v>
      </c>
      <c r="F211" s="22">
        <v>-1.0941648722228872E-2</v>
      </c>
      <c r="G211" s="22">
        <v>72.112304523204486</v>
      </c>
      <c r="H211" s="22">
        <v>480.98586752314975</v>
      </c>
      <c r="I211" s="22">
        <v>763.66090693848093</v>
      </c>
    </row>
    <row r="212" spans="2:9" ht="16" thickBot="1" x14ac:dyDescent="0.25">
      <c r="B212" s="37">
        <v>156</v>
      </c>
      <c r="C212" s="38">
        <v>583.1</v>
      </c>
      <c r="D212" s="42">
        <v>578.5598102840039</v>
      </c>
      <c r="E212" s="21">
        <v>4.5401897159961209</v>
      </c>
      <c r="F212" s="21">
        <v>0.22238138152925635</v>
      </c>
      <c r="G212" s="21">
        <v>75.359006394266231</v>
      </c>
      <c r="H212" s="21">
        <v>430.85887184051847</v>
      </c>
      <c r="I212" s="21">
        <v>726.26074872748927</v>
      </c>
    </row>
    <row r="231" spans="2:10" x14ac:dyDescent="0.2">
      <c r="G231" t="s">
        <v>195</v>
      </c>
    </row>
    <row r="234" spans="2:10" x14ac:dyDescent="0.2">
      <c r="B234" t="s">
        <v>233</v>
      </c>
    </row>
    <row r="235" spans="2:10" ht="16" thickBot="1" x14ac:dyDescent="0.25"/>
    <row r="236" spans="2:10" x14ac:dyDescent="0.2">
      <c r="B236" s="9" t="s">
        <v>224</v>
      </c>
      <c r="C236" s="9" t="s">
        <v>225</v>
      </c>
      <c r="D236" s="9" t="s">
        <v>226</v>
      </c>
      <c r="E236" s="9" t="s">
        <v>215</v>
      </c>
      <c r="F236" s="9" t="s">
        <v>216</v>
      </c>
      <c r="G236" s="9" t="s">
        <v>227</v>
      </c>
      <c r="H236" s="9" t="s">
        <v>226</v>
      </c>
      <c r="I236" s="9" t="s">
        <v>215</v>
      </c>
      <c r="J236" s="9" t="s">
        <v>216</v>
      </c>
    </row>
    <row r="237" spans="2:10" x14ac:dyDescent="0.2">
      <c r="B237" s="23">
        <v>0</v>
      </c>
      <c r="C237" s="20">
        <v>1</v>
      </c>
      <c r="D237" s="20">
        <v>0</v>
      </c>
      <c r="E237" s="20"/>
      <c r="F237" s="20"/>
      <c r="G237" s="20">
        <v>1</v>
      </c>
      <c r="H237" s="20">
        <v>0</v>
      </c>
      <c r="I237" s="20"/>
      <c r="J237" s="20"/>
    </row>
    <row r="238" spans="2:10" x14ac:dyDescent="0.2">
      <c r="B238" s="24">
        <v>1</v>
      </c>
      <c r="C238" s="22">
        <v>0.844025822436129</v>
      </c>
      <c r="D238" s="22">
        <v>8.0064076902543566E-2</v>
      </c>
      <c r="E238" s="22">
        <v>-0.15692270718443055</v>
      </c>
      <c r="F238" s="22">
        <v>0.15692270718443055</v>
      </c>
      <c r="G238" s="22">
        <v>0.844025822436129</v>
      </c>
      <c r="H238" s="22">
        <v>8.0064076902543566E-2</v>
      </c>
      <c r="I238" s="22">
        <v>-0.15692270718443055</v>
      </c>
      <c r="J238" s="22">
        <v>0.15692270718443055</v>
      </c>
    </row>
    <row r="239" spans="2:10" x14ac:dyDescent="0.2">
      <c r="B239" s="24">
        <v>2</v>
      </c>
      <c r="C239" s="22">
        <v>0.61128531725508339</v>
      </c>
      <c r="D239" s="22">
        <v>0.12467288423438477</v>
      </c>
      <c r="E239" s="22">
        <v>-0.2443543629481256</v>
      </c>
      <c r="F239" s="22">
        <v>0.2443543629481256</v>
      </c>
      <c r="G239" s="22">
        <v>-0.35148503999062269</v>
      </c>
      <c r="H239" s="22">
        <v>8.0064076902543566E-2</v>
      </c>
      <c r="I239" s="22">
        <v>-0.15692270718443055</v>
      </c>
      <c r="J239" s="22">
        <v>0.15692270718443055</v>
      </c>
    </row>
    <row r="240" spans="2:10" x14ac:dyDescent="0.2">
      <c r="B240" s="24">
        <v>3</v>
      </c>
      <c r="C240" s="22">
        <v>0.39822857269078249</v>
      </c>
      <c r="D240" s="22">
        <v>0.1425972150639081</v>
      </c>
      <c r="E240" s="22">
        <v>-0.27948540582097225</v>
      </c>
      <c r="F240" s="22">
        <v>0.27948540582097225</v>
      </c>
      <c r="G240" s="22">
        <v>-9.5005577720003228E-3</v>
      </c>
      <c r="H240" s="22">
        <v>8.0064076902543566E-2</v>
      </c>
      <c r="I240" s="22">
        <v>-0.15692270718443055</v>
      </c>
      <c r="J240" s="22">
        <v>0.15692270718443055</v>
      </c>
    </row>
    <row r="241" spans="2:10" x14ac:dyDescent="0.2">
      <c r="B241" s="24">
        <v>4</v>
      </c>
      <c r="C241" s="22">
        <v>0.25669999619287914</v>
      </c>
      <c r="D241" s="22">
        <v>0.14955640922484861</v>
      </c>
      <c r="E241" s="22">
        <v>-0.29312517573783708</v>
      </c>
      <c r="F241" s="22">
        <v>0.29312517573783708</v>
      </c>
      <c r="G241" s="22">
        <v>7.9451456243552834E-2</v>
      </c>
      <c r="H241" s="22">
        <v>8.0064076902543566E-2</v>
      </c>
      <c r="I241" s="22">
        <v>-0.15692270718443055</v>
      </c>
      <c r="J241" s="22">
        <v>0.15692270718443055</v>
      </c>
    </row>
    <row r="242" spans="2:10" x14ac:dyDescent="0.2">
      <c r="B242" s="24">
        <v>5</v>
      </c>
      <c r="C242" s="22">
        <v>0.20285903458719909</v>
      </c>
      <c r="D242" s="22">
        <v>0.15235460543489651</v>
      </c>
      <c r="E242" s="22">
        <v>-0.29860953953120745</v>
      </c>
      <c r="F242" s="22">
        <v>0.29860953953120745</v>
      </c>
      <c r="G242" s="22">
        <v>0.11806500284411817</v>
      </c>
      <c r="H242" s="22">
        <v>8.0064076902543566E-2</v>
      </c>
      <c r="I242" s="22">
        <v>-0.15692270718443055</v>
      </c>
      <c r="J242" s="22">
        <v>0.15692270718443055</v>
      </c>
    </row>
    <row r="243" spans="2:10" x14ac:dyDescent="0.2">
      <c r="B243" s="24">
        <v>6</v>
      </c>
      <c r="C243" s="22">
        <v>0.17577368965751591</v>
      </c>
      <c r="D243" s="22">
        <v>0.15407632141817568</v>
      </c>
      <c r="E243" s="22">
        <v>-0.3019840408500416</v>
      </c>
      <c r="F243" s="22">
        <v>0.3019840408500416</v>
      </c>
      <c r="G243" s="22">
        <v>-6.7946509620923995E-2</v>
      </c>
      <c r="H243" s="22">
        <v>8.0064076902543566E-2</v>
      </c>
      <c r="I243" s="22">
        <v>-0.15692270718443055</v>
      </c>
      <c r="J243" s="22">
        <v>0.15692270718443055</v>
      </c>
    </row>
    <row r="244" spans="2:10" x14ac:dyDescent="0.2">
      <c r="B244" s="24">
        <v>7</v>
      </c>
      <c r="C244" s="22">
        <v>0.19002708210837738</v>
      </c>
      <c r="D244" s="22">
        <v>0.15535643013904996</v>
      </c>
      <c r="E244" s="22">
        <v>-0.30449300783925082</v>
      </c>
      <c r="F244" s="22">
        <v>0.30449300783925082</v>
      </c>
      <c r="G244" s="22">
        <v>0.15357485337038024</v>
      </c>
      <c r="H244" s="22">
        <v>8.0064076902543566E-2</v>
      </c>
      <c r="I244" s="22">
        <v>-0.15692270718443055</v>
      </c>
      <c r="J244" s="22">
        <v>0.15692270718443055</v>
      </c>
    </row>
    <row r="245" spans="2:10" x14ac:dyDescent="0.2">
      <c r="B245" s="24">
        <v>8</v>
      </c>
      <c r="C245" s="22">
        <v>0.23179194248726187</v>
      </c>
      <c r="D245" s="22">
        <v>0.15683932174760834</v>
      </c>
      <c r="E245" s="22">
        <v>-0.30739942198500192</v>
      </c>
      <c r="F245" s="22">
        <v>0.30739942198500192</v>
      </c>
      <c r="G245" s="22">
        <v>9.6327782239726059E-2</v>
      </c>
      <c r="H245" s="22">
        <v>8.0064076902543566E-2</v>
      </c>
      <c r="I245" s="22">
        <v>-0.15692270718443055</v>
      </c>
      <c r="J245" s="22">
        <v>0.15692270718443055</v>
      </c>
    </row>
    <row r="246" spans="2:10" x14ac:dyDescent="0.2">
      <c r="B246" s="24">
        <v>9</v>
      </c>
      <c r="C246" s="22">
        <v>0.34551448920014566</v>
      </c>
      <c r="D246" s="22">
        <v>0.15902008366182602</v>
      </c>
      <c r="E246" s="22">
        <v>-0.31167363679572518</v>
      </c>
      <c r="F246" s="22">
        <v>0.31167363679572518</v>
      </c>
      <c r="G246" s="22">
        <v>0.33974653462180476</v>
      </c>
      <c r="H246" s="22">
        <v>8.0064076902543566E-2</v>
      </c>
      <c r="I246" s="22">
        <v>-0.15692270718443055</v>
      </c>
      <c r="J246" s="22">
        <v>0.15692270718443055</v>
      </c>
    </row>
    <row r="247" spans="2:10" x14ac:dyDescent="0.2">
      <c r="B247" s="24">
        <v>10</v>
      </c>
      <c r="C247" s="22">
        <v>0.51911053194272694</v>
      </c>
      <c r="D247" s="22">
        <v>0.16376172687924073</v>
      </c>
      <c r="E247" s="22">
        <v>-0.32096708672939667</v>
      </c>
      <c r="F247" s="22">
        <v>0.32096708672939667</v>
      </c>
      <c r="G247" s="22">
        <v>0.30648576843746927</v>
      </c>
      <c r="H247" s="22">
        <v>8.0064076902543566E-2</v>
      </c>
      <c r="I247" s="22">
        <v>-0.15692270718443055</v>
      </c>
      <c r="J247" s="22">
        <v>0.15692270718443055</v>
      </c>
    </row>
    <row r="248" spans="2:10" x14ac:dyDescent="0.2">
      <c r="B248" s="24">
        <v>11</v>
      </c>
      <c r="C248" s="22">
        <v>0.67628708577754493</v>
      </c>
      <c r="D248" s="22">
        <v>0.17399057568165396</v>
      </c>
      <c r="E248" s="22">
        <v>-0.34101526198543225</v>
      </c>
      <c r="F248" s="22">
        <v>0.34101526198543225</v>
      </c>
      <c r="G248" s="22">
        <v>0.22114019109767977</v>
      </c>
      <c r="H248" s="22">
        <v>8.0064076902543566E-2</v>
      </c>
      <c r="I248" s="22">
        <v>-0.15692270718443055</v>
      </c>
      <c r="J248" s="22">
        <v>0.15692270718443055</v>
      </c>
    </row>
    <row r="249" spans="2:10" x14ac:dyDescent="0.2">
      <c r="B249" s="24">
        <v>12</v>
      </c>
      <c r="C249" s="22">
        <v>0.76427583760208873</v>
      </c>
      <c r="D249" s="22">
        <v>0.19009567144683126</v>
      </c>
      <c r="E249" s="22">
        <v>-0.37258066965274828</v>
      </c>
      <c r="F249" s="22">
        <v>0.37258066965274828</v>
      </c>
      <c r="G249" s="22">
        <v>0.17968495386398589</v>
      </c>
      <c r="H249" s="22">
        <v>8.0064076902543566E-2</v>
      </c>
      <c r="I249" s="22">
        <v>-0.15692270718443055</v>
      </c>
      <c r="J249" s="22">
        <v>0.15692270718443055</v>
      </c>
    </row>
    <row r="250" spans="2:10" x14ac:dyDescent="0.2">
      <c r="B250" s="24">
        <v>13</v>
      </c>
      <c r="C250" s="22">
        <v>0.67440309849227054</v>
      </c>
      <c r="D250" s="22">
        <v>0.20886610763229979</v>
      </c>
      <c r="E250" s="22">
        <v>-0.40937004855037396</v>
      </c>
      <c r="F250" s="22">
        <v>0.40937004855037396</v>
      </c>
      <c r="G250" s="22">
        <v>-0.27531213916256836</v>
      </c>
      <c r="H250" s="22">
        <v>8.0064076902543566E-2</v>
      </c>
      <c r="I250" s="22">
        <v>-0.15692270718443055</v>
      </c>
      <c r="J250" s="22">
        <v>0.15692270718443055</v>
      </c>
    </row>
    <row r="251" spans="2:10" x14ac:dyDescent="0.2">
      <c r="B251" s="24">
        <v>14</v>
      </c>
      <c r="C251" s="22">
        <v>0.49929819595188601</v>
      </c>
      <c r="D251" s="22">
        <v>0.2223872088307203</v>
      </c>
      <c r="E251" s="22">
        <v>-0.43587091993059957</v>
      </c>
      <c r="F251" s="22">
        <v>0.43587091993059957</v>
      </c>
      <c r="G251" s="22">
        <v>-2.0973801392201407E-2</v>
      </c>
      <c r="H251" s="22">
        <v>8.0064076902543566E-2</v>
      </c>
      <c r="I251" s="22">
        <v>-0.15692270718443055</v>
      </c>
      <c r="J251" s="22">
        <v>0.15692270718443055</v>
      </c>
    </row>
    <row r="252" spans="2:10" x14ac:dyDescent="0.2">
      <c r="B252" s="24">
        <v>15</v>
      </c>
      <c r="C252" s="22">
        <v>0.29664746638104122</v>
      </c>
      <c r="D252" s="22">
        <v>0.22946068875370271</v>
      </c>
      <c r="E252" s="22">
        <v>-0.44973468582501219</v>
      </c>
      <c r="F252" s="22">
        <v>0.44973468582501219</v>
      </c>
      <c r="G252" s="22">
        <v>-0.20265657719363753</v>
      </c>
      <c r="H252" s="22">
        <v>8.0064076902543566E-2</v>
      </c>
      <c r="I252" s="22">
        <v>-0.15692270718443055</v>
      </c>
      <c r="J252" s="22">
        <v>0.15692270718443055</v>
      </c>
    </row>
    <row r="253" spans="2:10" x14ac:dyDescent="0.2">
      <c r="B253" s="24">
        <v>16</v>
      </c>
      <c r="C253" s="22">
        <v>0.15678571615483741</v>
      </c>
      <c r="D253" s="22">
        <v>0.23190603530943896</v>
      </c>
      <c r="E253" s="22">
        <v>-0.45452747700397433</v>
      </c>
      <c r="F253" s="22">
        <v>0.45452747700397433</v>
      </c>
      <c r="G253" s="22">
        <v>4.2915319852546333E-2</v>
      </c>
      <c r="H253" s="22">
        <v>8.0064076902543566E-2</v>
      </c>
      <c r="I253" s="22">
        <v>-0.15692270718443055</v>
      </c>
      <c r="J253" s="22">
        <v>0.15692270718443055</v>
      </c>
    </row>
    <row r="254" spans="2:10" x14ac:dyDescent="0.2">
      <c r="B254" s="24">
        <v>17</v>
      </c>
      <c r="C254" s="22">
        <v>0.1069940596807844</v>
      </c>
      <c r="D254" s="22">
        <v>0.23258452225439269</v>
      </c>
      <c r="E254" s="22">
        <v>-0.45585728698006422</v>
      </c>
      <c r="F254" s="22">
        <v>0.45585728698006422</v>
      </c>
      <c r="G254" s="22">
        <v>-9.9522024065763944E-3</v>
      </c>
      <c r="H254" s="22">
        <v>8.0064076902543566E-2</v>
      </c>
      <c r="I254" s="22">
        <v>-0.15692270718443055</v>
      </c>
      <c r="J254" s="22">
        <v>0.15692270718443055</v>
      </c>
    </row>
    <row r="255" spans="2:10" x14ac:dyDescent="0.2">
      <c r="B255" s="24">
        <v>18</v>
      </c>
      <c r="C255" s="22">
        <v>6.5601480509497184E-2</v>
      </c>
      <c r="D255" s="22">
        <v>0.23289981912023822</v>
      </c>
      <c r="E255" s="22">
        <v>-0.45647525748155982</v>
      </c>
      <c r="F255" s="22">
        <v>0.45647525748155982</v>
      </c>
      <c r="G255" s="22">
        <v>-0.18290294948194319</v>
      </c>
      <c r="H255" s="22">
        <v>8.0064076902543566E-2</v>
      </c>
      <c r="I255" s="22">
        <v>-0.15692270718443055</v>
      </c>
      <c r="J255" s="22">
        <v>0.15692270718443055</v>
      </c>
    </row>
    <row r="256" spans="2:10" x14ac:dyDescent="0.2">
      <c r="B256" s="24">
        <v>19</v>
      </c>
      <c r="C256" s="22">
        <v>5.3125093542414174E-2</v>
      </c>
      <c r="D256" s="22">
        <v>0.23301823859649259</v>
      </c>
      <c r="E256" s="22">
        <v>-0.4567073553900865</v>
      </c>
      <c r="F256" s="22">
        <v>0.4567073553900865</v>
      </c>
      <c r="G256" s="22">
        <v>-9.778903266764942E-2</v>
      </c>
      <c r="H256" s="22">
        <v>8.0064076902543566E-2</v>
      </c>
      <c r="I256" s="22">
        <v>-0.15692270718443055</v>
      </c>
      <c r="J256" s="22">
        <v>0.15692270718443055</v>
      </c>
    </row>
    <row r="257" spans="2:10" x14ac:dyDescent="0.2">
      <c r="B257" s="24">
        <v>20</v>
      </c>
      <c r="C257" s="22">
        <v>7.7756551612399555E-2</v>
      </c>
      <c r="D257" s="22">
        <v>0.23309586555462933</v>
      </c>
      <c r="E257" s="22">
        <v>-0.45685950143226389</v>
      </c>
      <c r="F257" s="22">
        <v>0.45685950143226389</v>
      </c>
      <c r="G257" s="22">
        <v>-3.9411187618873654E-2</v>
      </c>
      <c r="H257" s="22">
        <v>8.0064076902543566E-2</v>
      </c>
      <c r="I257" s="22">
        <v>-0.15692270718443055</v>
      </c>
      <c r="J257" s="22">
        <v>0.15692270718443055</v>
      </c>
    </row>
    <row r="258" spans="2:10" x14ac:dyDescent="0.2">
      <c r="B258" s="24">
        <v>21</v>
      </c>
      <c r="C258" s="22">
        <v>0.19976230902882333</v>
      </c>
      <c r="D258" s="22">
        <v>0.23326207664710838</v>
      </c>
      <c r="E258" s="22">
        <v>-0.45718526918735392</v>
      </c>
      <c r="F258" s="22">
        <v>0.45718526918735392</v>
      </c>
      <c r="G258" s="22">
        <v>0.18370276262220436</v>
      </c>
      <c r="H258" s="22">
        <v>8.0064076902543566E-2</v>
      </c>
      <c r="I258" s="22">
        <v>-0.15692270718443055</v>
      </c>
      <c r="J258" s="22">
        <v>0.15692270718443055</v>
      </c>
    </row>
    <row r="259" spans="2:10" ht="16" thickBot="1" x14ac:dyDescent="0.25">
      <c r="B259" s="25">
        <v>22</v>
      </c>
      <c r="C259" s="21">
        <v>0.37960930536712717</v>
      </c>
      <c r="D259" s="21">
        <v>0.23435613649060943</v>
      </c>
      <c r="E259" s="21">
        <v>-0.45932958707754751</v>
      </c>
      <c r="F259" s="21">
        <v>0.45932958707754751</v>
      </c>
      <c r="G259" s="21">
        <v>3.8086576705665794E-2</v>
      </c>
      <c r="H259" s="21">
        <v>8.0064076902543566E-2</v>
      </c>
      <c r="I259" s="21">
        <v>-0.15692270718443055</v>
      </c>
      <c r="J259" s="21">
        <v>0.15692270718443055</v>
      </c>
    </row>
    <row r="278" spans="2:10" x14ac:dyDescent="0.2">
      <c r="G278" t="s">
        <v>195</v>
      </c>
    </row>
    <row r="281" spans="2:10" x14ac:dyDescent="0.2">
      <c r="B281" t="s">
        <v>228</v>
      </c>
    </row>
    <row r="282" spans="2:10" ht="16" thickBot="1" x14ac:dyDescent="0.25"/>
    <row r="283" spans="2:10" x14ac:dyDescent="0.2">
      <c r="B283" s="9" t="s">
        <v>224</v>
      </c>
      <c r="C283" s="9" t="s">
        <v>225</v>
      </c>
      <c r="D283" s="9" t="s">
        <v>226</v>
      </c>
      <c r="E283" s="9" t="s">
        <v>215</v>
      </c>
      <c r="F283" s="9" t="s">
        <v>216</v>
      </c>
      <c r="G283" s="9" t="s">
        <v>227</v>
      </c>
      <c r="H283" s="9" t="s">
        <v>226</v>
      </c>
      <c r="I283" s="9" t="s">
        <v>215</v>
      </c>
      <c r="J283" s="9" t="s">
        <v>216</v>
      </c>
    </row>
    <row r="284" spans="2:10" x14ac:dyDescent="0.2">
      <c r="B284" s="23">
        <v>0</v>
      </c>
      <c r="C284" s="20">
        <v>1</v>
      </c>
      <c r="D284" s="20">
        <v>0</v>
      </c>
      <c r="E284" s="20"/>
      <c r="F284" s="20"/>
      <c r="G284" s="20">
        <v>1</v>
      </c>
      <c r="H284" s="20">
        <v>0</v>
      </c>
      <c r="I284" s="20"/>
      <c r="J284" s="20"/>
    </row>
    <row r="285" spans="2:10" x14ac:dyDescent="0.2">
      <c r="B285" s="24">
        <v>1</v>
      </c>
      <c r="C285" s="22">
        <v>5.730169647054794E-2</v>
      </c>
      <c r="D285" s="22">
        <v>8.0064076902543566E-2</v>
      </c>
      <c r="E285" s="22">
        <v>-0.15692270718443055</v>
      </c>
      <c r="F285" s="22">
        <v>0.15692270718443055</v>
      </c>
      <c r="G285" s="22">
        <v>5.730169647054794E-2</v>
      </c>
      <c r="H285" s="22">
        <v>8.0064076902543566E-2</v>
      </c>
      <c r="I285" s="22">
        <v>-0.15692270718443055</v>
      </c>
      <c r="J285" s="22">
        <v>0.15692270718443055</v>
      </c>
    </row>
    <row r="286" spans="2:10" x14ac:dyDescent="0.2">
      <c r="B286" s="24">
        <v>2</v>
      </c>
      <c r="C286" s="22">
        <v>-0.4550775869072558</v>
      </c>
      <c r="D286" s="22">
        <v>8.0326535866664245E-2</v>
      </c>
      <c r="E286" s="22">
        <v>-0.15743711730152676</v>
      </c>
      <c r="F286" s="22">
        <v>0.15743711730152676</v>
      </c>
      <c r="G286" s="22">
        <v>-0.45987105075528811</v>
      </c>
      <c r="H286" s="22">
        <v>8.0064076902543566E-2</v>
      </c>
      <c r="I286" s="22">
        <v>-0.15692270718443055</v>
      </c>
      <c r="J286" s="22">
        <v>0.15692270718443055</v>
      </c>
    </row>
    <row r="287" spans="2:10" x14ac:dyDescent="0.2">
      <c r="B287" s="24">
        <v>3</v>
      </c>
      <c r="C287" s="22">
        <v>-8.2705181094776245E-2</v>
      </c>
      <c r="D287" s="22">
        <v>9.5432826054590969E-2</v>
      </c>
      <c r="E287" s="22">
        <v>-0.18704490200987395</v>
      </c>
      <c r="F287" s="22">
        <v>0.18704490200987395</v>
      </c>
      <c r="G287" s="22">
        <v>-2.3265628437904744E-2</v>
      </c>
      <c r="H287" s="22">
        <v>8.0064076902543566E-2</v>
      </c>
      <c r="I287" s="22">
        <v>-0.15692270718443055</v>
      </c>
      <c r="J287" s="22">
        <v>0.15692270718443055</v>
      </c>
    </row>
    <row r="288" spans="2:10" x14ac:dyDescent="0.2">
      <c r="B288" s="24">
        <v>4</v>
      </c>
      <c r="C288" s="22">
        <v>0.10416210240569926</v>
      </c>
      <c r="D288" s="22">
        <v>9.5891180412048693E-2</v>
      </c>
      <c r="E288" s="22">
        <v>-0.18794326004264808</v>
      </c>
      <c r="F288" s="22">
        <v>0.18794326004264808</v>
      </c>
      <c r="G288" s="22">
        <v>-0.12331238976497493</v>
      </c>
      <c r="H288" s="22">
        <v>8.0064076902543566E-2</v>
      </c>
      <c r="I288" s="22">
        <v>-0.15692270718443055</v>
      </c>
      <c r="J288" s="22">
        <v>0.15692270718443055</v>
      </c>
    </row>
    <row r="289" spans="2:10" x14ac:dyDescent="0.2">
      <c r="B289" s="24">
        <v>5</v>
      </c>
      <c r="C289" s="22">
        <v>6.6089172527701232E-2</v>
      </c>
      <c r="D289" s="22">
        <v>9.6613755529177378E-2</v>
      </c>
      <c r="E289" s="22">
        <v>-0.18935948124834512</v>
      </c>
      <c r="F289" s="22">
        <v>0.18935948124834512</v>
      </c>
      <c r="G289" s="22">
        <v>2.1741457755981866E-2</v>
      </c>
      <c r="H289" s="22">
        <v>8.0064076902543566E-2</v>
      </c>
      <c r="I289" s="22">
        <v>-0.15692270718443055</v>
      </c>
      <c r="J289" s="22">
        <v>0.15692270718443055</v>
      </c>
    </row>
    <row r="290" spans="2:10" x14ac:dyDescent="0.2">
      <c r="B290" s="24">
        <v>6</v>
      </c>
      <c r="C290" s="22">
        <v>2.5650125012050277E-2</v>
      </c>
      <c r="D290" s="22">
        <v>9.6903121315042057E-2</v>
      </c>
      <c r="E290" s="22">
        <v>-0.18992662776699801</v>
      </c>
      <c r="F290" s="22">
        <v>0.18992662776699801</v>
      </c>
      <c r="G290" s="22">
        <v>2.0794022542531928E-2</v>
      </c>
      <c r="H290" s="22">
        <v>8.0064076902543566E-2</v>
      </c>
      <c r="I290" s="22">
        <v>-0.15692270718443055</v>
      </c>
      <c r="J290" s="22">
        <v>0.15692270718443055</v>
      </c>
    </row>
    <row r="291" spans="2:10" x14ac:dyDescent="0.2">
      <c r="B291" s="24">
        <v>7</v>
      </c>
      <c r="C291" s="22">
        <v>-8.9810906206530455E-2</v>
      </c>
      <c r="D291" s="22">
        <v>9.6946634323547179E-2</v>
      </c>
      <c r="E291" s="22">
        <v>-0.19001191169652704</v>
      </c>
      <c r="F291" s="22">
        <v>0.19001191169652704</v>
      </c>
      <c r="G291" s="22">
        <v>-7.6306009635855779E-2</v>
      </c>
      <c r="H291" s="22">
        <v>8.0064076902543566E-2</v>
      </c>
      <c r="I291" s="22">
        <v>-0.15692270718443055</v>
      </c>
      <c r="J291" s="22">
        <v>0.15692270718443055</v>
      </c>
    </row>
    <row r="292" spans="2:10" x14ac:dyDescent="0.2">
      <c r="B292" s="24">
        <v>8</v>
      </c>
      <c r="C292" s="22">
        <v>-2.4856036370106974E-2</v>
      </c>
      <c r="D292" s="22">
        <v>9.7478511214694377E-2</v>
      </c>
      <c r="E292" s="22">
        <v>-0.1910543712473847</v>
      </c>
      <c r="F292" s="22">
        <v>0.1910543712473847</v>
      </c>
      <c r="G292" s="22">
        <v>2.9077179825014E-2</v>
      </c>
      <c r="H292" s="22">
        <v>8.0064076902543566E-2</v>
      </c>
      <c r="I292" s="22">
        <v>-0.15692270718443055</v>
      </c>
      <c r="J292" s="22">
        <v>0.15692270718443055</v>
      </c>
    </row>
    <row r="293" spans="2:10" x14ac:dyDescent="0.2">
      <c r="B293" s="24">
        <v>9</v>
      </c>
      <c r="C293" s="22">
        <v>7.1869255243142402E-2</v>
      </c>
      <c r="D293" s="22">
        <v>9.751913120244593E-2</v>
      </c>
      <c r="E293" s="22">
        <v>-0.19113398496043019</v>
      </c>
      <c r="F293" s="22">
        <v>0.19113398496043019</v>
      </c>
      <c r="G293" s="22">
        <v>4.528265214158677E-3</v>
      </c>
      <c r="H293" s="22">
        <v>8.0064076902543566E-2</v>
      </c>
      <c r="I293" s="22">
        <v>-0.15692270718443055</v>
      </c>
      <c r="J293" s="22">
        <v>0.15692270718443055</v>
      </c>
    </row>
    <row r="294" spans="2:10" x14ac:dyDescent="0.2">
      <c r="B294" s="24">
        <v>10</v>
      </c>
      <c r="C294" s="22">
        <v>-2.3187366455998656E-2</v>
      </c>
      <c r="D294" s="22">
        <v>9.7858067287076356E-2</v>
      </c>
      <c r="E294" s="22">
        <v>-0.19179828747936684</v>
      </c>
      <c r="F294" s="22">
        <v>0.19179828747936684</v>
      </c>
      <c r="G294" s="22">
        <v>-4.7015914241066208E-2</v>
      </c>
      <c r="H294" s="22">
        <v>8.0064076902543566E-2</v>
      </c>
      <c r="I294" s="22">
        <v>-0.15692270718443055</v>
      </c>
      <c r="J294" s="22">
        <v>0.15692270718443055</v>
      </c>
    </row>
    <row r="295" spans="2:10" x14ac:dyDescent="0.2">
      <c r="B295" s="24">
        <v>11</v>
      </c>
      <c r="C295" s="22">
        <v>-1.4315224363015655E-2</v>
      </c>
      <c r="D295" s="22">
        <v>9.7893280324492737E-2</v>
      </c>
      <c r="E295" s="22">
        <v>-0.19186730376448921</v>
      </c>
      <c r="F295" s="22">
        <v>0.19186730376448921</v>
      </c>
      <c r="G295" s="22">
        <v>3.4900344585964214E-2</v>
      </c>
      <c r="H295" s="22">
        <v>8.0064076902543566E-2</v>
      </c>
      <c r="I295" s="22">
        <v>-0.15692270718443055</v>
      </c>
      <c r="J295" s="22">
        <v>0.15692270718443055</v>
      </c>
    </row>
    <row r="296" spans="2:10" x14ac:dyDescent="0.2">
      <c r="B296" s="24">
        <v>12</v>
      </c>
      <c r="C296" s="22">
        <v>-0.10851991429146951</v>
      </c>
      <c r="D296" s="22">
        <v>9.7906698364281383E-2</v>
      </c>
      <c r="E296" s="22">
        <v>-0.19189360263921809</v>
      </c>
      <c r="F296" s="22">
        <v>0.19189360263921809</v>
      </c>
      <c r="G296" s="22">
        <v>-0.18522781216628578</v>
      </c>
      <c r="H296" s="22">
        <v>8.0064076902543566E-2</v>
      </c>
      <c r="I296" s="22">
        <v>-0.15692270718443055</v>
      </c>
      <c r="J296" s="22">
        <v>0.15692270718443055</v>
      </c>
    </row>
    <row r="297" spans="2:10" x14ac:dyDescent="0.2">
      <c r="B297" s="24">
        <v>13</v>
      </c>
      <c r="C297" s="22">
        <v>-3.562776845204315E-2</v>
      </c>
      <c r="D297" s="22">
        <v>9.8674734731389671E-2</v>
      </c>
      <c r="E297" s="22">
        <v>-0.1933989262575673</v>
      </c>
      <c r="F297" s="22">
        <v>0.1933989262575673</v>
      </c>
      <c r="G297" s="22">
        <v>-2.4880359623421998E-3</v>
      </c>
      <c r="H297" s="22">
        <v>8.0064076902543566E-2</v>
      </c>
      <c r="I297" s="22">
        <v>-0.15692270718443055</v>
      </c>
      <c r="J297" s="22">
        <v>0.15692270718443055</v>
      </c>
    </row>
    <row r="298" spans="2:10" x14ac:dyDescent="0.2">
      <c r="B298" s="24">
        <v>14</v>
      </c>
      <c r="C298" s="22">
        <v>4.5578093822745649E-2</v>
      </c>
      <c r="D298" s="22">
        <v>9.8757160940038613E-2</v>
      </c>
      <c r="E298" s="22">
        <v>-0.19356047865790141</v>
      </c>
      <c r="F298" s="22">
        <v>0.19356047865790141</v>
      </c>
      <c r="G298" s="22">
        <v>-0.10811557370296869</v>
      </c>
      <c r="H298" s="22">
        <v>8.0064076902543566E-2</v>
      </c>
      <c r="I298" s="22">
        <v>-0.15692270718443055</v>
      </c>
      <c r="J298" s="22">
        <v>0.15692270718443055</v>
      </c>
    </row>
    <row r="299" spans="2:10" x14ac:dyDescent="0.2">
      <c r="B299" s="24">
        <v>15</v>
      </c>
      <c r="C299" s="22">
        <v>-5.2975975831112722E-2</v>
      </c>
      <c r="D299" s="22">
        <v>9.8891909129367017E-2</v>
      </c>
      <c r="E299" s="22">
        <v>-0.19382458025596708</v>
      </c>
      <c r="F299" s="22">
        <v>0.19382458025596708</v>
      </c>
      <c r="G299" s="22">
        <v>-0.124422708934953</v>
      </c>
      <c r="H299" s="22">
        <v>8.0064076902543566E-2</v>
      </c>
      <c r="I299" s="22">
        <v>-0.15692270718443055</v>
      </c>
      <c r="J299" s="22">
        <v>0.15692270718443055</v>
      </c>
    </row>
    <row r="300" spans="2:10" x14ac:dyDescent="0.2">
      <c r="B300" s="24">
        <v>16</v>
      </c>
      <c r="C300" s="22">
        <v>-7.9902274788974E-3</v>
      </c>
      <c r="D300" s="22">
        <v>9.9073658814711127E-2</v>
      </c>
      <c r="E300" s="22">
        <v>-0.19418080309344302</v>
      </c>
      <c r="F300" s="22">
        <v>0.19418080309344302</v>
      </c>
      <c r="G300" s="22">
        <v>-7.5162374593321232E-4</v>
      </c>
      <c r="H300" s="22">
        <v>8.0064076902543566E-2</v>
      </c>
      <c r="I300" s="22">
        <v>-0.15692270718443055</v>
      </c>
      <c r="J300" s="22">
        <v>0.15692270718443055</v>
      </c>
    </row>
    <row r="301" spans="2:10" x14ac:dyDescent="0.2">
      <c r="B301" s="24">
        <v>17</v>
      </c>
      <c r="C301" s="22">
        <v>0.17365928090442675</v>
      </c>
      <c r="D301" s="22">
        <v>9.9077789541142727E-2</v>
      </c>
      <c r="E301" s="22">
        <v>-0.19418889916847895</v>
      </c>
      <c r="F301" s="22">
        <v>0.19418889916847895</v>
      </c>
      <c r="G301" s="22">
        <v>0.11263824077368512</v>
      </c>
      <c r="H301" s="22">
        <v>8.0064076902543566E-2</v>
      </c>
      <c r="I301" s="22">
        <v>-0.15692270718443055</v>
      </c>
      <c r="J301" s="22">
        <v>0.15692270718443055</v>
      </c>
    </row>
    <row r="302" spans="2:10" x14ac:dyDescent="0.2">
      <c r="B302" s="24">
        <v>18</v>
      </c>
      <c r="C302" s="22">
        <v>0.10459851215585964</v>
      </c>
      <c r="D302" s="22">
        <v>0.10101011624332629</v>
      </c>
      <c r="E302" s="22">
        <v>-0.19797618991112378</v>
      </c>
      <c r="F302" s="22">
        <v>0.19797618991112378</v>
      </c>
      <c r="G302" s="22">
        <v>0.13249770369323252</v>
      </c>
      <c r="H302" s="22">
        <v>8.0064076902543566E-2</v>
      </c>
      <c r="I302" s="22">
        <v>-0.15692270718443055</v>
      </c>
      <c r="J302" s="22">
        <v>0.15692270718443055</v>
      </c>
    </row>
    <row r="303" spans="2:10" x14ac:dyDescent="0.2">
      <c r="B303" s="24">
        <v>19</v>
      </c>
      <c r="C303" s="22">
        <v>-9.3544972922676869E-2</v>
      </c>
      <c r="D303" s="22">
        <v>0.10170206917804409</v>
      </c>
      <c r="E303" s="22">
        <v>-0.19933239274216746</v>
      </c>
      <c r="F303" s="22">
        <v>0.19933239274216746</v>
      </c>
      <c r="G303" s="22">
        <v>4.1815064222361205E-2</v>
      </c>
      <c r="H303" s="22">
        <v>8.0064076902543566E-2</v>
      </c>
      <c r="I303" s="22">
        <v>-0.15692270718443055</v>
      </c>
      <c r="J303" s="22">
        <v>0.15692270718443055</v>
      </c>
    </row>
    <row r="304" spans="2:10" x14ac:dyDescent="0.2">
      <c r="B304" s="24">
        <v>20</v>
      </c>
      <c r="C304" s="22">
        <v>-0.20754486645998105</v>
      </c>
      <c r="D304" s="22">
        <v>0.10225213371333793</v>
      </c>
      <c r="E304" s="22">
        <v>-0.20041049942051614</v>
      </c>
      <c r="F304" s="22">
        <v>0.20041049942051614</v>
      </c>
      <c r="G304" s="22">
        <v>-0.14553485874084507</v>
      </c>
      <c r="H304" s="22">
        <v>8.0064076902543566E-2</v>
      </c>
      <c r="I304" s="22">
        <v>-0.15692270718443055</v>
      </c>
      <c r="J304" s="22">
        <v>0.15692270718443055</v>
      </c>
    </row>
    <row r="305" spans="2:10" x14ac:dyDescent="0.2">
      <c r="B305" s="24">
        <v>21</v>
      </c>
      <c r="C305" s="22">
        <v>4.221224410007747E-2</v>
      </c>
      <c r="D305" s="22">
        <v>0.10491778110712104</v>
      </c>
      <c r="E305" s="22">
        <v>-0.20563507230781408</v>
      </c>
      <c r="F305" s="22">
        <v>0.20563507230781408</v>
      </c>
      <c r="G305" s="22">
        <v>8.5671402434644481E-2</v>
      </c>
      <c r="H305" s="22">
        <v>8.0064076902543566E-2</v>
      </c>
      <c r="I305" s="22">
        <v>-0.15692270718443055</v>
      </c>
      <c r="J305" s="22">
        <v>0.15692270718443055</v>
      </c>
    </row>
    <row r="306" spans="2:10" ht="16" thickBot="1" x14ac:dyDescent="0.25">
      <c r="B306" s="25">
        <v>22</v>
      </c>
      <c r="C306" s="21">
        <v>0.25767864990285405</v>
      </c>
      <c r="D306" s="21">
        <v>0.10502659341880635</v>
      </c>
      <c r="E306" s="21">
        <v>-0.20584834051979187</v>
      </c>
      <c r="F306" s="21">
        <v>0.20584834051979187</v>
      </c>
      <c r="G306" s="21">
        <v>8.1554994222900648E-2</v>
      </c>
      <c r="H306" s="21">
        <v>8.0064076902543566E-2</v>
      </c>
      <c r="I306" s="21">
        <v>-0.15692270718443055</v>
      </c>
      <c r="J306" s="21">
        <v>0.15692270718443055</v>
      </c>
    </row>
    <row r="325" spans="7:7" x14ac:dyDescent="0.2">
      <c r="G325" t="s">
        <v>195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DD776164">
              <controlPr defaultSize="0" autoFill="0" autoPict="0" macro="[0]!GoToResultsNew101220183420390">
                <anchor moveWithCells="1">
                  <from>
                    <xdr:col>0</xdr:col>
                    <xdr:colOff>330200</xdr:colOff>
                    <xdr:row>11</xdr:row>
                    <xdr:rowOff>0</xdr:rowOff>
                  </from>
                  <to>
                    <xdr:col>3</xdr:col>
                    <xdr:colOff>444500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8A02E-D8B7-484B-95B3-34E9170C7728}">
  <sheetPr codeName="Sheet15">
    <tabColor rgb="FF007800"/>
  </sheetPr>
  <dimension ref="B1:J327"/>
  <sheetViews>
    <sheetView topLeftCell="A48" zoomScaleNormal="100" workbookViewId="0">
      <selection activeCell="I63" sqref="I63"/>
    </sheetView>
  </sheetViews>
  <sheetFormatPr baseColWidth="10" defaultColWidth="8.83203125" defaultRowHeight="15" x14ac:dyDescent="0.2"/>
  <cols>
    <col min="1" max="1" width="5" customWidth="1"/>
    <col min="2" max="2" width="12.5" customWidth="1"/>
    <col min="3" max="3" width="13.6640625" customWidth="1"/>
    <col min="4" max="4" width="19.33203125" customWidth="1"/>
  </cols>
  <sheetData>
    <row r="1" spans="2:2" x14ac:dyDescent="0.2">
      <c r="B1" t="s">
        <v>242</v>
      </c>
    </row>
    <row r="2" spans="2:2" x14ac:dyDescent="0.2">
      <c r="B2" t="s">
        <v>234</v>
      </c>
    </row>
    <row r="3" spans="2:2" x14ac:dyDescent="0.2">
      <c r="B3" t="s">
        <v>235</v>
      </c>
    </row>
    <row r="4" spans="2:2" x14ac:dyDescent="0.2">
      <c r="B4" t="s">
        <v>197</v>
      </c>
    </row>
    <row r="5" spans="2:2" x14ac:dyDescent="0.2">
      <c r="B5" t="s">
        <v>236</v>
      </c>
    </row>
    <row r="6" spans="2:2" x14ac:dyDescent="0.2">
      <c r="B6" t="s">
        <v>239</v>
      </c>
    </row>
    <row r="7" spans="2:2" x14ac:dyDescent="0.2">
      <c r="B7" t="s">
        <v>238</v>
      </c>
    </row>
    <row r="8" spans="2:2" x14ac:dyDescent="0.2">
      <c r="B8" t="s">
        <v>237</v>
      </c>
    </row>
    <row r="9" spans="2:2" x14ac:dyDescent="0.2">
      <c r="B9" t="s">
        <v>197</v>
      </c>
    </row>
    <row r="10" spans="2:2" x14ac:dyDescent="0.2">
      <c r="B10" t="s">
        <v>229</v>
      </c>
    </row>
    <row r="11" spans="2:2" ht="34.25" customHeight="1" x14ac:dyDescent="0.2"/>
    <row r="12" spans="2:2" ht="16.25" customHeight="1" x14ac:dyDescent="0.2"/>
    <row r="15" spans="2:2" x14ac:dyDescent="0.2">
      <c r="B15" t="s">
        <v>175</v>
      </c>
    </row>
    <row r="16" spans="2:2" ht="16" thickBot="1" x14ac:dyDescent="0.25"/>
    <row r="17" spans="2:9" x14ac:dyDescent="0.2">
      <c r="B17" s="8" t="s">
        <v>176</v>
      </c>
      <c r="C17" s="9" t="s">
        <v>177</v>
      </c>
      <c r="D17" s="9" t="s">
        <v>178</v>
      </c>
      <c r="E17" s="9" t="s">
        <v>179</v>
      </c>
      <c r="F17" s="9" t="s">
        <v>180</v>
      </c>
      <c r="G17" s="9" t="s">
        <v>181</v>
      </c>
      <c r="H17" s="9" t="s">
        <v>182</v>
      </c>
      <c r="I17" s="9" t="s">
        <v>183</v>
      </c>
    </row>
    <row r="18" spans="2:9" ht="16" thickBot="1" x14ac:dyDescent="0.25">
      <c r="B18" s="11" t="s">
        <v>4</v>
      </c>
      <c r="C18" s="12">
        <v>156</v>
      </c>
      <c r="D18" s="12">
        <v>0</v>
      </c>
      <c r="E18" s="12">
        <v>156</v>
      </c>
      <c r="F18" s="13">
        <v>437.1</v>
      </c>
      <c r="G18" s="13">
        <v>708.4</v>
      </c>
      <c r="H18" s="13">
        <v>554.00064102564113</v>
      </c>
      <c r="I18" s="13">
        <v>57.957320778694594</v>
      </c>
    </row>
    <row r="21" spans="2:9" x14ac:dyDescent="0.2">
      <c r="B21" s="19" t="s">
        <v>230</v>
      </c>
    </row>
    <row r="23" spans="2:9" x14ac:dyDescent="0.2">
      <c r="B23" t="s">
        <v>231</v>
      </c>
    </row>
    <row r="25" spans="2:9" x14ac:dyDescent="0.2">
      <c r="B25" s="26" t="s">
        <v>198</v>
      </c>
      <c r="C25" s="26"/>
      <c r="D25" s="26"/>
    </row>
    <row r="26" spans="2:9" ht="16" thickBot="1" x14ac:dyDescent="0.25"/>
    <row r="27" spans="2:9" x14ac:dyDescent="0.2">
      <c r="B27" s="14" t="s">
        <v>177</v>
      </c>
      <c r="C27" s="14">
        <v>131</v>
      </c>
    </row>
    <row r="28" spans="2:9" x14ac:dyDescent="0.2">
      <c r="B28" s="7" t="s">
        <v>199</v>
      </c>
      <c r="C28" s="7">
        <v>125</v>
      </c>
    </row>
    <row r="29" spans="2:9" x14ac:dyDescent="0.2">
      <c r="B29" s="7" t="s">
        <v>200</v>
      </c>
      <c r="C29" s="7">
        <v>38410.143412472353</v>
      </c>
    </row>
    <row r="30" spans="2:9" x14ac:dyDescent="0.2">
      <c r="B30" s="7" t="s">
        <v>201</v>
      </c>
      <c r="C30" s="7">
        <v>307.28114729977881</v>
      </c>
    </row>
    <row r="31" spans="2:9" x14ac:dyDescent="0.2">
      <c r="B31" s="28" t="s">
        <v>167</v>
      </c>
      <c r="C31" s="28">
        <v>17.52943659390623</v>
      </c>
    </row>
    <row r="32" spans="2:9" x14ac:dyDescent="0.2">
      <c r="B32" s="7" t="s">
        <v>202</v>
      </c>
      <c r="C32" s="7">
        <v>307.28114729977881</v>
      </c>
    </row>
    <row r="33" spans="2:6" x14ac:dyDescent="0.2">
      <c r="B33" s="7" t="s">
        <v>203</v>
      </c>
      <c r="C33" s="7">
        <v>155.63363295549269</v>
      </c>
    </row>
    <row r="34" spans="2:6" x14ac:dyDescent="0.2">
      <c r="B34" s="28" t="s">
        <v>204</v>
      </c>
      <c r="C34" s="28">
        <v>2.0941803107428618</v>
      </c>
    </row>
    <row r="35" spans="2:6" x14ac:dyDescent="0.2">
      <c r="B35" s="7" t="s">
        <v>205</v>
      </c>
      <c r="C35" s="7">
        <v>1130.4057484867833</v>
      </c>
    </row>
    <row r="36" spans="2:6" x14ac:dyDescent="0.2">
      <c r="B36" s="7" t="s">
        <v>206</v>
      </c>
      <c r="C36" s="7">
        <v>459.45847739109786</v>
      </c>
    </row>
    <row r="37" spans="2:6" x14ac:dyDescent="0.2">
      <c r="B37" s="7" t="s">
        <v>207</v>
      </c>
      <c r="C37" s="7">
        <v>1142.4057484867833</v>
      </c>
    </row>
    <row r="38" spans="2:6" x14ac:dyDescent="0.2">
      <c r="B38" s="7" t="s">
        <v>208</v>
      </c>
      <c r="C38" s="7">
        <v>1143.0831678416221</v>
      </c>
    </row>
    <row r="39" spans="2:6" x14ac:dyDescent="0.2">
      <c r="B39" s="7" t="s">
        <v>209</v>
      </c>
      <c r="C39" s="7">
        <v>1159.6569324259901</v>
      </c>
    </row>
    <row r="40" spans="2:6" ht="16" thickBot="1" x14ac:dyDescent="0.25">
      <c r="B40" s="15" t="s">
        <v>210</v>
      </c>
      <c r="C40" s="15">
        <v>27</v>
      </c>
    </row>
    <row r="43" spans="2:6" x14ac:dyDescent="0.2">
      <c r="B43" t="s">
        <v>211</v>
      </c>
    </row>
    <row r="44" spans="2:6" ht="16" thickBot="1" x14ac:dyDescent="0.25"/>
    <row r="45" spans="2:6" x14ac:dyDescent="0.2">
      <c r="B45" s="8" t="s">
        <v>212</v>
      </c>
      <c r="C45" s="9" t="s">
        <v>213</v>
      </c>
      <c r="D45" s="9" t="s">
        <v>214</v>
      </c>
      <c r="E45" s="9" t="s">
        <v>215</v>
      </c>
      <c r="F45" s="9" t="s">
        <v>216</v>
      </c>
    </row>
    <row r="46" spans="2:6" ht="16" thickBot="1" x14ac:dyDescent="0.25">
      <c r="B46" s="11" t="s">
        <v>217</v>
      </c>
      <c r="C46" s="13">
        <v>7.8148392065730488E-2</v>
      </c>
      <c r="D46" s="13">
        <v>2.7002360801614942E-3</v>
      </c>
      <c r="E46" s="13">
        <v>7.2856026598858356E-2</v>
      </c>
      <c r="F46" s="13">
        <v>8.3440757532602619E-2</v>
      </c>
    </row>
    <row r="48" spans="2:6" ht="16" thickBot="1" x14ac:dyDescent="0.25"/>
    <row r="49" spans="2:9" x14ac:dyDescent="0.2">
      <c r="B49" s="8" t="s">
        <v>212</v>
      </c>
      <c r="C49" s="9" t="s">
        <v>213</v>
      </c>
      <c r="D49" s="9" t="s">
        <v>214</v>
      </c>
      <c r="E49" s="9" t="s">
        <v>215</v>
      </c>
      <c r="F49" s="9" t="s">
        <v>216</v>
      </c>
      <c r="G49" s="9" t="s">
        <v>218</v>
      </c>
      <c r="H49" s="9" t="s">
        <v>215</v>
      </c>
      <c r="I49" s="9" t="s">
        <v>216</v>
      </c>
    </row>
    <row r="50" spans="2:9" x14ac:dyDescent="0.2">
      <c r="B50" s="10" t="s">
        <v>219</v>
      </c>
      <c r="C50" s="20">
        <v>5.6930620742313288E-2</v>
      </c>
      <c r="D50" s="20">
        <v>7.6560777140548777E-2</v>
      </c>
      <c r="E50" s="20">
        <v>-9.3125745081559741E-2</v>
      </c>
      <c r="F50" s="20">
        <v>0.2069869865661863</v>
      </c>
      <c r="G50" s="20">
        <v>8.6450943986065301E-2</v>
      </c>
      <c r="H50" s="20">
        <v>-0.11251011589986426</v>
      </c>
      <c r="I50" s="20">
        <v>0.22637135738449082</v>
      </c>
    </row>
    <row r="51" spans="2:9" x14ac:dyDescent="0.2">
      <c r="B51" s="7" t="s">
        <v>220</v>
      </c>
      <c r="C51" s="22">
        <v>-0.52181466224930007</v>
      </c>
      <c r="D51" s="22">
        <v>7.9080780821061722E-2</v>
      </c>
      <c r="E51" s="22">
        <v>-0.6768101445278869</v>
      </c>
      <c r="F51" s="22">
        <v>-0.36681917997071328</v>
      </c>
      <c r="G51" s="22">
        <v>8.6582934398881817E-2</v>
      </c>
      <c r="H51" s="22">
        <v>-0.69151409534690256</v>
      </c>
      <c r="I51" s="22">
        <v>-0.35211522915169757</v>
      </c>
    </row>
    <row r="52" spans="2:9" x14ac:dyDescent="0.2">
      <c r="B52" s="7" t="s">
        <v>240</v>
      </c>
      <c r="C52" s="22">
        <v>-0.79110263317908269</v>
      </c>
      <c r="D52" s="22">
        <v>9.6535444648557511E-2</v>
      </c>
      <c r="E52" s="22">
        <v>-0.98030862792181528</v>
      </c>
      <c r="F52" s="22">
        <v>-0.60189663843635011</v>
      </c>
      <c r="G52" s="22">
        <v>9.4806139612620979E-2</v>
      </c>
      <c r="H52" s="22">
        <v>-0.97691925233309596</v>
      </c>
      <c r="I52" s="22">
        <v>-0.60528601402506943</v>
      </c>
    </row>
    <row r="53" spans="2:9" ht="16" thickBot="1" x14ac:dyDescent="0.25">
      <c r="B53" s="15" t="s">
        <v>241</v>
      </c>
      <c r="C53" s="21">
        <v>-0.27729225894848225</v>
      </c>
      <c r="D53" s="21">
        <v>9.6106285755902812E-2</v>
      </c>
      <c r="E53" s="21">
        <v>-0.46565711771796653</v>
      </c>
      <c r="F53" s="21">
        <v>-8.8927400178997973E-2</v>
      </c>
      <c r="G53" s="21">
        <v>9.4806139612620979E-2</v>
      </c>
      <c r="H53" s="21">
        <v>-0.46310887810249546</v>
      </c>
      <c r="I53" s="21">
        <v>-9.1475639794469016E-2</v>
      </c>
    </row>
    <row r="56" spans="2:9" x14ac:dyDescent="0.2">
      <c r="B56" t="s">
        <v>221</v>
      </c>
    </row>
    <row r="57" spans="2:9" ht="16" thickBot="1" x14ac:dyDescent="0.25"/>
    <row r="58" spans="2:9" x14ac:dyDescent="0.2">
      <c r="B58" s="31" t="s">
        <v>177</v>
      </c>
      <c r="C58" s="32" t="s">
        <v>4</v>
      </c>
      <c r="D58" s="39" t="s">
        <v>232</v>
      </c>
      <c r="E58" s="9" t="s">
        <v>222</v>
      </c>
      <c r="F58" s="9" t="s">
        <v>223</v>
      </c>
      <c r="G58" s="9" t="s">
        <v>226</v>
      </c>
      <c r="H58" s="9" t="s">
        <v>215</v>
      </c>
      <c r="I58" s="9" t="s">
        <v>216</v>
      </c>
    </row>
    <row r="59" spans="2:9" x14ac:dyDescent="0.2">
      <c r="B59" s="33">
        <v>1</v>
      </c>
      <c r="C59" s="34">
        <v>447.8</v>
      </c>
      <c r="D59" s="40">
        <v>447.8</v>
      </c>
      <c r="E59" s="20">
        <v>0</v>
      </c>
      <c r="F59" s="20">
        <v>0</v>
      </c>
      <c r="G59" s="20"/>
      <c r="H59" s="20"/>
      <c r="I59" s="20"/>
    </row>
    <row r="60" spans="2:9" x14ac:dyDescent="0.2">
      <c r="B60" s="35">
        <v>2</v>
      </c>
      <c r="C60" s="36">
        <v>437.1</v>
      </c>
      <c r="D60" s="41">
        <v>437.1</v>
      </c>
      <c r="E60" s="22">
        <v>0</v>
      </c>
      <c r="F60" s="22">
        <v>0</v>
      </c>
      <c r="G60" s="22"/>
      <c r="H60" s="22"/>
      <c r="I60" s="22"/>
    </row>
    <row r="61" spans="2:9" x14ac:dyDescent="0.2">
      <c r="B61" s="35">
        <v>3</v>
      </c>
      <c r="C61" s="36">
        <v>479.7</v>
      </c>
      <c r="D61" s="41">
        <v>479.7</v>
      </c>
      <c r="E61" s="22">
        <v>0</v>
      </c>
      <c r="F61" s="22">
        <v>0</v>
      </c>
      <c r="G61" s="22"/>
      <c r="H61" s="22"/>
      <c r="I61" s="22"/>
    </row>
    <row r="62" spans="2:9" x14ac:dyDescent="0.2">
      <c r="B62" s="35">
        <v>4</v>
      </c>
      <c r="C62" s="36">
        <v>533.6</v>
      </c>
      <c r="D62" s="41">
        <v>533.6</v>
      </c>
      <c r="E62" s="22">
        <v>0</v>
      </c>
      <c r="F62" s="22">
        <v>0</v>
      </c>
      <c r="G62" s="22"/>
      <c r="H62" s="22"/>
      <c r="I62" s="22"/>
    </row>
    <row r="63" spans="2:9" x14ac:dyDescent="0.2">
      <c r="B63" s="35">
        <v>5</v>
      </c>
      <c r="C63" s="36">
        <v>535</v>
      </c>
      <c r="D63" s="41">
        <v>535</v>
      </c>
      <c r="E63" s="22">
        <v>0</v>
      </c>
      <c r="F63" s="22">
        <v>0</v>
      </c>
      <c r="G63" s="22"/>
      <c r="H63" s="22"/>
      <c r="I63" s="22"/>
    </row>
    <row r="64" spans="2:9" x14ac:dyDescent="0.2">
      <c r="B64" s="35">
        <v>6</v>
      </c>
      <c r="C64" s="36">
        <v>560.20000000000005</v>
      </c>
      <c r="D64" s="41">
        <v>560.20000000000005</v>
      </c>
      <c r="E64" s="22">
        <v>0</v>
      </c>
      <c r="F64" s="22">
        <v>0</v>
      </c>
      <c r="G64" s="22"/>
      <c r="H64" s="22"/>
      <c r="I64" s="22"/>
    </row>
    <row r="65" spans="2:9" x14ac:dyDescent="0.2">
      <c r="B65" s="35">
        <v>7</v>
      </c>
      <c r="C65" s="36">
        <v>537.4</v>
      </c>
      <c r="D65" s="41">
        <v>537.4</v>
      </c>
      <c r="E65" s="22">
        <v>0</v>
      </c>
      <c r="F65" s="22">
        <v>0</v>
      </c>
      <c r="G65" s="22"/>
      <c r="H65" s="22"/>
      <c r="I65" s="22"/>
    </row>
    <row r="66" spans="2:9" x14ac:dyDescent="0.2">
      <c r="B66" s="35">
        <v>8</v>
      </c>
      <c r="C66" s="36">
        <v>528.79999999999995</v>
      </c>
      <c r="D66" s="41">
        <v>528.79999999999995</v>
      </c>
      <c r="E66" s="22">
        <v>0</v>
      </c>
      <c r="F66" s="22">
        <v>0</v>
      </c>
      <c r="G66" s="22"/>
      <c r="H66" s="22"/>
      <c r="I66" s="22"/>
    </row>
    <row r="67" spans="2:9" x14ac:dyDescent="0.2">
      <c r="B67" s="35">
        <v>9</v>
      </c>
      <c r="C67" s="36">
        <v>516.29999999999995</v>
      </c>
      <c r="D67" s="41">
        <v>516.29999999999995</v>
      </c>
      <c r="E67" s="22">
        <v>0</v>
      </c>
      <c r="F67" s="22">
        <v>0</v>
      </c>
      <c r="G67" s="22"/>
      <c r="H67" s="22"/>
      <c r="I67" s="22"/>
    </row>
    <row r="68" spans="2:9" x14ac:dyDescent="0.2">
      <c r="B68" s="35">
        <v>10</v>
      </c>
      <c r="C68" s="36">
        <v>520</v>
      </c>
      <c r="D68" s="41">
        <v>520</v>
      </c>
      <c r="E68" s="22">
        <v>0</v>
      </c>
      <c r="F68" s="22">
        <v>0</v>
      </c>
      <c r="G68" s="22"/>
      <c r="H68" s="22"/>
      <c r="I68" s="22"/>
    </row>
    <row r="69" spans="2:9" x14ac:dyDescent="0.2">
      <c r="B69" s="35">
        <v>11</v>
      </c>
      <c r="C69" s="36">
        <v>518.6</v>
      </c>
      <c r="D69" s="41">
        <v>518.6</v>
      </c>
      <c r="E69" s="22">
        <v>0</v>
      </c>
      <c r="F69" s="22">
        <v>0</v>
      </c>
      <c r="G69" s="22"/>
      <c r="H69" s="22"/>
      <c r="I69" s="22"/>
    </row>
    <row r="70" spans="2:9" x14ac:dyDescent="0.2">
      <c r="B70" s="35">
        <v>12</v>
      </c>
      <c r="C70" s="36">
        <v>478</v>
      </c>
      <c r="D70" s="41">
        <v>478</v>
      </c>
      <c r="E70" s="22">
        <v>0</v>
      </c>
      <c r="F70" s="22">
        <v>0</v>
      </c>
      <c r="G70" s="22"/>
      <c r="H70" s="22"/>
      <c r="I70" s="22"/>
    </row>
    <row r="71" spans="2:9" x14ac:dyDescent="0.2">
      <c r="B71" s="35">
        <v>13</v>
      </c>
      <c r="C71" s="36">
        <v>465.5</v>
      </c>
      <c r="D71" s="41">
        <v>465.5</v>
      </c>
      <c r="E71" s="22">
        <v>0</v>
      </c>
      <c r="F71" s="22">
        <v>0</v>
      </c>
      <c r="G71" s="22"/>
      <c r="H71" s="22"/>
      <c r="I71" s="22"/>
    </row>
    <row r="72" spans="2:9" x14ac:dyDescent="0.2">
      <c r="B72" s="35">
        <v>14</v>
      </c>
      <c r="C72" s="36">
        <v>452.3</v>
      </c>
      <c r="D72" s="41">
        <v>453.97638533377949</v>
      </c>
      <c r="E72" s="22">
        <v>-1.6763853337794785</v>
      </c>
      <c r="F72" s="22">
        <v>-9.5632584926445469E-2</v>
      </c>
      <c r="G72" s="22"/>
      <c r="H72" s="22"/>
      <c r="I72" s="22"/>
    </row>
    <row r="73" spans="2:9" x14ac:dyDescent="0.2">
      <c r="B73" s="35">
        <v>15</v>
      </c>
      <c r="C73" s="36">
        <v>470</v>
      </c>
      <c r="D73" s="41">
        <v>486.1861626437414</v>
      </c>
      <c r="E73" s="22">
        <v>-16.186162643741397</v>
      </c>
      <c r="F73" s="22">
        <v>-0.92337038655128278</v>
      </c>
      <c r="G73" s="22"/>
      <c r="H73" s="22"/>
      <c r="I73" s="22"/>
    </row>
    <row r="74" spans="2:9" x14ac:dyDescent="0.2">
      <c r="B74" s="35">
        <v>16</v>
      </c>
      <c r="C74" s="36">
        <v>511.3</v>
      </c>
      <c r="D74" s="41">
        <v>520.6796533980845</v>
      </c>
      <c r="E74" s="22">
        <v>-9.3796533980844856</v>
      </c>
      <c r="F74" s="22">
        <v>-0.53508014064440279</v>
      </c>
      <c r="G74" s="22"/>
      <c r="H74" s="22"/>
      <c r="I74" s="22"/>
    </row>
    <row r="75" spans="2:9" x14ac:dyDescent="0.2">
      <c r="B75" s="35">
        <v>17</v>
      </c>
      <c r="C75" s="36">
        <v>522</v>
      </c>
      <c r="D75" s="41">
        <v>524.03924127987875</v>
      </c>
      <c r="E75" s="22">
        <v>-2.0392412798787518</v>
      </c>
      <c r="F75" s="22">
        <v>-0.11633239145790086</v>
      </c>
      <c r="G75" s="22"/>
      <c r="H75" s="22"/>
      <c r="I75" s="22"/>
    </row>
    <row r="76" spans="2:9" x14ac:dyDescent="0.2">
      <c r="B76" s="35">
        <v>18</v>
      </c>
      <c r="C76" s="36">
        <v>533.20000000000005</v>
      </c>
      <c r="D76" s="41">
        <v>549.42388737221938</v>
      </c>
      <c r="E76" s="22">
        <v>-16.223887372219338</v>
      </c>
      <c r="F76" s="22">
        <v>-0.92552246532893467</v>
      </c>
      <c r="G76" s="22"/>
      <c r="H76" s="22"/>
      <c r="I76" s="22"/>
    </row>
    <row r="77" spans="2:9" x14ac:dyDescent="0.2">
      <c r="B77" s="35">
        <v>19</v>
      </c>
      <c r="C77" s="36">
        <v>513.20000000000005</v>
      </c>
      <c r="D77" s="41">
        <v>507.48409780839421</v>
      </c>
      <c r="E77" s="22">
        <v>5.715902191605835</v>
      </c>
      <c r="F77" s="22">
        <v>0.32607449537727062</v>
      </c>
      <c r="G77" s="22"/>
      <c r="H77" s="22"/>
      <c r="I77" s="22"/>
    </row>
    <row r="78" spans="2:9" x14ac:dyDescent="0.2">
      <c r="B78" s="35">
        <v>20</v>
      </c>
      <c r="C78" s="36">
        <v>544.20000000000005</v>
      </c>
      <c r="D78" s="41">
        <v>519.59690959432908</v>
      </c>
      <c r="E78" s="22">
        <v>24.603090405670969</v>
      </c>
      <c r="F78" s="22">
        <v>1.4035300150048038</v>
      </c>
      <c r="G78" s="22"/>
      <c r="H78" s="22"/>
      <c r="I78" s="22"/>
    </row>
    <row r="79" spans="2:9" x14ac:dyDescent="0.2">
      <c r="B79" s="35">
        <v>21</v>
      </c>
      <c r="C79" s="36">
        <v>541.4</v>
      </c>
      <c r="D79" s="41">
        <v>533.63493878788586</v>
      </c>
      <c r="E79" s="22">
        <v>7.7650612121141194</v>
      </c>
      <c r="F79" s="22">
        <v>0.44297266318379525</v>
      </c>
      <c r="G79" s="22"/>
      <c r="H79" s="22"/>
      <c r="I79" s="22"/>
    </row>
    <row r="80" spans="2:9" x14ac:dyDescent="0.2">
      <c r="B80" s="35">
        <v>22</v>
      </c>
      <c r="C80" s="36">
        <v>525.70000000000005</v>
      </c>
      <c r="D80" s="41">
        <v>526.10701384412698</v>
      </c>
      <c r="E80" s="22">
        <v>-0.40701384412693642</v>
      </c>
      <c r="F80" s="22">
        <v>-2.3218877683064094E-2</v>
      </c>
      <c r="G80" s="22"/>
      <c r="H80" s="22"/>
      <c r="I80" s="22"/>
    </row>
    <row r="81" spans="2:9" x14ac:dyDescent="0.2">
      <c r="B81" s="35">
        <v>23</v>
      </c>
      <c r="C81" s="36">
        <v>535.20000000000005</v>
      </c>
      <c r="D81" s="41">
        <v>524.60639968802832</v>
      </c>
      <c r="E81" s="22">
        <v>10.593600311971727</v>
      </c>
      <c r="F81" s="22">
        <v>0.60433204770850357</v>
      </c>
      <c r="G81" s="22"/>
      <c r="H81" s="22"/>
      <c r="I81" s="22"/>
    </row>
    <row r="82" spans="2:9" x14ac:dyDescent="0.2">
      <c r="B82" s="35">
        <v>24</v>
      </c>
      <c r="C82" s="36">
        <v>495</v>
      </c>
      <c r="D82" s="41">
        <v>501.69438303791736</v>
      </c>
      <c r="E82" s="22">
        <v>-6.6943830379173619</v>
      </c>
      <c r="F82" s="22">
        <v>-0.38189379345166946</v>
      </c>
      <c r="G82" s="22"/>
      <c r="H82" s="22"/>
      <c r="I82" s="22"/>
    </row>
    <row r="83" spans="2:9" x14ac:dyDescent="0.2">
      <c r="B83" s="35">
        <v>25</v>
      </c>
      <c r="C83" s="36">
        <v>473.6</v>
      </c>
      <c r="D83" s="41">
        <v>471.89763602864946</v>
      </c>
      <c r="E83" s="22">
        <v>1.7023639713505645</v>
      </c>
      <c r="F83" s="22">
        <v>9.7114585641751794E-2</v>
      </c>
      <c r="G83" s="22"/>
      <c r="H83" s="22"/>
      <c r="I83" s="22"/>
    </row>
    <row r="84" spans="2:9" x14ac:dyDescent="0.2">
      <c r="B84" s="35">
        <v>26</v>
      </c>
      <c r="C84" s="36">
        <v>444.4</v>
      </c>
      <c r="D84" s="41">
        <v>459.97349401760204</v>
      </c>
      <c r="E84" s="22">
        <v>-15.573494017602059</v>
      </c>
      <c r="F84" s="22">
        <v>-0.88841954127697886</v>
      </c>
      <c r="G84" s="22"/>
      <c r="H84" s="22"/>
      <c r="I84" s="22"/>
    </row>
    <row r="85" spans="2:9" x14ac:dyDescent="0.2">
      <c r="B85" s="35">
        <v>27</v>
      </c>
      <c r="C85" s="36">
        <v>451.8</v>
      </c>
      <c r="D85" s="41">
        <v>474.90729686790621</v>
      </c>
      <c r="E85" s="22">
        <v>-23.1072968679062</v>
      </c>
      <c r="F85" s="22">
        <v>-1.3181996320371761</v>
      </c>
      <c r="G85" s="22"/>
      <c r="H85" s="22"/>
      <c r="I85" s="22"/>
    </row>
    <row r="86" spans="2:9" x14ac:dyDescent="0.2">
      <c r="B86" s="35">
        <v>28</v>
      </c>
      <c r="C86" s="36">
        <v>511</v>
      </c>
      <c r="D86" s="41">
        <v>508.7146788348773</v>
      </c>
      <c r="E86" s="22">
        <v>2.2853211651226957</v>
      </c>
      <c r="F86" s="22">
        <v>0.13037048583279301</v>
      </c>
      <c r="G86" s="22"/>
      <c r="H86" s="22"/>
      <c r="I86" s="22"/>
    </row>
    <row r="87" spans="2:9" x14ac:dyDescent="0.2">
      <c r="B87" s="35">
        <v>29</v>
      </c>
      <c r="C87" s="36">
        <v>542.79999999999995</v>
      </c>
      <c r="D87" s="41">
        <v>530.45233608914918</v>
      </c>
      <c r="E87" s="22">
        <v>12.34766391085077</v>
      </c>
      <c r="F87" s="22">
        <v>0.7043959367834558</v>
      </c>
      <c r="G87" s="22"/>
      <c r="H87" s="22"/>
      <c r="I87" s="22"/>
    </row>
    <row r="88" spans="2:9" x14ac:dyDescent="0.2">
      <c r="B88" s="35">
        <v>30</v>
      </c>
      <c r="C88" s="36">
        <v>556</v>
      </c>
      <c r="D88" s="41">
        <v>559.27257711150207</v>
      </c>
      <c r="E88" s="22">
        <v>-3.2725771115020734</v>
      </c>
      <c r="F88" s="22">
        <v>-0.18669037615502837</v>
      </c>
      <c r="G88" s="22"/>
      <c r="H88" s="22"/>
      <c r="I88" s="22"/>
    </row>
    <row r="89" spans="2:9" x14ac:dyDescent="0.2">
      <c r="B89" s="35">
        <v>31</v>
      </c>
      <c r="C89" s="36">
        <v>563.1</v>
      </c>
      <c r="D89" s="41">
        <v>522.087842836959</v>
      </c>
      <c r="E89" s="22">
        <v>41.012157163041024</v>
      </c>
      <c r="F89" s="22">
        <v>2.3396163900269396</v>
      </c>
      <c r="G89" s="22"/>
      <c r="H89" s="22"/>
      <c r="I89" s="22"/>
    </row>
    <row r="90" spans="2:9" x14ac:dyDescent="0.2">
      <c r="B90" s="35">
        <v>32</v>
      </c>
      <c r="C90" s="36">
        <v>555</v>
      </c>
      <c r="D90" s="41">
        <v>573.61174854128785</v>
      </c>
      <c r="E90" s="22">
        <v>-18.611748541287852</v>
      </c>
      <c r="F90" s="22">
        <v>-1.061742540416722</v>
      </c>
      <c r="G90" s="22"/>
      <c r="H90" s="22"/>
      <c r="I90" s="22"/>
    </row>
    <row r="91" spans="2:9" x14ac:dyDescent="0.2">
      <c r="B91" s="35">
        <v>33</v>
      </c>
      <c r="C91" s="36">
        <v>513.6</v>
      </c>
      <c r="D91" s="41">
        <v>529.14417920917447</v>
      </c>
      <c r="E91" s="22">
        <v>-15.544179209174445</v>
      </c>
      <c r="F91" s="22">
        <v>-0.88674722235956394</v>
      </c>
      <c r="G91" s="22"/>
      <c r="H91" s="22"/>
      <c r="I91" s="22"/>
    </row>
    <row r="92" spans="2:9" x14ac:dyDescent="0.2">
      <c r="B92" s="35">
        <v>34</v>
      </c>
      <c r="C92" s="36">
        <v>514.70000000000005</v>
      </c>
      <c r="D92" s="41">
        <v>516.65806573162786</v>
      </c>
      <c r="E92" s="22">
        <v>-1.9580657316278121</v>
      </c>
      <c r="F92" s="22">
        <v>-0.11170157815046354</v>
      </c>
      <c r="G92" s="22"/>
      <c r="H92" s="22"/>
      <c r="I92" s="22"/>
    </row>
    <row r="93" spans="2:9" x14ac:dyDescent="0.2">
      <c r="B93" s="35">
        <v>35</v>
      </c>
      <c r="C93" s="36">
        <v>547.9</v>
      </c>
      <c r="D93" s="41">
        <v>536.80516773853788</v>
      </c>
      <c r="E93" s="22">
        <v>11.094832261462102</v>
      </c>
      <c r="F93" s="22">
        <v>0.63292577613812218</v>
      </c>
      <c r="G93" s="22"/>
      <c r="H93" s="22"/>
      <c r="I93" s="22"/>
    </row>
    <row r="94" spans="2:9" x14ac:dyDescent="0.2">
      <c r="B94" s="35">
        <v>36</v>
      </c>
      <c r="C94" s="36">
        <v>489.9</v>
      </c>
      <c r="D94" s="41">
        <v>504.82119252608652</v>
      </c>
      <c r="E94" s="22">
        <v>-14.921192526086543</v>
      </c>
      <c r="F94" s="22">
        <v>-0.85120776393199127</v>
      </c>
      <c r="G94" s="22"/>
      <c r="H94" s="22"/>
      <c r="I94" s="22"/>
    </row>
    <row r="95" spans="2:9" x14ac:dyDescent="0.2">
      <c r="B95" s="35">
        <v>37</v>
      </c>
      <c r="C95" s="36">
        <v>467.1</v>
      </c>
      <c r="D95" s="41">
        <v>454.82295712154416</v>
      </c>
      <c r="E95" s="22">
        <v>12.277042878455859</v>
      </c>
      <c r="F95" s="22">
        <v>0.70036722587671396</v>
      </c>
      <c r="G95" s="22"/>
      <c r="H95" s="22"/>
      <c r="I95" s="22"/>
    </row>
    <row r="96" spans="2:9" x14ac:dyDescent="0.2">
      <c r="B96" s="35">
        <v>38</v>
      </c>
      <c r="C96" s="36">
        <v>472.7</v>
      </c>
      <c r="D96" s="41">
        <v>459.09571561764443</v>
      </c>
      <c r="E96" s="22">
        <v>13.604284382355559</v>
      </c>
      <c r="F96" s="22">
        <v>0.77608223798161458</v>
      </c>
      <c r="G96" s="22"/>
      <c r="H96" s="22"/>
      <c r="I96" s="22"/>
    </row>
    <row r="97" spans="2:9" x14ac:dyDescent="0.2">
      <c r="B97" s="35">
        <v>39</v>
      </c>
      <c r="C97" s="36">
        <v>449.5</v>
      </c>
      <c r="D97" s="41">
        <v>497.31882319431202</v>
      </c>
      <c r="E97" s="22">
        <v>-47.818823194312017</v>
      </c>
      <c r="F97" s="22">
        <v>-2.7279155800669206</v>
      </c>
      <c r="G97" s="22"/>
      <c r="H97" s="22"/>
      <c r="I97" s="22"/>
    </row>
    <row r="98" spans="2:9" x14ac:dyDescent="0.2">
      <c r="B98" s="35">
        <v>40</v>
      </c>
      <c r="C98" s="36">
        <v>491.5</v>
      </c>
      <c r="D98" s="41">
        <v>484.47841275772026</v>
      </c>
      <c r="E98" s="22">
        <v>7.0215872422797361</v>
      </c>
      <c r="F98" s="22">
        <v>0.40055977867084763</v>
      </c>
      <c r="G98" s="22"/>
      <c r="H98" s="22"/>
      <c r="I98" s="22"/>
    </row>
    <row r="99" spans="2:9" x14ac:dyDescent="0.2">
      <c r="B99" s="35">
        <v>41</v>
      </c>
      <c r="C99" s="36">
        <v>544</v>
      </c>
      <c r="D99" s="41">
        <v>527.71613733948072</v>
      </c>
      <c r="E99" s="22">
        <v>16.283862660519276</v>
      </c>
      <c r="F99" s="22">
        <v>0.92894386954684249</v>
      </c>
      <c r="G99" s="22"/>
      <c r="H99" s="22"/>
      <c r="I99" s="22"/>
    </row>
    <row r="100" spans="2:9" x14ac:dyDescent="0.2">
      <c r="B100" s="35">
        <v>42</v>
      </c>
      <c r="C100" s="36">
        <v>572.5</v>
      </c>
      <c r="D100" s="41">
        <v>565.42134237941275</v>
      </c>
      <c r="E100" s="22">
        <v>7.0786576205872507</v>
      </c>
      <c r="F100" s="22">
        <v>0.40381546678163116</v>
      </c>
      <c r="G100" s="22"/>
      <c r="H100" s="22"/>
      <c r="I100" s="22"/>
    </row>
    <row r="101" spans="2:9" x14ac:dyDescent="0.2">
      <c r="B101" s="35">
        <v>43</v>
      </c>
      <c r="C101" s="36">
        <v>525.79999999999995</v>
      </c>
      <c r="D101" s="41">
        <v>537.50409378117649</v>
      </c>
      <c r="E101" s="22">
        <v>-11.704093781176539</v>
      </c>
      <c r="F101" s="22">
        <v>-0.66768225655610869</v>
      </c>
      <c r="G101" s="22"/>
      <c r="H101" s="22"/>
      <c r="I101" s="22"/>
    </row>
    <row r="102" spans="2:9" x14ac:dyDescent="0.2">
      <c r="B102" s="35">
        <v>44</v>
      </c>
      <c r="C102" s="36">
        <v>510.1</v>
      </c>
      <c r="D102" s="41">
        <v>529.30633939719087</v>
      </c>
      <c r="E102" s="22">
        <v>-19.206339397190845</v>
      </c>
      <c r="F102" s="22">
        <v>-1.0956621049570732</v>
      </c>
      <c r="G102" s="22"/>
      <c r="H102" s="22"/>
      <c r="I102" s="22"/>
    </row>
    <row r="103" spans="2:9" x14ac:dyDescent="0.2">
      <c r="B103" s="35">
        <v>45</v>
      </c>
      <c r="C103" s="36">
        <v>519.1</v>
      </c>
      <c r="D103" s="41">
        <v>511.69645799426644</v>
      </c>
      <c r="E103" s="22">
        <v>7.4035420057335841</v>
      </c>
      <c r="F103" s="22">
        <v>0.42234911350814791</v>
      </c>
      <c r="G103" s="22"/>
      <c r="H103" s="22"/>
      <c r="I103" s="22"/>
    </row>
    <row r="104" spans="2:9" x14ac:dyDescent="0.2">
      <c r="B104" s="35">
        <v>46</v>
      </c>
      <c r="C104" s="36">
        <v>522.1</v>
      </c>
      <c r="D104" s="41">
        <v>528.18639105547652</v>
      </c>
      <c r="E104" s="22">
        <v>-6.0863910554764971</v>
      </c>
      <c r="F104" s="22">
        <v>-0.34720973619838491</v>
      </c>
      <c r="G104" s="22"/>
      <c r="H104" s="22"/>
      <c r="I104" s="22"/>
    </row>
    <row r="105" spans="2:9" x14ac:dyDescent="0.2">
      <c r="B105" s="35">
        <v>47</v>
      </c>
      <c r="C105" s="36">
        <v>535.6</v>
      </c>
      <c r="D105" s="41">
        <v>522.55514129393839</v>
      </c>
      <c r="E105" s="22">
        <v>13.044858706061632</v>
      </c>
      <c r="F105" s="22">
        <v>0.74416873789294657</v>
      </c>
      <c r="G105" s="22"/>
      <c r="H105" s="22"/>
      <c r="I105" s="22"/>
    </row>
    <row r="106" spans="2:9" x14ac:dyDescent="0.2">
      <c r="B106" s="35">
        <v>48</v>
      </c>
      <c r="C106" s="36">
        <v>484</v>
      </c>
      <c r="D106" s="41">
        <v>486.80588282009177</v>
      </c>
      <c r="E106" s="22">
        <v>-2.8058828200917674</v>
      </c>
      <c r="F106" s="22">
        <v>-0.16006691401976825</v>
      </c>
      <c r="G106" s="22"/>
      <c r="H106" s="22"/>
      <c r="I106" s="22"/>
    </row>
    <row r="107" spans="2:9" x14ac:dyDescent="0.2">
      <c r="B107" s="35">
        <v>49</v>
      </c>
      <c r="C107" s="36">
        <v>476.4</v>
      </c>
      <c r="D107" s="41">
        <v>463.50022530916834</v>
      </c>
      <c r="E107" s="22">
        <v>12.899774690831634</v>
      </c>
      <c r="F107" s="22">
        <v>0.73589214472049791</v>
      </c>
      <c r="G107" s="22"/>
      <c r="H107" s="22"/>
      <c r="I107" s="22"/>
    </row>
    <row r="108" spans="2:9" x14ac:dyDescent="0.2">
      <c r="B108" s="35">
        <v>50</v>
      </c>
      <c r="C108" s="36">
        <v>460.5</v>
      </c>
      <c r="D108" s="41">
        <v>463.75539151487078</v>
      </c>
      <c r="E108" s="22">
        <v>-3.2553915148707802</v>
      </c>
      <c r="F108" s="22">
        <v>-0.18570999115866932</v>
      </c>
      <c r="G108" s="22"/>
      <c r="H108" s="22"/>
      <c r="I108" s="22"/>
    </row>
    <row r="109" spans="2:9" x14ac:dyDescent="0.2">
      <c r="B109" s="35">
        <v>51</v>
      </c>
      <c r="C109" s="36">
        <v>461.2</v>
      </c>
      <c r="D109" s="41">
        <v>458.62550396392652</v>
      </c>
      <c r="E109" s="22">
        <v>2.5744960360734694</v>
      </c>
      <c r="F109" s="22">
        <v>0.14686701550741474</v>
      </c>
      <c r="G109" s="22"/>
      <c r="H109" s="22"/>
      <c r="I109" s="22"/>
    </row>
    <row r="110" spans="2:9" x14ac:dyDescent="0.2">
      <c r="B110" s="35">
        <v>52</v>
      </c>
      <c r="C110" s="36">
        <v>510.5</v>
      </c>
      <c r="D110" s="41">
        <v>511.06848658651199</v>
      </c>
      <c r="E110" s="22">
        <v>-0.56848658651199457</v>
      </c>
      <c r="F110" s="22">
        <v>-3.2430396919295057E-2</v>
      </c>
      <c r="G110" s="22"/>
      <c r="H110" s="22"/>
      <c r="I110" s="22"/>
    </row>
    <row r="111" spans="2:9" x14ac:dyDescent="0.2">
      <c r="B111" s="35">
        <v>53</v>
      </c>
      <c r="C111" s="36">
        <v>556.6</v>
      </c>
      <c r="D111" s="41">
        <v>542.5845564628288</v>
      </c>
      <c r="E111" s="22">
        <v>14.015443537171222</v>
      </c>
      <c r="F111" s="22">
        <v>0.79953759278512238</v>
      </c>
      <c r="G111" s="22"/>
      <c r="H111" s="22"/>
      <c r="I111" s="22"/>
    </row>
    <row r="112" spans="2:9" x14ac:dyDescent="0.2">
      <c r="B112" s="35">
        <v>54</v>
      </c>
      <c r="C112" s="36">
        <v>609.5</v>
      </c>
      <c r="D112" s="41">
        <v>574.28037842867559</v>
      </c>
      <c r="E112" s="22">
        <v>35.21962157132441</v>
      </c>
      <c r="F112" s="22">
        <v>2.0091701968087117</v>
      </c>
      <c r="G112" s="22"/>
      <c r="H112" s="22"/>
      <c r="I112" s="22"/>
    </row>
    <row r="113" spans="2:9" x14ac:dyDescent="0.2">
      <c r="B113" s="35">
        <v>55</v>
      </c>
      <c r="C113" s="36">
        <v>592.70000000000005</v>
      </c>
      <c r="D113" s="41">
        <v>591.93464917364884</v>
      </c>
      <c r="E113" s="22">
        <v>0.76535082635120943</v>
      </c>
      <c r="F113" s="22">
        <v>4.3660891338473985E-2</v>
      </c>
      <c r="G113" s="22"/>
      <c r="H113" s="22"/>
      <c r="I113" s="22"/>
    </row>
    <row r="114" spans="2:9" x14ac:dyDescent="0.2">
      <c r="B114" s="35">
        <v>56</v>
      </c>
      <c r="C114" s="36">
        <v>572.1</v>
      </c>
      <c r="D114" s="41">
        <v>574.46064374904017</v>
      </c>
      <c r="E114" s="22">
        <v>-2.3606437490401504</v>
      </c>
      <c r="F114" s="22">
        <v>-0.13466740567467997</v>
      </c>
      <c r="G114" s="22"/>
      <c r="H114" s="22"/>
      <c r="I114" s="22"/>
    </row>
    <row r="115" spans="2:9" x14ac:dyDescent="0.2">
      <c r="B115" s="35">
        <v>57</v>
      </c>
      <c r="C115" s="36">
        <v>554.9</v>
      </c>
      <c r="D115" s="41">
        <v>553.61582155209453</v>
      </c>
      <c r="E115" s="22">
        <v>1.2841784479054468</v>
      </c>
      <c r="F115" s="22">
        <v>7.3258398296261656E-2</v>
      </c>
      <c r="G115" s="22"/>
      <c r="H115" s="22"/>
      <c r="I115" s="22"/>
    </row>
    <row r="116" spans="2:9" x14ac:dyDescent="0.2">
      <c r="B116" s="35">
        <v>58</v>
      </c>
      <c r="C116" s="36">
        <v>557.4</v>
      </c>
      <c r="D116" s="41">
        <v>563.49597763558734</v>
      </c>
      <c r="E116" s="22">
        <v>-6.0959776355873601</v>
      </c>
      <c r="F116" s="22">
        <v>-0.34775662086632658</v>
      </c>
      <c r="G116" s="22"/>
      <c r="H116" s="22"/>
      <c r="I116" s="22"/>
    </row>
    <row r="117" spans="2:9" x14ac:dyDescent="0.2">
      <c r="B117" s="35">
        <v>59</v>
      </c>
      <c r="C117" s="36">
        <v>562.9</v>
      </c>
      <c r="D117" s="41">
        <v>578.92320674657969</v>
      </c>
      <c r="E117" s="22">
        <v>-16.023206746579717</v>
      </c>
      <c r="F117" s="22">
        <v>-0.91407425793421537</v>
      </c>
      <c r="G117" s="22"/>
      <c r="H117" s="22"/>
      <c r="I117" s="22"/>
    </row>
    <row r="118" spans="2:9" x14ac:dyDescent="0.2">
      <c r="B118" s="35">
        <v>60</v>
      </c>
      <c r="C118" s="36">
        <v>516</v>
      </c>
      <c r="D118" s="41">
        <v>507.4866685862778</v>
      </c>
      <c r="E118" s="22">
        <v>8.5133314137221987</v>
      </c>
      <c r="F118" s="22">
        <v>0.48565915784661867</v>
      </c>
      <c r="G118" s="22"/>
      <c r="H118" s="22"/>
      <c r="I118" s="22"/>
    </row>
    <row r="119" spans="2:9" x14ac:dyDescent="0.2">
      <c r="B119" s="35">
        <v>61</v>
      </c>
      <c r="C119" s="36">
        <v>490.6</v>
      </c>
      <c r="D119" s="41">
        <v>506.15263237344953</v>
      </c>
      <c r="E119" s="22">
        <v>-15.552632373449512</v>
      </c>
      <c r="F119" s="22">
        <v>-0.88722944916872482</v>
      </c>
      <c r="G119" s="22"/>
      <c r="H119" s="22"/>
      <c r="I119" s="22"/>
    </row>
    <row r="120" spans="2:9" x14ac:dyDescent="0.2">
      <c r="B120" s="35">
        <v>62</v>
      </c>
      <c r="C120" s="36">
        <v>503.9</v>
      </c>
      <c r="D120" s="41">
        <v>479.42590116343888</v>
      </c>
      <c r="E120" s="22">
        <v>24.474098836561097</v>
      </c>
      <c r="F120" s="22">
        <v>1.3961714459818433</v>
      </c>
      <c r="G120" s="22"/>
      <c r="H120" s="22"/>
      <c r="I120" s="22"/>
    </row>
    <row r="121" spans="2:9" x14ac:dyDescent="0.2">
      <c r="B121" s="35">
        <v>63</v>
      </c>
      <c r="C121" s="36">
        <v>547.6</v>
      </c>
      <c r="D121" s="41">
        <v>498.87418005027797</v>
      </c>
      <c r="E121" s="22">
        <v>48.725819949722052</v>
      </c>
      <c r="F121" s="22">
        <v>2.7796569324230673</v>
      </c>
      <c r="G121" s="22"/>
      <c r="H121" s="22"/>
      <c r="I121" s="22"/>
    </row>
    <row r="122" spans="2:9" x14ac:dyDescent="0.2">
      <c r="B122" s="35">
        <v>64</v>
      </c>
      <c r="C122" s="36">
        <v>585</v>
      </c>
      <c r="D122" s="41">
        <v>587.77553616226555</v>
      </c>
      <c r="E122" s="22">
        <v>-2.7755361622655528</v>
      </c>
      <c r="F122" s="22">
        <v>-0.15833573129386339</v>
      </c>
      <c r="G122" s="22"/>
      <c r="H122" s="22"/>
      <c r="I122" s="22"/>
    </row>
    <row r="123" spans="2:9" x14ac:dyDescent="0.2">
      <c r="B123" s="35">
        <v>65</v>
      </c>
      <c r="C123" s="36">
        <v>573.5</v>
      </c>
      <c r="D123" s="41">
        <v>602.16317744077094</v>
      </c>
      <c r="E123" s="22">
        <v>-28.663177440770937</v>
      </c>
      <c r="F123" s="22">
        <v>-1.6351453902822604</v>
      </c>
      <c r="G123" s="22"/>
      <c r="H123" s="22"/>
      <c r="I123" s="22"/>
    </row>
    <row r="124" spans="2:9" x14ac:dyDescent="0.2">
      <c r="B124" s="35">
        <v>66</v>
      </c>
      <c r="C124" s="36">
        <v>606</v>
      </c>
      <c r="D124" s="41">
        <v>605.53548874949774</v>
      </c>
      <c r="E124" s="22">
        <v>0.46451125050225528</v>
      </c>
      <c r="F124" s="22">
        <v>2.6498926420928649E-2</v>
      </c>
      <c r="G124" s="22"/>
      <c r="H124" s="22"/>
      <c r="I124" s="22"/>
    </row>
    <row r="125" spans="2:9" x14ac:dyDescent="0.2">
      <c r="B125" s="35">
        <v>67</v>
      </c>
      <c r="C125" s="36">
        <v>575.20000000000005</v>
      </c>
      <c r="D125" s="41">
        <v>610.58352698931174</v>
      </c>
      <c r="E125" s="22">
        <v>-35.38352698931169</v>
      </c>
      <c r="F125" s="22">
        <v>-2.0185204926444751</v>
      </c>
      <c r="G125" s="22"/>
      <c r="H125" s="22"/>
      <c r="I125" s="22"/>
    </row>
    <row r="126" spans="2:9" x14ac:dyDescent="0.2">
      <c r="B126" s="35">
        <v>68</v>
      </c>
      <c r="C126" s="36">
        <v>539.70000000000005</v>
      </c>
      <c r="D126" s="41">
        <v>558.87955208387734</v>
      </c>
      <c r="E126" s="22">
        <v>-19.179552083877297</v>
      </c>
      <c r="F126" s="22">
        <v>-1.0941339717983121</v>
      </c>
      <c r="G126" s="22"/>
      <c r="H126" s="22"/>
      <c r="I126" s="22"/>
    </row>
    <row r="127" spans="2:9" x14ac:dyDescent="0.2">
      <c r="B127" s="35">
        <v>69</v>
      </c>
      <c r="C127" s="36">
        <v>539.20000000000005</v>
      </c>
      <c r="D127" s="41">
        <v>531.04623399008142</v>
      </c>
      <c r="E127" s="22">
        <v>8.1537660099186269</v>
      </c>
      <c r="F127" s="22">
        <v>0.46514706654936794</v>
      </c>
      <c r="G127" s="22"/>
      <c r="H127" s="22"/>
      <c r="I127" s="22"/>
    </row>
    <row r="128" spans="2:9" x14ac:dyDescent="0.2">
      <c r="B128" s="35">
        <v>70</v>
      </c>
      <c r="C128" s="36">
        <v>557.79999999999995</v>
      </c>
      <c r="D128" s="41">
        <v>553.26935032626261</v>
      </c>
      <c r="E128" s="22">
        <v>4.5306496737373436</v>
      </c>
      <c r="F128" s="22">
        <v>0.25845951462651895</v>
      </c>
      <c r="G128" s="22"/>
      <c r="H128" s="22"/>
      <c r="I128" s="22"/>
    </row>
    <row r="129" spans="2:9" x14ac:dyDescent="0.2">
      <c r="B129" s="35">
        <v>71</v>
      </c>
      <c r="C129" s="36">
        <v>581.4</v>
      </c>
      <c r="D129" s="41">
        <v>571.06097650441041</v>
      </c>
      <c r="E129" s="22">
        <v>10.339023495589572</v>
      </c>
      <c r="F129" s="22">
        <v>0.58980922976062644</v>
      </c>
      <c r="G129" s="22"/>
      <c r="H129" s="22"/>
      <c r="I129" s="22"/>
    </row>
    <row r="130" spans="2:9" x14ac:dyDescent="0.2">
      <c r="B130" s="35">
        <v>72</v>
      </c>
      <c r="C130" s="36">
        <v>536.20000000000005</v>
      </c>
      <c r="D130" s="41">
        <v>521.13334920416423</v>
      </c>
      <c r="E130" s="22">
        <v>15.066650795835812</v>
      </c>
      <c r="F130" s="22">
        <v>0.8595057071642247</v>
      </c>
      <c r="G130" s="22"/>
      <c r="H130" s="22"/>
      <c r="I130" s="22"/>
    </row>
    <row r="131" spans="2:9" x14ac:dyDescent="0.2">
      <c r="B131" s="35">
        <v>73</v>
      </c>
      <c r="C131" s="36">
        <v>499.3</v>
      </c>
      <c r="D131" s="41">
        <v>518.02118552828188</v>
      </c>
      <c r="E131" s="22">
        <v>-18.721185528281865</v>
      </c>
      <c r="F131" s="22">
        <v>-1.0679855811675045</v>
      </c>
      <c r="G131" s="22"/>
      <c r="H131" s="22"/>
      <c r="I131" s="22"/>
    </row>
    <row r="132" spans="2:9" x14ac:dyDescent="0.2">
      <c r="B132" s="35">
        <v>74</v>
      </c>
      <c r="C132" s="36">
        <v>461.7</v>
      </c>
      <c r="D132" s="41">
        <v>490.72861269798022</v>
      </c>
      <c r="E132" s="22">
        <v>-29.028612697980236</v>
      </c>
      <c r="F132" s="22">
        <v>-1.6559923385142608</v>
      </c>
      <c r="G132" s="22"/>
      <c r="H132" s="22"/>
      <c r="I132" s="22"/>
    </row>
    <row r="133" spans="2:9" x14ac:dyDescent="0.2">
      <c r="B133" s="35">
        <v>75</v>
      </c>
      <c r="C133" s="36">
        <v>465.7</v>
      </c>
      <c r="D133" s="41">
        <v>474.21952155084421</v>
      </c>
      <c r="E133" s="22">
        <v>-8.5195215508442175</v>
      </c>
      <c r="F133" s="22">
        <v>-0.48601228597420321</v>
      </c>
      <c r="G133" s="22"/>
      <c r="H133" s="22"/>
      <c r="I133" s="22"/>
    </row>
    <row r="134" spans="2:9" x14ac:dyDescent="0.2">
      <c r="B134" s="35">
        <v>76</v>
      </c>
      <c r="C134" s="36">
        <v>524.4</v>
      </c>
      <c r="D134" s="41">
        <v>528.39774744801741</v>
      </c>
      <c r="E134" s="22">
        <v>-3.9977474480174351</v>
      </c>
      <c r="F134" s="22">
        <v>-0.22805909514554362</v>
      </c>
      <c r="G134" s="22"/>
      <c r="H134" s="22"/>
      <c r="I134" s="22"/>
    </row>
    <row r="135" spans="2:9" x14ac:dyDescent="0.2">
      <c r="B135" s="35">
        <v>77</v>
      </c>
      <c r="C135" s="36">
        <v>565.1</v>
      </c>
      <c r="D135" s="41">
        <v>560.77792246571698</v>
      </c>
      <c r="E135" s="22">
        <v>4.3220775342830393</v>
      </c>
      <c r="F135" s="22">
        <v>0.24656112083976084</v>
      </c>
      <c r="G135" s="22"/>
      <c r="H135" s="22"/>
      <c r="I135" s="22"/>
    </row>
    <row r="136" spans="2:9" x14ac:dyDescent="0.2">
      <c r="B136" s="35">
        <v>78</v>
      </c>
      <c r="C136" s="36">
        <v>602.79999999999995</v>
      </c>
      <c r="D136" s="41">
        <v>600.22740710713504</v>
      </c>
      <c r="E136" s="22">
        <v>2.5725928928649182</v>
      </c>
      <c r="F136" s="22">
        <v>0.14675844708889449</v>
      </c>
      <c r="G136" s="22"/>
      <c r="H136" s="22"/>
      <c r="I136" s="22"/>
    </row>
    <row r="137" spans="2:9" x14ac:dyDescent="0.2">
      <c r="B137" s="35">
        <v>79</v>
      </c>
      <c r="C137" s="36">
        <v>586</v>
      </c>
      <c r="D137" s="41">
        <v>572.24875754919185</v>
      </c>
      <c r="E137" s="22">
        <v>13.751242450808149</v>
      </c>
      <c r="F137" s="22">
        <v>0.78446574007909098</v>
      </c>
      <c r="G137" s="22"/>
      <c r="H137" s="22"/>
      <c r="I137" s="22"/>
    </row>
    <row r="138" spans="2:9" x14ac:dyDescent="0.2">
      <c r="B138" s="35">
        <v>80</v>
      </c>
      <c r="C138" s="36">
        <v>590.6</v>
      </c>
      <c r="D138" s="41">
        <v>566.69876320981064</v>
      </c>
      <c r="E138" s="22">
        <v>23.901236790189387</v>
      </c>
      <c r="F138" s="22">
        <v>1.3634914426455778</v>
      </c>
      <c r="G138" s="22"/>
      <c r="H138" s="22"/>
      <c r="I138" s="22"/>
    </row>
    <row r="139" spans="2:9" x14ac:dyDescent="0.2">
      <c r="B139" s="35">
        <v>81</v>
      </c>
      <c r="C139" s="36">
        <v>582.6</v>
      </c>
      <c r="D139" s="41">
        <v>580.07246297520896</v>
      </c>
      <c r="E139" s="22">
        <v>2.5275370247910587</v>
      </c>
      <c r="F139" s="22">
        <v>0.14418814953069903</v>
      </c>
      <c r="G139" s="22"/>
      <c r="H139" s="22"/>
      <c r="I139" s="22"/>
    </row>
    <row r="140" spans="2:9" x14ac:dyDescent="0.2">
      <c r="B140" s="35">
        <v>82</v>
      </c>
      <c r="C140" s="36">
        <v>557.70000000000005</v>
      </c>
      <c r="D140" s="41">
        <v>574.68532202503752</v>
      </c>
      <c r="E140" s="22">
        <v>-16.985322025037476</v>
      </c>
      <c r="F140" s="22">
        <v>-0.96895995111115529</v>
      </c>
      <c r="G140" s="22"/>
      <c r="H140" s="22"/>
      <c r="I140" s="22"/>
    </row>
    <row r="141" spans="2:9" x14ac:dyDescent="0.2">
      <c r="B141" s="35">
        <v>83</v>
      </c>
      <c r="C141" s="36">
        <v>541.1</v>
      </c>
      <c r="D141" s="41">
        <v>568.48761662366201</v>
      </c>
      <c r="E141" s="22">
        <v>-27.387616623661984</v>
      </c>
      <c r="F141" s="22">
        <v>-1.5623786011002065</v>
      </c>
      <c r="G141" s="22"/>
      <c r="H141" s="22"/>
      <c r="I141" s="22"/>
    </row>
    <row r="142" spans="2:9" x14ac:dyDescent="0.2">
      <c r="B142" s="35">
        <v>84</v>
      </c>
      <c r="C142" s="36">
        <v>505.9</v>
      </c>
      <c r="D142" s="41">
        <v>508.013984377616</v>
      </c>
      <c r="E142" s="22">
        <v>-2.1139843776160205</v>
      </c>
      <c r="F142" s="22">
        <v>-0.12059625341015845</v>
      </c>
      <c r="G142" s="22"/>
      <c r="H142" s="22"/>
      <c r="I142" s="22"/>
    </row>
    <row r="143" spans="2:9" x14ac:dyDescent="0.2">
      <c r="B143" s="35">
        <v>85</v>
      </c>
      <c r="C143" s="36">
        <v>503.3</v>
      </c>
      <c r="D143" s="41">
        <v>498.65300450965765</v>
      </c>
      <c r="E143" s="22">
        <v>4.6469954903423627</v>
      </c>
      <c r="F143" s="22">
        <v>0.26509668268276237</v>
      </c>
      <c r="G143" s="22"/>
      <c r="H143" s="22"/>
      <c r="I143" s="22"/>
    </row>
    <row r="144" spans="2:9" x14ac:dyDescent="0.2">
      <c r="B144" s="35">
        <v>86</v>
      </c>
      <c r="C144" s="36">
        <v>505</v>
      </c>
      <c r="D144" s="41">
        <v>492.66077276214071</v>
      </c>
      <c r="E144" s="22">
        <v>12.339227237859291</v>
      </c>
      <c r="F144" s="22">
        <v>0.70391465075088522</v>
      </c>
      <c r="G144" s="22"/>
      <c r="H144" s="22"/>
      <c r="I144" s="22"/>
    </row>
    <row r="145" spans="2:9" x14ac:dyDescent="0.2">
      <c r="B145" s="35">
        <v>87</v>
      </c>
      <c r="C145" s="36">
        <v>508.6</v>
      </c>
      <c r="D145" s="41">
        <v>518.55053231665397</v>
      </c>
      <c r="E145" s="22">
        <v>-9.9505323166539483</v>
      </c>
      <c r="F145" s="22">
        <v>-0.56764701268910489</v>
      </c>
      <c r="G145" s="22"/>
      <c r="H145" s="22"/>
      <c r="I145" s="22"/>
    </row>
    <row r="146" spans="2:9" x14ac:dyDescent="0.2">
      <c r="B146" s="35">
        <v>88</v>
      </c>
      <c r="C146" s="36">
        <v>540.9</v>
      </c>
      <c r="D146" s="41">
        <v>549.13367549119425</v>
      </c>
      <c r="E146" s="22">
        <v>-8.2336754911942762</v>
      </c>
      <c r="F146" s="22">
        <v>-0.46970565466185915</v>
      </c>
      <c r="G146" s="22"/>
      <c r="H146" s="22"/>
      <c r="I146" s="22"/>
    </row>
    <row r="147" spans="2:9" x14ac:dyDescent="0.2">
      <c r="B147" s="35">
        <v>89</v>
      </c>
      <c r="C147" s="36">
        <v>557.1</v>
      </c>
      <c r="D147" s="41">
        <v>566.15709405864698</v>
      </c>
      <c r="E147" s="22">
        <v>-9.0570940586469533</v>
      </c>
      <c r="F147" s="22">
        <v>-0.51667913056575232</v>
      </c>
      <c r="G147" s="22"/>
      <c r="H147" s="22"/>
      <c r="I147" s="22"/>
    </row>
    <row r="148" spans="2:9" x14ac:dyDescent="0.2">
      <c r="B148" s="35">
        <v>90</v>
      </c>
      <c r="C148" s="36">
        <v>607.9</v>
      </c>
      <c r="D148" s="41">
        <v>603.33164734080219</v>
      </c>
      <c r="E148" s="22">
        <v>4.5683526591977852</v>
      </c>
      <c r="F148" s="22">
        <v>0.26061035303244628</v>
      </c>
      <c r="G148" s="22"/>
      <c r="H148" s="22"/>
      <c r="I148" s="22"/>
    </row>
    <row r="149" spans="2:9" x14ac:dyDescent="0.2">
      <c r="B149" s="35">
        <v>91</v>
      </c>
      <c r="C149" s="36">
        <v>594.79999999999995</v>
      </c>
      <c r="D149" s="41">
        <v>584.37166017473987</v>
      </c>
      <c r="E149" s="22">
        <v>10.428339825260082</v>
      </c>
      <c r="F149" s="22">
        <v>0.59490444940399811</v>
      </c>
      <c r="G149" s="22"/>
      <c r="H149" s="22"/>
      <c r="I149" s="22"/>
    </row>
    <row r="150" spans="2:9" x14ac:dyDescent="0.2">
      <c r="B150" s="35">
        <v>92</v>
      </c>
      <c r="C150" s="36">
        <v>585.6</v>
      </c>
      <c r="D150" s="41">
        <v>566.63479313500204</v>
      </c>
      <c r="E150" s="22">
        <v>18.965206864997981</v>
      </c>
      <c r="F150" s="22">
        <v>1.0819062417323138</v>
      </c>
      <c r="G150" s="22"/>
      <c r="H150" s="22"/>
      <c r="I150" s="22"/>
    </row>
    <row r="151" spans="2:9" x14ac:dyDescent="0.2">
      <c r="B151" s="35">
        <v>93</v>
      </c>
      <c r="C151" s="36">
        <v>573.20000000000005</v>
      </c>
      <c r="D151" s="41">
        <v>574.24013028051218</v>
      </c>
      <c r="E151" s="22">
        <v>-1.0401302805121304</v>
      </c>
      <c r="F151" s="22">
        <v>-5.9336207124518286E-2</v>
      </c>
      <c r="G151" s="22"/>
      <c r="H151" s="22"/>
      <c r="I151" s="22"/>
    </row>
    <row r="152" spans="2:9" x14ac:dyDescent="0.2">
      <c r="B152" s="35">
        <v>94</v>
      </c>
      <c r="C152" s="36">
        <v>560.20000000000005</v>
      </c>
      <c r="D152" s="41">
        <v>570.96406062259302</v>
      </c>
      <c r="E152" s="22">
        <v>-10.764060622592979</v>
      </c>
      <c r="F152" s="22">
        <v>-0.61405627984272448</v>
      </c>
      <c r="G152" s="22"/>
      <c r="H152" s="22"/>
      <c r="I152" s="22"/>
    </row>
    <row r="153" spans="2:9" x14ac:dyDescent="0.2">
      <c r="B153" s="35">
        <v>95</v>
      </c>
      <c r="C153" s="36">
        <v>568.1</v>
      </c>
      <c r="D153" s="41">
        <v>572.56824907179725</v>
      </c>
      <c r="E153" s="22">
        <v>-4.4682490717972314</v>
      </c>
      <c r="F153" s="22">
        <v>-0.25489975378618457</v>
      </c>
      <c r="G153" s="22"/>
      <c r="H153" s="22"/>
      <c r="I153" s="22"/>
    </row>
    <row r="154" spans="2:9" x14ac:dyDescent="0.2">
      <c r="B154" s="35">
        <v>96</v>
      </c>
      <c r="C154" s="36">
        <v>524.79999999999995</v>
      </c>
      <c r="D154" s="41">
        <v>534.04237430163266</v>
      </c>
      <c r="E154" s="22">
        <v>-9.242374301632708</v>
      </c>
      <c r="F154" s="22">
        <v>-0.52724879388568835</v>
      </c>
      <c r="G154" s="22"/>
      <c r="H154" s="22"/>
      <c r="I154" s="22"/>
    </row>
    <row r="155" spans="2:9" x14ac:dyDescent="0.2">
      <c r="B155" s="35">
        <v>97</v>
      </c>
      <c r="C155" s="36">
        <v>513.1</v>
      </c>
      <c r="D155" s="41">
        <v>499.69838377070198</v>
      </c>
      <c r="E155" s="22">
        <v>13.401616229298043</v>
      </c>
      <c r="F155" s="22">
        <v>0.76452064831090216</v>
      </c>
      <c r="G155" s="22"/>
      <c r="H155" s="22"/>
      <c r="I155" s="22"/>
    </row>
    <row r="156" spans="2:9" x14ac:dyDescent="0.2">
      <c r="B156" s="35">
        <v>98</v>
      </c>
      <c r="C156" s="36">
        <v>498</v>
      </c>
      <c r="D156" s="41">
        <v>498.75844602318756</v>
      </c>
      <c r="E156" s="22">
        <v>-0.7584460231875596</v>
      </c>
      <c r="F156" s="22">
        <v>-4.3266993729348877E-2</v>
      </c>
      <c r="G156" s="22"/>
      <c r="H156" s="22"/>
      <c r="I156" s="22"/>
    </row>
    <row r="157" spans="2:9" x14ac:dyDescent="0.2">
      <c r="B157" s="35">
        <v>99</v>
      </c>
      <c r="C157" s="36">
        <v>498.3</v>
      </c>
      <c r="D157" s="41">
        <v>505.42491962871634</v>
      </c>
      <c r="E157" s="22">
        <v>-7.1249196287163272</v>
      </c>
      <c r="F157" s="22">
        <v>-0.40645457088981218</v>
      </c>
      <c r="G157" s="22"/>
      <c r="H157" s="22"/>
      <c r="I157" s="22"/>
    </row>
    <row r="158" spans="2:9" x14ac:dyDescent="0.2">
      <c r="B158" s="35">
        <v>100</v>
      </c>
      <c r="C158" s="36">
        <v>568.29999999999995</v>
      </c>
      <c r="D158" s="41">
        <v>544.8910421050922</v>
      </c>
      <c r="E158" s="22">
        <v>23.408957894907758</v>
      </c>
      <c r="F158" s="22">
        <v>1.3354084581957089</v>
      </c>
      <c r="G158" s="22"/>
      <c r="H158" s="22"/>
      <c r="I158" s="22"/>
    </row>
    <row r="159" spans="2:9" x14ac:dyDescent="0.2">
      <c r="B159" s="35">
        <v>101</v>
      </c>
      <c r="C159" s="36">
        <v>601.79999999999995</v>
      </c>
      <c r="D159" s="41">
        <v>598.56918797662013</v>
      </c>
      <c r="E159" s="22">
        <v>3.2308120233798263</v>
      </c>
      <c r="F159" s="22">
        <v>0.18430780738857036</v>
      </c>
      <c r="G159" s="22"/>
      <c r="H159" s="22"/>
      <c r="I159" s="22"/>
    </row>
    <row r="160" spans="2:9" x14ac:dyDescent="0.2">
      <c r="B160" s="35">
        <v>102</v>
      </c>
      <c r="C160" s="36">
        <v>629.6</v>
      </c>
      <c r="D160" s="41">
        <v>629.88067948057221</v>
      </c>
      <c r="E160" s="22">
        <v>-0.28067948057218928</v>
      </c>
      <c r="F160" s="22">
        <v>-1.6011893997195669E-2</v>
      </c>
      <c r="G160" s="22"/>
      <c r="H160" s="22"/>
      <c r="I160" s="22"/>
    </row>
    <row r="161" spans="2:9" x14ac:dyDescent="0.2">
      <c r="B161" s="35">
        <v>103</v>
      </c>
      <c r="C161" s="36">
        <v>612</v>
      </c>
      <c r="D161" s="41">
        <v>602.82363547851241</v>
      </c>
      <c r="E161" s="22">
        <v>9.1763645214875851</v>
      </c>
      <c r="F161" s="22">
        <v>0.52348314062059309</v>
      </c>
      <c r="G161" s="22"/>
      <c r="H161" s="22"/>
      <c r="I161" s="22"/>
    </row>
    <row r="162" spans="2:9" x14ac:dyDescent="0.2">
      <c r="B162" s="35">
        <v>104</v>
      </c>
      <c r="C162" s="36">
        <v>617.5</v>
      </c>
      <c r="D162" s="41">
        <v>608.8075707889227</v>
      </c>
      <c r="E162" s="22">
        <v>8.6924292110772967</v>
      </c>
      <c r="F162" s="22">
        <v>0.49587613181470147</v>
      </c>
      <c r="G162" s="22"/>
      <c r="H162" s="22"/>
      <c r="I162" s="22"/>
    </row>
    <row r="163" spans="2:9" x14ac:dyDescent="0.2">
      <c r="B163" s="35">
        <v>105</v>
      </c>
      <c r="C163" s="36">
        <v>560.6</v>
      </c>
      <c r="D163" s="41">
        <v>610.54076212984103</v>
      </c>
      <c r="E163" s="22">
        <v>-49.940762129841005</v>
      </c>
      <c r="F163" s="22">
        <v>-2.848965616339429</v>
      </c>
      <c r="G163" s="22"/>
      <c r="H163" s="22"/>
      <c r="I163" s="22"/>
    </row>
    <row r="164" spans="2:9" x14ac:dyDescent="0.2">
      <c r="B164" s="35">
        <v>106</v>
      </c>
      <c r="C164" s="36">
        <v>555</v>
      </c>
      <c r="D164" s="41">
        <v>539.85871235612194</v>
      </c>
      <c r="E164" s="22">
        <v>15.141287643878059</v>
      </c>
      <c r="F164" s="22">
        <v>0.86376350790085488</v>
      </c>
      <c r="G164" s="22"/>
      <c r="H164" s="22"/>
      <c r="I164" s="22"/>
    </row>
    <row r="165" spans="2:9" x14ac:dyDescent="0.2">
      <c r="B165" s="35">
        <v>107</v>
      </c>
      <c r="C165" s="36">
        <v>570.70000000000005</v>
      </c>
      <c r="D165" s="41">
        <v>581.29477538415119</v>
      </c>
      <c r="E165" s="22">
        <v>-10.594775384151149</v>
      </c>
      <c r="F165" s="22">
        <v>-0.60439908193251446</v>
      </c>
      <c r="G165" s="22"/>
      <c r="H165" s="22"/>
      <c r="I165" s="22"/>
    </row>
    <row r="166" spans="2:9" x14ac:dyDescent="0.2">
      <c r="B166" s="35">
        <v>108</v>
      </c>
      <c r="C166" s="36">
        <v>530.1</v>
      </c>
      <c r="D166" s="41">
        <v>529.70505469038983</v>
      </c>
      <c r="E166" s="22">
        <v>0.39494530961019336</v>
      </c>
      <c r="F166" s="22">
        <v>2.2530405212651757E-2</v>
      </c>
      <c r="G166" s="22"/>
      <c r="H166" s="22"/>
      <c r="I166" s="22"/>
    </row>
    <row r="167" spans="2:9" x14ac:dyDescent="0.2">
      <c r="B167" s="35">
        <v>109</v>
      </c>
      <c r="C167" s="36">
        <v>509.7</v>
      </c>
      <c r="D167" s="41">
        <v>507.90423721897321</v>
      </c>
      <c r="E167" s="22">
        <v>1.7957627810267809</v>
      </c>
      <c r="F167" s="22">
        <v>0.10244269810993487</v>
      </c>
      <c r="G167" s="22"/>
      <c r="H167" s="22"/>
      <c r="I167" s="22"/>
    </row>
    <row r="168" spans="2:9" x14ac:dyDescent="0.2">
      <c r="B168" s="35">
        <v>110</v>
      </c>
      <c r="C168" s="36">
        <v>489.3</v>
      </c>
      <c r="D168" s="41">
        <v>497.3539584762803</v>
      </c>
      <c r="E168" s="22">
        <v>-8.053958476280286</v>
      </c>
      <c r="F168" s="22">
        <v>-0.45945335625219635</v>
      </c>
      <c r="G168" s="22"/>
      <c r="H168" s="22"/>
      <c r="I168" s="22"/>
    </row>
    <row r="169" spans="2:9" x14ac:dyDescent="0.2">
      <c r="B169" s="35">
        <v>111</v>
      </c>
      <c r="C169" s="36">
        <v>488.7</v>
      </c>
      <c r="D169" s="41">
        <v>495.45368305696098</v>
      </c>
      <c r="E169" s="22">
        <v>-6.7536830569609947</v>
      </c>
      <c r="F169" s="22">
        <v>-0.38527667565247259</v>
      </c>
      <c r="G169" s="22"/>
      <c r="H169" s="22"/>
      <c r="I169" s="22"/>
    </row>
    <row r="170" spans="2:9" x14ac:dyDescent="0.2">
      <c r="B170" s="35">
        <v>112</v>
      </c>
      <c r="C170" s="36">
        <v>568.1</v>
      </c>
      <c r="D170" s="41">
        <v>540.24084344002324</v>
      </c>
      <c r="E170" s="22">
        <v>27.859156559976782</v>
      </c>
      <c r="F170" s="22">
        <v>1.5892784922512273</v>
      </c>
      <c r="G170" s="22"/>
      <c r="H170" s="22"/>
      <c r="I170" s="22"/>
    </row>
    <row r="171" spans="2:9" x14ac:dyDescent="0.2">
      <c r="B171" s="35">
        <v>113</v>
      </c>
      <c r="C171" s="36">
        <v>609.5</v>
      </c>
      <c r="D171" s="41">
        <v>598.65046957447828</v>
      </c>
      <c r="E171" s="22">
        <v>10.849530425521721</v>
      </c>
      <c r="F171" s="22">
        <v>0.61893206706331627</v>
      </c>
      <c r="G171" s="22"/>
      <c r="H171" s="22"/>
      <c r="I171" s="22"/>
    </row>
    <row r="172" spans="2:9" x14ac:dyDescent="0.2">
      <c r="B172" s="35">
        <v>114</v>
      </c>
      <c r="C172" s="36">
        <v>639</v>
      </c>
      <c r="D172" s="41">
        <v>636.29375677734402</v>
      </c>
      <c r="E172" s="22">
        <v>2.7062432226559849</v>
      </c>
      <c r="F172" s="22">
        <v>0.15438278396219296</v>
      </c>
      <c r="G172" s="22"/>
      <c r="H172" s="22"/>
      <c r="I172" s="22"/>
    </row>
    <row r="173" spans="2:9" x14ac:dyDescent="0.2">
      <c r="B173" s="35">
        <v>115</v>
      </c>
      <c r="C173" s="36">
        <v>628.1</v>
      </c>
      <c r="D173" s="41">
        <v>615.71957873406586</v>
      </c>
      <c r="E173" s="22">
        <v>12.38042126593416</v>
      </c>
      <c r="F173" s="22">
        <v>0.70626464231246167</v>
      </c>
      <c r="G173" s="22"/>
      <c r="H173" s="22"/>
      <c r="I173" s="22"/>
    </row>
    <row r="174" spans="2:9" x14ac:dyDescent="0.2">
      <c r="B174" s="35">
        <v>116</v>
      </c>
      <c r="C174" s="36">
        <v>635.5</v>
      </c>
      <c r="D174" s="41">
        <v>632.98339926088772</v>
      </c>
      <c r="E174" s="22">
        <v>2.5166007391122776</v>
      </c>
      <c r="F174" s="22">
        <v>0.14356426834545985</v>
      </c>
      <c r="G174" s="22"/>
      <c r="H174" s="22"/>
      <c r="I174" s="22"/>
    </row>
    <row r="175" spans="2:9" x14ac:dyDescent="0.2">
      <c r="B175" s="35">
        <v>117</v>
      </c>
      <c r="C175" s="36">
        <v>592.4</v>
      </c>
      <c r="D175" s="41">
        <v>613.63942309890479</v>
      </c>
      <c r="E175" s="22">
        <v>-21.239423098904808</v>
      </c>
      <c r="F175" s="22">
        <v>-1.2116432256749361</v>
      </c>
      <c r="G175" s="22"/>
      <c r="H175" s="22"/>
      <c r="I175" s="22"/>
    </row>
    <row r="176" spans="2:9" x14ac:dyDescent="0.2">
      <c r="B176" s="35">
        <v>118</v>
      </c>
      <c r="C176" s="36">
        <v>580.9</v>
      </c>
      <c r="D176" s="41">
        <v>571.53189577499313</v>
      </c>
      <c r="E176" s="22">
        <v>9.3681042250068458</v>
      </c>
      <c r="F176" s="22">
        <v>0.53442129613358402</v>
      </c>
      <c r="G176" s="22"/>
      <c r="H176" s="22"/>
      <c r="I176" s="22"/>
    </row>
    <row r="177" spans="2:9" x14ac:dyDescent="0.2">
      <c r="B177" s="35">
        <v>119</v>
      </c>
      <c r="C177" s="36">
        <v>611.5</v>
      </c>
      <c r="D177" s="41">
        <v>595.86338900595467</v>
      </c>
      <c r="E177" s="22">
        <v>15.636610994045327</v>
      </c>
      <c r="F177" s="22">
        <v>0.89202016906128589</v>
      </c>
      <c r="G177" s="22"/>
      <c r="H177" s="22"/>
      <c r="I177" s="22"/>
    </row>
    <row r="178" spans="2:9" x14ac:dyDescent="0.2">
      <c r="B178" s="35">
        <v>120</v>
      </c>
      <c r="C178" s="36">
        <v>571.79999999999995</v>
      </c>
      <c r="D178" s="41">
        <v>571.13525402635719</v>
      </c>
      <c r="E178" s="22">
        <v>0.66474597364276633</v>
      </c>
      <c r="F178" s="22">
        <v>3.7921696460789418E-2</v>
      </c>
      <c r="G178" s="22"/>
      <c r="H178" s="22"/>
      <c r="I178" s="22"/>
    </row>
    <row r="179" spans="2:9" x14ac:dyDescent="0.2">
      <c r="B179" s="35">
        <v>121</v>
      </c>
      <c r="C179" s="36">
        <v>525.20000000000005</v>
      </c>
      <c r="D179" s="41">
        <v>546.54772903752439</v>
      </c>
      <c r="E179" s="22">
        <v>-21.347729037524346</v>
      </c>
      <c r="F179" s="22">
        <v>-1.2178217436232646</v>
      </c>
      <c r="G179" s="22"/>
      <c r="H179" s="22"/>
      <c r="I179" s="22"/>
    </row>
    <row r="180" spans="2:9" x14ac:dyDescent="0.2">
      <c r="B180" s="35">
        <v>122</v>
      </c>
      <c r="C180" s="36">
        <v>493.6</v>
      </c>
      <c r="D180" s="41">
        <v>511.44888480642504</v>
      </c>
      <c r="E180" s="22">
        <v>-17.848884806425019</v>
      </c>
      <c r="F180" s="22">
        <v>-1.0182235299353455</v>
      </c>
      <c r="G180" s="22"/>
      <c r="H180" s="22"/>
      <c r="I180" s="22"/>
    </row>
    <row r="181" spans="2:9" x14ac:dyDescent="0.2">
      <c r="B181" s="35">
        <v>123</v>
      </c>
      <c r="C181" s="36">
        <v>513.9</v>
      </c>
      <c r="D181" s="41">
        <v>512.30201525743246</v>
      </c>
      <c r="E181" s="22">
        <v>1.5979847425675189</v>
      </c>
      <c r="F181" s="22">
        <v>9.1160074313114403E-2</v>
      </c>
      <c r="G181" s="22"/>
      <c r="H181" s="22"/>
      <c r="I181" s="22"/>
    </row>
    <row r="182" spans="2:9" x14ac:dyDescent="0.2">
      <c r="B182" s="35">
        <v>124</v>
      </c>
      <c r="C182" s="36">
        <v>594.20000000000005</v>
      </c>
      <c r="D182" s="41">
        <v>587.20681456848286</v>
      </c>
      <c r="E182" s="22">
        <v>6.9931854315171904</v>
      </c>
      <c r="F182" s="22">
        <v>0.39893954343907645</v>
      </c>
      <c r="G182" s="22"/>
      <c r="H182" s="22"/>
      <c r="I182" s="22"/>
    </row>
    <row r="183" spans="2:9" x14ac:dyDescent="0.2">
      <c r="B183" s="35">
        <v>125</v>
      </c>
      <c r="C183" s="36">
        <v>610.70000000000005</v>
      </c>
      <c r="D183" s="41">
        <v>615.80275765258671</v>
      </c>
      <c r="E183" s="22">
        <v>-5.1027576525866607</v>
      </c>
      <c r="F183" s="22">
        <v>-0.29109650074894799</v>
      </c>
      <c r="G183" s="22"/>
      <c r="H183" s="22"/>
      <c r="I183" s="22"/>
    </row>
    <row r="184" spans="2:9" x14ac:dyDescent="0.2">
      <c r="B184" s="35">
        <v>126</v>
      </c>
      <c r="C184" s="36">
        <v>632.29999999999995</v>
      </c>
      <c r="D184" s="41">
        <v>634.87592127731807</v>
      </c>
      <c r="E184" s="22">
        <v>-2.5759212773181162</v>
      </c>
      <c r="F184" s="22">
        <v>-0.14694832110083819</v>
      </c>
      <c r="G184" s="22"/>
      <c r="H184" s="22"/>
      <c r="I184" s="22"/>
    </row>
    <row r="185" spans="2:9" x14ac:dyDescent="0.2">
      <c r="B185" s="35">
        <v>127</v>
      </c>
      <c r="C185" s="36">
        <v>647</v>
      </c>
      <c r="D185" s="41">
        <v>624.07670686511233</v>
      </c>
      <c r="E185" s="22">
        <v>22.923293134887672</v>
      </c>
      <c r="F185" s="22">
        <v>1.3077027896524931</v>
      </c>
      <c r="G185" s="22"/>
      <c r="H185" s="22"/>
      <c r="I185" s="22"/>
    </row>
    <row r="186" spans="2:9" x14ac:dyDescent="0.2">
      <c r="B186" s="35">
        <v>128</v>
      </c>
      <c r="C186" s="36">
        <v>656.7</v>
      </c>
      <c r="D186" s="41">
        <v>657.4941839855403</v>
      </c>
      <c r="E186" s="22">
        <v>-0.79418398554025771</v>
      </c>
      <c r="F186" s="22">
        <v>-4.5305733660392741E-2</v>
      </c>
      <c r="G186" s="22"/>
      <c r="H186" s="22"/>
      <c r="I186" s="22"/>
    </row>
    <row r="187" spans="2:9" x14ac:dyDescent="0.2">
      <c r="B187" s="35">
        <v>129</v>
      </c>
      <c r="C187" s="36">
        <v>635.70000000000005</v>
      </c>
      <c r="D187" s="41">
        <v>600.23450143099092</v>
      </c>
      <c r="E187" s="22">
        <v>35.465498569009128</v>
      </c>
      <c r="F187" s="22">
        <v>2.0231967170774916</v>
      </c>
      <c r="G187" s="22"/>
      <c r="H187" s="22"/>
      <c r="I187" s="22"/>
    </row>
    <row r="188" spans="2:9" x14ac:dyDescent="0.2">
      <c r="B188" s="35">
        <v>130</v>
      </c>
      <c r="C188" s="36">
        <v>643.6</v>
      </c>
      <c r="D188" s="41">
        <v>624.11799444846326</v>
      </c>
      <c r="E188" s="22">
        <v>19.482005551536759</v>
      </c>
      <c r="F188" s="22">
        <v>1.1113880042390696</v>
      </c>
      <c r="G188" s="22"/>
      <c r="H188" s="22"/>
      <c r="I188" s="22"/>
    </row>
    <row r="189" spans="2:9" x14ac:dyDescent="0.2">
      <c r="B189" s="35">
        <v>131</v>
      </c>
      <c r="C189" s="36">
        <v>645.70000000000005</v>
      </c>
      <c r="D189" s="41">
        <v>650.6520944251065</v>
      </c>
      <c r="E189" s="22">
        <v>-4.952094425106452</v>
      </c>
      <c r="F189" s="22">
        <v>-0.28250163081841162</v>
      </c>
      <c r="G189" s="22"/>
      <c r="H189" s="22"/>
      <c r="I189" s="22"/>
    </row>
    <row r="190" spans="2:9" x14ac:dyDescent="0.2">
      <c r="B190" s="35">
        <v>132</v>
      </c>
      <c r="C190" s="36">
        <v>622.4</v>
      </c>
      <c r="D190" s="41">
        <v>595.1894061257849</v>
      </c>
      <c r="E190" s="22">
        <v>27.210593874215078</v>
      </c>
      <c r="F190" s="22">
        <v>1.5522800021806928</v>
      </c>
      <c r="G190" s="22"/>
      <c r="H190" s="22"/>
      <c r="I190" s="22"/>
    </row>
    <row r="191" spans="2:9" x14ac:dyDescent="0.2">
      <c r="B191" s="35">
        <v>133</v>
      </c>
      <c r="C191" s="36">
        <v>570.29999999999995</v>
      </c>
      <c r="D191" s="41">
        <v>607.78517989415957</v>
      </c>
      <c r="E191" s="22">
        <v>-37.485179894159614</v>
      </c>
      <c r="F191" s="22">
        <v>-2.1384132737723363</v>
      </c>
      <c r="G191" s="22"/>
      <c r="H191" s="22"/>
      <c r="I191" s="22"/>
    </row>
    <row r="192" spans="2:9" x14ac:dyDescent="0.2">
      <c r="B192" s="35">
        <v>134</v>
      </c>
      <c r="C192" s="36">
        <v>580.4</v>
      </c>
      <c r="D192" s="41">
        <v>538.31636446570928</v>
      </c>
      <c r="E192" s="22">
        <v>42.083635534290693</v>
      </c>
      <c r="F192" s="22">
        <v>2.4007409085195732</v>
      </c>
      <c r="G192" s="22"/>
      <c r="H192" s="22"/>
      <c r="I192" s="22"/>
    </row>
    <row r="193" spans="2:9" x14ac:dyDescent="0.2">
      <c r="B193" s="35">
        <v>135</v>
      </c>
      <c r="C193" s="36">
        <v>585.4</v>
      </c>
      <c r="D193" s="41">
        <v>601.38264122564055</v>
      </c>
      <c r="E193" s="22">
        <v>-15.982641225640577</v>
      </c>
      <c r="F193" s="22">
        <v>-0.91176012075577118</v>
      </c>
      <c r="G193" s="22"/>
      <c r="H193" s="22"/>
      <c r="I193" s="22"/>
    </row>
    <row r="194" spans="2:9" x14ac:dyDescent="0.2">
      <c r="B194" s="35">
        <v>136</v>
      </c>
      <c r="C194" s="36">
        <v>648.70000000000005</v>
      </c>
      <c r="D194" s="41">
        <v>646.30496720917301</v>
      </c>
      <c r="E194" s="22">
        <v>2.395032790827031</v>
      </c>
      <c r="F194" s="22">
        <v>0.13662919387036193</v>
      </c>
      <c r="G194" s="22"/>
      <c r="H194" s="22"/>
      <c r="I194" s="22"/>
    </row>
    <row r="195" spans="2:9" x14ac:dyDescent="0.2">
      <c r="B195" s="35">
        <v>137</v>
      </c>
      <c r="C195" s="36">
        <v>689.1</v>
      </c>
      <c r="D195" s="41">
        <v>681.65202194294454</v>
      </c>
      <c r="E195" s="22">
        <v>7.4479780570554794</v>
      </c>
      <c r="F195" s="22">
        <v>0.4248840524426567</v>
      </c>
      <c r="G195" s="22"/>
      <c r="H195" s="22"/>
      <c r="I195" s="22"/>
    </row>
    <row r="196" spans="2:9" x14ac:dyDescent="0.2">
      <c r="B196" s="35">
        <v>138</v>
      </c>
      <c r="C196" s="36">
        <v>708.4</v>
      </c>
      <c r="D196" s="41">
        <v>724.21819624962313</v>
      </c>
      <c r="E196" s="22">
        <v>-15.818196249623156</v>
      </c>
      <c r="F196" s="22">
        <v>-0.90237904480752373</v>
      </c>
      <c r="G196" s="22"/>
      <c r="H196" s="22"/>
      <c r="I196" s="22"/>
    </row>
    <row r="197" spans="2:9" x14ac:dyDescent="0.2">
      <c r="B197" s="35">
        <v>139</v>
      </c>
      <c r="C197" s="36">
        <v>642.20000000000005</v>
      </c>
      <c r="D197" s="41">
        <v>697.43127812066143</v>
      </c>
      <c r="E197" s="22">
        <v>-55.231278120661386</v>
      </c>
      <c r="F197" s="22">
        <v>-3.1507731480577919</v>
      </c>
      <c r="G197" s="22"/>
      <c r="H197" s="22"/>
      <c r="I197" s="22"/>
    </row>
    <row r="198" spans="2:9" x14ac:dyDescent="0.2">
      <c r="B198" s="35">
        <v>140</v>
      </c>
      <c r="C198" s="36">
        <v>647.1</v>
      </c>
      <c r="D198" s="41">
        <v>650.65883139792061</v>
      </c>
      <c r="E198" s="22">
        <v>-3.558831397920585</v>
      </c>
      <c r="F198" s="22">
        <v>-0.20302029553863379</v>
      </c>
      <c r="G198" s="22"/>
      <c r="H198" s="22"/>
      <c r="I198" s="22"/>
    </row>
    <row r="199" spans="2:9" x14ac:dyDescent="0.2">
      <c r="B199" s="35">
        <v>141</v>
      </c>
      <c r="C199" s="36">
        <v>647.79999999999995</v>
      </c>
      <c r="D199" s="41">
        <v>635.56453892300874</v>
      </c>
      <c r="E199" s="22">
        <v>12.235461076991214</v>
      </c>
      <c r="F199" s="22">
        <v>0.69799511304571171</v>
      </c>
      <c r="G199" s="22"/>
      <c r="H199" s="22"/>
      <c r="I199" s="22"/>
    </row>
    <row r="200" spans="2:9" x14ac:dyDescent="0.2">
      <c r="B200" s="35">
        <v>142</v>
      </c>
      <c r="C200" s="36">
        <v>650.4</v>
      </c>
      <c r="D200" s="41">
        <v>645.95433468793885</v>
      </c>
      <c r="E200" s="22">
        <v>4.4456653120611236</v>
      </c>
      <c r="F200" s="22">
        <v>0.2536114203240607</v>
      </c>
      <c r="G200" s="22"/>
      <c r="H200" s="22"/>
      <c r="I200" s="22"/>
    </row>
    <row r="201" spans="2:9" x14ac:dyDescent="0.2">
      <c r="B201" s="35">
        <v>143</v>
      </c>
      <c r="C201" s="36">
        <v>644.70000000000005</v>
      </c>
      <c r="D201" s="41">
        <v>649.18717177945291</v>
      </c>
      <c r="E201" s="22">
        <v>-4.4871717794528649</v>
      </c>
      <c r="F201" s="22">
        <v>-0.25597923557981</v>
      </c>
      <c r="G201" s="22"/>
      <c r="H201" s="22"/>
      <c r="I201" s="22"/>
    </row>
    <row r="202" spans="2:9" x14ac:dyDescent="0.2">
      <c r="B202" s="35">
        <v>144</v>
      </c>
      <c r="C202" s="36">
        <v>575.20000000000005</v>
      </c>
      <c r="D202" s="41">
        <v>602.53154252728018</v>
      </c>
      <c r="E202" s="22">
        <v>-27.331542527280135</v>
      </c>
      <c r="F202" s="22">
        <v>-1.5591797477838745</v>
      </c>
      <c r="G202" s="22"/>
      <c r="H202" s="22"/>
      <c r="I202" s="22"/>
    </row>
    <row r="203" spans="2:9" x14ac:dyDescent="0.2">
      <c r="B203" s="35">
        <v>145</v>
      </c>
      <c r="C203" s="36">
        <v>567.1</v>
      </c>
      <c r="D203" s="41">
        <v>546.67664693778204</v>
      </c>
      <c r="E203" s="22">
        <v>20.423353062217984</v>
      </c>
      <c r="F203" s="22">
        <v>1.1650889606639023</v>
      </c>
      <c r="G203" s="22">
        <v>17.52943659390623</v>
      </c>
      <c r="H203" s="22">
        <v>512.31958254444737</v>
      </c>
      <c r="I203" s="22">
        <v>581.03371133111671</v>
      </c>
    </row>
    <row r="204" spans="2:9" x14ac:dyDescent="0.2">
      <c r="B204" s="35">
        <v>146</v>
      </c>
      <c r="C204" s="36">
        <v>574</v>
      </c>
      <c r="D204" s="41">
        <v>544.94489251631433</v>
      </c>
      <c r="E204" s="22">
        <v>29.055107483685674</v>
      </c>
      <c r="F204" s="22">
        <v>1.657503783880089</v>
      </c>
      <c r="G204" s="22">
        <v>25.505796107623834</v>
      </c>
      <c r="H204" s="22">
        <v>494.9544507483497</v>
      </c>
      <c r="I204" s="22">
        <v>594.93533428427895</v>
      </c>
    </row>
    <row r="205" spans="2:9" x14ac:dyDescent="0.2">
      <c r="B205" s="35">
        <v>147</v>
      </c>
      <c r="C205" s="36">
        <v>533.1</v>
      </c>
      <c r="D205" s="41">
        <v>551.16217126838569</v>
      </c>
      <c r="E205" s="22">
        <v>-18.062171268385669</v>
      </c>
      <c r="F205" s="22">
        <v>-1.0303908612022723</v>
      </c>
      <c r="G205" s="22">
        <v>27.195669012854012</v>
      </c>
      <c r="H205" s="22">
        <v>497.85963946771989</v>
      </c>
      <c r="I205" s="22">
        <v>604.46470306905155</v>
      </c>
    </row>
    <row r="206" spans="2:9" x14ac:dyDescent="0.2">
      <c r="B206" s="35">
        <v>148</v>
      </c>
      <c r="C206" s="36">
        <v>583.70000000000005</v>
      </c>
      <c r="D206" s="41">
        <v>618.07425228537625</v>
      </c>
      <c r="E206" s="22">
        <v>-34.374252285376201</v>
      </c>
      <c r="F206" s="22">
        <v>-1.9609445004824484</v>
      </c>
      <c r="G206" s="22">
        <v>28.463041452454593</v>
      </c>
      <c r="H206" s="22">
        <v>562.28771614809466</v>
      </c>
      <c r="I206" s="22">
        <v>673.86078842265783</v>
      </c>
    </row>
    <row r="207" spans="2:9" x14ac:dyDescent="0.2">
      <c r="B207" s="35">
        <v>149</v>
      </c>
      <c r="C207" s="36">
        <v>619.9</v>
      </c>
      <c r="D207" s="41">
        <v>648.70463917747372</v>
      </c>
      <c r="E207" s="22">
        <v>-28.804639177473746</v>
      </c>
      <c r="F207" s="22">
        <v>-1.6432153436971912</v>
      </c>
      <c r="G207" s="22">
        <v>31.325933687530654</v>
      </c>
      <c r="H207" s="22">
        <v>587.30693736782359</v>
      </c>
      <c r="I207" s="22">
        <v>710.10234098712385</v>
      </c>
    </row>
    <row r="208" spans="2:9" x14ac:dyDescent="0.2">
      <c r="B208" s="35">
        <v>150</v>
      </c>
      <c r="C208" s="36">
        <v>649</v>
      </c>
      <c r="D208" s="41">
        <v>677.26691719784901</v>
      </c>
      <c r="E208" s="22">
        <v>-28.266917197849011</v>
      </c>
      <c r="F208" s="22">
        <v>-1.6125399722016998</v>
      </c>
      <c r="G208" s="22">
        <v>34.267940226277879</v>
      </c>
      <c r="H208" s="22">
        <v>610.102988529973</v>
      </c>
      <c r="I208" s="22">
        <v>744.43084586572502</v>
      </c>
    </row>
    <row r="209" spans="2:9" x14ac:dyDescent="0.2">
      <c r="B209" s="35">
        <v>151</v>
      </c>
      <c r="C209" s="36">
        <v>698.1</v>
      </c>
      <c r="D209" s="41">
        <v>667.22445668120736</v>
      </c>
      <c r="E209" s="22">
        <v>30.875543318792666</v>
      </c>
      <c r="F209" s="22">
        <v>1.7613540032157082</v>
      </c>
      <c r="G209" s="22">
        <v>36.143986914970789</v>
      </c>
      <c r="H209" s="22">
        <v>596.38354407017766</v>
      </c>
      <c r="I209" s="22">
        <v>738.06536929223705</v>
      </c>
    </row>
    <row r="210" spans="2:9" x14ac:dyDescent="0.2">
      <c r="B210" s="35">
        <v>152</v>
      </c>
      <c r="C210" s="36">
        <v>630.20000000000005</v>
      </c>
      <c r="D210" s="41">
        <v>672.62328978056632</v>
      </c>
      <c r="E210" s="22">
        <v>-42.423289780566279</v>
      </c>
      <c r="F210" s="22">
        <v>-2.4201171300231015</v>
      </c>
      <c r="G210" s="22">
        <v>37.761882460945827</v>
      </c>
      <c r="H210" s="22">
        <v>598.61136016867772</v>
      </c>
      <c r="I210" s="22">
        <v>746.63521939245493</v>
      </c>
    </row>
    <row r="211" spans="2:9" x14ac:dyDescent="0.2">
      <c r="B211" s="35">
        <v>153</v>
      </c>
      <c r="C211" s="36">
        <v>613.1</v>
      </c>
      <c r="D211" s="41">
        <v>650.38725776694343</v>
      </c>
      <c r="E211" s="22">
        <v>-37.287257766943412</v>
      </c>
      <c r="F211" s="22">
        <v>-2.1271224301587428</v>
      </c>
      <c r="G211" s="22">
        <v>39.669810591598818</v>
      </c>
      <c r="H211" s="22">
        <v>572.63585773388422</v>
      </c>
      <c r="I211" s="22">
        <v>728.13865780000265</v>
      </c>
    </row>
    <row r="212" spans="2:9" x14ac:dyDescent="0.2">
      <c r="B212" s="35">
        <v>154</v>
      </c>
      <c r="C212" s="36">
        <v>622</v>
      </c>
      <c r="D212" s="41">
        <v>653.33176680261806</v>
      </c>
      <c r="E212" s="22">
        <v>-31.331766802618063</v>
      </c>
      <c r="F212" s="22">
        <v>-1.7873801382475663</v>
      </c>
      <c r="G212" s="22">
        <v>41.597229404964914</v>
      </c>
      <c r="H212" s="22">
        <v>571.80269531223632</v>
      </c>
      <c r="I212" s="22">
        <v>734.8608382929998</v>
      </c>
    </row>
    <row r="213" spans="2:9" x14ac:dyDescent="0.2">
      <c r="B213" s="35">
        <v>155</v>
      </c>
      <c r="C213" s="36">
        <v>622.1</v>
      </c>
      <c r="D213" s="41">
        <v>661.72731358016813</v>
      </c>
      <c r="E213" s="22">
        <v>-39.627313580168106</v>
      </c>
      <c r="F213" s="22">
        <v>-2.2606153579370472</v>
      </c>
      <c r="G213" s="22">
        <v>43.26577929407901</v>
      </c>
      <c r="H213" s="22">
        <v>576.92794440071452</v>
      </c>
      <c r="I213" s="22">
        <v>746.52668275962174</v>
      </c>
    </row>
    <row r="214" spans="2:9" ht="16" thickBot="1" x14ac:dyDescent="0.25">
      <c r="B214" s="37">
        <v>156</v>
      </c>
      <c r="C214" s="38">
        <v>583.1</v>
      </c>
      <c r="D214" s="42">
        <v>623.55326073589549</v>
      </c>
      <c r="E214" s="21">
        <v>-40.453260735895469</v>
      </c>
      <c r="F214" s="21">
        <v>-2.3077330819610178</v>
      </c>
      <c r="G214" s="21">
        <v>44.813616942084195</v>
      </c>
      <c r="H214" s="21">
        <v>535.7201855124365</v>
      </c>
      <c r="I214" s="21">
        <v>711.38633595935448</v>
      </c>
    </row>
    <row r="233" spans="2:10" x14ac:dyDescent="0.2">
      <c r="G233" t="s">
        <v>195</v>
      </c>
    </row>
    <row r="236" spans="2:10" x14ac:dyDescent="0.2">
      <c r="B236" t="s">
        <v>233</v>
      </c>
    </row>
    <row r="237" spans="2:10" ht="16" thickBot="1" x14ac:dyDescent="0.25"/>
    <row r="238" spans="2:10" x14ac:dyDescent="0.2">
      <c r="B238" s="9" t="s">
        <v>224</v>
      </c>
      <c r="C238" s="9" t="s">
        <v>225</v>
      </c>
      <c r="D238" s="9" t="s">
        <v>226</v>
      </c>
      <c r="E238" s="9" t="s">
        <v>215</v>
      </c>
      <c r="F238" s="9" t="s">
        <v>216</v>
      </c>
      <c r="G238" s="9" t="s">
        <v>227</v>
      </c>
      <c r="H238" s="9" t="s">
        <v>226</v>
      </c>
      <c r="I238" s="9" t="s">
        <v>215</v>
      </c>
      <c r="J238" s="9" t="s">
        <v>216</v>
      </c>
    </row>
    <row r="239" spans="2:10" x14ac:dyDescent="0.2">
      <c r="B239" s="23">
        <v>0</v>
      </c>
      <c r="C239" s="20">
        <v>1</v>
      </c>
      <c r="D239" s="20">
        <v>0</v>
      </c>
      <c r="E239" s="20"/>
      <c r="F239" s="20"/>
      <c r="G239" s="20">
        <v>1</v>
      </c>
      <c r="H239" s="20">
        <v>0</v>
      </c>
      <c r="I239" s="20"/>
      <c r="J239" s="20"/>
    </row>
    <row r="240" spans="2:10" x14ac:dyDescent="0.2">
      <c r="B240" s="24">
        <v>1</v>
      </c>
      <c r="C240" s="22">
        <v>0.844025822436129</v>
      </c>
      <c r="D240" s="22">
        <v>8.0064076902543566E-2</v>
      </c>
      <c r="E240" s="22">
        <v>-0.15692270718443055</v>
      </c>
      <c r="F240" s="22">
        <v>0.15692270718443055</v>
      </c>
      <c r="G240" s="22">
        <v>0.844025822436129</v>
      </c>
      <c r="H240" s="22">
        <v>8.0064076902543566E-2</v>
      </c>
      <c r="I240" s="22">
        <v>-0.15692270718443055</v>
      </c>
      <c r="J240" s="22">
        <v>0.15692270718443055</v>
      </c>
    </row>
    <row r="241" spans="2:10" x14ac:dyDescent="0.2">
      <c r="B241" s="24">
        <v>2</v>
      </c>
      <c r="C241" s="22">
        <v>0.61128531725508339</v>
      </c>
      <c r="D241" s="22">
        <v>0.12467288423438477</v>
      </c>
      <c r="E241" s="22">
        <v>-0.2443543629481256</v>
      </c>
      <c r="F241" s="22">
        <v>0.2443543629481256</v>
      </c>
      <c r="G241" s="22">
        <v>-0.35148503999062269</v>
      </c>
      <c r="H241" s="22">
        <v>8.0064076902543566E-2</v>
      </c>
      <c r="I241" s="22">
        <v>-0.15692270718443055</v>
      </c>
      <c r="J241" s="22">
        <v>0.15692270718443055</v>
      </c>
    </row>
    <row r="242" spans="2:10" x14ac:dyDescent="0.2">
      <c r="B242" s="24">
        <v>3</v>
      </c>
      <c r="C242" s="22">
        <v>0.39822857269078249</v>
      </c>
      <c r="D242" s="22">
        <v>0.1425972150639081</v>
      </c>
      <c r="E242" s="22">
        <v>-0.27948540582097225</v>
      </c>
      <c r="F242" s="22">
        <v>0.27948540582097225</v>
      </c>
      <c r="G242" s="22">
        <v>-9.5005577720003228E-3</v>
      </c>
      <c r="H242" s="22">
        <v>8.0064076902543566E-2</v>
      </c>
      <c r="I242" s="22">
        <v>-0.15692270718443055</v>
      </c>
      <c r="J242" s="22">
        <v>0.15692270718443055</v>
      </c>
    </row>
    <row r="243" spans="2:10" x14ac:dyDescent="0.2">
      <c r="B243" s="24">
        <v>4</v>
      </c>
      <c r="C243" s="22">
        <v>0.25669999619287914</v>
      </c>
      <c r="D243" s="22">
        <v>0.14955640922484861</v>
      </c>
      <c r="E243" s="22">
        <v>-0.29312517573783708</v>
      </c>
      <c r="F243" s="22">
        <v>0.29312517573783708</v>
      </c>
      <c r="G243" s="22">
        <v>7.9451456243552834E-2</v>
      </c>
      <c r="H243" s="22">
        <v>8.0064076902543566E-2</v>
      </c>
      <c r="I243" s="22">
        <v>-0.15692270718443055</v>
      </c>
      <c r="J243" s="22">
        <v>0.15692270718443055</v>
      </c>
    </row>
    <row r="244" spans="2:10" x14ac:dyDescent="0.2">
      <c r="B244" s="24">
        <v>5</v>
      </c>
      <c r="C244" s="22">
        <v>0.20285903458719909</v>
      </c>
      <c r="D244" s="22">
        <v>0.15235460543489651</v>
      </c>
      <c r="E244" s="22">
        <v>-0.29860953953120745</v>
      </c>
      <c r="F244" s="22">
        <v>0.29860953953120745</v>
      </c>
      <c r="G244" s="22">
        <v>0.11806500284411817</v>
      </c>
      <c r="H244" s="22">
        <v>8.0064076902543566E-2</v>
      </c>
      <c r="I244" s="22">
        <v>-0.15692270718443055</v>
      </c>
      <c r="J244" s="22">
        <v>0.15692270718443055</v>
      </c>
    </row>
    <row r="245" spans="2:10" x14ac:dyDescent="0.2">
      <c r="B245" s="24">
        <v>6</v>
      </c>
      <c r="C245" s="22">
        <v>0.17577368965751591</v>
      </c>
      <c r="D245" s="22">
        <v>0.15407632141817568</v>
      </c>
      <c r="E245" s="22">
        <v>-0.3019840408500416</v>
      </c>
      <c r="F245" s="22">
        <v>0.3019840408500416</v>
      </c>
      <c r="G245" s="22">
        <v>-6.7946509620923995E-2</v>
      </c>
      <c r="H245" s="22">
        <v>8.0064076902543566E-2</v>
      </c>
      <c r="I245" s="22">
        <v>-0.15692270718443055</v>
      </c>
      <c r="J245" s="22">
        <v>0.15692270718443055</v>
      </c>
    </row>
    <row r="246" spans="2:10" x14ac:dyDescent="0.2">
      <c r="B246" s="24">
        <v>7</v>
      </c>
      <c r="C246" s="22">
        <v>0.19002708210837738</v>
      </c>
      <c r="D246" s="22">
        <v>0.15535643013904996</v>
      </c>
      <c r="E246" s="22">
        <v>-0.30449300783925082</v>
      </c>
      <c r="F246" s="22">
        <v>0.30449300783925082</v>
      </c>
      <c r="G246" s="22">
        <v>0.15357485337038024</v>
      </c>
      <c r="H246" s="22">
        <v>8.0064076902543566E-2</v>
      </c>
      <c r="I246" s="22">
        <v>-0.15692270718443055</v>
      </c>
      <c r="J246" s="22">
        <v>0.15692270718443055</v>
      </c>
    </row>
    <row r="247" spans="2:10" x14ac:dyDescent="0.2">
      <c r="B247" s="24">
        <v>8</v>
      </c>
      <c r="C247" s="22">
        <v>0.23179194248726187</v>
      </c>
      <c r="D247" s="22">
        <v>0.15683932174760834</v>
      </c>
      <c r="E247" s="22">
        <v>-0.30739942198500192</v>
      </c>
      <c r="F247" s="22">
        <v>0.30739942198500192</v>
      </c>
      <c r="G247" s="22">
        <v>9.6327782239726059E-2</v>
      </c>
      <c r="H247" s="22">
        <v>8.0064076902543566E-2</v>
      </c>
      <c r="I247" s="22">
        <v>-0.15692270718443055</v>
      </c>
      <c r="J247" s="22">
        <v>0.15692270718443055</v>
      </c>
    </row>
    <row r="248" spans="2:10" x14ac:dyDescent="0.2">
      <c r="B248" s="24">
        <v>9</v>
      </c>
      <c r="C248" s="22">
        <v>0.34551448920014566</v>
      </c>
      <c r="D248" s="22">
        <v>0.15902008366182602</v>
      </c>
      <c r="E248" s="22">
        <v>-0.31167363679572518</v>
      </c>
      <c r="F248" s="22">
        <v>0.31167363679572518</v>
      </c>
      <c r="G248" s="22">
        <v>0.33974653462180476</v>
      </c>
      <c r="H248" s="22">
        <v>8.0064076902543566E-2</v>
      </c>
      <c r="I248" s="22">
        <v>-0.15692270718443055</v>
      </c>
      <c r="J248" s="22">
        <v>0.15692270718443055</v>
      </c>
    </row>
    <row r="249" spans="2:10" x14ac:dyDescent="0.2">
      <c r="B249" s="24">
        <v>10</v>
      </c>
      <c r="C249" s="22">
        <v>0.51911053194272694</v>
      </c>
      <c r="D249" s="22">
        <v>0.16376172687924073</v>
      </c>
      <c r="E249" s="22">
        <v>-0.32096708672939667</v>
      </c>
      <c r="F249" s="22">
        <v>0.32096708672939667</v>
      </c>
      <c r="G249" s="22">
        <v>0.30648576843746927</v>
      </c>
      <c r="H249" s="22">
        <v>8.0064076902543566E-2</v>
      </c>
      <c r="I249" s="22">
        <v>-0.15692270718443055</v>
      </c>
      <c r="J249" s="22">
        <v>0.15692270718443055</v>
      </c>
    </row>
    <row r="250" spans="2:10" x14ac:dyDescent="0.2">
      <c r="B250" s="24">
        <v>11</v>
      </c>
      <c r="C250" s="22">
        <v>0.67628708577754493</v>
      </c>
      <c r="D250" s="22">
        <v>0.17399057568165396</v>
      </c>
      <c r="E250" s="22">
        <v>-0.34101526198543225</v>
      </c>
      <c r="F250" s="22">
        <v>0.34101526198543225</v>
      </c>
      <c r="G250" s="22">
        <v>0.22114019109767977</v>
      </c>
      <c r="H250" s="22">
        <v>8.0064076902543566E-2</v>
      </c>
      <c r="I250" s="22">
        <v>-0.15692270718443055</v>
      </c>
      <c r="J250" s="22">
        <v>0.15692270718443055</v>
      </c>
    </row>
    <row r="251" spans="2:10" x14ac:dyDescent="0.2">
      <c r="B251" s="24">
        <v>12</v>
      </c>
      <c r="C251" s="22">
        <v>0.76427583760208873</v>
      </c>
      <c r="D251" s="22">
        <v>0.19009567144683126</v>
      </c>
      <c r="E251" s="22">
        <v>-0.37258066965274828</v>
      </c>
      <c r="F251" s="22">
        <v>0.37258066965274828</v>
      </c>
      <c r="G251" s="22">
        <v>0.17968495386398589</v>
      </c>
      <c r="H251" s="22">
        <v>8.0064076902543566E-2</v>
      </c>
      <c r="I251" s="22">
        <v>-0.15692270718443055</v>
      </c>
      <c r="J251" s="22">
        <v>0.15692270718443055</v>
      </c>
    </row>
    <row r="252" spans="2:10" x14ac:dyDescent="0.2">
      <c r="B252" s="24">
        <v>13</v>
      </c>
      <c r="C252" s="22">
        <v>0.67440309849227054</v>
      </c>
      <c r="D252" s="22">
        <v>0.20886610763229979</v>
      </c>
      <c r="E252" s="22">
        <v>-0.40937004855037396</v>
      </c>
      <c r="F252" s="22">
        <v>0.40937004855037396</v>
      </c>
      <c r="G252" s="22">
        <v>-0.27531213916256836</v>
      </c>
      <c r="H252" s="22">
        <v>8.0064076902543566E-2</v>
      </c>
      <c r="I252" s="22">
        <v>-0.15692270718443055</v>
      </c>
      <c r="J252" s="22">
        <v>0.15692270718443055</v>
      </c>
    </row>
    <row r="253" spans="2:10" x14ac:dyDescent="0.2">
      <c r="B253" s="24">
        <v>14</v>
      </c>
      <c r="C253" s="22">
        <v>0.49929819595188601</v>
      </c>
      <c r="D253" s="22">
        <v>0.2223872088307203</v>
      </c>
      <c r="E253" s="22">
        <v>-0.43587091993059957</v>
      </c>
      <c r="F253" s="22">
        <v>0.43587091993059957</v>
      </c>
      <c r="G253" s="22">
        <v>-2.0973801392201407E-2</v>
      </c>
      <c r="H253" s="22">
        <v>8.0064076902543566E-2</v>
      </c>
      <c r="I253" s="22">
        <v>-0.15692270718443055</v>
      </c>
      <c r="J253" s="22">
        <v>0.15692270718443055</v>
      </c>
    </row>
    <row r="254" spans="2:10" x14ac:dyDescent="0.2">
      <c r="B254" s="24">
        <v>15</v>
      </c>
      <c r="C254" s="22">
        <v>0.29664746638104122</v>
      </c>
      <c r="D254" s="22">
        <v>0.22946068875370271</v>
      </c>
      <c r="E254" s="22">
        <v>-0.44973468582501219</v>
      </c>
      <c r="F254" s="22">
        <v>0.44973468582501219</v>
      </c>
      <c r="G254" s="22">
        <v>-0.20265657719363753</v>
      </c>
      <c r="H254" s="22">
        <v>8.0064076902543566E-2</v>
      </c>
      <c r="I254" s="22">
        <v>-0.15692270718443055</v>
      </c>
      <c r="J254" s="22">
        <v>0.15692270718443055</v>
      </c>
    </row>
    <row r="255" spans="2:10" x14ac:dyDescent="0.2">
      <c r="B255" s="24">
        <v>16</v>
      </c>
      <c r="C255" s="22">
        <v>0.15678571615483741</v>
      </c>
      <c r="D255" s="22">
        <v>0.23190603530943896</v>
      </c>
      <c r="E255" s="22">
        <v>-0.45452747700397433</v>
      </c>
      <c r="F255" s="22">
        <v>0.45452747700397433</v>
      </c>
      <c r="G255" s="22">
        <v>4.2915319852546333E-2</v>
      </c>
      <c r="H255" s="22">
        <v>8.0064076902543566E-2</v>
      </c>
      <c r="I255" s="22">
        <v>-0.15692270718443055</v>
      </c>
      <c r="J255" s="22">
        <v>0.15692270718443055</v>
      </c>
    </row>
    <row r="256" spans="2:10" x14ac:dyDescent="0.2">
      <c r="B256" s="24">
        <v>17</v>
      </c>
      <c r="C256" s="22">
        <v>0.1069940596807844</v>
      </c>
      <c r="D256" s="22">
        <v>0.23258452225439269</v>
      </c>
      <c r="E256" s="22">
        <v>-0.45585728698006422</v>
      </c>
      <c r="F256" s="22">
        <v>0.45585728698006422</v>
      </c>
      <c r="G256" s="22">
        <v>-9.9522024065763944E-3</v>
      </c>
      <c r="H256" s="22">
        <v>8.0064076902543566E-2</v>
      </c>
      <c r="I256" s="22">
        <v>-0.15692270718443055</v>
      </c>
      <c r="J256" s="22">
        <v>0.15692270718443055</v>
      </c>
    </row>
    <row r="257" spans="2:10" x14ac:dyDescent="0.2">
      <c r="B257" s="24">
        <v>18</v>
      </c>
      <c r="C257" s="22">
        <v>6.5601480509497184E-2</v>
      </c>
      <c r="D257" s="22">
        <v>0.23289981912023822</v>
      </c>
      <c r="E257" s="22">
        <v>-0.45647525748155982</v>
      </c>
      <c r="F257" s="22">
        <v>0.45647525748155982</v>
      </c>
      <c r="G257" s="22">
        <v>-0.18290294948194319</v>
      </c>
      <c r="H257" s="22">
        <v>8.0064076902543566E-2</v>
      </c>
      <c r="I257" s="22">
        <v>-0.15692270718443055</v>
      </c>
      <c r="J257" s="22">
        <v>0.15692270718443055</v>
      </c>
    </row>
    <row r="258" spans="2:10" x14ac:dyDescent="0.2">
      <c r="B258" s="24">
        <v>19</v>
      </c>
      <c r="C258" s="22">
        <v>5.3125093542414174E-2</v>
      </c>
      <c r="D258" s="22">
        <v>0.23301823859649259</v>
      </c>
      <c r="E258" s="22">
        <v>-0.4567073553900865</v>
      </c>
      <c r="F258" s="22">
        <v>0.4567073553900865</v>
      </c>
      <c r="G258" s="22">
        <v>-9.778903266764942E-2</v>
      </c>
      <c r="H258" s="22">
        <v>8.0064076902543566E-2</v>
      </c>
      <c r="I258" s="22">
        <v>-0.15692270718443055</v>
      </c>
      <c r="J258" s="22">
        <v>0.15692270718443055</v>
      </c>
    </row>
    <row r="259" spans="2:10" x14ac:dyDescent="0.2">
      <c r="B259" s="24">
        <v>20</v>
      </c>
      <c r="C259" s="22">
        <v>7.7756551612399555E-2</v>
      </c>
      <c r="D259" s="22">
        <v>0.23309586555462933</v>
      </c>
      <c r="E259" s="22">
        <v>-0.45685950143226389</v>
      </c>
      <c r="F259" s="22">
        <v>0.45685950143226389</v>
      </c>
      <c r="G259" s="22">
        <v>-3.9411187618873654E-2</v>
      </c>
      <c r="H259" s="22">
        <v>8.0064076902543566E-2</v>
      </c>
      <c r="I259" s="22">
        <v>-0.15692270718443055</v>
      </c>
      <c r="J259" s="22">
        <v>0.15692270718443055</v>
      </c>
    </row>
    <row r="260" spans="2:10" x14ac:dyDescent="0.2">
      <c r="B260" s="24">
        <v>21</v>
      </c>
      <c r="C260" s="22">
        <v>0.19976230902882333</v>
      </c>
      <c r="D260" s="22">
        <v>0.23326207664710838</v>
      </c>
      <c r="E260" s="22">
        <v>-0.45718526918735392</v>
      </c>
      <c r="F260" s="22">
        <v>0.45718526918735392</v>
      </c>
      <c r="G260" s="22">
        <v>0.18370276262220436</v>
      </c>
      <c r="H260" s="22">
        <v>8.0064076902543566E-2</v>
      </c>
      <c r="I260" s="22">
        <v>-0.15692270718443055</v>
      </c>
      <c r="J260" s="22">
        <v>0.15692270718443055</v>
      </c>
    </row>
    <row r="261" spans="2:10" ht="16" thickBot="1" x14ac:dyDescent="0.25">
      <c r="B261" s="25">
        <v>22</v>
      </c>
      <c r="C261" s="21">
        <v>0.37960930536712717</v>
      </c>
      <c r="D261" s="21">
        <v>0.23435613649060943</v>
      </c>
      <c r="E261" s="21">
        <v>-0.45932958707754751</v>
      </c>
      <c r="F261" s="21">
        <v>0.45932958707754751</v>
      </c>
      <c r="G261" s="21">
        <v>3.8086576705665794E-2</v>
      </c>
      <c r="H261" s="21">
        <v>8.0064076902543566E-2</v>
      </c>
      <c r="I261" s="21">
        <v>-0.15692270718443055</v>
      </c>
      <c r="J261" s="21">
        <v>0.15692270718443055</v>
      </c>
    </row>
    <row r="280" spans="2:10" x14ac:dyDescent="0.2">
      <c r="G280" t="s">
        <v>195</v>
      </c>
    </row>
    <row r="283" spans="2:10" x14ac:dyDescent="0.2">
      <c r="B283" t="s">
        <v>228</v>
      </c>
    </row>
    <row r="284" spans="2:10" ht="16" thickBot="1" x14ac:dyDescent="0.25"/>
    <row r="285" spans="2:10" x14ac:dyDescent="0.2">
      <c r="B285" s="9" t="s">
        <v>224</v>
      </c>
      <c r="C285" s="9" t="s">
        <v>225</v>
      </c>
      <c r="D285" s="9" t="s">
        <v>226</v>
      </c>
      <c r="E285" s="9" t="s">
        <v>215</v>
      </c>
      <c r="F285" s="9" t="s">
        <v>216</v>
      </c>
      <c r="G285" s="9" t="s">
        <v>227</v>
      </c>
      <c r="H285" s="9" t="s">
        <v>226</v>
      </c>
      <c r="I285" s="9" t="s">
        <v>215</v>
      </c>
      <c r="J285" s="9" t="s">
        <v>216</v>
      </c>
    </row>
    <row r="286" spans="2:10" x14ac:dyDescent="0.2">
      <c r="B286" s="23">
        <v>0</v>
      </c>
      <c r="C286" s="20">
        <v>1</v>
      </c>
      <c r="D286" s="20">
        <v>0</v>
      </c>
      <c r="E286" s="20"/>
      <c r="F286" s="20"/>
      <c r="G286" s="20">
        <v>1</v>
      </c>
      <c r="H286" s="20">
        <v>0</v>
      </c>
      <c r="I286" s="20"/>
      <c r="J286" s="20"/>
    </row>
    <row r="287" spans="2:10" x14ac:dyDescent="0.2">
      <c r="B287" s="24">
        <v>1</v>
      </c>
      <c r="C287" s="22">
        <v>9.1219891172439851E-2</v>
      </c>
      <c r="D287" s="22">
        <v>8.0064076902543566E-2</v>
      </c>
      <c r="E287" s="22">
        <v>-0.15692270718443055</v>
      </c>
      <c r="F287" s="22">
        <v>0.15692270718443055</v>
      </c>
      <c r="G287" s="22">
        <v>9.1219891172439851E-2</v>
      </c>
      <c r="H287" s="22">
        <v>8.0064076902543566E-2</v>
      </c>
      <c r="I287" s="22">
        <v>-0.15692270718443055</v>
      </c>
      <c r="J287" s="22">
        <v>0.15692270718443055</v>
      </c>
    </row>
    <row r="288" spans="2:10" x14ac:dyDescent="0.2">
      <c r="B288" s="24">
        <v>2</v>
      </c>
      <c r="C288" s="22">
        <v>-2.3417574548050036E-2</v>
      </c>
      <c r="D288" s="22">
        <v>8.0727546576274137E-2</v>
      </c>
      <c r="E288" s="22">
        <v>-0.15822308384977701</v>
      </c>
      <c r="F288" s="22">
        <v>0.15822308384977701</v>
      </c>
      <c r="G288" s="22">
        <v>-3.2004958547431246E-2</v>
      </c>
      <c r="H288" s="22">
        <v>8.0064076902543566E-2</v>
      </c>
      <c r="I288" s="22">
        <v>-0.15692270718443055</v>
      </c>
      <c r="J288" s="22">
        <v>0.15692270718443055</v>
      </c>
    </row>
    <row r="289" spans="2:10" x14ac:dyDescent="0.2">
      <c r="B289" s="24">
        <v>3</v>
      </c>
      <c r="C289" s="22">
        <v>9.136358462949714E-3</v>
      </c>
      <c r="D289" s="22">
        <v>8.077107975577115E-2</v>
      </c>
      <c r="E289" s="22">
        <v>-0.15830840731372367</v>
      </c>
      <c r="F289" s="22">
        <v>0.15830840731372367</v>
      </c>
      <c r="G289" s="22">
        <v>1.4394765191212059E-2</v>
      </c>
      <c r="H289" s="22">
        <v>8.0064076902543566E-2</v>
      </c>
      <c r="I289" s="22">
        <v>-0.15692270718443055</v>
      </c>
      <c r="J289" s="22">
        <v>0.15692270718443055</v>
      </c>
    </row>
    <row r="290" spans="2:10" x14ac:dyDescent="0.2">
      <c r="B290" s="24">
        <v>4</v>
      </c>
      <c r="C290" s="22">
        <v>-6.1080778028779537E-2</v>
      </c>
      <c r="D290" s="22">
        <v>8.0777704177384779E-2</v>
      </c>
      <c r="E290" s="22">
        <v>-0.1583213909415048</v>
      </c>
      <c r="F290" s="22">
        <v>0.1583213909415048</v>
      </c>
      <c r="G290" s="22">
        <v>-6.4656338860655305E-2</v>
      </c>
      <c r="H290" s="22">
        <v>8.0064076902543566E-2</v>
      </c>
      <c r="I290" s="22">
        <v>-0.15692270718443055</v>
      </c>
      <c r="J290" s="22">
        <v>0.15692270718443055</v>
      </c>
    </row>
    <row r="291" spans="2:10" x14ac:dyDescent="0.2">
      <c r="B291" s="24">
        <v>5</v>
      </c>
      <c r="C291" s="22">
        <v>-1.4096535323790918E-3</v>
      </c>
      <c r="D291" s="22">
        <v>8.1073232630450548E-2</v>
      </c>
      <c r="E291" s="22">
        <v>-0.15890061606592054</v>
      </c>
      <c r="F291" s="22">
        <v>0.15890061606592054</v>
      </c>
      <c r="G291" s="22">
        <v>1.1282582240762862E-2</v>
      </c>
      <c r="H291" s="22">
        <v>8.0064076902543566E-2</v>
      </c>
      <c r="I291" s="22">
        <v>-0.15692270718443055</v>
      </c>
      <c r="J291" s="22">
        <v>0.15692270718443055</v>
      </c>
    </row>
    <row r="292" spans="2:10" x14ac:dyDescent="0.2">
      <c r="B292" s="24">
        <v>6</v>
      </c>
      <c r="C292" s="22">
        <v>0.13595948477442615</v>
      </c>
      <c r="D292" s="22">
        <v>8.107338974711796E-2</v>
      </c>
      <c r="E292" s="22">
        <v>-0.15890092400893005</v>
      </c>
      <c r="F292" s="22">
        <v>0.15890092400893005</v>
      </c>
      <c r="G292" s="22">
        <v>0.13298838213019076</v>
      </c>
      <c r="H292" s="22">
        <v>8.0064076902543566E-2</v>
      </c>
      <c r="I292" s="22">
        <v>-0.15692270718443055</v>
      </c>
      <c r="J292" s="22">
        <v>0.15692270718443055</v>
      </c>
    </row>
    <row r="293" spans="2:10" x14ac:dyDescent="0.2">
      <c r="B293" s="24">
        <v>7</v>
      </c>
      <c r="C293" s="22">
        <v>-4.4206235751061765E-2</v>
      </c>
      <c r="D293" s="22">
        <v>8.2522005958395234E-2</v>
      </c>
      <c r="E293" s="22">
        <v>-0.16174015961045435</v>
      </c>
      <c r="F293" s="22">
        <v>0.16174015961045435</v>
      </c>
      <c r="G293" s="22">
        <v>-6.9811579835991663E-2</v>
      </c>
      <c r="H293" s="22">
        <v>8.0064076902543566E-2</v>
      </c>
      <c r="I293" s="22">
        <v>-0.15692270718443055</v>
      </c>
      <c r="J293" s="22">
        <v>0.15692270718443055</v>
      </c>
    </row>
    <row r="294" spans="2:10" x14ac:dyDescent="0.2">
      <c r="B294" s="24">
        <v>8</v>
      </c>
      <c r="C294" s="22">
        <v>3.0547827585478324E-3</v>
      </c>
      <c r="D294" s="22">
        <v>8.2673666918476163E-2</v>
      </c>
      <c r="E294" s="22">
        <v>-0.16203740963007374</v>
      </c>
      <c r="F294" s="22">
        <v>0.16203740963007374</v>
      </c>
      <c r="G294" s="22">
        <v>1.802958551637189E-2</v>
      </c>
      <c r="H294" s="22">
        <v>8.0064076902543566E-2</v>
      </c>
      <c r="I294" s="22">
        <v>-0.15692270718443055</v>
      </c>
      <c r="J294" s="22">
        <v>0.15692270718443055</v>
      </c>
    </row>
    <row r="295" spans="2:10" x14ac:dyDescent="0.2">
      <c r="B295" s="24">
        <v>9</v>
      </c>
      <c r="C295" s="22">
        <v>0.14230885608366595</v>
      </c>
      <c r="D295" s="22">
        <v>8.26743904658339E-2</v>
      </c>
      <c r="E295" s="22">
        <v>-0.16203882775683603</v>
      </c>
      <c r="F295" s="22">
        <v>0.16203882775683603</v>
      </c>
      <c r="G295" s="22">
        <v>0.13891397982605874</v>
      </c>
      <c r="H295" s="22">
        <v>8.0064076902543566E-2</v>
      </c>
      <c r="I295" s="22">
        <v>-0.15692270718443055</v>
      </c>
      <c r="J295" s="22">
        <v>0.15692270718443055</v>
      </c>
    </row>
    <row r="296" spans="2:10" x14ac:dyDescent="0.2">
      <c r="B296" s="24">
        <v>10</v>
      </c>
      <c r="C296" s="22">
        <v>-6.9858362105083435E-2</v>
      </c>
      <c r="D296" s="22">
        <v>8.4230003177640872E-2</v>
      </c>
      <c r="E296" s="22">
        <v>-0.16508777264587038</v>
      </c>
      <c r="F296" s="22">
        <v>0.16508777264587038</v>
      </c>
      <c r="G296" s="22">
        <v>-8.4960715456092573E-2</v>
      </c>
      <c r="H296" s="22">
        <v>8.0064076902543566E-2</v>
      </c>
      <c r="I296" s="22">
        <v>-0.15692270718443055</v>
      </c>
      <c r="J296" s="22">
        <v>0.15692270718443055</v>
      </c>
    </row>
    <row r="297" spans="2:10" x14ac:dyDescent="0.2">
      <c r="B297" s="24">
        <v>11</v>
      </c>
      <c r="C297" s="22">
        <v>3.0416697941002643E-2</v>
      </c>
      <c r="D297" s="22">
        <v>8.4600590916726462E-2</v>
      </c>
      <c r="E297" s="22">
        <v>-0.16581411126759024</v>
      </c>
      <c r="F297" s="22">
        <v>0.16581411126759024</v>
      </c>
      <c r="G297" s="22">
        <v>4.8732471373934855E-2</v>
      </c>
      <c r="H297" s="22">
        <v>8.0064076902543566E-2</v>
      </c>
      <c r="I297" s="22">
        <v>-0.15692270718443055</v>
      </c>
      <c r="J297" s="22">
        <v>0.15692270718443055</v>
      </c>
    </row>
    <row r="298" spans="2:10" x14ac:dyDescent="0.2">
      <c r="B298" s="24">
        <v>12</v>
      </c>
      <c r="C298" s="22">
        <v>-3.0120967045638085E-3</v>
      </c>
      <c r="D298" s="22">
        <v>8.4670663207471519E-2</v>
      </c>
      <c r="E298" s="22">
        <v>-0.16595145043376477</v>
      </c>
      <c r="F298" s="22">
        <v>0.16595145043376477</v>
      </c>
      <c r="G298" s="22">
        <v>-3.4999493253392334E-2</v>
      </c>
      <c r="H298" s="22">
        <v>8.0064076902543566E-2</v>
      </c>
      <c r="I298" s="22">
        <v>-0.15692270718443055</v>
      </c>
      <c r="J298" s="22">
        <v>0.15692270718443055</v>
      </c>
    </row>
    <row r="299" spans="2:10" x14ac:dyDescent="0.2">
      <c r="B299" s="24">
        <v>13</v>
      </c>
      <c r="C299" s="22">
        <v>-8.4277052327900365E-2</v>
      </c>
      <c r="D299" s="22">
        <v>8.4671350083722063E-2</v>
      </c>
      <c r="E299" s="22">
        <v>-0.16595279668647769</v>
      </c>
      <c r="F299" s="22">
        <v>0.16595279668647769</v>
      </c>
      <c r="G299" s="22">
        <v>-5.1290957806592971E-2</v>
      </c>
      <c r="H299" s="22">
        <v>8.0064076902543566E-2</v>
      </c>
      <c r="I299" s="22">
        <v>-0.15692270718443055</v>
      </c>
      <c r="J299" s="22">
        <v>0.15692270718443055</v>
      </c>
    </row>
    <row r="300" spans="2:10" x14ac:dyDescent="0.2">
      <c r="B300" s="24">
        <v>14</v>
      </c>
      <c r="C300" s="22">
        <v>2.1936014260052192E-2</v>
      </c>
      <c r="D300" s="22">
        <v>8.5207375124630197E-2</v>
      </c>
      <c r="E300" s="22">
        <v>-0.16700338646146923</v>
      </c>
      <c r="F300" s="22">
        <v>0.16700338646146923</v>
      </c>
      <c r="G300" s="22">
        <v>2.7144654154504049E-2</v>
      </c>
      <c r="H300" s="22">
        <v>8.0064076902543566E-2</v>
      </c>
      <c r="I300" s="22">
        <v>-0.15692270718443055</v>
      </c>
      <c r="J300" s="22">
        <v>0.15692270718443055</v>
      </c>
    </row>
    <row r="301" spans="2:10" x14ac:dyDescent="0.2">
      <c r="B301" s="24">
        <v>15</v>
      </c>
      <c r="C301" s="22">
        <v>2.993349971293852E-2</v>
      </c>
      <c r="D301" s="22">
        <v>8.5243567861769065E-2</v>
      </c>
      <c r="E301" s="22">
        <v>-0.16707432292276334</v>
      </c>
      <c r="F301" s="22">
        <v>0.16707432292276334</v>
      </c>
      <c r="G301" s="22">
        <v>-1.4910440085283494E-2</v>
      </c>
      <c r="H301" s="22">
        <v>8.0064076902543566E-2</v>
      </c>
      <c r="I301" s="22">
        <v>-0.15692270718443055</v>
      </c>
      <c r="J301" s="22">
        <v>0.15692270718443055</v>
      </c>
    </row>
    <row r="302" spans="2:10" x14ac:dyDescent="0.2">
      <c r="B302" s="24">
        <v>16</v>
      </c>
      <c r="C302" s="22">
        <v>0.12078757661230996</v>
      </c>
      <c r="D302" s="22">
        <v>8.5310920906830692E-2</v>
      </c>
      <c r="E302" s="22">
        <v>-0.16720633246533323</v>
      </c>
      <c r="F302" s="22">
        <v>0.16720633246533323</v>
      </c>
      <c r="G302" s="22">
        <v>0.16571538450670378</v>
      </c>
      <c r="H302" s="22">
        <v>8.0064076902543566E-2</v>
      </c>
      <c r="I302" s="22">
        <v>-0.15692270718443055</v>
      </c>
      <c r="J302" s="22">
        <v>0.15692270718443055</v>
      </c>
    </row>
    <row r="303" spans="2:10" x14ac:dyDescent="0.2">
      <c r="B303" s="24">
        <v>17</v>
      </c>
      <c r="C303" s="22">
        <v>0.18621375760954462</v>
      </c>
      <c r="D303" s="22">
        <v>8.6400230760735677E-2</v>
      </c>
      <c r="E303" s="22">
        <v>-0.1693413405469916</v>
      </c>
      <c r="F303" s="22">
        <v>0.1693413405469916</v>
      </c>
      <c r="G303" s="22">
        <v>0.14130094316672481</v>
      </c>
      <c r="H303" s="22">
        <v>8.0064076902543566E-2</v>
      </c>
      <c r="I303" s="22">
        <v>-0.15692270718443055</v>
      </c>
      <c r="J303" s="22">
        <v>0.15692270718443055</v>
      </c>
    </row>
    <row r="304" spans="2:10" x14ac:dyDescent="0.2">
      <c r="B304" s="24">
        <v>18</v>
      </c>
      <c r="C304" s="22">
        <v>-1.2314863629289142E-2</v>
      </c>
      <c r="D304" s="22">
        <v>8.8935698019492443E-2</v>
      </c>
      <c r="E304" s="22">
        <v>-0.17431076505813536</v>
      </c>
      <c r="F304" s="22">
        <v>0.17431076505813536</v>
      </c>
      <c r="G304" s="22">
        <v>-5.9267954174444137E-2</v>
      </c>
      <c r="H304" s="22">
        <v>8.0064076902543566E-2</v>
      </c>
      <c r="I304" s="22">
        <v>-0.15692270718443055</v>
      </c>
      <c r="J304" s="22">
        <v>0.15692270718443055</v>
      </c>
    </row>
    <row r="305" spans="2:10" x14ac:dyDescent="0.2">
      <c r="B305" s="24">
        <v>19</v>
      </c>
      <c r="C305" s="22">
        <v>-0.10611766389247837</v>
      </c>
      <c r="D305" s="22">
        <v>8.8946628312664991E-2</v>
      </c>
      <c r="E305" s="22">
        <v>-0.174332188039094</v>
      </c>
      <c r="F305" s="22">
        <v>0.174332188039094</v>
      </c>
      <c r="G305" s="22">
        <v>-5.4489674020035274E-2</v>
      </c>
      <c r="H305" s="22">
        <v>8.0064076902543566E-2</v>
      </c>
      <c r="I305" s="22">
        <v>-0.15692270718443055</v>
      </c>
      <c r="J305" s="22">
        <v>0.15692270718443055</v>
      </c>
    </row>
    <row r="306" spans="2:10" x14ac:dyDescent="0.2">
      <c r="B306" s="24">
        <v>20</v>
      </c>
      <c r="C306" s="22">
        <v>-0.1336436185377316</v>
      </c>
      <c r="D306" s="22">
        <v>8.9754520511034427E-2</v>
      </c>
      <c r="E306" s="22">
        <v>-0.17591562765128899</v>
      </c>
      <c r="F306" s="22">
        <v>0.17591562765128899</v>
      </c>
      <c r="G306" s="22">
        <v>-0.15651201430613731</v>
      </c>
      <c r="H306" s="22">
        <v>8.0064076902543566E-2</v>
      </c>
      <c r="I306" s="22">
        <v>-0.15692270718443055</v>
      </c>
      <c r="J306" s="22">
        <v>0.15692270718443055</v>
      </c>
    </row>
    <row r="307" spans="2:10" x14ac:dyDescent="0.2">
      <c r="B307" s="24">
        <v>21</v>
      </c>
      <c r="C307" s="22">
        <v>-4.7266599880777818E-2</v>
      </c>
      <c r="D307" s="22">
        <v>9.1021185547777078E-2</v>
      </c>
      <c r="E307" s="22">
        <v>-0.17839824550378069</v>
      </c>
      <c r="F307" s="22">
        <v>0.17839824550378069</v>
      </c>
      <c r="G307" s="22">
        <v>7.7514298956684637E-4</v>
      </c>
      <c r="H307" s="22">
        <v>8.0064076902543566E-2</v>
      </c>
      <c r="I307" s="22">
        <v>-0.15692270718443055</v>
      </c>
      <c r="J307" s="22">
        <v>0.15692270718443055</v>
      </c>
    </row>
    <row r="308" spans="2:10" ht="16" thickBot="1" x14ac:dyDescent="0.25">
      <c r="B308" s="25">
        <v>22</v>
      </c>
      <c r="C308" s="21">
        <v>9.1994769934622009E-2</v>
      </c>
      <c r="D308" s="21">
        <v>9.1178390694305944E-2</v>
      </c>
      <c r="E308" s="21">
        <v>-0.17870636192916162</v>
      </c>
      <c r="F308" s="21">
        <v>0.17870636192916162</v>
      </c>
      <c r="G308" s="21">
        <v>8.8183461558637752E-2</v>
      </c>
      <c r="H308" s="21">
        <v>8.0064076902543566E-2</v>
      </c>
      <c r="I308" s="21">
        <v>-0.15692270718443055</v>
      </c>
      <c r="J308" s="21">
        <v>0.15692270718443055</v>
      </c>
    </row>
    <row r="327" spans="7:7" x14ac:dyDescent="0.2">
      <c r="G327" t="s">
        <v>195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D858005">
              <controlPr defaultSize="0" autoFill="0" autoPict="0" macro="[0]!GoToResultsNew101220183403661">
                <anchor moveWithCells="1">
                  <from>
                    <xdr:col>0</xdr:col>
                    <xdr:colOff>330200</xdr:colOff>
                    <xdr:row>11</xdr:row>
                    <xdr:rowOff>0</xdr:rowOff>
                  </from>
                  <to>
                    <xdr:col>3</xdr:col>
                    <xdr:colOff>673100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Total Data</vt:lpstr>
      <vt:lpstr>Household data</vt:lpstr>
      <vt:lpstr>Exponential Smoothing</vt:lpstr>
      <vt:lpstr>Decomposition</vt:lpstr>
      <vt:lpstr>ARIMA- Summary</vt:lpstr>
      <vt:lpstr>ARIMA-XLSTAT_HID</vt:lpstr>
      <vt:lpstr>ADF Test</vt:lpstr>
      <vt:lpstr>Seasonal AR(1)</vt:lpstr>
      <vt:lpstr>Seasonal AR(2)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2018-10-15T14:20:56Z</dcterms:modified>
</cp:coreProperties>
</file>