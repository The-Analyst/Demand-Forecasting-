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/>
  <workbookPr filterPrivacy="1" codeName="ThisWorkbook"/>
  <xr:revisionPtr revIDLastSave="0" documentId="13_ncr:1_{233B9169-0CE0-BB44-9BF2-7C6ECBB19616}" xr6:coauthVersionLast="37" xr6:coauthVersionMax="37" xr10:uidLastSave="{00000000-0000-0000-0000-000000000000}"/>
  <bookViews>
    <workbookView xWindow="0" yWindow="460" windowWidth="22260" windowHeight="12640" firstSheet="3" activeTab="7" xr2:uid="{00000000-000D-0000-FFFF-FFFF00000000}"/>
  </bookViews>
  <sheets>
    <sheet name="Data" sheetId="2" r:id="rId1"/>
    <sheet name="1.Total Consmption Pred - 1" sheetId="5" r:id="rId2"/>
    <sheet name="2.1.Industry Consumption Pred" sheetId="3" r:id="rId3"/>
    <sheet name="2.2.Service Consumption Pred" sheetId="4" r:id="rId4"/>
    <sheet name="2.3.Transport Prediction" sheetId="9" r:id="rId5"/>
    <sheet name="2.4.Household Prediction" sheetId="6" r:id="rId6"/>
    <sheet name="2.5.Others Prediction" sheetId="7" r:id="rId7"/>
    <sheet name="2.6. Total Consumption Pred - 2" sheetId="8" r:id="rId8"/>
  </sheets>
  <externalReferences>
    <externalReference r:id="rId9"/>
    <externalReference r:id="rId10"/>
    <externalReference r:id="rId11"/>
  </externalReferenc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7" i="8" l="1"/>
  <c r="I157" i="8" s="1"/>
  <c r="F156" i="8"/>
  <c r="I156" i="8" s="1"/>
  <c r="F155" i="8"/>
  <c r="I155" i="8" s="1"/>
  <c r="F154" i="8"/>
  <c r="I154" i="8" s="1"/>
  <c r="F153" i="8"/>
  <c r="I153" i="8" s="1"/>
  <c r="F152" i="8"/>
  <c r="I152" i="8" s="1"/>
  <c r="F151" i="8"/>
  <c r="I151" i="8" s="1"/>
  <c r="F150" i="8"/>
  <c r="I150" i="8" s="1"/>
  <c r="F149" i="8"/>
  <c r="I149" i="8" s="1"/>
  <c r="F148" i="8"/>
  <c r="I148" i="8" s="1"/>
  <c r="F147" i="8"/>
  <c r="I147" i="8" s="1"/>
  <c r="F146" i="8"/>
  <c r="I146" i="8" s="1"/>
  <c r="F145" i="8"/>
  <c r="I145" i="8" s="1"/>
  <c r="F144" i="8"/>
  <c r="I144" i="8" s="1"/>
  <c r="F143" i="8"/>
  <c r="I143" i="8" s="1"/>
  <c r="F142" i="8"/>
  <c r="I142" i="8" s="1"/>
  <c r="F141" i="8"/>
  <c r="I141" i="8" s="1"/>
  <c r="F140" i="8"/>
  <c r="I140" i="8" s="1"/>
  <c r="F139" i="8"/>
  <c r="I139" i="8" s="1"/>
  <c r="F138" i="8"/>
  <c r="I138" i="8" s="1"/>
  <c r="F137" i="8"/>
  <c r="I137" i="8" s="1"/>
  <c r="F136" i="8"/>
  <c r="I136" i="8" s="1"/>
  <c r="F135" i="8"/>
  <c r="I135" i="8" s="1"/>
  <c r="F134" i="8"/>
  <c r="I134" i="8" s="1"/>
  <c r="F133" i="8"/>
  <c r="I133" i="8" s="1"/>
  <c r="F132" i="8"/>
  <c r="I132" i="8" s="1"/>
  <c r="F131" i="8"/>
  <c r="I131" i="8" s="1"/>
  <c r="F130" i="8"/>
  <c r="I130" i="8" s="1"/>
  <c r="F129" i="8"/>
  <c r="I129" i="8" s="1"/>
  <c r="F128" i="8"/>
  <c r="I128" i="8" s="1"/>
  <c r="F127" i="8"/>
  <c r="I127" i="8" s="1"/>
  <c r="F126" i="8"/>
  <c r="I126" i="8" s="1"/>
  <c r="F125" i="8"/>
  <c r="I125" i="8" s="1"/>
  <c r="F124" i="8"/>
  <c r="I124" i="8" s="1"/>
  <c r="F123" i="8"/>
  <c r="I123" i="8" s="1"/>
  <c r="F122" i="8"/>
  <c r="I122" i="8" s="1"/>
  <c r="F121" i="8"/>
  <c r="I121" i="8" s="1"/>
  <c r="F120" i="8"/>
  <c r="I120" i="8" s="1"/>
  <c r="F119" i="8"/>
  <c r="I119" i="8" s="1"/>
  <c r="F118" i="8"/>
  <c r="I118" i="8" s="1"/>
  <c r="F117" i="8"/>
  <c r="I117" i="8" s="1"/>
  <c r="I116" i="8"/>
  <c r="F116" i="8"/>
  <c r="F115" i="8"/>
  <c r="I115" i="8" s="1"/>
  <c r="F114" i="8"/>
  <c r="I114" i="8" s="1"/>
  <c r="F113" i="8"/>
  <c r="I113" i="8" s="1"/>
  <c r="F112" i="8"/>
  <c r="I112" i="8" s="1"/>
  <c r="F111" i="8"/>
  <c r="I111" i="8" s="1"/>
  <c r="F110" i="8"/>
  <c r="I110" i="8" s="1"/>
  <c r="F109" i="8"/>
  <c r="I109" i="8" s="1"/>
  <c r="F108" i="8"/>
  <c r="I108" i="8" s="1"/>
  <c r="F107" i="8"/>
  <c r="I107" i="8" s="1"/>
  <c r="F106" i="8"/>
  <c r="I106" i="8" s="1"/>
  <c r="F105" i="8"/>
  <c r="I105" i="8" s="1"/>
  <c r="F104" i="8"/>
  <c r="I104" i="8" s="1"/>
  <c r="F103" i="8"/>
  <c r="I103" i="8" s="1"/>
  <c r="F102" i="8"/>
  <c r="I102" i="8" s="1"/>
  <c r="F101" i="8"/>
  <c r="I101" i="8" s="1"/>
  <c r="I100" i="8"/>
  <c r="F100" i="8"/>
  <c r="F99" i="8"/>
  <c r="I99" i="8" s="1"/>
  <c r="F98" i="8"/>
  <c r="I98" i="8" s="1"/>
  <c r="F97" i="8"/>
  <c r="I97" i="8" s="1"/>
  <c r="F96" i="8"/>
  <c r="I96" i="8" s="1"/>
  <c r="F95" i="8"/>
  <c r="I95" i="8" s="1"/>
  <c r="F94" i="8"/>
  <c r="I94" i="8" s="1"/>
  <c r="F93" i="8"/>
  <c r="I93" i="8" s="1"/>
  <c r="F92" i="8"/>
  <c r="I92" i="8" s="1"/>
  <c r="F91" i="8"/>
  <c r="I91" i="8" s="1"/>
  <c r="F90" i="8"/>
  <c r="I90" i="8" s="1"/>
  <c r="F89" i="8"/>
  <c r="I89" i="8" s="1"/>
  <c r="F88" i="8"/>
  <c r="I88" i="8" s="1"/>
  <c r="F87" i="8"/>
  <c r="I87" i="8" s="1"/>
  <c r="F86" i="8"/>
  <c r="I86" i="8" s="1"/>
  <c r="F85" i="8"/>
  <c r="I85" i="8" s="1"/>
  <c r="I84" i="8"/>
  <c r="F84" i="8"/>
  <c r="F83" i="8"/>
  <c r="I83" i="8" s="1"/>
  <c r="F82" i="8"/>
  <c r="I82" i="8" s="1"/>
  <c r="F81" i="8"/>
  <c r="I81" i="8" s="1"/>
  <c r="F80" i="8"/>
  <c r="I80" i="8" s="1"/>
  <c r="F79" i="8"/>
  <c r="I79" i="8" s="1"/>
  <c r="F78" i="8"/>
  <c r="I78" i="8" s="1"/>
  <c r="F77" i="8"/>
  <c r="I77" i="8" s="1"/>
  <c r="I76" i="8"/>
  <c r="F76" i="8"/>
  <c r="F75" i="8"/>
  <c r="I75" i="8" s="1"/>
  <c r="F74" i="8"/>
  <c r="I74" i="8" s="1"/>
  <c r="F73" i="8"/>
  <c r="I73" i="8" s="1"/>
  <c r="F72" i="8"/>
  <c r="I72" i="8" s="1"/>
  <c r="F71" i="8"/>
  <c r="I71" i="8" s="1"/>
  <c r="F70" i="8"/>
  <c r="I70" i="8" s="1"/>
  <c r="F69" i="8"/>
  <c r="I69" i="8" s="1"/>
  <c r="I68" i="8"/>
  <c r="F68" i="8"/>
  <c r="F67" i="8"/>
  <c r="I67" i="8" s="1"/>
  <c r="F66" i="8"/>
  <c r="I66" i="8" s="1"/>
  <c r="F65" i="8"/>
  <c r="I65" i="8" s="1"/>
  <c r="F64" i="8"/>
  <c r="I64" i="8" s="1"/>
  <c r="F63" i="8"/>
  <c r="I63" i="8" s="1"/>
  <c r="F62" i="8"/>
  <c r="I62" i="8" s="1"/>
  <c r="F61" i="8"/>
  <c r="I61" i="8" s="1"/>
  <c r="I60" i="8"/>
  <c r="F60" i="8"/>
  <c r="F59" i="8"/>
  <c r="I59" i="8" s="1"/>
  <c r="F58" i="8"/>
  <c r="I58" i="8" s="1"/>
  <c r="F57" i="8"/>
  <c r="I57" i="8" s="1"/>
  <c r="F56" i="8"/>
  <c r="I56" i="8" s="1"/>
  <c r="F55" i="8"/>
  <c r="I55" i="8" s="1"/>
  <c r="F54" i="8"/>
  <c r="I54" i="8" s="1"/>
  <c r="F53" i="8"/>
  <c r="I53" i="8" s="1"/>
  <c r="I52" i="8"/>
  <c r="F52" i="8"/>
  <c r="F51" i="8"/>
  <c r="I51" i="8" s="1"/>
  <c r="F50" i="8"/>
  <c r="I50" i="8" s="1"/>
  <c r="F49" i="8"/>
  <c r="I49" i="8" s="1"/>
  <c r="F48" i="8"/>
  <c r="I48" i="8" s="1"/>
  <c r="F47" i="8"/>
  <c r="I47" i="8" s="1"/>
  <c r="F46" i="8"/>
  <c r="I46" i="8" s="1"/>
  <c r="F45" i="8"/>
  <c r="I45" i="8" s="1"/>
  <c r="I44" i="8"/>
  <c r="F44" i="8"/>
  <c r="F43" i="8"/>
  <c r="I43" i="8" s="1"/>
  <c r="F42" i="8"/>
  <c r="I42" i="8" s="1"/>
  <c r="F41" i="8"/>
  <c r="I41" i="8" s="1"/>
  <c r="F40" i="8"/>
  <c r="I40" i="8" s="1"/>
  <c r="F39" i="8"/>
  <c r="I39" i="8" s="1"/>
  <c r="F38" i="8"/>
  <c r="I38" i="8" s="1"/>
  <c r="F37" i="8"/>
  <c r="I37" i="8" s="1"/>
  <c r="I36" i="8"/>
  <c r="F36" i="8"/>
  <c r="F35" i="8"/>
  <c r="I35" i="8" s="1"/>
  <c r="F34" i="8"/>
  <c r="I34" i="8" s="1"/>
  <c r="F33" i="8"/>
  <c r="I33" i="8" s="1"/>
  <c r="F32" i="8"/>
  <c r="I32" i="8" s="1"/>
  <c r="F31" i="8"/>
  <c r="I31" i="8" s="1"/>
  <c r="F30" i="8"/>
  <c r="I30" i="8" s="1"/>
  <c r="F29" i="8"/>
  <c r="I29" i="8" s="1"/>
  <c r="I28" i="8"/>
  <c r="F28" i="8"/>
  <c r="F27" i="8"/>
  <c r="I27" i="8" s="1"/>
  <c r="F26" i="8"/>
  <c r="I26" i="8" s="1"/>
  <c r="F25" i="8"/>
  <c r="I25" i="8" s="1"/>
  <c r="F24" i="8"/>
  <c r="I24" i="8" s="1"/>
  <c r="F23" i="8"/>
  <c r="I23" i="8" s="1"/>
  <c r="F22" i="8"/>
  <c r="I22" i="8" s="1"/>
  <c r="F21" i="8"/>
  <c r="I21" i="8" s="1"/>
  <c r="I20" i="8"/>
  <c r="F20" i="8"/>
  <c r="F19" i="8"/>
  <c r="I19" i="8" s="1"/>
  <c r="F18" i="8"/>
  <c r="I18" i="8" s="1"/>
  <c r="F17" i="8"/>
  <c r="I17" i="8" s="1"/>
  <c r="F16" i="8"/>
  <c r="I16" i="8" s="1"/>
  <c r="F15" i="8"/>
  <c r="I15" i="8" s="1"/>
  <c r="F14" i="8"/>
  <c r="I14" i="8" s="1"/>
  <c r="F13" i="8"/>
  <c r="I13" i="8" s="1"/>
  <c r="I12" i="8"/>
  <c r="F12" i="8"/>
  <c r="F11" i="8"/>
  <c r="I11" i="8" s="1"/>
  <c r="F10" i="8"/>
  <c r="I10" i="8" s="1"/>
  <c r="F9" i="8"/>
  <c r="I9" i="8" s="1"/>
  <c r="F8" i="8"/>
  <c r="I8" i="8" s="1"/>
  <c r="F7" i="8"/>
  <c r="I7" i="8" s="1"/>
  <c r="F6" i="8"/>
  <c r="I6" i="8" s="1"/>
  <c r="F5" i="8"/>
  <c r="I5" i="8" s="1"/>
  <c r="I4" i="8"/>
  <c r="F4" i="8"/>
  <c r="F3" i="8"/>
  <c r="I3" i="8" s="1"/>
  <c r="F2" i="8"/>
  <c r="I2" i="8" s="1"/>
  <c r="K2" i="8" s="1"/>
  <c r="J19" i="4" l="1"/>
  <c r="J18" i="4"/>
  <c r="J17" i="4"/>
  <c r="J16" i="4"/>
  <c r="J15" i="4"/>
  <c r="J14" i="4"/>
  <c r="J13" i="4"/>
  <c r="J12" i="4"/>
  <c r="J11" i="4"/>
  <c r="J10" i="4"/>
  <c r="J9" i="4"/>
  <c r="J8" i="4"/>
  <c r="J4" i="4"/>
  <c r="J3" i="4"/>
  <c r="E71" i="4" s="1"/>
  <c r="F71" i="4" s="1"/>
  <c r="G71" i="4" s="1"/>
  <c r="E25" i="4" l="1"/>
  <c r="F25" i="4" s="1"/>
  <c r="G25" i="4" s="1"/>
  <c r="E41" i="4"/>
  <c r="F41" i="4" s="1"/>
  <c r="G41" i="4" s="1"/>
  <c r="E89" i="4"/>
  <c r="F89" i="4" s="1"/>
  <c r="G89" i="4" s="1"/>
  <c r="E97" i="4"/>
  <c r="F97" i="4" s="1"/>
  <c r="G97" i="4" s="1"/>
  <c r="E21" i="4"/>
  <c r="F21" i="4" s="1"/>
  <c r="G21" i="4" s="1"/>
  <c r="E37" i="4"/>
  <c r="F37" i="4" s="1"/>
  <c r="G37" i="4" s="1"/>
  <c r="E48" i="4"/>
  <c r="F48" i="4" s="1"/>
  <c r="G48" i="4" s="1"/>
  <c r="E55" i="4"/>
  <c r="F55" i="4" s="1"/>
  <c r="G55" i="4" s="1"/>
  <c r="E33" i="4"/>
  <c r="F33" i="4" s="1"/>
  <c r="G33" i="4" s="1"/>
  <c r="E57" i="4"/>
  <c r="F57" i="4" s="1"/>
  <c r="G57" i="4" s="1"/>
  <c r="E64" i="4"/>
  <c r="F64" i="4" s="1"/>
  <c r="G64" i="4" s="1"/>
  <c r="E157" i="4"/>
  <c r="F157" i="4" s="1"/>
  <c r="G157" i="4" s="1"/>
  <c r="E153" i="4"/>
  <c r="F153" i="4" s="1"/>
  <c r="G153" i="4" s="1"/>
  <c r="E149" i="4"/>
  <c r="F149" i="4" s="1"/>
  <c r="G149" i="4" s="1"/>
  <c r="E145" i="4"/>
  <c r="F145" i="4" s="1"/>
  <c r="G145" i="4" s="1"/>
  <c r="E141" i="4"/>
  <c r="F141" i="4" s="1"/>
  <c r="G141" i="4" s="1"/>
  <c r="E137" i="4"/>
  <c r="F137" i="4" s="1"/>
  <c r="G137" i="4" s="1"/>
  <c r="E133" i="4"/>
  <c r="F133" i="4" s="1"/>
  <c r="G133" i="4" s="1"/>
  <c r="E129" i="4"/>
  <c r="F129" i="4" s="1"/>
  <c r="G129" i="4" s="1"/>
  <c r="E125" i="4"/>
  <c r="F125" i="4" s="1"/>
  <c r="G125" i="4" s="1"/>
  <c r="E121" i="4"/>
  <c r="F121" i="4" s="1"/>
  <c r="G121" i="4" s="1"/>
  <c r="E117" i="4"/>
  <c r="F117" i="4" s="1"/>
  <c r="G117" i="4" s="1"/>
  <c r="E113" i="4"/>
  <c r="F113" i="4" s="1"/>
  <c r="G113" i="4" s="1"/>
  <c r="E109" i="4"/>
  <c r="F109" i="4" s="1"/>
  <c r="G109" i="4" s="1"/>
  <c r="E105" i="4"/>
  <c r="F105" i="4" s="1"/>
  <c r="G105" i="4" s="1"/>
  <c r="E158" i="4"/>
  <c r="F158" i="4" s="1"/>
  <c r="G158" i="4" s="1"/>
  <c r="E154" i="4"/>
  <c r="F154" i="4" s="1"/>
  <c r="G154" i="4" s="1"/>
  <c r="E150" i="4"/>
  <c r="F150" i="4" s="1"/>
  <c r="G150" i="4" s="1"/>
  <c r="E146" i="4"/>
  <c r="F146" i="4" s="1"/>
  <c r="G146" i="4" s="1"/>
  <c r="E142" i="4"/>
  <c r="F142" i="4" s="1"/>
  <c r="G142" i="4" s="1"/>
  <c r="E138" i="4"/>
  <c r="F138" i="4" s="1"/>
  <c r="G138" i="4" s="1"/>
  <c r="E134" i="4"/>
  <c r="F134" i="4" s="1"/>
  <c r="G134" i="4" s="1"/>
  <c r="E130" i="4"/>
  <c r="F130" i="4" s="1"/>
  <c r="G130" i="4" s="1"/>
  <c r="E126" i="4"/>
  <c r="F126" i="4" s="1"/>
  <c r="G126" i="4" s="1"/>
  <c r="E122" i="4"/>
  <c r="F122" i="4" s="1"/>
  <c r="G122" i="4" s="1"/>
  <c r="E118" i="4"/>
  <c r="F118" i="4" s="1"/>
  <c r="G118" i="4" s="1"/>
  <c r="E114" i="4"/>
  <c r="F114" i="4" s="1"/>
  <c r="G114" i="4" s="1"/>
  <c r="E110" i="4"/>
  <c r="F110" i="4" s="1"/>
  <c r="G110" i="4" s="1"/>
  <c r="E106" i="4"/>
  <c r="F106" i="4" s="1"/>
  <c r="G106" i="4" s="1"/>
  <c r="E102" i="4"/>
  <c r="F102" i="4" s="1"/>
  <c r="G102" i="4" s="1"/>
  <c r="E98" i="4"/>
  <c r="F98" i="4" s="1"/>
  <c r="G98" i="4" s="1"/>
  <c r="E94" i="4"/>
  <c r="F94" i="4" s="1"/>
  <c r="G94" i="4" s="1"/>
  <c r="E90" i="4"/>
  <c r="F90" i="4" s="1"/>
  <c r="G90" i="4" s="1"/>
  <c r="E86" i="4"/>
  <c r="F86" i="4" s="1"/>
  <c r="G86" i="4" s="1"/>
  <c r="E82" i="4"/>
  <c r="F82" i="4" s="1"/>
  <c r="G82" i="4" s="1"/>
  <c r="E78" i="4"/>
  <c r="F78" i="4" s="1"/>
  <c r="G78" i="4" s="1"/>
  <c r="E74" i="4"/>
  <c r="F74" i="4" s="1"/>
  <c r="G74" i="4" s="1"/>
  <c r="E70" i="4"/>
  <c r="F70" i="4" s="1"/>
  <c r="G70" i="4" s="1"/>
  <c r="E66" i="4"/>
  <c r="F66" i="4" s="1"/>
  <c r="G66" i="4" s="1"/>
  <c r="E62" i="4"/>
  <c r="F62" i="4" s="1"/>
  <c r="G62" i="4" s="1"/>
  <c r="E58" i="4"/>
  <c r="F58" i="4" s="1"/>
  <c r="G58" i="4" s="1"/>
  <c r="E54" i="4"/>
  <c r="F54" i="4" s="1"/>
  <c r="G54" i="4" s="1"/>
  <c r="E50" i="4"/>
  <c r="F50" i="4" s="1"/>
  <c r="G50" i="4" s="1"/>
  <c r="E156" i="4"/>
  <c r="F156" i="4" s="1"/>
  <c r="G156" i="4" s="1"/>
  <c r="E152" i="4"/>
  <c r="F152" i="4" s="1"/>
  <c r="G152" i="4" s="1"/>
  <c r="E148" i="4"/>
  <c r="F148" i="4" s="1"/>
  <c r="G148" i="4" s="1"/>
  <c r="E144" i="4"/>
  <c r="F144" i="4" s="1"/>
  <c r="G144" i="4" s="1"/>
  <c r="E140" i="4"/>
  <c r="F140" i="4" s="1"/>
  <c r="G140" i="4" s="1"/>
  <c r="E136" i="4"/>
  <c r="F136" i="4" s="1"/>
  <c r="G136" i="4" s="1"/>
  <c r="E132" i="4"/>
  <c r="F132" i="4" s="1"/>
  <c r="G132" i="4" s="1"/>
  <c r="E128" i="4"/>
  <c r="F128" i="4" s="1"/>
  <c r="G128" i="4" s="1"/>
  <c r="E124" i="4"/>
  <c r="F124" i="4" s="1"/>
  <c r="G124" i="4" s="1"/>
  <c r="E120" i="4"/>
  <c r="F120" i="4" s="1"/>
  <c r="G120" i="4" s="1"/>
  <c r="E116" i="4"/>
  <c r="F116" i="4" s="1"/>
  <c r="G116" i="4" s="1"/>
  <c r="E112" i="4"/>
  <c r="F112" i="4" s="1"/>
  <c r="G112" i="4" s="1"/>
  <c r="E108" i="4"/>
  <c r="F108" i="4" s="1"/>
  <c r="G108" i="4" s="1"/>
  <c r="E104" i="4"/>
  <c r="F104" i="4" s="1"/>
  <c r="G104" i="4" s="1"/>
  <c r="E100" i="4"/>
  <c r="F100" i="4" s="1"/>
  <c r="G100" i="4" s="1"/>
  <c r="E96" i="4"/>
  <c r="F96" i="4" s="1"/>
  <c r="G96" i="4" s="1"/>
  <c r="E159" i="4"/>
  <c r="F159" i="4" s="1"/>
  <c r="G159" i="4" s="1"/>
  <c r="E143" i="4"/>
  <c r="F143" i="4" s="1"/>
  <c r="G143" i="4" s="1"/>
  <c r="E127" i="4"/>
  <c r="F127" i="4" s="1"/>
  <c r="G127" i="4" s="1"/>
  <c r="E111" i="4"/>
  <c r="F111" i="4" s="1"/>
  <c r="G111" i="4" s="1"/>
  <c r="E99" i="4"/>
  <c r="F99" i="4" s="1"/>
  <c r="G99" i="4" s="1"/>
  <c r="E92" i="4"/>
  <c r="F92" i="4" s="1"/>
  <c r="G92" i="4" s="1"/>
  <c r="E85" i="4"/>
  <c r="F85" i="4" s="1"/>
  <c r="G85" i="4" s="1"/>
  <c r="E83" i="4"/>
  <c r="F83" i="4" s="1"/>
  <c r="G83" i="4" s="1"/>
  <c r="E76" i="4"/>
  <c r="F76" i="4" s="1"/>
  <c r="G76" i="4" s="1"/>
  <c r="E69" i="4"/>
  <c r="F69" i="4" s="1"/>
  <c r="G69" i="4" s="1"/>
  <c r="E67" i="4"/>
  <c r="F67" i="4" s="1"/>
  <c r="G67" i="4" s="1"/>
  <c r="E60" i="4"/>
  <c r="F60" i="4" s="1"/>
  <c r="G60" i="4" s="1"/>
  <c r="E53" i="4"/>
  <c r="F53" i="4" s="1"/>
  <c r="G53" i="4" s="1"/>
  <c r="E51" i="4"/>
  <c r="F51" i="4" s="1"/>
  <c r="G51" i="4" s="1"/>
  <c r="E46" i="4"/>
  <c r="F46" i="4" s="1"/>
  <c r="G46" i="4" s="1"/>
  <c r="E42" i="4"/>
  <c r="F42" i="4" s="1"/>
  <c r="G42" i="4" s="1"/>
  <c r="E38" i="4"/>
  <c r="F38" i="4" s="1"/>
  <c r="G38" i="4" s="1"/>
  <c r="E34" i="4"/>
  <c r="F34" i="4" s="1"/>
  <c r="G34" i="4" s="1"/>
  <c r="E30" i="4"/>
  <c r="F30" i="4" s="1"/>
  <c r="G30" i="4" s="1"/>
  <c r="E26" i="4"/>
  <c r="F26" i="4" s="1"/>
  <c r="G26" i="4" s="1"/>
  <c r="E22" i="4"/>
  <c r="F22" i="4" s="1"/>
  <c r="G22" i="4" s="1"/>
  <c r="E147" i="4"/>
  <c r="F147" i="4" s="1"/>
  <c r="G147" i="4" s="1"/>
  <c r="E131" i="4"/>
  <c r="F131" i="4" s="1"/>
  <c r="G131" i="4" s="1"/>
  <c r="E115" i="4"/>
  <c r="F115" i="4" s="1"/>
  <c r="G115" i="4" s="1"/>
  <c r="E101" i="4"/>
  <c r="F101" i="4" s="1"/>
  <c r="G101" i="4" s="1"/>
  <c r="E88" i="4"/>
  <c r="F88" i="4" s="1"/>
  <c r="G88" i="4" s="1"/>
  <c r="E81" i="4"/>
  <c r="F81" i="4" s="1"/>
  <c r="G81" i="4" s="1"/>
  <c r="E79" i="4"/>
  <c r="F79" i="4" s="1"/>
  <c r="G79" i="4" s="1"/>
  <c r="E72" i="4"/>
  <c r="F72" i="4" s="1"/>
  <c r="G72" i="4" s="1"/>
  <c r="E65" i="4"/>
  <c r="F65" i="4" s="1"/>
  <c r="G65" i="4" s="1"/>
  <c r="E63" i="4"/>
  <c r="F63" i="4" s="1"/>
  <c r="G63" i="4" s="1"/>
  <c r="E56" i="4"/>
  <c r="F56" i="4" s="1"/>
  <c r="G56" i="4" s="1"/>
  <c r="E49" i="4"/>
  <c r="F49" i="4" s="1"/>
  <c r="G49" i="4" s="1"/>
  <c r="E47" i="4"/>
  <c r="F47" i="4" s="1"/>
  <c r="G47" i="4" s="1"/>
  <c r="E43" i="4"/>
  <c r="F43" i="4" s="1"/>
  <c r="G43" i="4" s="1"/>
  <c r="E39" i="4"/>
  <c r="F39" i="4" s="1"/>
  <c r="G39" i="4" s="1"/>
  <c r="E35" i="4"/>
  <c r="F35" i="4" s="1"/>
  <c r="G35" i="4" s="1"/>
  <c r="E31" i="4"/>
  <c r="F31" i="4" s="1"/>
  <c r="G31" i="4" s="1"/>
  <c r="E27" i="4"/>
  <c r="F27" i="4" s="1"/>
  <c r="G27" i="4" s="1"/>
  <c r="E23" i="4"/>
  <c r="F23" i="4" s="1"/>
  <c r="G23" i="4" s="1"/>
  <c r="E6" i="4"/>
  <c r="F6" i="4" s="1"/>
  <c r="G6" i="4" s="1"/>
  <c r="E151" i="4"/>
  <c r="F151" i="4" s="1"/>
  <c r="G151" i="4" s="1"/>
  <c r="E135" i="4"/>
  <c r="F135" i="4" s="1"/>
  <c r="G135" i="4" s="1"/>
  <c r="E119" i="4"/>
  <c r="F119" i="4" s="1"/>
  <c r="G119" i="4" s="1"/>
  <c r="E103" i="4"/>
  <c r="F103" i="4" s="1"/>
  <c r="G103" i="4" s="1"/>
  <c r="E95" i="4"/>
  <c r="F95" i="4" s="1"/>
  <c r="G95" i="4" s="1"/>
  <c r="E93" i="4"/>
  <c r="F93" i="4" s="1"/>
  <c r="G93" i="4" s="1"/>
  <c r="E91" i="4"/>
  <c r="F91" i="4" s="1"/>
  <c r="G91" i="4" s="1"/>
  <c r="E84" i="4"/>
  <c r="F84" i="4" s="1"/>
  <c r="G84" i="4" s="1"/>
  <c r="E77" i="4"/>
  <c r="F77" i="4" s="1"/>
  <c r="G77" i="4" s="1"/>
  <c r="E75" i="4"/>
  <c r="F75" i="4" s="1"/>
  <c r="G75" i="4" s="1"/>
  <c r="E68" i="4"/>
  <c r="F68" i="4" s="1"/>
  <c r="G68" i="4" s="1"/>
  <c r="E61" i="4"/>
  <c r="F61" i="4" s="1"/>
  <c r="G61" i="4" s="1"/>
  <c r="E59" i="4"/>
  <c r="F59" i="4" s="1"/>
  <c r="G59" i="4" s="1"/>
  <c r="E52" i="4"/>
  <c r="F52" i="4" s="1"/>
  <c r="G52" i="4" s="1"/>
  <c r="E44" i="4"/>
  <c r="F44" i="4" s="1"/>
  <c r="G44" i="4" s="1"/>
  <c r="E40" i="4"/>
  <c r="F40" i="4" s="1"/>
  <c r="G40" i="4" s="1"/>
  <c r="E36" i="4"/>
  <c r="F36" i="4" s="1"/>
  <c r="G36" i="4" s="1"/>
  <c r="E32" i="4"/>
  <c r="F32" i="4" s="1"/>
  <c r="G32" i="4" s="1"/>
  <c r="E28" i="4"/>
  <c r="F28" i="4" s="1"/>
  <c r="G28" i="4" s="1"/>
  <c r="E24" i="4"/>
  <c r="F24" i="4" s="1"/>
  <c r="G24" i="4" s="1"/>
  <c r="E20" i="4"/>
  <c r="F20" i="4" s="1"/>
  <c r="G20" i="4" s="1"/>
  <c r="E19" i="4"/>
  <c r="F19" i="4" s="1"/>
  <c r="G19" i="4" s="1"/>
  <c r="E18" i="4"/>
  <c r="F18" i="4" s="1"/>
  <c r="G18" i="4" s="1"/>
  <c r="E17" i="4"/>
  <c r="F17" i="4" s="1"/>
  <c r="G17" i="4" s="1"/>
  <c r="E16" i="4"/>
  <c r="F16" i="4" s="1"/>
  <c r="G16" i="4" s="1"/>
  <c r="E15" i="4"/>
  <c r="F15" i="4" s="1"/>
  <c r="G15" i="4" s="1"/>
  <c r="E14" i="4"/>
  <c r="F14" i="4" s="1"/>
  <c r="G14" i="4" s="1"/>
  <c r="E13" i="4"/>
  <c r="F13" i="4" s="1"/>
  <c r="G13" i="4" s="1"/>
  <c r="E12" i="4"/>
  <c r="F12" i="4" s="1"/>
  <c r="G12" i="4" s="1"/>
  <c r="E11" i="4"/>
  <c r="F11" i="4" s="1"/>
  <c r="G11" i="4" s="1"/>
  <c r="E10" i="4"/>
  <c r="F10" i="4" s="1"/>
  <c r="G10" i="4" s="1"/>
  <c r="E9" i="4"/>
  <c r="F9" i="4" s="1"/>
  <c r="G9" i="4" s="1"/>
  <c r="E7" i="4"/>
  <c r="F7" i="4" s="1"/>
  <c r="G7" i="4" s="1"/>
  <c r="E155" i="4"/>
  <c r="F155" i="4" s="1"/>
  <c r="G155" i="4" s="1"/>
  <c r="E139" i="4"/>
  <c r="F139" i="4" s="1"/>
  <c r="G139" i="4" s="1"/>
  <c r="E123" i="4"/>
  <c r="F123" i="4" s="1"/>
  <c r="G123" i="4" s="1"/>
  <c r="E5" i="4"/>
  <c r="F5" i="4" s="1"/>
  <c r="G5" i="4" s="1"/>
  <c r="E4" i="4"/>
  <c r="F4" i="4" s="1"/>
  <c r="G4" i="4" s="1"/>
  <c r="E8" i="4"/>
  <c r="F8" i="4" s="1"/>
  <c r="G8" i="4" s="1"/>
  <c r="E29" i="4"/>
  <c r="F29" i="4" s="1"/>
  <c r="G29" i="4" s="1"/>
  <c r="E45" i="4"/>
  <c r="F45" i="4" s="1"/>
  <c r="G45" i="4" s="1"/>
  <c r="E73" i="4"/>
  <c r="F73" i="4" s="1"/>
  <c r="G73" i="4" s="1"/>
  <c r="E80" i="4"/>
  <c r="F80" i="4" s="1"/>
  <c r="G80" i="4" s="1"/>
  <c r="E87" i="4"/>
  <c r="F87" i="4" s="1"/>
  <c r="G87" i="4" s="1"/>
  <c r="E107" i="4"/>
  <c r="F107" i="4" s="1"/>
  <c r="G107" i="4" s="1"/>
  <c r="M8" i="4" l="1"/>
</calcChain>
</file>

<file path=xl/sharedStrings.xml><?xml version="1.0" encoding="utf-8"?>
<sst xmlns="http://schemas.openxmlformats.org/spreadsheetml/2006/main" count="720" uniqueCount="282">
  <si>
    <t>Date</t>
  </si>
  <si>
    <t>Total Consumption</t>
  </si>
  <si>
    <t>Industry related</t>
  </si>
  <si>
    <t>Service related</t>
  </si>
  <si>
    <t>Transport related</t>
  </si>
  <si>
    <t>Households</t>
  </si>
  <si>
    <t>Others</t>
  </si>
  <si>
    <t>2005 Jan</t>
  </si>
  <si>
    <t>2005 Feb</t>
  </si>
  <si>
    <t>2005 Mar</t>
  </si>
  <si>
    <t>2005 Apr</t>
  </si>
  <si>
    <t>2005 May</t>
  </si>
  <si>
    <t>2005 Jun</t>
  </si>
  <si>
    <t>2005 Jul</t>
  </si>
  <si>
    <t>2005 Aug</t>
  </si>
  <si>
    <t>2005 Sep</t>
  </si>
  <si>
    <t>2005 Oct</t>
  </si>
  <si>
    <t>2005 Nov</t>
  </si>
  <si>
    <t>2005 Dec</t>
  </si>
  <si>
    <t>2006 Jan</t>
  </si>
  <si>
    <t>2006 Feb</t>
  </si>
  <si>
    <t>2006 Mar</t>
  </si>
  <si>
    <t>2006 Apr</t>
  </si>
  <si>
    <t>2006 May</t>
  </si>
  <si>
    <t>2006 Jun</t>
  </si>
  <si>
    <t>2006 Jul</t>
  </si>
  <si>
    <t>2006 Aug</t>
  </si>
  <si>
    <t>2006 Sep</t>
  </si>
  <si>
    <t>2006 Oct</t>
  </si>
  <si>
    <t>2006 Nov</t>
  </si>
  <si>
    <t>2006 Dec</t>
  </si>
  <si>
    <t>2007 Jan</t>
  </si>
  <si>
    <t>2007 Feb</t>
  </si>
  <si>
    <t>2007 Mar</t>
  </si>
  <si>
    <t>2007 Apr</t>
  </si>
  <si>
    <t>2007 May</t>
  </si>
  <si>
    <t>2007 Jun</t>
  </si>
  <si>
    <t>2007 Jul</t>
  </si>
  <si>
    <t>2007 Aug</t>
  </si>
  <si>
    <t>2007 Sep</t>
  </si>
  <si>
    <t>2007 Oct</t>
  </si>
  <si>
    <t>2007 Nov</t>
  </si>
  <si>
    <t>2007 Dec</t>
  </si>
  <si>
    <t>2008 Jan</t>
  </si>
  <si>
    <t>2008 Feb</t>
  </si>
  <si>
    <t>2008 Mar</t>
  </si>
  <si>
    <t>2008 Apr</t>
  </si>
  <si>
    <t>2008 May</t>
  </si>
  <si>
    <t>2008 Jun</t>
  </si>
  <si>
    <t>2008 Jul</t>
  </si>
  <si>
    <t>2008 Aug</t>
  </si>
  <si>
    <t>2008 Sep</t>
  </si>
  <si>
    <t>2008 Oct</t>
  </si>
  <si>
    <t>2008 Nov</t>
  </si>
  <si>
    <t>2008 Dec</t>
  </si>
  <si>
    <t>2009 Jan</t>
  </si>
  <si>
    <t>2009 Feb</t>
  </si>
  <si>
    <t>2009 Mar</t>
  </si>
  <si>
    <t>2009 Apr</t>
  </si>
  <si>
    <t>2009 May</t>
  </si>
  <si>
    <t>2009 Jun</t>
  </si>
  <si>
    <t>2009 Jul</t>
  </si>
  <si>
    <t>2009 Aug</t>
  </si>
  <si>
    <t>2009 Sep</t>
  </si>
  <si>
    <t>2009 Oct</t>
  </si>
  <si>
    <t>2009 Nov</t>
  </si>
  <si>
    <t>2009 Dec</t>
  </si>
  <si>
    <t>2010 Jan</t>
  </si>
  <si>
    <t>2010 Feb</t>
  </si>
  <si>
    <t>2010 Mar</t>
  </si>
  <si>
    <t>2010 Apr</t>
  </si>
  <si>
    <t>2010 May</t>
  </si>
  <si>
    <t>2010 Jun</t>
  </si>
  <si>
    <t>2010 Jul</t>
  </si>
  <si>
    <t>2010 Aug</t>
  </si>
  <si>
    <t>2010 Sep</t>
  </si>
  <si>
    <t>2010 Oct</t>
  </si>
  <si>
    <t>2010 Nov</t>
  </si>
  <si>
    <t>2010 Dec</t>
  </si>
  <si>
    <t>2011 Jan</t>
  </si>
  <si>
    <t>2011 Feb</t>
  </si>
  <si>
    <t>2011 Mar</t>
  </si>
  <si>
    <t>2011 Apr</t>
  </si>
  <si>
    <t>2011 May</t>
  </si>
  <si>
    <t>2011 Jun</t>
  </si>
  <si>
    <t>2011 Jul</t>
  </si>
  <si>
    <t>2011 Aug</t>
  </si>
  <si>
    <t>2011 Sep</t>
  </si>
  <si>
    <t>2011 Oct</t>
  </si>
  <si>
    <t>2011 Nov</t>
  </si>
  <si>
    <t>2011 Dec</t>
  </si>
  <si>
    <t>2012 Jan</t>
  </si>
  <si>
    <t>2012 Feb</t>
  </si>
  <si>
    <t>2012 Mar</t>
  </si>
  <si>
    <t>2012 Apr</t>
  </si>
  <si>
    <t>2012 May</t>
  </si>
  <si>
    <t>2012 Jun</t>
  </si>
  <si>
    <t>2012 Jul</t>
  </si>
  <si>
    <t>2012 Aug</t>
  </si>
  <si>
    <t>2012 Sep</t>
  </si>
  <si>
    <t>2012 Oct</t>
  </si>
  <si>
    <t>2012 Nov</t>
  </si>
  <si>
    <t>2012 Dec</t>
  </si>
  <si>
    <t>2013 Jan</t>
  </si>
  <si>
    <t>2013 Feb</t>
  </si>
  <si>
    <t>2013 Mar</t>
  </si>
  <si>
    <t>2013 Apr</t>
  </si>
  <si>
    <t>2013 May</t>
  </si>
  <si>
    <t>2013 Jun</t>
  </si>
  <si>
    <t>2013 Jul</t>
  </si>
  <si>
    <t>2013 Aug</t>
  </si>
  <si>
    <t>2013 Sep</t>
  </si>
  <si>
    <t>2013 Oct</t>
  </si>
  <si>
    <t>2013 Nov</t>
  </si>
  <si>
    <t>2013 Dec</t>
  </si>
  <si>
    <t>2014 Jan</t>
  </si>
  <si>
    <t>2014 Feb</t>
  </si>
  <si>
    <t>2014 Mar</t>
  </si>
  <si>
    <t>2014 Apr</t>
  </si>
  <si>
    <t>2014 May</t>
  </si>
  <si>
    <t>2014 Jun</t>
  </si>
  <si>
    <t>2014 Jul</t>
  </si>
  <si>
    <t>2014 Aug</t>
  </si>
  <si>
    <t>2014 Sep</t>
  </si>
  <si>
    <t>2014 Oct</t>
  </si>
  <si>
    <t>2014 Nov</t>
  </si>
  <si>
    <t>2014 Dec</t>
  </si>
  <si>
    <t>2015 Jan</t>
  </si>
  <si>
    <t>2015 Feb</t>
  </si>
  <si>
    <t>2015 Mar</t>
  </si>
  <si>
    <t>2015 Apr</t>
  </si>
  <si>
    <t>2015 May</t>
  </si>
  <si>
    <t>2015 Jun</t>
  </si>
  <si>
    <t>2015 Jul</t>
  </si>
  <si>
    <t>2015 Aug</t>
  </si>
  <si>
    <t>2015 Sep</t>
  </si>
  <si>
    <t>2015 Oct</t>
  </si>
  <si>
    <t>2015 Nov</t>
  </si>
  <si>
    <t>2015 Dec</t>
  </si>
  <si>
    <t>2016 Jan</t>
  </si>
  <si>
    <t>2016 Feb</t>
  </si>
  <si>
    <t>2016 Mar</t>
  </si>
  <si>
    <t>2016 Apr</t>
  </si>
  <si>
    <t>2016 May</t>
  </si>
  <si>
    <t>2016 Jun</t>
  </si>
  <si>
    <t>2016 Jul</t>
  </si>
  <si>
    <t>2016 Aug</t>
  </si>
  <si>
    <t>2016 Sep</t>
  </si>
  <si>
    <t>2016 Oct</t>
  </si>
  <si>
    <t>2016 Nov</t>
  </si>
  <si>
    <t>2016 Dec</t>
  </si>
  <si>
    <t>2017 Jan</t>
  </si>
  <si>
    <t>2017 Feb</t>
  </si>
  <si>
    <t>2017 Mar</t>
  </si>
  <si>
    <t>2017 Apr</t>
  </si>
  <si>
    <t>2017 May</t>
  </si>
  <si>
    <t>2017 Jun</t>
  </si>
  <si>
    <t>2017 Jul</t>
  </si>
  <si>
    <t>2017 Aug</t>
  </si>
  <si>
    <t>2017 Sep</t>
  </si>
  <si>
    <t>2017 Oct</t>
  </si>
  <si>
    <t>2017 Nov</t>
  </si>
  <si>
    <t>2017 Dec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</si>
  <si>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</si>
  <si>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</si>
  <si>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</si>
  <si>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</si>
  <si>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</si>
  <si>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</si>
  <si>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</si>
  <si>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</si>
  <si>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</si>
  <si>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Results of ARIMA modeling of the Industry related series:</t>
  </si>
  <si>
    <t>Results after optimization (Industry related):</t>
  </si>
  <si>
    <t>Goodness of fit statistics:</t>
  </si>
  <si>
    <t>DF</t>
  </si>
  <si>
    <t>SSE</t>
  </si>
  <si>
    <t>MSE</t>
  </si>
  <si>
    <t>RMSE</t>
  </si>
  <si>
    <t>WN Variance</t>
  </si>
  <si>
    <t>MAPE(Diff)</t>
  </si>
  <si>
    <t>MAPE</t>
  </si>
  <si>
    <t>-2Log(Like.)</t>
  </si>
  <si>
    <t>FPE</t>
  </si>
  <si>
    <t>AIC</t>
  </si>
  <si>
    <t>AICC</t>
  </si>
  <si>
    <t>SBC</t>
  </si>
  <si>
    <t>Iterations</t>
  </si>
  <si>
    <t>Model parameters:</t>
  </si>
  <si>
    <t>Parameter</t>
  </si>
  <si>
    <t>Value</t>
  </si>
  <si>
    <t>Hessian standard error</t>
  </si>
  <si>
    <t>Lower bound (95%)</t>
  </si>
  <si>
    <t>Upper bound (95%)</t>
  </si>
  <si>
    <t>Constant</t>
  </si>
  <si>
    <t>Asympt. standard error</t>
  </si>
  <si>
    <t>AR(1)</t>
  </si>
  <si>
    <t>AR(2)</t>
  </si>
  <si>
    <t>AR(3)</t>
  </si>
  <si>
    <t>SAR(1)</t>
  </si>
  <si>
    <t>SAR(2)</t>
  </si>
  <si>
    <t>SAR(3)</t>
  </si>
  <si>
    <t>MA(1)</t>
  </si>
  <si>
    <t>SMA(1)</t>
  </si>
  <si>
    <t>Predictions and residuals:</t>
  </si>
  <si>
    <t>ARIMA(Industry related)</t>
  </si>
  <si>
    <t>Residuals</t>
  </si>
  <si>
    <t>Standardized residuals</t>
  </si>
  <si>
    <t xml:space="preserve"> </t>
  </si>
  <si>
    <t>Descriptive analysis (Industry related):</t>
  </si>
  <si>
    <t>Lag</t>
  </si>
  <si>
    <t>Autocorrelation</t>
  </si>
  <si>
    <t>Standard error</t>
  </si>
  <si>
    <t>Partial autocorrelation</t>
  </si>
  <si>
    <t>Descriptive analysis (Residuals):</t>
  </si>
  <si>
    <t>Periods</t>
  </si>
  <si>
    <t>Year</t>
  </si>
  <si>
    <t>Month</t>
  </si>
  <si>
    <t>LT Forecast</t>
  </si>
  <si>
    <t>Seasonal Forecast with Trend</t>
  </si>
  <si>
    <t>Error</t>
  </si>
  <si>
    <t>Intercept</t>
  </si>
  <si>
    <t>January</t>
  </si>
  <si>
    <t>Slope</t>
  </si>
  <si>
    <t>February</t>
  </si>
  <si>
    <t>March</t>
  </si>
  <si>
    <t>April</t>
  </si>
  <si>
    <t>Seasonality Index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</si>
  <si>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</si>
  <si>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</si>
  <si>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</si>
  <si>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</si>
  <si>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</si>
  <si>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</si>
  <si>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</si>
  <si>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</si>
  <si>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Holt-Winters(Total Consumption)</t>
  </si>
  <si>
    <t>Series before and after smoothing (Total Consumption):</t>
  </si>
  <si>
    <t>T1</t>
  </si>
  <si>
    <t>S1</t>
  </si>
  <si>
    <t>Gamma</t>
  </si>
  <si>
    <t>Beta</t>
  </si>
  <si>
    <t>alpha</t>
  </si>
  <si>
    <t>Statistic</t>
  </si>
  <si>
    <t>Model parameters (Total Consumption):</t>
  </si>
  <si>
    <t>Yes</t>
  </si>
  <si>
    <t>Convergence</t>
  </si>
  <si>
    <t>R²</t>
  </si>
  <si>
    <t>MAE</t>
  </si>
  <si>
    <t>MPE</t>
  </si>
  <si>
    <t>Goodness of fit statistics (Total Consumption):</t>
  </si>
  <si>
    <t>Holt-Winters Smoothing</t>
  </si>
  <si>
    <t>Descriptive analysis (Households):</t>
  </si>
  <si>
    <t>ARIMA(Households)</t>
  </si>
  <si>
    <t>Results after optimization (Households):</t>
  </si>
  <si>
    <t>Results of ARIMA modeling of the Households series:</t>
  </si>
  <si>
    <t>ARIMA MODEL</t>
  </si>
  <si>
    <t>Results of ARIMA modeling of the Others series:</t>
  </si>
  <si>
    <t>Results after optimization (Others):</t>
  </si>
  <si>
    <t>ARIMA(Others)</t>
  </si>
  <si>
    <t>Descriptive analysis (Others):</t>
  </si>
  <si>
    <t>Pred_Industries</t>
  </si>
  <si>
    <t>Pred_Service</t>
  </si>
  <si>
    <t>Pred_Others</t>
  </si>
  <si>
    <t>Pred_Household</t>
  </si>
  <si>
    <t>Pred_ Transport</t>
  </si>
  <si>
    <t>Pred_Total</t>
  </si>
  <si>
    <t>Actual</t>
  </si>
  <si>
    <t>Difference</t>
  </si>
  <si>
    <t>Household</t>
  </si>
  <si>
    <t>Results of ARIMA modeling of the Transport related series:</t>
  </si>
  <si>
    <t>Results after optimization (Transport related):</t>
  </si>
  <si>
    <t>MA(2)</t>
  </si>
  <si>
    <t>SMA(2)</t>
  </si>
  <si>
    <t>ARIMA(Transport related)</t>
  </si>
  <si>
    <t>Descriptive analysis (Transport related):</t>
  </si>
  <si>
    <t>ARIMA Model</t>
  </si>
  <si>
    <t>Transport</t>
  </si>
  <si>
    <t>Decomposition Model</t>
  </si>
  <si>
    <t>Service</t>
  </si>
  <si>
    <t>Industry</t>
  </si>
  <si>
    <t>(Total Consumption)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</si>
</sst>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"/>
      <color rgb="FFFFFFFF"/>
      <name val="Calibri"/>
      <family val="2"/>
      <scheme val="minor"/>
    </font>
    <font>
      <sz val="11"/>
      <color rgb="FF02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29">
    <xf numFmtId="0" fontId="0" fillId="0" borderId="0" xfId="0"/>
    <xf numFmtId="0" fontId="0" fillId="3" borderId="0" xfId="0" applyFill="1"/>
    <xf numFmtId="0" fontId="0" fillId="4" borderId="0" xfId="0" applyFill="1"/>
    <xf numFmtId="0" fontId="2" fillId="7" borderId="0" xfId="0" applyFont="1" applyFill="1"/>
    <xf numFmtId="0" fontId="0" fillId="10" borderId="0" xfId="0" applyFill="1"/>
    <xf numFmtId="0" fontId="3" fillId="0" borderId="0" xfId="1"/>
    <xf numFmtId="0" fontId="3" fillId="0" borderId="1" xfId="1" applyFont="1" applyBorder="1" applyAlignment="1">
      <alignment horizontal="center"/>
    </xf>
    <xf numFmtId="49" fontId="3" fillId="0" borderId="1" xfId="1" applyNumberFormat="1" applyFont="1" applyBorder="1" applyAlignment="1">
      <alignment horizontal="center"/>
    </xf>
    <xf numFmtId="0" fontId="3" fillId="0" borderId="2" xfId="1" applyBorder="1" applyAlignment="1"/>
    <xf numFmtId="0" fontId="3" fillId="0" borderId="2" xfId="1" applyNumberFormat="1" applyBorder="1" applyAlignment="1"/>
    <xf numFmtId="164" fontId="3" fillId="0" borderId="2" xfId="1" applyNumberFormat="1" applyBorder="1" applyAlignment="1"/>
    <xf numFmtId="0" fontId="4" fillId="0" borderId="0" xfId="1" applyFont="1"/>
    <xf numFmtId="0" fontId="3" fillId="0" borderId="1" xfId="1" applyBorder="1" applyAlignment="1"/>
    <xf numFmtId="0" fontId="3" fillId="0" borderId="0" xfId="1" applyAlignment="1"/>
    <xf numFmtId="0" fontId="3" fillId="0" borderId="3" xfId="1" applyBorder="1" applyAlignment="1"/>
    <xf numFmtId="0" fontId="3" fillId="0" borderId="4" xfId="1" applyBorder="1" applyAlignment="1"/>
    <xf numFmtId="164" fontId="3" fillId="0" borderId="4" xfId="1" applyNumberFormat="1" applyBorder="1" applyAlignment="1"/>
    <xf numFmtId="164" fontId="3" fillId="0" borderId="0" xfId="1" applyNumberFormat="1" applyAlignment="1"/>
    <xf numFmtId="164" fontId="3" fillId="0" borderId="3" xfId="1" applyNumberFormat="1" applyBorder="1" applyAlignment="1"/>
    <xf numFmtId="0" fontId="3" fillId="0" borderId="5" xfId="1" applyNumberFormat="1" applyFont="1" applyBorder="1" applyAlignment="1">
      <alignment horizontal="center"/>
    </xf>
    <xf numFmtId="49" fontId="3" fillId="0" borderId="5" xfId="1" applyNumberFormat="1" applyFont="1" applyBorder="1" applyAlignment="1">
      <alignment horizontal="center"/>
    </xf>
    <xf numFmtId="0" fontId="3" fillId="0" borderId="5" xfId="1" applyNumberFormat="1" applyBorder="1" applyAlignment="1"/>
    <xf numFmtId="164" fontId="3" fillId="0" borderId="5" xfId="1" applyNumberFormat="1" applyBorder="1" applyAlignment="1"/>
    <xf numFmtId="0" fontId="3" fillId="0" borderId="4" xfId="1" applyNumberFormat="1" applyBorder="1" applyAlignment="1"/>
    <xf numFmtId="0" fontId="3" fillId="0" borderId="0" xfId="1" applyNumberFormat="1" applyAlignment="1"/>
    <xf numFmtId="0" fontId="3" fillId="0" borderId="3" xfId="1" applyNumberFormat="1" applyBorder="1" applyAlignment="1"/>
    <xf numFmtId="0" fontId="3" fillId="10" borderId="0" xfId="1" applyFill="1" applyAlignment="1"/>
    <xf numFmtId="49" fontId="5" fillId="13" borderId="5" xfId="1" applyNumberFormat="1" applyFont="1" applyFill="1" applyBorder="1" applyAlignment="1">
      <alignment horizontal="center"/>
    </xf>
    <xf numFmtId="164" fontId="3" fillId="13" borderId="5" xfId="1" applyNumberFormat="1" applyFill="1" applyBorder="1" applyAlignment="1"/>
    <xf numFmtId="164" fontId="3" fillId="14" borderId="5" xfId="1" applyNumberFormat="1" applyFill="1" applyBorder="1" applyAlignment="1"/>
    <xf numFmtId="49" fontId="6" fillId="14" borderId="5" xfId="1" applyNumberFormat="1" applyFont="1" applyFill="1" applyBorder="1" applyAlignment="1">
      <alignment horizontal="center"/>
    </xf>
    <xf numFmtId="0" fontId="7" fillId="0" borderId="5" xfId="0" applyFont="1" applyBorder="1"/>
    <xf numFmtId="0" fontId="7" fillId="0" borderId="6" xfId="0" applyFont="1" applyBorder="1"/>
    <xf numFmtId="0" fontId="0" fillId="0" borderId="5" xfId="0" applyBorder="1"/>
    <xf numFmtId="0" fontId="7" fillId="0" borderId="7" xfId="0" applyFont="1" applyFill="1" applyBorder="1"/>
    <xf numFmtId="0" fontId="7" fillId="0" borderId="5" xfId="0" applyFont="1" applyFill="1" applyBorder="1"/>
    <xf numFmtId="0" fontId="7" fillId="0" borderId="8" xfId="0" applyFont="1" applyBorder="1"/>
    <xf numFmtId="0" fontId="7" fillId="0" borderId="9" xfId="0" applyFont="1" applyBorder="1"/>
    <xf numFmtId="2" fontId="0" fillId="0" borderId="0" xfId="0" applyNumberFormat="1"/>
    <xf numFmtId="0" fontId="3" fillId="14" borderId="0" xfId="1" applyFill="1" applyAlignment="1"/>
    <xf numFmtId="0" fontId="0" fillId="2" borderId="5" xfId="0" applyFill="1" applyBorder="1"/>
    <xf numFmtId="164" fontId="0" fillId="0" borderId="3" xfId="0" applyNumberFormat="1" applyBorder="1" applyAlignment="1"/>
    <xf numFmtId="0" fontId="0" fillId="0" borderId="3" xfId="0" applyNumberFormat="1" applyBorder="1" applyAlignment="1"/>
    <xf numFmtId="0" fontId="8" fillId="0" borderId="0" xfId="0" applyFont="1"/>
    <xf numFmtId="164" fontId="0" fillId="0" borderId="0" xfId="0" applyNumberFormat="1" applyAlignment="1"/>
    <xf numFmtId="0" fontId="0" fillId="0" borderId="0" xfId="0" applyNumberFormat="1" applyAlignment="1"/>
    <xf numFmtId="164" fontId="0" fillId="0" borderId="4" xfId="0" applyNumberFormat="1" applyBorder="1" applyAlignment="1"/>
    <xf numFmtId="0" fontId="0" fillId="0" borderId="4" xfId="0" applyNumberFormat="1" applyBorder="1" applyAlignment="1"/>
    <xf numFmtId="49" fontId="0" fillId="0" borderId="0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0" fillId="0" borderId="0" xfId="0" applyFont="1"/>
    <xf numFmtId="49" fontId="0" fillId="0" borderId="3" xfId="0" applyNumberFormat="1" applyBorder="1" applyAlignment="1"/>
    <xf numFmtId="49" fontId="0" fillId="0" borderId="0" xfId="0" applyNumberFormat="1" applyAlignment="1"/>
    <xf numFmtId="49" fontId="0" fillId="0" borderId="4" xfId="0" applyNumberFormat="1" applyBorder="1" applyAlignment="1"/>
    <xf numFmtId="0" fontId="0" fillId="0" borderId="1" xfId="0" applyFont="1" applyBorder="1" applyAlignment="1">
      <alignment horizontal="center"/>
    </xf>
    <xf numFmtId="164" fontId="0" fillId="0" borderId="3" xfId="0" applyNumberFormat="1" applyBorder="1" applyAlignment="1">
      <alignment horizontal="right"/>
    </xf>
    <xf numFmtId="164" fontId="9" fillId="0" borderId="2" xfId="0" applyNumberFormat="1" applyFont="1" applyBorder="1" applyAlignment="1"/>
    <xf numFmtId="0" fontId="9" fillId="0" borderId="2" xfId="0" applyNumberFormat="1" applyFont="1" applyBorder="1" applyAlignment="1"/>
    <xf numFmtId="49" fontId="9" fillId="0" borderId="2" xfId="0" applyNumberFormat="1" applyFont="1" applyBorder="1" applyAlignment="1"/>
    <xf numFmtId="164" fontId="0" fillId="11" borderId="0" xfId="0" applyNumberFormat="1" applyFill="1" applyAlignment="1"/>
    <xf numFmtId="49" fontId="0" fillId="14" borderId="0" xfId="0" applyNumberFormat="1" applyFill="1" applyAlignment="1"/>
    <xf numFmtId="164" fontId="0" fillId="14" borderId="0" xfId="0" applyNumberFormat="1" applyFill="1" applyAlignment="1"/>
    <xf numFmtId="164" fontId="0" fillId="12" borderId="0" xfId="0" applyNumberFormat="1" applyFill="1" applyAlignment="1"/>
    <xf numFmtId="49" fontId="0" fillId="14" borderId="1" xfId="0" applyNumberFormat="1" applyFont="1" applyFill="1" applyBorder="1" applyAlignment="1">
      <alignment horizontal="center"/>
    </xf>
    <xf numFmtId="164" fontId="0" fillId="14" borderId="4" xfId="0" applyNumberFormat="1" applyFill="1" applyBorder="1" applyAlignment="1"/>
    <xf numFmtId="164" fontId="0" fillId="14" borderId="3" xfId="0" applyNumberFormat="1" applyFill="1" applyBorder="1" applyAlignment="1"/>
    <xf numFmtId="49" fontId="0" fillId="11" borderId="1" xfId="0" applyNumberFormat="1" applyFont="1" applyFill="1" applyBorder="1" applyAlignment="1">
      <alignment horizontal="center"/>
    </xf>
    <xf numFmtId="164" fontId="0" fillId="11" borderId="4" xfId="0" applyNumberFormat="1" applyFill="1" applyBorder="1" applyAlignment="1"/>
    <xf numFmtId="0" fontId="7" fillId="14" borderId="7" xfId="0" applyFont="1" applyFill="1" applyBorder="1"/>
    <xf numFmtId="2" fontId="0" fillId="14" borderId="0" xfId="0" applyNumberFormat="1" applyFill="1"/>
    <xf numFmtId="0" fontId="7" fillId="11" borderId="7" xfId="0" applyFont="1" applyFill="1" applyBorder="1"/>
    <xf numFmtId="2" fontId="0" fillId="11" borderId="0" xfId="0" applyNumberFormat="1" applyFill="1"/>
    <xf numFmtId="0" fontId="0" fillId="14" borderId="0" xfId="0" applyFill="1"/>
    <xf numFmtId="0" fontId="1" fillId="0" borderId="0" xfId="0" applyFont="1"/>
    <xf numFmtId="164" fontId="0" fillId="15" borderId="3" xfId="0" applyNumberFormat="1" applyFill="1" applyBorder="1" applyAlignment="1"/>
    <xf numFmtId="0" fontId="0" fillId="15" borderId="3" xfId="0" applyNumberFormat="1" applyFill="1" applyBorder="1" applyAlignment="1"/>
    <xf numFmtId="164" fontId="0" fillId="15" borderId="0" xfId="0" applyNumberFormat="1" applyFill="1" applyAlignment="1"/>
    <xf numFmtId="0" fontId="0" fillId="15" borderId="0" xfId="0" applyNumberFormat="1" applyFill="1" applyAlignment="1"/>
    <xf numFmtId="164" fontId="0" fillId="15" borderId="4" xfId="0" applyNumberFormat="1" applyFill="1" applyBorder="1" applyAlignment="1"/>
    <xf numFmtId="0" fontId="0" fillId="15" borderId="4" xfId="0" applyNumberFormat="1" applyFill="1" applyBorder="1" applyAlignment="1"/>
    <xf numFmtId="49" fontId="0" fillId="15" borderId="1" xfId="0" applyNumberFormat="1" applyFont="1" applyFill="1" applyBorder="1" applyAlignment="1">
      <alignment horizontal="center"/>
    </xf>
    <xf numFmtId="0" fontId="0" fillId="15" borderId="1" xfId="0" applyNumberFormat="1" applyFont="1" applyFill="1" applyBorder="1" applyAlignment="1">
      <alignment horizontal="center"/>
    </xf>
    <xf numFmtId="0" fontId="0" fillId="0" borderId="3" xfId="0" applyBorder="1" applyAlignment="1"/>
    <xf numFmtId="0" fontId="0" fillId="0" borderId="0" xfId="0" applyAlignment="1"/>
    <xf numFmtId="0" fontId="0" fillId="0" borderId="4" xfId="0" applyBorder="1" applyAlignment="1"/>
    <xf numFmtId="164" fontId="0" fillId="0" borderId="2" xfId="0" applyNumberFormat="1" applyBorder="1" applyAlignment="1"/>
    <xf numFmtId="0" fontId="0" fillId="0" borderId="2" xfId="0" applyBorder="1" applyAlignment="1"/>
    <xf numFmtId="0" fontId="0" fillId="14" borderId="0" xfId="0" applyFill="1" applyAlignment="1"/>
    <xf numFmtId="0" fontId="0" fillId="0" borderId="1" xfId="0" applyBorder="1" applyAlignment="1"/>
    <xf numFmtId="0" fontId="0" fillId="0" borderId="2" xfId="0" applyNumberFormat="1" applyBorder="1" applyAlignment="1"/>
    <xf numFmtId="49" fontId="0" fillId="13" borderId="1" xfId="0" applyNumberFormat="1" applyFont="1" applyFill="1" applyBorder="1" applyAlignment="1">
      <alignment horizontal="center"/>
    </xf>
    <xf numFmtId="164" fontId="0" fillId="13" borderId="4" xfId="0" applyNumberFormat="1" applyFill="1" applyBorder="1" applyAlignment="1"/>
    <xf numFmtId="164" fontId="0" fillId="13" borderId="0" xfId="0" applyNumberFormat="1" applyFill="1" applyAlignment="1"/>
    <xf numFmtId="164" fontId="0" fillId="13" borderId="3" xfId="0" applyNumberFormat="1" applyFill="1" applyBorder="1" applyAlignment="1"/>
    <xf numFmtId="0" fontId="0" fillId="12" borderId="0" xfId="0" applyFill="1" applyAlignment="1"/>
    <xf numFmtId="0" fontId="0" fillId="12" borderId="0" xfId="0" applyFill="1"/>
    <xf numFmtId="49" fontId="0" fillId="12" borderId="1" xfId="0" applyNumberFormat="1" applyFont="1" applyFill="1" applyBorder="1" applyAlignment="1">
      <alignment horizontal="center"/>
    </xf>
    <xf numFmtId="164" fontId="0" fillId="12" borderId="4" xfId="0" applyNumberFormat="1" applyFill="1" applyBorder="1" applyAlignment="1"/>
    <xf numFmtId="164" fontId="0" fillId="12" borderId="3" xfId="0" applyNumberFormat="1" applyFill="1" applyBorder="1" applyAlignment="1"/>
    <xf numFmtId="0" fontId="2" fillId="8" borderId="0" xfId="0" applyFont="1" applyFill="1"/>
    <xf numFmtId="0" fontId="2" fillId="5" borderId="0" xfId="0" applyFont="1" applyFill="1"/>
    <xf numFmtId="0" fontId="2" fillId="6" borderId="0" xfId="0" applyFont="1" applyFill="1"/>
    <xf numFmtId="164" fontId="0" fillId="3" borderId="4" xfId="0" applyNumberFormat="1" applyFill="1" applyBorder="1" applyAlignment="1"/>
    <xf numFmtId="164" fontId="3" fillId="3" borderId="4" xfId="1" applyNumberFormat="1" applyFill="1" applyBorder="1" applyAlignment="1"/>
    <xf numFmtId="0" fontId="0" fillId="16" borderId="0" xfId="0" applyFill="1"/>
    <xf numFmtId="164" fontId="0" fillId="11" borderId="0" xfId="0" applyNumberFormat="1" applyFill="1"/>
    <xf numFmtId="164" fontId="0" fillId="3" borderId="0" xfId="0" applyNumberFormat="1" applyFill="1" applyAlignment="1"/>
    <xf numFmtId="164" fontId="3" fillId="3" borderId="0" xfId="1" applyNumberFormat="1" applyFill="1" applyAlignment="1"/>
    <xf numFmtId="164" fontId="0" fillId="3" borderId="3" xfId="0" applyNumberFormat="1" applyFill="1" applyBorder="1" applyAlignment="1"/>
    <xf numFmtId="49" fontId="0" fillId="9" borderId="0" xfId="0" applyNumberFormat="1" applyFill="1" applyAlignment="1"/>
    <xf numFmtId="164" fontId="0" fillId="9" borderId="0" xfId="0" applyNumberFormat="1" applyFill="1" applyAlignment="1"/>
    <xf numFmtId="14" fontId="3" fillId="0" borderId="1" xfId="1" applyNumberFormat="1" applyFont="1" applyBorder="1" applyAlignment="1">
      <alignment horizontal="center"/>
    </xf>
    <xf numFmtId="14" fontId="3" fillId="0" borderId="4" xfId="1" applyNumberFormat="1" applyBorder="1" applyAlignment="1"/>
    <xf numFmtId="14" fontId="3" fillId="0" borderId="0" xfId="1" applyNumberFormat="1" applyAlignment="1"/>
    <xf numFmtId="14" fontId="3" fillId="0" borderId="3" xfId="1" applyNumberFormat="1" applyBorder="1" applyAlignment="1"/>
    <xf numFmtId="49" fontId="3" fillId="12" borderId="1" xfId="1" applyNumberFormat="1" applyFont="1" applyFill="1" applyBorder="1" applyAlignment="1">
      <alignment horizontal="center"/>
    </xf>
    <xf numFmtId="164" fontId="3" fillId="12" borderId="4" xfId="1" applyNumberFormat="1" applyFill="1" applyBorder="1" applyAlignment="1"/>
    <xf numFmtId="164" fontId="3" fillId="12" borderId="0" xfId="1" applyNumberFormat="1" applyFill="1" applyAlignment="1"/>
    <xf numFmtId="164" fontId="3" fillId="12" borderId="3" xfId="1" applyNumberFormat="1" applyFill="1" applyBorder="1" applyAlignment="1"/>
    <xf numFmtId="49" fontId="3" fillId="13" borderId="1" xfId="1" applyNumberFormat="1" applyFont="1" applyFill="1" applyBorder="1" applyAlignment="1">
      <alignment horizontal="center"/>
    </xf>
    <xf numFmtId="164" fontId="3" fillId="13" borderId="4" xfId="1" applyNumberFormat="1" applyFill="1" applyBorder="1" applyAlignment="1"/>
    <xf numFmtId="164" fontId="3" fillId="13" borderId="0" xfId="1" applyNumberFormat="1" applyFill="1" applyAlignment="1"/>
    <xf numFmtId="0" fontId="0" fillId="17" borderId="0" xfId="0" applyFont="1" applyFill="1"/>
    <xf numFmtId="0" fontId="0" fillId="17" borderId="0" xfId="0" applyFill="1"/>
    <xf numFmtId="0" fontId="1" fillId="17" borderId="0" xfId="0" applyFont="1" applyFill="1"/>
    <xf numFmtId="0" fontId="3" fillId="17" borderId="0" xfId="1" applyFill="1"/>
    <xf numFmtId="0" fontId="4" fillId="17" borderId="0" xfId="1" applyFont="1" applyFill="1"/>
    <xf numFmtId="0" fontId="3" fillId="12" borderId="0" xfId="1" applyFill="1" applyAlignment="1"/>
  </cellXfs>
  <cellStyles count="2">
    <cellStyle name="Normal" xfId="0" builtinId="0"/>
    <cellStyle name="Normal 2" xfId="1" xr:uid="{E88D348D-128A-4CB1-9642-850B22A347D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SG"/>
              <a:t>Holt-Winters / Seasonal additive / Total Consumption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Consumption</c:v>
          </c:tx>
          <c:spPr>
            <a:ln w="635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003CE6"/>
              </a:solidFill>
              <a:ln w="3175">
                <a:solidFill>
                  <a:srgbClr val="003CE6"/>
                </a:solidFill>
                <a:prstDash val="solid"/>
              </a:ln>
            </c:spPr>
          </c:marker>
          <c:xVal>
            <c:numRef>
              <c:f>'[1]Holt-Winters'!$B$49:$B$204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'[1]Holt-Winters'!$C$49:$C$204</c:f>
              <c:numCache>
                <c:formatCode>General</c:formatCode>
                <c:ptCount val="156"/>
                <c:pt idx="0">
                  <c:v>2796.8</c:v>
                </c:pt>
                <c:pt idx="1">
                  <c:v>2791</c:v>
                </c:pt>
                <c:pt idx="2">
                  <c:v>2754.2</c:v>
                </c:pt>
                <c:pt idx="3">
                  <c:v>2968.7</c:v>
                </c:pt>
                <c:pt idx="4">
                  <c:v>2957.3</c:v>
                </c:pt>
                <c:pt idx="5">
                  <c:v>3097.4</c:v>
                </c:pt>
                <c:pt idx="6">
                  <c:v>2994.9</c:v>
                </c:pt>
                <c:pt idx="7">
                  <c:v>3116.5</c:v>
                </c:pt>
                <c:pt idx="8">
                  <c:v>3037.8</c:v>
                </c:pt>
                <c:pt idx="9">
                  <c:v>2916.7</c:v>
                </c:pt>
                <c:pt idx="10">
                  <c:v>3156.6</c:v>
                </c:pt>
                <c:pt idx="11">
                  <c:v>2901.3</c:v>
                </c:pt>
                <c:pt idx="12">
                  <c:v>2975.3</c:v>
                </c:pt>
                <c:pt idx="13">
                  <c:v>2887.4</c:v>
                </c:pt>
                <c:pt idx="14">
                  <c:v>2893.8</c:v>
                </c:pt>
                <c:pt idx="15">
                  <c:v>3023.6</c:v>
                </c:pt>
                <c:pt idx="16">
                  <c:v>3092.5</c:v>
                </c:pt>
                <c:pt idx="17">
                  <c:v>3182.1</c:v>
                </c:pt>
                <c:pt idx="18">
                  <c:v>3007.5</c:v>
                </c:pt>
                <c:pt idx="19">
                  <c:v>3264</c:v>
                </c:pt>
                <c:pt idx="20">
                  <c:v>3114</c:v>
                </c:pt>
                <c:pt idx="21">
                  <c:v>3107.1</c:v>
                </c:pt>
                <c:pt idx="22">
                  <c:v>3215</c:v>
                </c:pt>
                <c:pt idx="23">
                  <c:v>3039.4</c:v>
                </c:pt>
                <c:pt idx="24">
                  <c:v>3166.4</c:v>
                </c:pt>
                <c:pt idx="25">
                  <c:v>2938.6</c:v>
                </c:pt>
                <c:pt idx="26">
                  <c:v>3018.8</c:v>
                </c:pt>
                <c:pt idx="27">
                  <c:v>3150</c:v>
                </c:pt>
                <c:pt idx="28">
                  <c:v>3271.1</c:v>
                </c:pt>
                <c:pt idx="29">
                  <c:v>3222.5</c:v>
                </c:pt>
                <c:pt idx="30">
                  <c:v>3288.9</c:v>
                </c:pt>
                <c:pt idx="31">
                  <c:v>3277.4</c:v>
                </c:pt>
                <c:pt idx="32">
                  <c:v>3205.8</c:v>
                </c:pt>
                <c:pt idx="33">
                  <c:v>3268.2</c:v>
                </c:pt>
                <c:pt idx="34">
                  <c:v>3378.1</c:v>
                </c:pt>
                <c:pt idx="35">
                  <c:v>3119.2</c:v>
                </c:pt>
                <c:pt idx="36">
                  <c:v>3149.8</c:v>
                </c:pt>
                <c:pt idx="37">
                  <c:v>3166.2</c:v>
                </c:pt>
                <c:pt idx="38">
                  <c:v>2987.2</c:v>
                </c:pt>
                <c:pt idx="39">
                  <c:v>3289</c:v>
                </c:pt>
                <c:pt idx="40">
                  <c:v>3279.6</c:v>
                </c:pt>
                <c:pt idx="41">
                  <c:v>3396.1</c:v>
                </c:pt>
                <c:pt idx="42">
                  <c:v>3368.5</c:v>
                </c:pt>
                <c:pt idx="43">
                  <c:v>3176.1</c:v>
                </c:pt>
                <c:pt idx="44">
                  <c:v>3381.5</c:v>
                </c:pt>
                <c:pt idx="45">
                  <c:v>3364.9</c:v>
                </c:pt>
                <c:pt idx="46">
                  <c:v>3249</c:v>
                </c:pt>
                <c:pt idx="47">
                  <c:v>3179.2</c:v>
                </c:pt>
                <c:pt idx="48">
                  <c:v>3005.9</c:v>
                </c:pt>
                <c:pt idx="49">
                  <c:v>3004.8</c:v>
                </c:pt>
                <c:pt idx="50">
                  <c:v>2931.1</c:v>
                </c:pt>
                <c:pt idx="51">
                  <c:v>3103.5</c:v>
                </c:pt>
                <c:pt idx="52">
                  <c:v>3054.9</c:v>
                </c:pt>
                <c:pt idx="53">
                  <c:v>3425.6</c:v>
                </c:pt>
                <c:pt idx="54">
                  <c:v>3414.1</c:v>
                </c:pt>
                <c:pt idx="55">
                  <c:v>3342.7</c:v>
                </c:pt>
                <c:pt idx="56">
                  <c:v>3395.7</c:v>
                </c:pt>
                <c:pt idx="57">
                  <c:v>3419.5</c:v>
                </c:pt>
                <c:pt idx="58">
                  <c:v>3379.9</c:v>
                </c:pt>
                <c:pt idx="59">
                  <c:v>3345.1</c:v>
                </c:pt>
                <c:pt idx="60">
                  <c:v>3242.9</c:v>
                </c:pt>
                <c:pt idx="61">
                  <c:v>3287.1</c:v>
                </c:pt>
                <c:pt idx="62">
                  <c:v>3420.6</c:v>
                </c:pt>
                <c:pt idx="63">
                  <c:v>3588.8</c:v>
                </c:pt>
                <c:pt idx="64">
                  <c:v>3479.4</c:v>
                </c:pt>
                <c:pt idx="65">
                  <c:v>3718.7</c:v>
                </c:pt>
                <c:pt idx="66">
                  <c:v>3571.7</c:v>
                </c:pt>
                <c:pt idx="67">
                  <c:v>3601.5</c:v>
                </c:pt>
                <c:pt idx="68">
                  <c:v>3555.8</c:v>
                </c:pt>
                <c:pt idx="69">
                  <c:v>3514.9</c:v>
                </c:pt>
                <c:pt idx="70">
                  <c:v>3614.4</c:v>
                </c:pt>
                <c:pt idx="71">
                  <c:v>3656</c:v>
                </c:pt>
                <c:pt idx="72">
                  <c:v>3470.4</c:v>
                </c:pt>
                <c:pt idx="73">
                  <c:v>3426.5</c:v>
                </c:pt>
                <c:pt idx="74">
                  <c:v>3308</c:v>
                </c:pt>
                <c:pt idx="75">
                  <c:v>3489.2</c:v>
                </c:pt>
                <c:pt idx="76">
                  <c:v>3552</c:v>
                </c:pt>
                <c:pt idx="77">
                  <c:v>3859.7</c:v>
                </c:pt>
                <c:pt idx="78">
                  <c:v>3639.9</c:v>
                </c:pt>
                <c:pt idx="79">
                  <c:v>3854.2</c:v>
                </c:pt>
                <c:pt idx="80">
                  <c:v>3697.8</c:v>
                </c:pt>
                <c:pt idx="81">
                  <c:v>3582</c:v>
                </c:pt>
                <c:pt idx="82">
                  <c:v>3652.8</c:v>
                </c:pt>
                <c:pt idx="83">
                  <c:v>3474.7</c:v>
                </c:pt>
                <c:pt idx="84">
                  <c:v>3413.9</c:v>
                </c:pt>
                <c:pt idx="85">
                  <c:v>3520.9</c:v>
                </c:pt>
                <c:pt idx="86">
                  <c:v>3464.8</c:v>
                </c:pt>
                <c:pt idx="87">
                  <c:v>3713.5</c:v>
                </c:pt>
                <c:pt idx="88">
                  <c:v>3689.9</c:v>
                </c:pt>
                <c:pt idx="89">
                  <c:v>3820</c:v>
                </c:pt>
                <c:pt idx="90">
                  <c:v>3736</c:v>
                </c:pt>
                <c:pt idx="91">
                  <c:v>3869.3</c:v>
                </c:pt>
                <c:pt idx="92">
                  <c:v>3833.2</c:v>
                </c:pt>
                <c:pt idx="93">
                  <c:v>3716.3</c:v>
                </c:pt>
                <c:pt idx="94">
                  <c:v>3772.2</c:v>
                </c:pt>
                <c:pt idx="95">
                  <c:v>3650.8</c:v>
                </c:pt>
                <c:pt idx="96">
                  <c:v>3711</c:v>
                </c:pt>
                <c:pt idx="97">
                  <c:v>3470.8</c:v>
                </c:pt>
                <c:pt idx="98">
                  <c:v>3397.3</c:v>
                </c:pt>
                <c:pt idx="99">
                  <c:v>3772</c:v>
                </c:pt>
                <c:pt idx="100">
                  <c:v>3793.3</c:v>
                </c:pt>
                <c:pt idx="101">
                  <c:v>3853.7</c:v>
                </c:pt>
                <c:pt idx="102">
                  <c:v>3904.5</c:v>
                </c:pt>
                <c:pt idx="103">
                  <c:v>3911.2</c:v>
                </c:pt>
                <c:pt idx="104">
                  <c:v>3832.5</c:v>
                </c:pt>
                <c:pt idx="105">
                  <c:v>3717.4</c:v>
                </c:pt>
                <c:pt idx="106">
                  <c:v>3884.6</c:v>
                </c:pt>
                <c:pt idx="107">
                  <c:v>3700.4</c:v>
                </c:pt>
                <c:pt idx="108">
                  <c:v>3726.7</c:v>
                </c:pt>
                <c:pt idx="109">
                  <c:v>3680.6</c:v>
                </c:pt>
                <c:pt idx="110">
                  <c:v>3491.4</c:v>
                </c:pt>
                <c:pt idx="111">
                  <c:v>3874.3</c:v>
                </c:pt>
                <c:pt idx="112">
                  <c:v>3931.1</c:v>
                </c:pt>
                <c:pt idx="113">
                  <c:v>3973</c:v>
                </c:pt>
                <c:pt idx="114">
                  <c:v>3971.4</c:v>
                </c:pt>
                <c:pt idx="115">
                  <c:v>4103.6000000000004</c:v>
                </c:pt>
                <c:pt idx="116">
                  <c:v>3945.7</c:v>
                </c:pt>
                <c:pt idx="117">
                  <c:v>3977.8</c:v>
                </c:pt>
                <c:pt idx="118">
                  <c:v>3931.2</c:v>
                </c:pt>
                <c:pt idx="119">
                  <c:v>3796.3</c:v>
                </c:pt>
                <c:pt idx="120">
                  <c:v>3897.3</c:v>
                </c:pt>
                <c:pt idx="121">
                  <c:v>3685.9</c:v>
                </c:pt>
                <c:pt idx="122">
                  <c:v>3687</c:v>
                </c:pt>
                <c:pt idx="123">
                  <c:v>3973.2</c:v>
                </c:pt>
                <c:pt idx="124">
                  <c:v>3981.6</c:v>
                </c:pt>
                <c:pt idx="125">
                  <c:v>4030.6</c:v>
                </c:pt>
                <c:pt idx="126">
                  <c:v>4030.6</c:v>
                </c:pt>
                <c:pt idx="127">
                  <c:v>4148.3</c:v>
                </c:pt>
                <c:pt idx="128">
                  <c:v>4068.8</c:v>
                </c:pt>
                <c:pt idx="129">
                  <c:v>4045.7</c:v>
                </c:pt>
                <c:pt idx="130">
                  <c:v>4043.5</c:v>
                </c:pt>
                <c:pt idx="131">
                  <c:v>3921.4</c:v>
                </c:pt>
                <c:pt idx="132">
                  <c:v>3876.3</c:v>
                </c:pt>
                <c:pt idx="133">
                  <c:v>3928.4</c:v>
                </c:pt>
                <c:pt idx="134">
                  <c:v>3727.7</c:v>
                </c:pt>
                <c:pt idx="135">
                  <c:v>4044.9</c:v>
                </c:pt>
                <c:pt idx="136">
                  <c:v>4068.6</c:v>
                </c:pt>
                <c:pt idx="137">
                  <c:v>4240.1000000000004</c:v>
                </c:pt>
                <c:pt idx="138">
                  <c:v>4052.5</c:v>
                </c:pt>
                <c:pt idx="139">
                  <c:v>4230.7</c:v>
                </c:pt>
                <c:pt idx="140">
                  <c:v>4093</c:v>
                </c:pt>
                <c:pt idx="141">
                  <c:v>4174.1000000000004</c:v>
                </c:pt>
                <c:pt idx="142">
                  <c:v>4192.3</c:v>
                </c:pt>
                <c:pt idx="143">
                  <c:v>3998.1</c:v>
                </c:pt>
                <c:pt idx="144">
                  <c:v>4115.8</c:v>
                </c:pt>
                <c:pt idx="145">
                  <c:v>4048.7</c:v>
                </c:pt>
                <c:pt idx="146">
                  <c:v>3854.8</c:v>
                </c:pt>
                <c:pt idx="147">
                  <c:v>3930.9</c:v>
                </c:pt>
                <c:pt idx="148">
                  <c:v>4169.3</c:v>
                </c:pt>
                <c:pt idx="149">
                  <c:v>4070.6</c:v>
                </c:pt>
                <c:pt idx="150">
                  <c:v>4223.5</c:v>
                </c:pt>
                <c:pt idx="151">
                  <c:v>4369.3</c:v>
                </c:pt>
                <c:pt idx="152">
                  <c:v>4112.6000000000004</c:v>
                </c:pt>
                <c:pt idx="153">
                  <c:v>4165.6000000000004</c:v>
                </c:pt>
                <c:pt idx="154">
                  <c:v>4212.6000000000004</c:v>
                </c:pt>
                <c:pt idx="155">
                  <c:v>4163.5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93-4D1A-B83F-2482E8A9541C}"/>
            </c:ext>
          </c:extLst>
        </c:ser>
        <c:ser>
          <c:idx val="1"/>
          <c:order val="1"/>
          <c:tx>
            <c:v>Holt-Winters(Total Consumption)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3175">
                <a:solidFill>
                  <a:srgbClr val="FF0000"/>
                </a:solidFill>
                <a:prstDash val="solid"/>
              </a:ln>
            </c:spPr>
          </c:marker>
          <c:xVal>
            <c:numRef>
              <c:f>'[1]Holt-Winters'!$B$49:$B$205</c:f>
              <c:numCache>
                <c:formatCode>General</c:formatCode>
                <c:ptCount val="1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</c:numCache>
            </c:numRef>
          </c:xVal>
          <c:yVal>
            <c:numRef>
              <c:f>'[1]Holt-Winters'!$D$49:$D$205</c:f>
              <c:numCache>
                <c:formatCode>General</c:formatCode>
                <c:ptCount val="157"/>
                <c:pt idx="12">
                  <c:v>2796.8</c:v>
                </c:pt>
                <c:pt idx="13">
                  <c:v>2835.4844032558153</c:v>
                </c:pt>
                <c:pt idx="14">
                  <c:v>2812.5150422963352</c:v>
                </c:pt>
                <c:pt idx="15">
                  <c:v>3048.4245048370208</c:v>
                </c:pt>
                <c:pt idx="16">
                  <c:v>3032.3966642692985</c:v>
                </c:pt>
                <c:pt idx="17">
                  <c:v>3188.9097490335353</c:v>
                </c:pt>
                <c:pt idx="18">
                  <c:v>3086.4478281211277</c:v>
                </c:pt>
                <c:pt idx="19">
                  <c:v>3190.0741537245563</c:v>
                </c:pt>
                <c:pt idx="20">
                  <c:v>3131.1036886195302</c:v>
                </c:pt>
                <c:pt idx="21">
                  <c:v>3007.417223529766</c:v>
                </c:pt>
                <c:pt idx="22">
                  <c:v>3273.7498560094873</c:v>
                </c:pt>
                <c:pt idx="23">
                  <c:v>3005.8976082486006</c:v>
                </c:pt>
                <c:pt idx="24">
                  <c:v>2942.9110353639626</c:v>
                </c:pt>
                <c:pt idx="25">
                  <c:v>2972.5243562168221</c:v>
                </c:pt>
                <c:pt idx="26">
                  <c:v>2935.5115687170546</c:v>
                </c:pt>
                <c:pt idx="27">
                  <c:v>3155.0313551393124</c:v>
                </c:pt>
                <c:pt idx="28">
                  <c:v>3160.629601814418</c:v>
                </c:pt>
                <c:pt idx="29">
                  <c:v>3319.8030698871075</c:v>
                </c:pt>
                <c:pt idx="30">
                  <c:v>3184.2310332839115</c:v>
                </c:pt>
                <c:pt idx="31">
                  <c:v>3362.1492424500098</c:v>
                </c:pt>
                <c:pt idx="32">
                  <c:v>3250.222680246382</c:v>
                </c:pt>
                <c:pt idx="33">
                  <c:v>3142.0431632687737</c:v>
                </c:pt>
                <c:pt idx="34">
                  <c:v>3388.7858209602186</c:v>
                </c:pt>
                <c:pt idx="35">
                  <c:v>3150.9111050538781</c:v>
                </c:pt>
                <c:pt idx="36">
                  <c:v>3107.0878052983917</c:v>
                </c:pt>
                <c:pt idx="37">
                  <c:v>3048.1137391475081</c:v>
                </c:pt>
                <c:pt idx="38">
                  <c:v>3070.3799701168296</c:v>
                </c:pt>
                <c:pt idx="39">
                  <c:v>3234.4503434594585</c:v>
                </c:pt>
                <c:pt idx="40">
                  <c:v>3275.9200183431899</c:v>
                </c:pt>
                <c:pt idx="41">
                  <c:v>3372.9896069713977</c:v>
                </c:pt>
                <c:pt idx="42">
                  <c:v>3303.4091494915538</c:v>
                </c:pt>
                <c:pt idx="43">
                  <c:v>3439.2674389225608</c:v>
                </c:pt>
                <c:pt idx="44">
                  <c:v>3290.8570505696912</c:v>
                </c:pt>
                <c:pt idx="45">
                  <c:v>3246.3157976685129</c:v>
                </c:pt>
                <c:pt idx="46">
                  <c:v>3467.799456065703</c:v>
                </c:pt>
                <c:pt idx="47">
                  <c:v>3175.003986370752</c:v>
                </c:pt>
                <c:pt idx="48">
                  <c:v>3152.8060504648879</c:v>
                </c:pt>
                <c:pt idx="49">
                  <c:v>3059.6002907554666</c:v>
                </c:pt>
                <c:pt idx="50">
                  <c:v>3002.240383998736</c:v>
                </c:pt>
                <c:pt idx="51">
                  <c:v>3191.4800774070513</c:v>
                </c:pt>
                <c:pt idx="52">
                  <c:v>3186.5148063496636</c:v>
                </c:pt>
                <c:pt idx="53">
                  <c:v>3250.5940649927943</c:v>
                </c:pt>
                <c:pt idx="54">
                  <c:v>3222.8809582029239</c:v>
                </c:pt>
                <c:pt idx="55">
                  <c:v>3329.8799701645553</c:v>
                </c:pt>
                <c:pt idx="56">
                  <c:v>3310.4525771002054</c:v>
                </c:pt>
                <c:pt idx="57">
                  <c:v>3268.8830545773631</c:v>
                </c:pt>
                <c:pt idx="58">
                  <c:v>3438.4379156837344</c:v>
                </c:pt>
                <c:pt idx="59">
                  <c:v>3224.3094262110671</c:v>
                </c:pt>
                <c:pt idx="60">
                  <c:v>3204.954737972223</c:v>
                </c:pt>
                <c:pt idx="61">
                  <c:v>3174.9263423995808</c:v>
                </c:pt>
                <c:pt idx="62">
                  <c:v>3158.1549753063141</c:v>
                </c:pt>
                <c:pt idx="63">
                  <c:v>3430.252035311365</c:v>
                </c:pt>
                <c:pt idx="64">
                  <c:v>3483.4076520997278</c:v>
                </c:pt>
                <c:pt idx="65">
                  <c:v>3638.7569406321109</c:v>
                </c:pt>
                <c:pt idx="66">
                  <c:v>3596.4244841813784</c:v>
                </c:pt>
                <c:pt idx="67">
                  <c:v>3624.0032466345469</c:v>
                </c:pt>
                <c:pt idx="68">
                  <c:v>3613.1680226968065</c:v>
                </c:pt>
                <c:pt idx="69">
                  <c:v>3552.0351644646007</c:v>
                </c:pt>
                <c:pt idx="70">
                  <c:v>3641.8207803551222</c:v>
                </c:pt>
                <c:pt idx="71">
                  <c:v>3469.7999935285848</c:v>
                </c:pt>
                <c:pt idx="72">
                  <c:v>3455.181022272272</c:v>
                </c:pt>
                <c:pt idx="73">
                  <c:v>3435.8546050269761</c:v>
                </c:pt>
                <c:pt idx="74">
                  <c:v>3418.4124652658847</c:v>
                </c:pt>
                <c:pt idx="75">
                  <c:v>3581.9298591129404</c:v>
                </c:pt>
                <c:pt idx="76">
                  <c:v>3544.631917602866</c:v>
                </c:pt>
                <c:pt idx="77">
                  <c:v>3717.0478843749465</c:v>
                </c:pt>
                <c:pt idx="78">
                  <c:v>3671.4846694156781</c:v>
                </c:pt>
                <c:pt idx="79">
                  <c:v>3697.5930733428913</c:v>
                </c:pt>
                <c:pt idx="80">
                  <c:v>3725.0819059993228</c:v>
                </c:pt>
                <c:pt idx="81">
                  <c:v>3675.7128501899115</c:v>
                </c:pt>
                <c:pt idx="82">
                  <c:v>3753.9665460671508</c:v>
                </c:pt>
                <c:pt idx="83">
                  <c:v>3601.686327291116</c:v>
                </c:pt>
                <c:pt idx="84">
                  <c:v>3479.1787962181306</c:v>
                </c:pt>
                <c:pt idx="85">
                  <c:v>3434.1157348513384</c:v>
                </c:pt>
                <c:pt idx="86">
                  <c:v>3421.113311232772</c:v>
                </c:pt>
                <c:pt idx="87">
                  <c:v>3624.8627072993249</c:v>
                </c:pt>
                <c:pt idx="88">
                  <c:v>3649.8463292569631</c:v>
                </c:pt>
                <c:pt idx="89">
                  <c:v>3854.5810490628346</c:v>
                </c:pt>
                <c:pt idx="90">
                  <c:v>3734.7914103217026</c:v>
                </c:pt>
                <c:pt idx="91">
                  <c:v>3801.8203763262773</c:v>
                </c:pt>
                <c:pt idx="92">
                  <c:v>3774.6213248284885</c:v>
                </c:pt>
                <c:pt idx="93">
                  <c:v>3734.369529548555</c:v>
                </c:pt>
                <c:pt idx="94">
                  <c:v>3829.9880740426388</c:v>
                </c:pt>
                <c:pt idx="95">
                  <c:v>3684.182575505753</c:v>
                </c:pt>
                <c:pt idx="96">
                  <c:v>3596.2652428558254</c:v>
                </c:pt>
                <c:pt idx="97">
                  <c:v>3623.6736737417082</c:v>
                </c:pt>
                <c:pt idx="98">
                  <c:v>3545.1586664077372</c:v>
                </c:pt>
                <c:pt idx="99">
                  <c:v>3709.6605922232452</c:v>
                </c:pt>
                <c:pt idx="100">
                  <c:v>3719.1831536227583</c:v>
                </c:pt>
                <c:pt idx="101">
                  <c:v>3918.7898815628378</c:v>
                </c:pt>
                <c:pt idx="102">
                  <c:v>3797.3561047159642</c:v>
                </c:pt>
                <c:pt idx="103">
                  <c:v>3901.9486407096706</c:v>
                </c:pt>
                <c:pt idx="104">
                  <c:v>3858.7208212137398</c:v>
                </c:pt>
                <c:pt idx="105">
                  <c:v>3783.6214897950404</c:v>
                </c:pt>
                <c:pt idx="106">
                  <c:v>3859.5913671561993</c:v>
                </c:pt>
                <c:pt idx="107">
                  <c:v>3737.7994023975807</c:v>
                </c:pt>
                <c:pt idx="108">
                  <c:v>3674.4154002749974</c:v>
                </c:pt>
                <c:pt idx="109">
                  <c:v>3638.7163359836727</c:v>
                </c:pt>
                <c:pt idx="110">
                  <c:v>3608.790865949476</c:v>
                </c:pt>
                <c:pt idx="111">
                  <c:v>3817.9715515620037</c:v>
                </c:pt>
                <c:pt idx="112">
                  <c:v>3828.3644140756055</c:v>
                </c:pt>
                <c:pt idx="113">
                  <c:v>4010.9080158883289</c:v>
                </c:pt>
                <c:pt idx="114">
                  <c:v>3926.9277856197291</c:v>
                </c:pt>
                <c:pt idx="115">
                  <c:v>3999.2459754577058</c:v>
                </c:pt>
                <c:pt idx="116">
                  <c:v>3973.7192906691866</c:v>
                </c:pt>
                <c:pt idx="117">
                  <c:v>3891.8518952574714</c:v>
                </c:pt>
                <c:pt idx="118">
                  <c:v>4022.4775728911341</c:v>
                </c:pt>
                <c:pt idx="119">
                  <c:v>3862.199948377232</c:v>
                </c:pt>
                <c:pt idx="120">
                  <c:v>3808.3542501494821</c:v>
                </c:pt>
                <c:pt idx="121">
                  <c:v>3780.7014303572223</c:v>
                </c:pt>
                <c:pt idx="122">
                  <c:v>3689.6429032055712</c:v>
                </c:pt>
                <c:pt idx="123">
                  <c:v>3958.186592390975</c:v>
                </c:pt>
                <c:pt idx="124">
                  <c:v>3967.2499859389723</c:v>
                </c:pt>
                <c:pt idx="125">
                  <c:v>4103.6552052374773</c:v>
                </c:pt>
                <c:pt idx="126">
                  <c:v>4025.5558183404446</c:v>
                </c:pt>
                <c:pt idx="127">
                  <c:v>4098.5584440635548</c:v>
                </c:pt>
                <c:pt idx="128">
                  <c:v>4035.948522922014</c:v>
                </c:pt>
                <c:pt idx="129">
                  <c:v>3988.7958334493801</c:v>
                </c:pt>
                <c:pt idx="130">
                  <c:v>4080.8593410502608</c:v>
                </c:pt>
                <c:pt idx="131">
                  <c:v>3938.1544147351278</c:v>
                </c:pt>
                <c:pt idx="132">
                  <c:v>3923.7139714051336</c:v>
                </c:pt>
                <c:pt idx="133">
                  <c:v>3829.9786476883887</c:v>
                </c:pt>
                <c:pt idx="134">
                  <c:v>3802.7786087175759</c:v>
                </c:pt>
                <c:pt idx="135">
                  <c:v>4056.8488661665374</c:v>
                </c:pt>
                <c:pt idx="136">
                  <c:v>4059.1896852161876</c:v>
                </c:pt>
                <c:pt idx="137">
                  <c:v>4178.9820410803322</c:v>
                </c:pt>
                <c:pt idx="138">
                  <c:v>4147.9990273446183</c:v>
                </c:pt>
                <c:pt idx="139">
                  <c:v>4204.4248014463919</c:v>
                </c:pt>
                <c:pt idx="140">
                  <c:v>4133.1205422261037</c:v>
                </c:pt>
                <c:pt idx="141">
                  <c:v>4072.0139061056743</c:v>
                </c:pt>
                <c:pt idx="142">
                  <c:v>4158.411432207311</c:v>
                </c:pt>
                <c:pt idx="143">
                  <c:v>4036.9490747058594</c:v>
                </c:pt>
                <c:pt idx="144">
                  <c:v>4011.836301440308</c:v>
                </c:pt>
                <c:pt idx="145">
                  <c:v>3981.5662987811775</c:v>
                </c:pt>
                <c:pt idx="146">
                  <c:v>3916.9470778899827</c:v>
                </c:pt>
                <c:pt idx="147">
                  <c:v>4186.0462709834774</c:v>
                </c:pt>
                <c:pt idx="148">
                  <c:v>4132.3095641668433</c:v>
                </c:pt>
                <c:pt idx="149">
                  <c:v>4267.6226799133474</c:v>
                </c:pt>
                <c:pt idx="150">
                  <c:v>4144.4828448742028</c:v>
                </c:pt>
                <c:pt idx="151">
                  <c:v>4264.2079829637778</c:v>
                </c:pt>
                <c:pt idx="152">
                  <c:v>4200.1578941794278</c:v>
                </c:pt>
                <c:pt idx="153">
                  <c:v>4151.8946454244242</c:v>
                </c:pt>
                <c:pt idx="154">
                  <c:v>4203.7189267752101</c:v>
                </c:pt>
                <c:pt idx="155">
                  <c:v>4062.2368837266808</c:v>
                </c:pt>
                <c:pt idx="156">
                  <c:v>4096.0094332180743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93-4D1A-B83F-2482E8A9541C}"/>
            </c:ext>
          </c:extLst>
        </c:ser>
        <c:ser>
          <c:idx val="2"/>
          <c:order val="2"/>
          <c:tx>
            <c:v>Lower bound (95%)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'[1]Holt-Winters'!$B$205</c:f>
              <c:numCache>
                <c:formatCode>General</c:formatCode>
                <c:ptCount val="1"/>
                <c:pt idx="0">
                  <c:v>157</c:v>
                </c:pt>
              </c:numCache>
            </c:numRef>
          </c:xVal>
          <c:yVal>
            <c:numRef>
              <c:f>'[1]Holt-Winters'!$F$205</c:f>
              <c:numCache>
                <c:formatCode>General</c:formatCode>
                <c:ptCount val="1"/>
                <c:pt idx="0">
                  <c:v>3915.4970084655106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93-4D1A-B83F-2482E8A9541C}"/>
            </c:ext>
          </c:extLst>
        </c:ser>
        <c:ser>
          <c:idx val="3"/>
          <c:order val="3"/>
          <c:tx>
            <c:v>Upper bound (95%)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'[1]Holt-Winters'!$B$205</c:f>
              <c:numCache>
                <c:formatCode>General</c:formatCode>
                <c:ptCount val="1"/>
                <c:pt idx="0">
                  <c:v>157</c:v>
                </c:pt>
              </c:numCache>
            </c:numRef>
          </c:xVal>
          <c:yVal>
            <c:numRef>
              <c:f>'[1]Holt-Winters'!$G$205</c:f>
              <c:numCache>
                <c:formatCode>General</c:formatCode>
                <c:ptCount val="1"/>
                <c:pt idx="0">
                  <c:v>4276.5218579706379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93-4D1A-B83F-2482E8A95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277368"/>
        <c:axId val="597272120"/>
      </c:scatterChart>
      <c:valAx>
        <c:axId val="597277368"/>
        <c:scaling>
          <c:orientation val="minMax"/>
          <c:max val="1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97272120"/>
        <c:crosses val="autoZero"/>
        <c:crossBetween val="midCat"/>
      </c:valAx>
      <c:valAx>
        <c:axId val="597272120"/>
        <c:scaling>
          <c:orientation val="minMax"/>
          <c:max val="4500"/>
          <c:min val="27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Total Consumption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9727736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SG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numRef>
              <c:f>'[1]Holt-Winters'!$B$49:$B$204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'[1]Holt-Winters'!$E$49:$E$204</c:f>
              <c:numCache>
                <c:formatCode>General</c:formatCode>
                <c:ptCount val="156"/>
                <c:pt idx="12">
                  <c:v>178.5</c:v>
                </c:pt>
                <c:pt idx="13">
                  <c:v>51.915596744184768</c:v>
                </c:pt>
                <c:pt idx="14">
                  <c:v>81.284957703664986</c:v>
                </c:pt>
                <c:pt idx="15">
                  <c:v>-24.824504837020868</c:v>
                </c:pt>
                <c:pt idx="16">
                  <c:v>60.103335730701474</c:v>
                </c:pt>
                <c:pt idx="17">
                  <c:v>-6.8097490335353541</c:v>
                </c:pt>
                <c:pt idx="18">
                  <c:v>-78.947828121127714</c:v>
                </c:pt>
                <c:pt idx="19">
                  <c:v>73.925846275443746</c:v>
                </c:pt>
                <c:pt idx="20">
                  <c:v>-17.103688619530203</c:v>
                </c:pt>
                <c:pt idx="21">
                  <c:v>99.682776470233875</c:v>
                </c:pt>
                <c:pt idx="22">
                  <c:v>-58.749856009487303</c:v>
                </c:pt>
                <c:pt idx="23">
                  <c:v>33.5023917513995</c:v>
                </c:pt>
                <c:pt idx="24">
                  <c:v>223.48896463603751</c:v>
                </c:pt>
                <c:pt idx="25">
                  <c:v>-33.924356216822162</c:v>
                </c:pt>
                <c:pt idx="26">
                  <c:v>83.288431282945567</c:v>
                </c:pt>
                <c:pt idx="27">
                  <c:v>-5.0313551393123817</c:v>
                </c:pt>
                <c:pt idx="28">
                  <c:v>110.47039818558187</c:v>
                </c:pt>
                <c:pt idx="29">
                  <c:v>-97.30306988710754</c:v>
                </c:pt>
                <c:pt idx="30">
                  <c:v>104.66896671608856</c:v>
                </c:pt>
                <c:pt idx="31">
                  <c:v>-84.74924245000966</c:v>
                </c:pt>
                <c:pt idx="32">
                  <c:v>-44.422680246381788</c:v>
                </c:pt>
                <c:pt idx="33">
                  <c:v>126.15683673122612</c:v>
                </c:pt>
                <c:pt idx="34">
                  <c:v>-10.685820960218734</c:v>
                </c:pt>
                <c:pt idx="35">
                  <c:v>-31.711105053878327</c:v>
                </c:pt>
                <c:pt idx="36">
                  <c:v>42.712194701608496</c:v>
                </c:pt>
                <c:pt idx="37">
                  <c:v>118.08626085249171</c:v>
                </c:pt>
                <c:pt idx="38">
                  <c:v>-83.179970116829736</c:v>
                </c:pt>
                <c:pt idx="39">
                  <c:v>54.549656540541491</c:v>
                </c:pt>
                <c:pt idx="40">
                  <c:v>3.6799816568100141</c:v>
                </c:pt>
                <c:pt idx="41">
                  <c:v>23.110393028602175</c:v>
                </c:pt>
                <c:pt idx="42">
                  <c:v>65.090850508446238</c:v>
                </c:pt>
                <c:pt idx="43">
                  <c:v>-263.1674389225609</c:v>
                </c:pt>
                <c:pt idx="44">
                  <c:v>90.642949430308818</c:v>
                </c:pt>
                <c:pt idx="45">
                  <c:v>118.58420233148718</c:v>
                </c:pt>
                <c:pt idx="46">
                  <c:v>-218.799456065703</c:v>
                </c:pt>
                <c:pt idx="47">
                  <c:v>4.1960136292477728</c:v>
                </c:pt>
                <c:pt idx="48">
                  <c:v>-146.90605046488781</c:v>
                </c:pt>
                <c:pt idx="49">
                  <c:v>-54.800290755466449</c:v>
                </c:pt>
                <c:pt idx="50">
                  <c:v>-71.14038399873607</c:v>
                </c:pt>
                <c:pt idx="51">
                  <c:v>-87.98007740705134</c:v>
                </c:pt>
                <c:pt idx="52">
                  <c:v>-131.61480634966347</c:v>
                </c:pt>
                <c:pt idx="53">
                  <c:v>175.00593500720561</c:v>
                </c:pt>
                <c:pt idx="54">
                  <c:v>191.21904179707599</c:v>
                </c:pt>
                <c:pt idx="55">
                  <c:v>12.820029835444529</c:v>
                </c:pt>
                <c:pt idx="56">
                  <c:v>85.247422899794401</c:v>
                </c:pt>
                <c:pt idx="57">
                  <c:v>150.61694542263695</c:v>
                </c:pt>
                <c:pt idx="58">
                  <c:v>-58.537915683734354</c:v>
                </c:pt>
                <c:pt idx="59">
                  <c:v>120.79057378893276</c:v>
                </c:pt>
                <c:pt idx="60">
                  <c:v>37.945262027777062</c:v>
                </c:pt>
                <c:pt idx="61">
                  <c:v>112.17365760041912</c:v>
                </c:pt>
                <c:pt idx="62">
                  <c:v>262.44502469368581</c:v>
                </c:pt>
                <c:pt idx="63">
                  <c:v>158.54796468863515</c:v>
                </c:pt>
                <c:pt idx="64">
                  <c:v>-4.007652099727693</c:v>
                </c:pt>
                <c:pt idx="65">
                  <c:v>79.943059367888964</c:v>
                </c:pt>
                <c:pt idx="66">
                  <c:v>-24.724484181378557</c:v>
                </c:pt>
                <c:pt idx="67">
                  <c:v>-22.50324663454694</c:v>
                </c:pt>
                <c:pt idx="68">
                  <c:v>-57.368022696806293</c:v>
                </c:pt>
                <c:pt idx="69">
                  <c:v>-37.135164464600621</c:v>
                </c:pt>
                <c:pt idx="70">
                  <c:v>-27.420780355122133</c:v>
                </c:pt>
                <c:pt idx="71">
                  <c:v>186.20000647141524</c:v>
                </c:pt>
                <c:pt idx="72">
                  <c:v>15.218977727728088</c:v>
                </c:pt>
                <c:pt idx="73">
                  <c:v>-9.3546050269760599</c:v>
                </c:pt>
                <c:pt idx="74">
                  <c:v>-110.41246526588475</c:v>
                </c:pt>
                <c:pt idx="75">
                  <c:v>-92.72985911294063</c:v>
                </c:pt>
                <c:pt idx="76">
                  <c:v>7.3680823971340033</c:v>
                </c:pt>
                <c:pt idx="77">
                  <c:v>142.65211562505328</c:v>
                </c:pt>
                <c:pt idx="78">
                  <c:v>-31.584669415678036</c:v>
                </c:pt>
                <c:pt idx="79">
                  <c:v>156.60692665710849</c:v>
                </c:pt>
                <c:pt idx="80">
                  <c:v>-27.281905999322589</c:v>
                </c:pt>
                <c:pt idx="81">
                  <c:v>-93.712850189911478</c:v>
                </c:pt>
                <c:pt idx="82">
                  <c:v>-101.16654606715065</c:v>
                </c:pt>
                <c:pt idx="83">
                  <c:v>-126.98632729111614</c:v>
                </c:pt>
                <c:pt idx="84">
                  <c:v>-65.278796218130537</c:v>
                </c:pt>
                <c:pt idx="85">
                  <c:v>86.784265148661689</c:v>
                </c:pt>
                <c:pt idx="86">
                  <c:v>43.686688767228134</c:v>
                </c:pt>
                <c:pt idx="87">
                  <c:v>88.637292700675061</c:v>
                </c:pt>
                <c:pt idx="88">
                  <c:v>40.053670743036946</c:v>
                </c:pt>
                <c:pt idx="89">
                  <c:v>-34.581049062834609</c:v>
                </c:pt>
                <c:pt idx="90">
                  <c:v>1.2085896782973578</c:v>
                </c:pt>
                <c:pt idx="91">
                  <c:v>67.479623673722926</c:v>
                </c:pt>
                <c:pt idx="92">
                  <c:v>58.57867517151135</c:v>
                </c:pt>
                <c:pt idx="93">
                  <c:v>-18.069529548554783</c:v>
                </c:pt>
                <c:pt idx="94">
                  <c:v>-57.788074042638982</c:v>
                </c:pt>
                <c:pt idx="95">
                  <c:v>-33.382575505752811</c:v>
                </c:pt>
                <c:pt idx="96">
                  <c:v>114.73475714417464</c:v>
                </c:pt>
                <c:pt idx="97">
                  <c:v>-152.87367374170799</c:v>
                </c:pt>
                <c:pt idx="98">
                  <c:v>-147.85866640773702</c:v>
                </c:pt>
                <c:pt idx="99">
                  <c:v>62.339407776754797</c:v>
                </c:pt>
                <c:pt idx="100">
                  <c:v>74.116846377241927</c:v>
                </c:pt>
                <c:pt idx="101">
                  <c:v>-65.089881562837945</c:v>
                </c:pt>
                <c:pt idx="102">
                  <c:v>107.14389528403581</c:v>
                </c:pt>
                <c:pt idx="103">
                  <c:v>9.2513592903292192</c:v>
                </c:pt>
                <c:pt idx="104">
                  <c:v>-26.220821213739782</c:v>
                </c:pt>
                <c:pt idx="105">
                  <c:v>-66.22148979504027</c:v>
                </c:pt>
                <c:pt idx="106">
                  <c:v>25.008632843800569</c:v>
                </c:pt>
                <c:pt idx="107">
                  <c:v>-37.399402397580616</c:v>
                </c:pt>
                <c:pt idx="108">
                  <c:v>52.284599725002408</c:v>
                </c:pt>
                <c:pt idx="109">
                  <c:v>41.883664016327202</c:v>
                </c:pt>
                <c:pt idx="110">
                  <c:v>-117.39086594947594</c:v>
                </c:pt>
                <c:pt idx="111">
                  <c:v>56.328448437996485</c:v>
                </c:pt>
                <c:pt idx="112">
                  <c:v>102.7355859243944</c:v>
                </c:pt>
                <c:pt idx="113">
                  <c:v>-37.908015888328919</c:v>
                </c:pt>
                <c:pt idx="114">
                  <c:v>44.472214380270998</c:v>
                </c:pt>
                <c:pt idx="115">
                  <c:v>104.35402454229461</c:v>
                </c:pt>
                <c:pt idx="116">
                  <c:v>-28.01929066918683</c:v>
                </c:pt>
                <c:pt idx="117">
                  <c:v>85.948104742528812</c:v>
                </c:pt>
                <c:pt idx="118">
                  <c:v>-91.277572891134241</c:v>
                </c:pt>
                <c:pt idx="119">
                  <c:v>-65.899948377231794</c:v>
                </c:pt>
                <c:pt idx="120">
                  <c:v>88.945749850518041</c:v>
                </c:pt>
                <c:pt idx="121">
                  <c:v>-94.801430357222216</c:v>
                </c:pt>
                <c:pt idx="122">
                  <c:v>-2.6429032055712014</c:v>
                </c:pt>
                <c:pt idx="123">
                  <c:v>15.013407609024853</c:v>
                </c:pt>
                <c:pt idx="124">
                  <c:v>14.35001406102765</c:v>
                </c:pt>
                <c:pt idx="125">
                  <c:v>-73.055205237477367</c:v>
                </c:pt>
                <c:pt idx="126">
                  <c:v>5.0441816595553064</c:v>
                </c:pt>
                <c:pt idx="127">
                  <c:v>49.741555936445366</c:v>
                </c:pt>
                <c:pt idx="128">
                  <c:v>32.851477077986146</c:v>
                </c:pt>
                <c:pt idx="129">
                  <c:v>56.904166550619721</c:v>
                </c:pt>
                <c:pt idx="130">
                  <c:v>-37.359341050260809</c:v>
                </c:pt>
                <c:pt idx="131">
                  <c:v>-16.754414735127739</c:v>
                </c:pt>
                <c:pt idx="132">
                  <c:v>-47.413971405133452</c:v>
                </c:pt>
                <c:pt idx="133">
                  <c:v>98.421352311611372</c:v>
                </c:pt>
                <c:pt idx="134">
                  <c:v>-75.078608717576117</c:v>
                </c:pt>
                <c:pt idx="135">
                  <c:v>-11.9488661665373</c:v>
                </c:pt>
                <c:pt idx="136">
                  <c:v>9.4103147838122823</c:v>
                </c:pt>
                <c:pt idx="137">
                  <c:v>61.117958919668126</c:v>
                </c:pt>
                <c:pt idx="138">
                  <c:v>-95.499027344618298</c:v>
                </c:pt>
                <c:pt idx="139">
                  <c:v>26.275198553607879</c:v>
                </c:pt>
                <c:pt idx="140">
                  <c:v>-40.12054222610368</c:v>
                </c:pt>
                <c:pt idx="141">
                  <c:v>102.08609389432604</c:v>
                </c:pt>
                <c:pt idx="142">
                  <c:v>33.888567792689173</c:v>
                </c:pt>
                <c:pt idx="143">
                  <c:v>-38.849074705859493</c:v>
                </c:pt>
                <c:pt idx="144">
                  <c:v>103.96369855969215</c:v>
                </c:pt>
                <c:pt idx="145">
                  <c:v>67.133701218822353</c:v>
                </c:pt>
                <c:pt idx="146">
                  <c:v>-62.147077889982484</c:v>
                </c:pt>
                <c:pt idx="147">
                  <c:v>-255.14627098347728</c:v>
                </c:pt>
                <c:pt idx="148">
                  <c:v>36.99043583315688</c:v>
                </c:pt>
                <c:pt idx="149">
                  <c:v>-197.02267991334747</c:v>
                </c:pt>
                <c:pt idx="150">
                  <c:v>79.017155125797217</c:v>
                </c:pt>
                <c:pt idx="151">
                  <c:v>105.09201703622239</c:v>
                </c:pt>
                <c:pt idx="152">
                  <c:v>-87.557894179427421</c:v>
                </c:pt>
                <c:pt idx="153">
                  <c:v>13.705354575576166</c:v>
                </c:pt>
                <c:pt idx="154">
                  <c:v>8.8810732247902706</c:v>
                </c:pt>
                <c:pt idx="155">
                  <c:v>101.26311627331916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C-4B0E-ABA3-8CD9918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97275728"/>
        <c:axId val="597276056"/>
      </c:barChart>
      <c:catAx>
        <c:axId val="597275728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97276056"/>
        <c:crosses val="autoZero"/>
        <c:auto val="1"/>
        <c:lblAlgn val="ctr"/>
        <c:lblOffset val="100"/>
        <c:noMultiLvlLbl val="0"/>
      </c:catAx>
      <c:valAx>
        <c:axId val="5972760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97275728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ARIMA (Industry related)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Industry related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'2.1.Industry Consumption Pred'!$B$62:$B$217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'2.1.Industry Consumption Pred'!$C$62:$C$217</c:f>
              <c:numCache>
                <c:formatCode>0.000</c:formatCode>
                <c:ptCount val="156"/>
                <c:pt idx="0">
                  <c:v>1179.4000000000001</c:v>
                </c:pt>
                <c:pt idx="1">
                  <c:v>1171.2</c:v>
                </c:pt>
                <c:pt idx="2">
                  <c:v>1108.5</c:v>
                </c:pt>
                <c:pt idx="3">
                  <c:v>1233.8</c:v>
                </c:pt>
                <c:pt idx="4">
                  <c:v>1163.0999999999999</c:v>
                </c:pt>
                <c:pt idx="5">
                  <c:v>1220</c:v>
                </c:pt>
                <c:pt idx="6">
                  <c:v>1243.0999999999999</c:v>
                </c:pt>
                <c:pt idx="7">
                  <c:v>1272.0999999999999</c:v>
                </c:pt>
                <c:pt idx="8">
                  <c:v>1226.3</c:v>
                </c:pt>
                <c:pt idx="9">
                  <c:v>1150.0999999999999</c:v>
                </c:pt>
                <c:pt idx="10">
                  <c:v>1318.2</c:v>
                </c:pt>
                <c:pt idx="11">
                  <c:v>1223.2</c:v>
                </c:pt>
                <c:pt idx="12">
                  <c:v>1266.3</c:v>
                </c:pt>
                <c:pt idx="13">
                  <c:v>1212.9000000000001</c:v>
                </c:pt>
                <c:pt idx="14">
                  <c:v>1184.4000000000001</c:v>
                </c:pt>
                <c:pt idx="15">
                  <c:v>1262</c:v>
                </c:pt>
                <c:pt idx="16">
                  <c:v>1243.7</c:v>
                </c:pt>
                <c:pt idx="17">
                  <c:v>1324.6</c:v>
                </c:pt>
                <c:pt idx="18">
                  <c:v>1230.9000000000001</c:v>
                </c:pt>
                <c:pt idx="19">
                  <c:v>1321.1</c:v>
                </c:pt>
                <c:pt idx="20">
                  <c:v>1257.5</c:v>
                </c:pt>
                <c:pt idx="21">
                  <c:v>1249.8</c:v>
                </c:pt>
                <c:pt idx="22">
                  <c:v>1291.8</c:v>
                </c:pt>
                <c:pt idx="23">
                  <c:v>1270.3</c:v>
                </c:pt>
                <c:pt idx="24">
                  <c:v>1338</c:v>
                </c:pt>
                <c:pt idx="25">
                  <c:v>1257.2</c:v>
                </c:pt>
                <c:pt idx="26">
                  <c:v>1241.4000000000001</c:v>
                </c:pt>
                <c:pt idx="27">
                  <c:v>1311.7</c:v>
                </c:pt>
                <c:pt idx="28">
                  <c:v>1323.7</c:v>
                </c:pt>
                <c:pt idx="29">
                  <c:v>1304.4000000000001</c:v>
                </c:pt>
                <c:pt idx="30">
                  <c:v>1344.6</c:v>
                </c:pt>
                <c:pt idx="31">
                  <c:v>1296.5</c:v>
                </c:pt>
                <c:pt idx="32">
                  <c:v>1359.9</c:v>
                </c:pt>
                <c:pt idx="33">
                  <c:v>1345.8</c:v>
                </c:pt>
                <c:pt idx="34">
                  <c:v>1403.2</c:v>
                </c:pt>
                <c:pt idx="35">
                  <c:v>1292.4000000000001</c:v>
                </c:pt>
                <c:pt idx="36">
                  <c:v>1280.9000000000001</c:v>
                </c:pt>
                <c:pt idx="37">
                  <c:v>1329.7</c:v>
                </c:pt>
                <c:pt idx="38">
                  <c:v>1236</c:v>
                </c:pt>
                <c:pt idx="39">
                  <c:v>1362.3</c:v>
                </c:pt>
                <c:pt idx="40">
                  <c:v>1335.3</c:v>
                </c:pt>
                <c:pt idx="41">
                  <c:v>1352.4</c:v>
                </c:pt>
                <c:pt idx="42">
                  <c:v>1385.2</c:v>
                </c:pt>
                <c:pt idx="43">
                  <c:v>1320.1</c:v>
                </c:pt>
                <c:pt idx="44">
                  <c:v>1398.4</c:v>
                </c:pt>
                <c:pt idx="45">
                  <c:v>1395.4</c:v>
                </c:pt>
                <c:pt idx="46">
                  <c:v>1340.1</c:v>
                </c:pt>
                <c:pt idx="47">
                  <c:v>1294.7</c:v>
                </c:pt>
                <c:pt idx="48">
                  <c:v>1217.9000000000001</c:v>
                </c:pt>
                <c:pt idx="49">
                  <c:v>1210.5</c:v>
                </c:pt>
                <c:pt idx="50">
                  <c:v>1142.4000000000001</c:v>
                </c:pt>
                <c:pt idx="51">
                  <c:v>1229.2</c:v>
                </c:pt>
                <c:pt idx="52">
                  <c:v>1143.9000000000001</c:v>
                </c:pt>
                <c:pt idx="53">
                  <c:v>1340.6</c:v>
                </c:pt>
                <c:pt idx="54">
                  <c:v>1361.2</c:v>
                </c:pt>
                <c:pt idx="55">
                  <c:v>1365.1</c:v>
                </c:pt>
                <c:pt idx="56">
                  <c:v>1391.5</c:v>
                </c:pt>
                <c:pt idx="57">
                  <c:v>1377.1</c:v>
                </c:pt>
                <c:pt idx="58">
                  <c:v>1394.2</c:v>
                </c:pt>
                <c:pt idx="59">
                  <c:v>1396.8</c:v>
                </c:pt>
                <c:pt idx="60">
                  <c:v>1395.9</c:v>
                </c:pt>
                <c:pt idx="61">
                  <c:v>1405.9</c:v>
                </c:pt>
                <c:pt idx="62">
                  <c:v>1329.3</c:v>
                </c:pt>
                <c:pt idx="63">
                  <c:v>1488.9</c:v>
                </c:pt>
                <c:pt idx="64">
                  <c:v>1471.5</c:v>
                </c:pt>
                <c:pt idx="65">
                  <c:v>1523.8</c:v>
                </c:pt>
                <c:pt idx="66">
                  <c:v>1474.1</c:v>
                </c:pt>
                <c:pt idx="67">
                  <c:v>1538.4</c:v>
                </c:pt>
                <c:pt idx="68">
                  <c:v>1516.6</c:v>
                </c:pt>
                <c:pt idx="69">
                  <c:v>1472.5</c:v>
                </c:pt>
                <c:pt idx="70">
                  <c:v>1516.5</c:v>
                </c:pt>
                <c:pt idx="71">
                  <c:v>1529</c:v>
                </c:pt>
                <c:pt idx="72">
                  <c:v>1498.5</c:v>
                </c:pt>
                <c:pt idx="73">
                  <c:v>1506.3</c:v>
                </c:pt>
                <c:pt idx="74">
                  <c:v>1386.5</c:v>
                </c:pt>
                <c:pt idx="75">
                  <c:v>1472.5</c:v>
                </c:pt>
                <c:pt idx="76">
                  <c:v>1458.2</c:v>
                </c:pt>
                <c:pt idx="77">
                  <c:v>1624.4</c:v>
                </c:pt>
                <c:pt idx="78">
                  <c:v>1537.9</c:v>
                </c:pt>
                <c:pt idx="79">
                  <c:v>1591.2</c:v>
                </c:pt>
                <c:pt idx="80">
                  <c:v>1530.2</c:v>
                </c:pt>
                <c:pt idx="81">
                  <c:v>1513.1</c:v>
                </c:pt>
                <c:pt idx="82">
                  <c:v>1500.8</c:v>
                </c:pt>
                <c:pt idx="83">
                  <c:v>1457.9</c:v>
                </c:pt>
                <c:pt idx="84">
                  <c:v>1494.9</c:v>
                </c:pt>
                <c:pt idx="85">
                  <c:v>1456</c:v>
                </c:pt>
                <c:pt idx="86">
                  <c:v>1459.3</c:v>
                </c:pt>
                <c:pt idx="87">
                  <c:v>1560.6</c:v>
                </c:pt>
                <c:pt idx="88">
                  <c:v>1522.4</c:v>
                </c:pt>
                <c:pt idx="89">
                  <c:v>1595</c:v>
                </c:pt>
                <c:pt idx="90">
                  <c:v>1540.3</c:v>
                </c:pt>
                <c:pt idx="91">
                  <c:v>1613.8</c:v>
                </c:pt>
                <c:pt idx="92">
                  <c:v>1634.4</c:v>
                </c:pt>
                <c:pt idx="93">
                  <c:v>1558.8</c:v>
                </c:pt>
                <c:pt idx="94">
                  <c:v>1602</c:v>
                </c:pt>
                <c:pt idx="95">
                  <c:v>1534.9</c:v>
                </c:pt>
                <c:pt idx="96">
                  <c:v>1594.3</c:v>
                </c:pt>
                <c:pt idx="97">
                  <c:v>1479.1</c:v>
                </c:pt>
                <c:pt idx="98">
                  <c:v>1410.8</c:v>
                </c:pt>
                <c:pt idx="99">
                  <c:v>1576.8</c:v>
                </c:pt>
                <c:pt idx="100">
                  <c:v>1567.9</c:v>
                </c:pt>
                <c:pt idx="101">
                  <c:v>1586</c:v>
                </c:pt>
                <c:pt idx="102">
                  <c:v>1598.4</c:v>
                </c:pt>
                <c:pt idx="103">
                  <c:v>1644.9</c:v>
                </c:pt>
                <c:pt idx="104">
                  <c:v>1636.3</c:v>
                </c:pt>
                <c:pt idx="105">
                  <c:v>1534.1</c:v>
                </c:pt>
                <c:pt idx="106">
                  <c:v>1641.7</c:v>
                </c:pt>
                <c:pt idx="107">
                  <c:v>1572.5</c:v>
                </c:pt>
                <c:pt idx="108">
                  <c:v>1645.6</c:v>
                </c:pt>
                <c:pt idx="109">
                  <c:v>1609.5</c:v>
                </c:pt>
                <c:pt idx="110">
                  <c:v>1488.1</c:v>
                </c:pt>
                <c:pt idx="111">
                  <c:v>1666.3</c:v>
                </c:pt>
                <c:pt idx="112">
                  <c:v>1681.2</c:v>
                </c:pt>
                <c:pt idx="113">
                  <c:v>1656.8</c:v>
                </c:pt>
                <c:pt idx="114">
                  <c:v>1663.1</c:v>
                </c:pt>
                <c:pt idx="115">
                  <c:v>1746.1</c:v>
                </c:pt>
                <c:pt idx="116">
                  <c:v>1676.4</c:v>
                </c:pt>
                <c:pt idx="117">
                  <c:v>1712.3</c:v>
                </c:pt>
                <c:pt idx="118">
                  <c:v>1632.2</c:v>
                </c:pt>
                <c:pt idx="119">
                  <c:v>1575.6</c:v>
                </c:pt>
                <c:pt idx="120">
                  <c:v>1732.8</c:v>
                </c:pt>
                <c:pt idx="121">
                  <c:v>1636.4</c:v>
                </c:pt>
                <c:pt idx="122">
                  <c:v>1581.1</c:v>
                </c:pt>
                <c:pt idx="123">
                  <c:v>1693.7</c:v>
                </c:pt>
                <c:pt idx="124">
                  <c:v>1675.9</c:v>
                </c:pt>
                <c:pt idx="125">
                  <c:v>1674.8</c:v>
                </c:pt>
                <c:pt idx="126">
                  <c:v>1679.7</c:v>
                </c:pt>
                <c:pt idx="127">
                  <c:v>1736.7</c:v>
                </c:pt>
                <c:pt idx="128">
                  <c:v>1717</c:v>
                </c:pt>
                <c:pt idx="129">
                  <c:v>1676.6</c:v>
                </c:pt>
                <c:pt idx="130">
                  <c:v>1657.7</c:v>
                </c:pt>
                <c:pt idx="131">
                  <c:v>1625.7</c:v>
                </c:pt>
                <c:pt idx="132">
                  <c:v>1649.1</c:v>
                </c:pt>
                <c:pt idx="133">
                  <c:v>1661.6</c:v>
                </c:pt>
                <c:pt idx="134">
                  <c:v>1533.8</c:v>
                </c:pt>
                <c:pt idx="135">
                  <c:v>1647.1</c:v>
                </c:pt>
                <c:pt idx="136">
                  <c:v>1644.8</c:v>
                </c:pt>
                <c:pt idx="137">
                  <c:v>1742.5</c:v>
                </c:pt>
                <c:pt idx="138">
                  <c:v>1719.7</c:v>
                </c:pt>
                <c:pt idx="139">
                  <c:v>1798.7</c:v>
                </c:pt>
                <c:pt idx="140">
                  <c:v>1739.3</c:v>
                </c:pt>
                <c:pt idx="141">
                  <c:v>1786.2</c:v>
                </c:pt>
                <c:pt idx="142">
                  <c:v>1785.8</c:v>
                </c:pt>
                <c:pt idx="143">
                  <c:v>1712.4</c:v>
                </c:pt>
                <c:pt idx="144">
                  <c:v>1841.1</c:v>
                </c:pt>
                <c:pt idx="145">
                  <c:v>1775.8</c:v>
                </c:pt>
                <c:pt idx="146">
                  <c:v>1647.4</c:v>
                </c:pt>
                <c:pt idx="147">
                  <c:v>1663.6</c:v>
                </c:pt>
                <c:pt idx="148">
                  <c:v>1770.3</c:v>
                </c:pt>
                <c:pt idx="149">
                  <c:v>1707</c:v>
                </c:pt>
                <c:pt idx="150">
                  <c:v>1761.3</c:v>
                </c:pt>
                <c:pt idx="151">
                  <c:v>1826.5</c:v>
                </c:pt>
                <c:pt idx="152">
                  <c:v>1719.3</c:v>
                </c:pt>
                <c:pt idx="153">
                  <c:v>1760.9</c:v>
                </c:pt>
                <c:pt idx="154">
                  <c:v>1758.4</c:v>
                </c:pt>
                <c:pt idx="155">
                  <c:v>1802.7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2C-4656-89C9-C681993C50D5}"/>
            </c:ext>
          </c:extLst>
        </c:ser>
        <c:ser>
          <c:idx val="1"/>
          <c:order val="1"/>
          <c:tx>
            <c:v>ARIMA (Industry related)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'2.1.Industry Consumption Pred'!$B$62:$B$217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'2.1.Industry Consumption Pred'!$D$62:$D$217</c:f>
              <c:numCache>
                <c:formatCode>0.000</c:formatCode>
                <c:ptCount val="156"/>
                <c:pt idx="0">
                  <c:v>1179.4000000000001</c:v>
                </c:pt>
                <c:pt idx="1">
                  <c:v>1171.2</c:v>
                </c:pt>
                <c:pt idx="2">
                  <c:v>1108.5</c:v>
                </c:pt>
                <c:pt idx="3">
                  <c:v>1233.8</c:v>
                </c:pt>
                <c:pt idx="4">
                  <c:v>1163.0999999999999</c:v>
                </c:pt>
                <c:pt idx="5">
                  <c:v>1220</c:v>
                </c:pt>
                <c:pt idx="6">
                  <c:v>1243.0999999999999</c:v>
                </c:pt>
                <c:pt idx="7">
                  <c:v>1272.0999999999999</c:v>
                </c:pt>
                <c:pt idx="8">
                  <c:v>1226.3</c:v>
                </c:pt>
                <c:pt idx="9">
                  <c:v>1150.0999999999999</c:v>
                </c:pt>
                <c:pt idx="10">
                  <c:v>1318.2</c:v>
                </c:pt>
                <c:pt idx="11">
                  <c:v>1223.2</c:v>
                </c:pt>
                <c:pt idx="12">
                  <c:v>1266.3</c:v>
                </c:pt>
                <c:pt idx="13">
                  <c:v>1242.7535392026186</c:v>
                </c:pt>
                <c:pt idx="14">
                  <c:v>1175.1725659609799</c:v>
                </c:pt>
                <c:pt idx="15">
                  <c:v>1290.1294830230781</c:v>
                </c:pt>
                <c:pt idx="16">
                  <c:v>1221.2680554689498</c:v>
                </c:pt>
                <c:pt idx="17">
                  <c:v>1290.1372977126964</c:v>
                </c:pt>
                <c:pt idx="18">
                  <c:v>1303.6673639689759</c:v>
                </c:pt>
                <c:pt idx="19">
                  <c:v>1321.733745599536</c:v>
                </c:pt>
                <c:pt idx="20">
                  <c:v>1261.9789391004315</c:v>
                </c:pt>
                <c:pt idx="21">
                  <c:v>1200.2309407915625</c:v>
                </c:pt>
                <c:pt idx="22">
                  <c:v>1361.734928053834</c:v>
                </c:pt>
                <c:pt idx="23">
                  <c:v>1262.2866987129348</c:v>
                </c:pt>
                <c:pt idx="24">
                  <c:v>1297.0443445242042</c:v>
                </c:pt>
                <c:pt idx="25">
                  <c:v>1277.8211767766404</c:v>
                </c:pt>
                <c:pt idx="26">
                  <c:v>1235.4871293333858</c:v>
                </c:pt>
                <c:pt idx="27">
                  <c:v>1330.2552123217415</c:v>
                </c:pt>
                <c:pt idx="28">
                  <c:v>1287.8414633177749</c:v>
                </c:pt>
                <c:pt idx="29">
                  <c:v>1359.4846851885313</c:v>
                </c:pt>
                <c:pt idx="30">
                  <c:v>1312.1172730379838</c:v>
                </c:pt>
                <c:pt idx="31">
                  <c:v>1367.2145229404077</c:v>
                </c:pt>
                <c:pt idx="32">
                  <c:v>1303.3325970780836</c:v>
                </c:pt>
                <c:pt idx="33">
                  <c:v>1281.7176385685234</c:v>
                </c:pt>
                <c:pt idx="34">
                  <c:v>1408.0088430437831</c:v>
                </c:pt>
                <c:pt idx="35">
                  <c:v>1353.1601283938317</c:v>
                </c:pt>
                <c:pt idx="36">
                  <c:v>1367.4707936235516</c:v>
                </c:pt>
                <c:pt idx="37">
                  <c:v>1281.8816969943043</c:v>
                </c:pt>
                <c:pt idx="38">
                  <c:v>1255.6818789908996</c:v>
                </c:pt>
                <c:pt idx="39">
                  <c:v>1349.0858626241641</c:v>
                </c:pt>
                <c:pt idx="40">
                  <c:v>1334.0074432031367</c:v>
                </c:pt>
                <c:pt idx="41">
                  <c:v>1367.9082657278591</c:v>
                </c:pt>
                <c:pt idx="42">
                  <c:v>1360.9523296766911</c:v>
                </c:pt>
                <c:pt idx="43">
                  <c:v>1378.2446272379655</c:v>
                </c:pt>
                <c:pt idx="44">
                  <c:v>1361.7585411778514</c:v>
                </c:pt>
                <c:pt idx="45">
                  <c:v>1342.6137877426802</c:v>
                </c:pt>
                <c:pt idx="46">
                  <c:v>1438.9495567458025</c:v>
                </c:pt>
                <c:pt idx="47">
                  <c:v>1334.2687446547836</c:v>
                </c:pt>
                <c:pt idx="48">
                  <c:v>1324.6236687034432</c:v>
                </c:pt>
                <c:pt idx="49">
                  <c:v>1270.7357098518887</c:v>
                </c:pt>
                <c:pt idx="50">
                  <c:v>1189.1105785682248</c:v>
                </c:pt>
                <c:pt idx="51">
                  <c:v>1277.9193450248908</c:v>
                </c:pt>
                <c:pt idx="52">
                  <c:v>1240.2218892658482</c:v>
                </c:pt>
                <c:pt idx="53">
                  <c:v>1249.3029923712202</c:v>
                </c:pt>
                <c:pt idx="54">
                  <c:v>1294.6380257727549</c:v>
                </c:pt>
                <c:pt idx="55">
                  <c:v>1329.1194535952729</c:v>
                </c:pt>
                <c:pt idx="56">
                  <c:v>1378.8715268327849</c:v>
                </c:pt>
                <c:pt idx="57">
                  <c:v>1364.5168939167027</c:v>
                </c:pt>
                <c:pt idx="58">
                  <c:v>1405.3551482117477</c:v>
                </c:pt>
                <c:pt idx="59">
                  <c:v>1337.7017665456797</c:v>
                </c:pt>
                <c:pt idx="60">
                  <c:v>1344.5137750973227</c:v>
                </c:pt>
                <c:pt idx="61">
                  <c:v>1356.3966985471279</c:v>
                </c:pt>
                <c:pt idx="62">
                  <c:v>1314.902091691873</c:v>
                </c:pt>
                <c:pt idx="63">
                  <c:v>1417.9763208993456</c:v>
                </c:pt>
                <c:pt idx="64">
                  <c:v>1391.2820696640315</c:v>
                </c:pt>
                <c:pt idx="65">
                  <c:v>1503.9613681386063</c:v>
                </c:pt>
                <c:pt idx="66">
                  <c:v>1515.7759058321826</c:v>
                </c:pt>
                <c:pt idx="67">
                  <c:v>1490.3638542457602</c:v>
                </c:pt>
                <c:pt idx="68">
                  <c:v>1508.2002465149817</c:v>
                </c:pt>
                <c:pt idx="69">
                  <c:v>1487.4746631721193</c:v>
                </c:pt>
                <c:pt idx="70">
                  <c:v>1510.2650586489642</c:v>
                </c:pt>
                <c:pt idx="71">
                  <c:v>1461.6381939783034</c:v>
                </c:pt>
                <c:pt idx="72">
                  <c:v>1476.874198532593</c:v>
                </c:pt>
                <c:pt idx="73">
                  <c:v>1477.0160424768628</c:v>
                </c:pt>
                <c:pt idx="74">
                  <c:v>1417.1765781150589</c:v>
                </c:pt>
                <c:pt idx="75">
                  <c:v>1515.8196107031022</c:v>
                </c:pt>
                <c:pt idx="76">
                  <c:v>1455.7769114700498</c:v>
                </c:pt>
                <c:pt idx="77">
                  <c:v>1522.7264705413386</c:v>
                </c:pt>
                <c:pt idx="78">
                  <c:v>1544.7587571870552</c:v>
                </c:pt>
                <c:pt idx="79">
                  <c:v>1572.3228849653935</c:v>
                </c:pt>
                <c:pt idx="80">
                  <c:v>1571.685496900649</c:v>
                </c:pt>
                <c:pt idx="81">
                  <c:v>1523.6525877867364</c:v>
                </c:pt>
                <c:pt idx="82">
                  <c:v>1553.7008295625453</c:v>
                </c:pt>
                <c:pt idx="83">
                  <c:v>1502.7005860794231</c:v>
                </c:pt>
                <c:pt idx="84">
                  <c:v>1475.8056245050627</c:v>
                </c:pt>
                <c:pt idx="85">
                  <c:v>1474.5654529890805</c:v>
                </c:pt>
                <c:pt idx="86">
                  <c:v>1398.45524303152</c:v>
                </c:pt>
                <c:pt idx="87">
                  <c:v>1526.0507420081824</c:v>
                </c:pt>
                <c:pt idx="88">
                  <c:v>1517.6155739657722</c:v>
                </c:pt>
                <c:pt idx="89">
                  <c:v>1615.6893389074892</c:v>
                </c:pt>
                <c:pt idx="90">
                  <c:v>1572.6074672229438</c:v>
                </c:pt>
                <c:pt idx="91">
                  <c:v>1586.3340797449259</c:v>
                </c:pt>
                <c:pt idx="92">
                  <c:v>1577.7801251298379</c:v>
                </c:pt>
                <c:pt idx="93">
                  <c:v>1574.6597006176901</c:v>
                </c:pt>
                <c:pt idx="94">
                  <c:v>1601.1574390324329</c:v>
                </c:pt>
                <c:pt idx="95">
                  <c:v>1557.4555241592523</c:v>
                </c:pt>
                <c:pt idx="96">
                  <c:v>1553.8565637439847</c:v>
                </c:pt>
                <c:pt idx="97">
                  <c:v>1546.3659176175825</c:v>
                </c:pt>
                <c:pt idx="98">
                  <c:v>1473.8126583538838</c:v>
                </c:pt>
                <c:pt idx="99">
                  <c:v>1548.539275808396</c:v>
                </c:pt>
                <c:pt idx="100">
                  <c:v>1521.4882625379967</c:v>
                </c:pt>
                <c:pt idx="101">
                  <c:v>1632.5771835370761</c:v>
                </c:pt>
                <c:pt idx="102">
                  <c:v>1590.6004751709872</c:v>
                </c:pt>
                <c:pt idx="103">
                  <c:v>1625.2515290056876</c:v>
                </c:pt>
                <c:pt idx="104">
                  <c:v>1633.0448290700442</c:v>
                </c:pt>
                <c:pt idx="105">
                  <c:v>1598.1617964751965</c:v>
                </c:pt>
                <c:pt idx="106">
                  <c:v>1610.2995489874725</c:v>
                </c:pt>
                <c:pt idx="107">
                  <c:v>1567.1035597939504</c:v>
                </c:pt>
                <c:pt idx="108">
                  <c:v>1597.1475609382044</c:v>
                </c:pt>
                <c:pt idx="109">
                  <c:v>1572.1609761283323</c:v>
                </c:pt>
                <c:pt idx="110">
                  <c:v>1530.2542963922072</c:v>
                </c:pt>
                <c:pt idx="111">
                  <c:v>1640.3536518065969</c:v>
                </c:pt>
                <c:pt idx="112">
                  <c:v>1614.504173951909</c:v>
                </c:pt>
                <c:pt idx="113">
                  <c:v>1701.1111826911788</c:v>
                </c:pt>
                <c:pt idx="114">
                  <c:v>1673.8289696420152</c:v>
                </c:pt>
                <c:pt idx="115">
                  <c:v>1697.6178188848332</c:v>
                </c:pt>
                <c:pt idx="116">
                  <c:v>1707.2432299854345</c:v>
                </c:pt>
                <c:pt idx="117">
                  <c:v>1646.5312288352272</c:v>
                </c:pt>
                <c:pt idx="118">
                  <c:v>1715.3528427660492</c:v>
                </c:pt>
                <c:pt idx="119">
                  <c:v>1639.0781470499001</c:v>
                </c:pt>
                <c:pt idx="120">
                  <c:v>1640.2084133185426</c:v>
                </c:pt>
                <c:pt idx="121">
                  <c:v>1627.1188133701501</c:v>
                </c:pt>
                <c:pt idx="122">
                  <c:v>1567.1173631831034</c:v>
                </c:pt>
                <c:pt idx="123">
                  <c:v>1706.2814353907183</c:v>
                </c:pt>
                <c:pt idx="124">
                  <c:v>1684.0319911548347</c:v>
                </c:pt>
                <c:pt idx="125">
                  <c:v>1720.8156265488421</c:v>
                </c:pt>
                <c:pt idx="126">
                  <c:v>1692.1511123702455</c:v>
                </c:pt>
                <c:pt idx="127">
                  <c:v>1732.0806360001957</c:v>
                </c:pt>
                <c:pt idx="128">
                  <c:v>1712.738182498618</c:v>
                </c:pt>
                <c:pt idx="129">
                  <c:v>1691.363299071229</c:v>
                </c:pt>
                <c:pt idx="130">
                  <c:v>1702.8688930361368</c:v>
                </c:pt>
                <c:pt idx="131">
                  <c:v>1636.4396956851651</c:v>
                </c:pt>
                <c:pt idx="132">
                  <c:v>1693.8237308055409</c:v>
                </c:pt>
                <c:pt idx="133">
                  <c:v>1633.4612764643871</c:v>
                </c:pt>
                <c:pt idx="134">
                  <c:v>1574.2816895423093</c:v>
                </c:pt>
                <c:pt idx="135">
                  <c:v>1694.6335557404182</c:v>
                </c:pt>
                <c:pt idx="136">
                  <c:v>1661.569157036372</c:v>
                </c:pt>
                <c:pt idx="137">
                  <c:v>1692.9751972284525</c:v>
                </c:pt>
                <c:pt idx="138">
                  <c:v>1706.9013978569128</c:v>
                </c:pt>
                <c:pt idx="139">
                  <c:v>1771.8901517244392</c:v>
                </c:pt>
                <c:pt idx="140">
                  <c:v>1764.7843536210391</c:v>
                </c:pt>
                <c:pt idx="141">
                  <c:v>1729.359717421059</c:v>
                </c:pt>
                <c:pt idx="142">
                  <c:v>1752.193346567298</c:v>
                </c:pt>
                <c:pt idx="143">
                  <c:v>1723.5148138202787</c:v>
                </c:pt>
                <c:pt idx="144">
                  <c:v>1767.8145311010114</c:v>
                </c:pt>
                <c:pt idx="145">
                  <c:v>1753.7925551830176</c:v>
                </c:pt>
                <c:pt idx="146">
                  <c:v>1680.9514584844405</c:v>
                </c:pt>
                <c:pt idx="147">
                  <c:v>1784.9214286021631</c:v>
                </c:pt>
                <c:pt idx="148">
                  <c:v>1719.4942927793927</c:v>
                </c:pt>
                <c:pt idx="149">
                  <c:v>1779.7947114792455</c:v>
                </c:pt>
                <c:pt idx="150">
                  <c:v>1751.8139364512983</c:v>
                </c:pt>
                <c:pt idx="151">
                  <c:v>1805.9454833205305</c:v>
                </c:pt>
                <c:pt idx="152">
                  <c:v>1788.5056672874982</c:v>
                </c:pt>
                <c:pt idx="153">
                  <c:v>1760.6640364986661</c:v>
                </c:pt>
                <c:pt idx="154">
                  <c:v>1766.6382504545688</c:v>
                </c:pt>
                <c:pt idx="155">
                  <c:v>1717.0406999467327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2C-4656-89C9-C681993C5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938943"/>
        <c:axId val="1235940623"/>
      </c:scatterChart>
      <c:valAx>
        <c:axId val="1235938943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35940623"/>
        <c:crosses val="autoZero"/>
        <c:crossBetween val="midCat"/>
      </c:valAx>
      <c:valAx>
        <c:axId val="1235940623"/>
        <c:scaling>
          <c:orientation val="minMax"/>
          <c:max val="1900"/>
          <c:min val="110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Industry related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35938943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'2.1.Industry Consumption Pred'!$B$62:$B$217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'2.1.Industry Consumption Pred'!$E$62:$E$217</c:f>
              <c:numCache>
                <c:formatCode>0.000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-29.853539202618549</c:v>
                </c:pt>
                <c:pt idx="14">
                  <c:v>9.2274340390201814</c:v>
                </c:pt>
                <c:pt idx="15">
                  <c:v>-28.129483023078137</c:v>
                </c:pt>
                <c:pt idx="16">
                  <c:v>22.431944531050249</c:v>
                </c:pt>
                <c:pt idx="17">
                  <c:v>34.4627022873035</c:v>
                </c:pt>
                <c:pt idx="18">
                  <c:v>-72.767363968975815</c:v>
                </c:pt>
                <c:pt idx="19">
                  <c:v>-0.63374559953604148</c:v>
                </c:pt>
                <c:pt idx="20">
                  <c:v>-4.4789391004314894</c:v>
                </c:pt>
                <c:pt idx="21">
                  <c:v>49.569059208437466</c:v>
                </c:pt>
                <c:pt idx="22">
                  <c:v>-69.934928053834028</c:v>
                </c:pt>
                <c:pt idx="23">
                  <c:v>8.0133012870651328</c:v>
                </c:pt>
                <c:pt idx="24">
                  <c:v>40.955655475795766</c:v>
                </c:pt>
                <c:pt idx="25">
                  <c:v>-20.621176776640368</c:v>
                </c:pt>
                <c:pt idx="26">
                  <c:v>5.9128706666142534</c:v>
                </c:pt>
                <c:pt idx="27">
                  <c:v>-18.555212321741465</c:v>
                </c:pt>
                <c:pt idx="28">
                  <c:v>35.858536682225122</c:v>
                </c:pt>
                <c:pt idx="29">
                  <c:v>-55.084685188531239</c:v>
                </c:pt>
                <c:pt idx="30">
                  <c:v>32.482726962016159</c:v>
                </c:pt>
                <c:pt idx="31">
                  <c:v>-70.714522940407733</c:v>
                </c:pt>
                <c:pt idx="32">
                  <c:v>56.567402921916482</c:v>
                </c:pt>
                <c:pt idx="33">
                  <c:v>64.082361431476556</c:v>
                </c:pt>
                <c:pt idx="34">
                  <c:v>-4.8088430437830993</c:v>
                </c:pt>
                <c:pt idx="35">
                  <c:v>-60.760128393831565</c:v>
                </c:pt>
                <c:pt idx="36">
                  <c:v>-86.570793623551481</c:v>
                </c:pt>
                <c:pt idx="37">
                  <c:v>47.818303005695725</c:v>
                </c:pt>
                <c:pt idx="38">
                  <c:v>-19.681878990899577</c:v>
                </c:pt>
                <c:pt idx="39">
                  <c:v>13.21413737583589</c:v>
                </c:pt>
                <c:pt idx="40">
                  <c:v>1.2925567968632095</c:v>
                </c:pt>
                <c:pt idx="41">
                  <c:v>-15.508265727858998</c:v>
                </c:pt>
                <c:pt idx="42">
                  <c:v>24.247670323308967</c:v>
                </c:pt>
                <c:pt idx="43">
                  <c:v>-58.144627237965551</c:v>
                </c:pt>
                <c:pt idx="44">
                  <c:v>36.641458822148707</c:v>
                </c:pt>
                <c:pt idx="45">
                  <c:v>52.786212257319903</c:v>
                </c:pt>
                <c:pt idx="46">
                  <c:v>-98.849556745802602</c:v>
                </c:pt>
                <c:pt idx="47">
                  <c:v>-39.568744654783586</c:v>
                </c:pt>
                <c:pt idx="48">
                  <c:v>-106.72366870344308</c:v>
                </c:pt>
                <c:pt idx="49">
                  <c:v>-60.235709851888714</c:v>
                </c:pt>
                <c:pt idx="50">
                  <c:v>-46.710578568224719</c:v>
                </c:pt>
                <c:pt idx="51">
                  <c:v>-48.719345024890799</c:v>
                </c:pt>
                <c:pt idx="52">
                  <c:v>-96.321889265848085</c:v>
                </c:pt>
                <c:pt idx="53">
                  <c:v>91.297007628779738</c:v>
                </c:pt>
                <c:pt idx="54">
                  <c:v>66.561974227245173</c:v>
                </c:pt>
                <c:pt idx="55">
                  <c:v>35.980546404726965</c:v>
                </c:pt>
                <c:pt idx="56">
                  <c:v>12.628473167215134</c:v>
                </c:pt>
                <c:pt idx="57">
                  <c:v>12.583106083297253</c:v>
                </c:pt>
                <c:pt idx="58">
                  <c:v>-11.155148211747701</c:v>
                </c:pt>
                <c:pt idx="59">
                  <c:v>59.09823345432028</c:v>
                </c:pt>
                <c:pt idx="60">
                  <c:v>51.386224902677441</c:v>
                </c:pt>
                <c:pt idx="61">
                  <c:v>49.503301452872165</c:v>
                </c:pt>
                <c:pt idx="62">
                  <c:v>14.397908308126944</c:v>
                </c:pt>
                <c:pt idx="63">
                  <c:v>70.923679100654454</c:v>
                </c:pt>
                <c:pt idx="64">
                  <c:v>80.217930335968504</c:v>
                </c:pt>
                <c:pt idx="65">
                  <c:v>19.838631861393651</c:v>
                </c:pt>
                <c:pt idx="66">
                  <c:v>-41.675905832182707</c:v>
                </c:pt>
                <c:pt idx="67">
                  <c:v>48.036145754239897</c:v>
                </c:pt>
                <c:pt idx="68">
                  <c:v>8.3997534850182092</c:v>
                </c:pt>
                <c:pt idx="69">
                  <c:v>-14.974663172119335</c:v>
                </c:pt>
                <c:pt idx="70">
                  <c:v>6.2349413510357863</c:v>
                </c:pt>
                <c:pt idx="71">
                  <c:v>67.361806021696566</c:v>
                </c:pt>
                <c:pt idx="72">
                  <c:v>21.625801467406973</c:v>
                </c:pt>
                <c:pt idx="73">
                  <c:v>29.283957523137133</c:v>
                </c:pt>
                <c:pt idx="74">
                  <c:v>-30.676578115058874</c:v>
                </c:pt>
                <c:pt idx="75">
                  <c:v>-43.319610703102171</c:v>
                </c:pt>
                <c:pt idx="76">
                  <c:v>2.4230885299502916</c:v>
                </c:pt>
                <c:pt idx="77">
                  <c:v>101.67352945866151</c:v>
                </c:pt>
                <c:pt idx="78">
                  <c:v>-6.8587571870550619</c:v>
                </c:pt>
                <c:pt idx="79">
                  <c:v>18.877115034606504</c:v>
                </c:pt>
                <c:pt idx="80">
                  <c:v>-41.485496900648968</c:v>
                </c:pt>
                <c:pt idx="81">
                  <c:v>-10.552587786736467</c:v>
                </c:pt>
                <c:pt idx="82">
                  <c:v>-52.900829562545368</c:v>
                </c:pt>
                <c:pt idx="83">
                  <c:v>-44.800586079423056</c:v>
                </c:pt>
                <c:pt idx="84">
                  <c:v>19.094375494937367</c:v>
                </c:pt>
                <c:pt idx="85">
                  <c:v>-18.565452989080541</c:v>
                </c:pt>
                <c:pt idx="86">
                  <c:v>60.844756968479942</c:v>
                </c:pt>
                <c:pt idx="87">
                  <c:v>34.549257991817512</c:v>
                </c:pt>
                <c:pt idx="88">
                  <c:v>4.7844260342278631</c:v>
                </c:pt>
                <c:pt idx="89">
                  <c:v>-20.689338907489173</c:v>
                </c:pt>
                <c:pt idx="90">
                  <c:v>-32.307467222943842</c:v>
                </c:pt>
                <c:pt idx="91">
                  <c:v>27.465920255074025</c:v>
                </c:pt>
                <c:pt idx="92">
                  <c:v>56.619874870162221</c:v>
                </c:pt>
                <c:pt idx="93">
                  <c:v>-15.859700617690123</c:v>
                </c:pt>
                <c:pt idx="94">
                  <c:v>0.84256096756712395</c:v>
                </c:pt>
                <c:pt idx="95">
                  <c:v>-22.555524159252172</c:v>
                </c:pt>
                <c:pt idx="96">
                  <c:v>40.443436256015275</c:v>
                </c:pt>
                <c:pt idx="97">
                  <c:v>-67.265917617582545</c:v>
                </c:pt>
                <c:pt idx="98">
                  <c:v>-63.012658353883808</c:v>
                </c:pt>
                <c:pt idx="99">
                  <c:v>28.260724191603913</c:v>
                </c:pt>
                <c:pt idx="100">
                  <c:v>46.41173746200343</c:v>
                </c:pt>
                <c:pt idx="101">
                  <c:v>-46.577183537076053</c:v>
                </c:pt>
                <c:pt idx="102">
                  <c:v>7.7995248290128529</c:v>
                </c:pt>
                <c:pt idx="103">
                  <c:v>19.648470994312447</c:v>
                </c:pt>
                <c:pt idx="104">
                  <c:v>3.2551709299557388</c:v>
                </c:pt>
                <c:pt idx="105">
                  <c:v>-64.061796475196616</c:v>
                </c:pt>
                <c:pt idx="106">
                  <c:v>31.400451012527583</c:v>
                </c:pt>
                <c:pt idx="107">
                  <c:v>5.3964402060496468</c:v>
                </c:pt>
                <c:pt idx="108">
                  <c:v>48.452439061795531</c:v>
                </c:pt>
                <c:pt idx="109">
                  <c:v>37.339023871667678</c:v>
                </c:pt>
                <c:pt idx="110">
                  <c:v>-42.154296392207243</c:v>
                </c:pt>
                <c:pt idx="111">
                  <c:v>25.946348193403082</c:v>
                </c:pt>
                <c:pt idx="112">
                  <c:v>66.695826048091021</c:v>
                </c:pt>
                <c:pt idx="113">
                  <c:v>-44.311182691178828</c:v>
                </c:pt>
                <c:pt idx="114">
                  <c:v>-10.728969642015272</c:v>
                </c:pt>
                <c:pt idx="115">
                  <c:v>48.482181115166668</c:v>
                </c:pt>
                <c:pt idx="116">
                  <c:v>-30.843229985434391</c:v>
                </c:pt>
                <c:pt idx="117">
                  <c:v>65.768771164772716</c:v>
                </c:pt>
                <c:pt idx="118">
                  <c:v>-83.152842766049162</c:v>
                </c:pt>
                <c:pt idx="119">
                  <c:v>-63.478147049900144</c:v>
                </c:pt>
                <c:pt idx="120">
                  <c:v>92.591586681457329</c:v>
                </c:pt>
                <c:pt idx="121">
                  <c:v>9.2811866298500263</c:v>
                </c:pt>
                <c:pt idx="122">
                  <c:v>13.982636816896502</c:v>
                </c:pt>
                <c:pt idx="123">
                  <c:v>-12.581435390718298</c:v>
                </c:pt>
                <c:pt idx="124">
                  <c:v>-8.1319911548346226</c:v>
                </c:pt>
                <c:pt idx="125">
                  <c:v>-46.015626548842192</c:v>
                </c:pt>
                <c:pt idx="126">
                  <c:v>-12.451112370245482</c:v>
                </c:pt>
                <c:pt idx="127">
                  <c:v>4.6193639998043636</c:v>
                </c:pt>
                <c:pt idx="128">
                  <c:v>4.2618175013819837</c:v>
                </c:pt>
                <c:pt idx="129">
                  <c:v>-14.763299071229085</c:v>
                </c:pt>
                <c:pt idx="130">
                  <c:v>-45.168893036136751</c:v>
                </c:pt>
                <c:pt idx="131">
                  <c:v>-10.739695685165088</c:v>
                </c:pt>
                <c:pt idx="132">
                  <c:v>-44.723730805540981</c:v>
                </c:pt>
                <c:pt idx="133">
                  <c:v>28.138723535612826</c:v>
                </c:pt>
                <c:pt idx="134">
                  <c:v>-40.481689542309368</c:v>
                </c:pt>
                <c:pt idx="135">
                  <c:v>-47.533555740418251</c:v>
                </c:pt>
                <c:pt idx="136">
                  <c:v>-16.769157036372007</c:v>
                </c:pt>
                <c:pt idx="137">
                  <c:v>49.524802771547456</c:v>
                </c:pt>
                <c:pt idx="138">
                  <c:v>12.798602143087237</c:v>
                </c:pt>
                <c:pt idx="139">
                  <c:v>26.809848275560853</c:v>
                </c:pt>
                <c:pt idx="140">
                  <c:v>-25.48435362103919</c:v>
                </c:pt>
                <c:pt idx="141">
                  <c:v>56.840282578941014</c:v>
                </c:pt>
                <c:pt idx="142">
                  <c:v>33.606653432701933</c:v>
                </c:pt>
                <c:pt idx="143">
                  <c:v>-11.114813820278641</c:v>
                </c:pt>
                <c:pt idx="144">
                  <c:v>73.285468898988483</c:v>
                </c:pt>
                <c:pt idx="145">
                  <c:v>22.007444816982343</c:v>
                </c:pt>
                <c:pt idx="146">
                  <c:v>-33.551458484440445</c:v>
                </c:pt>
                <c:pt idx="147">
                  <c:v>-121.32142860216322</c:v>
                </c:pt>
                <c:pt idx="148">
                  <c:v>50.805707220607246</c:v>
                </c:pt>
                <c:pt idx="149">
                  <c:v>-72.794711479245507</c:v>
                </c:pt>
                <c:pt idx="150">
                  <c:v>9.4860635487016225</c:v>
                </c:pt>
                <c:pt idx="151">
                  <c:v>20.554516679469543</c:v>
                </c:pt>
                <c:pt idx="152">
                  <c:v>-69.205667287498272</c:v>
                </c:pt>
                <c:pt idx="153">
                  <c:v>0.23596350133402666</c:v>
                </c:pt>
                <c:pt idx="154">
                  <c:v>-8.2382504545687425</c:v>
                </c:pt>
                <c:pt idx="155">
                  <c:v>85.659300053267316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9-4BF9-9C7E-BF20DC66A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8804447"/>
        <c:axId val="1268806127"/>
      </c:barChart>
      <c:catAx>
        <c:axId val="1268804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806127"/>
        <c:crosses val="autoZero"/>
        <c:auto val="1"/>
        <c:lblAlgn val="ctr"/>
        <c:lblOffset val="100"/>
        <c:noMultiLvlLbl val="0"/>
      </c:catAx>
      <c:valAx>
        <c:axId val="12688061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804447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AutocorrelogramIndustry related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'2.1.Industry Consumption Pred'!$B$241:$B$263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Pred'!$C$241:$C$263</c:f>
              <c:numCache>
                <c:formatCode>0.000</c:formatCode>
                <c:ptCount val="23"/>
                <c:pt idx="0">
                  <c:v>1</c:v>
                </c:pt>
                <c:pt idx="1">
                  <c:v>0.91145469530876999</c:v>
                </c:pt>
                <c:pt idx="2">
                  <c:v>0.89355457419164375</c:v>
                </c:pt>
                <c:pt idx="3">
                  <c:v>0.85683128078995485</c:v>
                </c:pt>
                <c:pt idx="4">
                  <c:v>0.82586344871669348</c:v>
                </c:pt>
                <c:pt idx="5">
                  <c:v>0.79869439654744401</c:v>
                </c:pt>
                <c:pt idx="6">
                  <c:v>0.7635420518283047</c:v>
                </c:pt>
                <c:pt idx="7">
                  <c:v>0.76390980339659953</c:v>
                </c:pt>
                <c:pt idx="8">
                  <c:v>0.74107177035623772</c:v>
                </c:pt>
                <c:pt idx="9">
                  <c:v>0.7467890291695759</c:v>
                </c:pt>
                <c:pt idx="10">
                  <c:v>0.73342343493869477</c:v>
                </c:pt>
                <c:pt idx="11">
                  <c:v>0.72148414477451928</c:v>
                </c:pt>
                <c:pt idx="12">
                  <c:v>0.73265145116301644</c:v>
                </c:pt>
                <c:pt idx="13">
                  <c:v>0.6863272936994298</c:v>
                </c:pt>
                <c:pt idx="14">
                  <c:v>0.66584175195780171</c:v>
                </c:pt>
                <c:pt idx="15">
                  <c:v>0.62687950773451473</c:v>
                </c:pt>
                <c:pt idx="16">
                  <c:v>0.60253898150023177</c:v>
                </c:pt>
                <c:pt idx="17">
                  <c:v>0.57877841722306989</c:v>
                </c:pt>
                <c:pt idx="18">
                  <c:v>0.55116924412743218</c:v>
                </c:pt>
                <c:pt idx="19">
                  <c:v>0.53910274155551074</c:v>
                </c:pt>
                <c:pt idx="20">
                  <c:v>0.53459451061906216</c:v>
                </c:pt>
                <c:pt idx="21">
                  <c:v>0.53702886348931744</c:v>
                </c:pt>
                <c:pt idx="22">
                  <c:v>0.537735875720881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5-45E1-9A4C-2F07D1256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8532367"/>
        <c:axId val="1268534047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'2.1.Industry Consumption Pred'!$B$241:$B$263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Pred'!$E$241:$E$263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-0.25600530908183222</c:v>
                </c:pt>
                <c:pt idx="3">
                  <c:v>-0.32382318596740334</c:v>
                </c:pt>
                <c:pt idx="4">
                  <c:v>-0.37552422089935439</c:v>
                </c:pt>
                <c:pt idx="5">
                  <c:v>-0.417862494571899</c:v>
                </c:pt>
                <c:pt idx="6">
                  <c:v>-0.45390079311433407</c:v>
                </c:pt>
                <c:pt idx="7">
                  <c:v>-0.48449788245109965</c:v>
                </c:pt>
                <c:pt idx="8">
                  <c:v>-0.51330120861096085</c:v>
                </c:pt>
                <c:pt idx="9">
                  <c:v>-0.53900400623550593</c:v>
                </c:pt>
                <c:pt idx="10">
                  <c:v>-0.56390730321832938</c:v>
                </c:pt>
                <c:pt idx="11">
                  <c:v>-0.58692693491913528</c:v>
                </c:pt>
                <c:pt idx="12">
                  <c:v>-0.60837448676764039</c:v>
                </c:pt>
                <c:pt idx="13">
                  <c:v>-0.62972657288391942</c:v>
                </c:pt>
                <c:pt idx="14">
                  <c:v>-0.64788446636025665</c:v>
                </c:pt>
                <c:pt idx="15">
                  <c:v>-0.66452148249310461</c:v>
                </c:pt>
                <c:pt idx="16">
                  <c:v>-0.67892765126271237</c:v>
                </c:pt>
                <c:pt idx="17">
                  <c:v>-0.69197032831765715</c:v>
                </c:pt>
                <c:pt idx="18">
                  <c:v>-0.70379026910748965</c:v>
                </c:pt>
                <c:pt idx="19">
                  <c:v>-0.7143403381027158</c:v>
                </c:pt>
                <c:pt idx="20">
                  <c:v>-0.72428970700803785</c:v>
                </c:pt>
                <c:pt idx="21">
                  <c:v>-0.73394185728046657</c:v>
                </c:pt>
                <c:pt idx="22">
                  <c:v>-0.74355510731977548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5-45E1-9A4C-2F07D1256686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'2.1.Industry Consumption Pred'!$B$241:$B$263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Pred'!$F$241:$F$263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0.25600530908183222</c:v>
                </c:pt>
                <c:pt idx="3">
                  <c:v>0.32382318596740334</c:v>
                </c:pt>
                <c:pt idx="4">
                  <c:v>0.37552422089935439</c:v>
                </c:pt>
                <c:pt idx="5">
                  <c:v>0.417862494571899</c:v>
                </c:pt>
                <c:pt idx="6">
                  <c:v>0.45390079311433407</c:v>
                </c:pt>
                <c:pt idx="7">
                  <c:v>0.48449788245109965</c:v>
                </c:pt>
                <c:pt idx="8">
                  <c:v>0.51330120861096085</c:v>
                </c:pt>
                <c:pt idx="9">
                  <c:v>0.53900400623550593</c:v>
                </c:pt>
                <c:pt idx="10">
                  <c:v>0.56390730321832938</c:v>
                </c:pt>
                <c:pt idx="11">
                  <c:v>0.58692693491913528</c:v>
                </c:pt>
                <c:pt idx="12">
                  <c:v>0.60837448676764039</c:v>
                </c:pt>
                <c:pt idx="13">
                  <c:v>0.62972657288391942</c:v>
                </c:pt>
                <c:pt idx="14">
                  <c:v>0.64788446636025665</c:v>
                </c:pt>
                <c:pt idx="15">
                  <c:v>0.66452148249310461</c:v>
                </c:pt>
                <c:pt idx="16">
                  <c:v>0.67892765126271237</c:v>
                </c:pt>
                <c:pt idx="17">
                  <c:v>0.69197032831765715</c:v>
                </c:pt>
                <c:pt idx="18">
                  <c:v>0.70379026910748965</c:v>
                </c:pt>
                <c:pt idx="19">
                  <c:v>0.7143403381027158</c:v>
                </c:pt>
                <c:pt idx="20">
                  <c:v>0.72428970700803785</c:v>
                </c:pt>
                <c:pt idx="21">
                  <c:v>0.73394185728046657</c:v>
                </c:pt>
                <c:pt idx="22">
                  <c:v>0.74355510731977548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45-45E1-9A4C-2F07D1256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532367"/>
        <c:axId val="1268534047"/>
      </c:lineChart>
      <c:catAx>
        <c:axId val="126853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534047"/>
        <c:crosses val="autoZero"/>
        <c:auto val="1"/>
        <c:lblAlgn val="ctr"/>
        <c:lblOffset val="100"/>
        <c:noMultiLvlLbl val="0"/>
      </c:catAx>
      <c:valAx>
        <c:axId val="1268534047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532367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Partial autocorrelogramIndustry related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'2.1.Industry Consumption Pred'!$B$241:$B$263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Pred'!$G$241:$G$263</c:f>
              <c:numCache>
                <c:formatCode>0.000</c:formatCode>
                <c:ptCount val="23"/>
                <c:pt idx="0">
                  <c:v>1</c:v>
                </c:pt>
                <c:pt idx="1">
                  <c:v>0.91145469530876988</c:v>
                </c:pt>
                <c:pt idx="2">
                  <c:v>0.37107702817680527</c:v>
                </c:pt>
                <c:pt idx="3">
                  <c:v>4.3816593477246632E-2</c:v>
                </c:pt>
                <c:pt idx="4">
                  <c:v>-3.0301248199211903E-3</c:v>
                </c:pt>
                <c:pt idx="5">
                  <c:v>2.3155398347317571E-2</c:v>
                </c:pt>
                <c:pt idx="6">
                  <c:v>-4.2310158059387579E-2</c:v>
                </c:pt>
                <c:pt idx="7">
                  <c:v>0.19006634495200642</c:v>
                </c:pt>
                <c:pt idx="8">
                  <c:v>2.1816956273167154E-2</c:v>
                </c:pt>
                <c:pt idx="9">
                  <c:v>0.13124168726093466</c:v>
                </c:pt>
                <c:pt idx="10">
                  <c:v>3.7821284612870225E-3</c:v>
                </c:pt>
                <c:pt idx="11">
                  <c:v>-3.7294670021715187E-2</c:v>
                </c:pt>
                <c:pt idx="12">
                  <c:v>0.14895182718312674</c:v>
                </c:pt>
                <c:pt idx="13">
                  <c:v>-0.23563945951467385</c:v>
                </c:pt>
                <c:pt idx="14">
                  <c:v>-0.10752196013920048</c:v>
                </c:pt>
                <c:pt idx="15">
                  <c:v>-6.1380591469977604E-2</c:v>
                </c:pt>
                <c:pt idx="16">
                  <c:v>-1.8752531131604907E-2</c:v>
                </c:pt>
                <c:pt idx="17">
                  <c:v>4.9220997838964373E-2</c:v>
                </c:pt>
                <c:pt idx="18">
                  <c:v>-1.6226758738535668E-3</c:v>
                </c:pt>
                <c:pt idx="19">
                  <c:v>-2.7795705637171039E-2</c:v>
                </c:pt>
                <c:pt idx="20">
                  <c:v>0.14669004252268605</c:v>
                </c:pt>
                <c:pt idx="21">
                  <c:v>2.6594350762927065E-2</c:v>
                </c:pt>
                <c:pt idx="22">
                  <c:v>8.6882938352427039E-2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4-4BA0-8637-CAA63F290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8814847"/>
        <c:axId val="126889563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'2.1.Industry Consumption Pred'!$B$241:$B$263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Pred'!$I$241:$I$263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B4-4BA0-8637-CAA63F290DF1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'2.1.Industry Consumption Pred'!$B$241:$B$263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Pred'!$J$241:$J$263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4-4BA0-8637-CAA63F290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814847"/>
        <c:axId val="1268895631"/>
      </c:lineChart>
      <c:catAx>
        <c:axId val="1268814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895631"/>
        <c:crosses val="autoZero"/>
        <c:auto val="1"/>
        <c:lblAlgn val="ctr"/>
        <c:lblOffset val="100"/>
        <c:noMultiLvlLbl val="0"/>
      </c:catAx>
      <c:valAx>
        <c:axId val="1268895631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814847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'2.1.Industry Consumption Pred'!$B$287:$B$309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Pred'!$C$287:$C$309</c:f>
              <c:numCache>
                <c:formatCode>0.000</c:formatCode>
                <c:ptCount val="23"/>
                <c:pt idx="0">
                  <c:v>1</c:v>
                </c:pt>
                <c:pt idx="1">
                  <c:v>-7.2529582574863485E-3</c:v>
                </c:pt>
                <c:pt idx="2">
                  <c:v>-1.5473606543232283E-2</c:v>
                </c:pt>
                <c:pt idx="3">
                  <c:v>5.1881869557609791E-3</c:v>
                </c:pt>
                <c:pt idx="4">
                  <c:v>5.5943832557419665E-2</c:v>
                </c:pt>
                <c:pt idx="5">
                  <c:v>5.008756042901142E-2</c:v>
                </c:pt>
                <c:pt idx="6">
                  <c:v>-4.3907910865365815E-2</c:v>
                </c:pt>
                <c:pt idx="7">
                  <c:v>2.1256621889122581E-2</c:v>
                </c:pt>
                <c:pt idx="8">
                  <c:v>-3.056180489531269E-2</c:v>
                </c:pt>
                <c:pt idx="9">
                  <c:v>5.7717193657933472E-2</c:v>
                </c:pt>
                <c:pt idx="10">
                  <c:v>-0.12442142091775367</c:v>
                </c:pt>
                <c:pt idx="11">
                  <c:v>-6.1529350338639155E-2</c:v>
                </c:pt>
                <c:pt idx="12">
                  <c:v>-1.0898943598543268E-2</c:v>
                </c:pt>
                <c:pt idx="13">
                  <c:v>-1.3777828931516276E-2</c:v>
                </c:pt>
                <c:pt idx="14">
                  <c:v>-1.1558741407083231E-2</c:v>
                </c:pt>
                <c:pt idx="15">
                  <c:v>-8.8462714844034632E-2</c:v>
                </c:pt>
                <c:pt idx="16">
                  <c:v>6.1273690270777476E-2</c:v>
                </c:pt>
                <c:pt idx="17">
                  <c:v>6.3755695520684427E-2</c:v>
                </c:pt>
                <c:pt idx="18">
                  <c:v>-4.8615696511474966E-2</c:v>
                </c:pt>
                <c:pt idx="19">
                  <c:v>-0.16120096817808949</c:v>
                </c:pt>
                <c:pt idx="20">
                  <c:v>-3.1928370784206593E-2</c:v>
                </c:pt>
                <c:pt idx="21">
                  <c:v>4.7852148974947925E-2</c:v>
                </c:pt>
                <c:pt idx="22">
                  <c:v>-3.6256130719258439E-3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9D-4074-AE6F-3F000DC6E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002959"/>
        <c:axId val="1269004639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'2.1.Industry Consumption Pred'!$B$287:$B$309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Pred'!$E$287:$E$309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-0.15693096194964101</c:v>
                </c:pt>
                <c:pt idx="3">
                  <c:v>-0.15696852787304807</c:v>
                </c:pt>
                <c:pt idx="4">
                  <c:v>-0.15697275051630027</c:v>
                </c:pt>
                <c:pt idx="5">
                  <c:v>-0.15746295147783992</c:v>
                </c:pt>
                <c:pt idx="6">
                  <c:v>-0.15785479522757775</c:v>
                </c:pt>
                <c:pt idx="7">
                  <c:v>-0.15815525492968455</c:v>
                </c:pt>
                <c:pt idx="8">
                  <c:v>-0.15822559128994695</c:v>
                </c:pt>
                <c:pt idx="9">
                  <c:v>-0.15837088723603537</c:v>
                </c:pt>
                <c:pt idx="10">
                  <c:v>-0.158888015380554</c:v>
                </c:pt>
                <c:pt idx="11">
                  <c:v>-0.16126939337757412</c:v>
                </c:pt>
                <c:pt idx="12">
                  <c:v>-0.16184643614736757</c:v>
                </c:pt>
                <c:pt idx="13">
                  <c:v>-0.16186450842986269</c:v>
                </c:pt>
                <c:pt idx="14">
                  <c:v>-0.16189338481265619</c:v>
                </c:pt>
                <c:pt idx="15">
                  <c:v>-0.16191370540300859</c:v>
                </c:pt>
                <c:pt idx="16">
                  <c:v>-0.16309953164494267</c:v>
                </c:pt>
                <c:pt idx="17">
                  <c:v>-0.16366539844389355</c:v>
                </c:pt>
                <c:pt idx="18">
                  <c:v>-0.16427583920305336</c:v>
                </c:pt>
                <c:pt idx="19">
                  <c:v>-0.16462974148371071</c:v>
                </c:pt>
                <c:pt idx="20">
                  <c:v>-0.16847176723431032</c:v>
                </c:pt>
                <c:pt idx="21">
                  <c:v>-0.16862070541383631</c:v>
                </c:pt>
                <c:pt idx="22">
                  <c:v>-0.16895477241653514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9D-4074-AE6F-3F000DC6EC38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'2.1.Industry Consumption Pred'!$B$287:$B$309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Pred'!$F$287:$F$309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0.15693096194964101</c:v>
                </c:pt>
                <c:pt idx="3">
                  <c:v>0.15696852787304807</c:v>
                </c:pt>
                <c:pt idx="4">
                  <c:v>0.15697275051630027</c:v>
                </c:pt>
                <c:pt idx="5">
                  <c:v>0.15746295147783992</c:v>
                </c:pt>
                <c:pt idx="6">
                  <c:v>0.15785479522757775</c:v>
                </c:pt>
                <c:pt idx="7">
                  <c:v>0.15815525492968455</c:v>
                </c:pt>
                <c:pt idx="8">
                  <c:v>0.15822559128994695</c:v>
                </c:pt>
                <c:pt idx="9">
                  <c:v>0.15837088723603537</c:v>
                </c:pt>
                <c:pt idx="10">
                  <c:v>0.158888015380554</c:v>
                </c:pt>
                <c:pt idx="11">
                  <c:v>0.16126939337757412</c:v>
                </c:pt>
                <c:pt idx="12">
                  <c:v>0.16184643614736757</c:v>
                </c:pt>
                <c:pt idx="13">
                  <c:v>0.16186450842986269</c:v>
                </c:pt>
                <c:pt idx="14">
                  <c:v>0.16189338481265619</c:v>
                </c:pt>
                <c:pt idx="15">
                  <c:v>0.16191370540300859</c:v>
                </c:pt>
                <c:pt idx="16">
                  <c:v>0.16309953164494267</c:v>
                </c:pt>
                <c:pt idx="17">
                  <c:v>0.16366539844389355</c:v>
                </c:pt>
                <c:pt idx="18">
                  <c:v>0.16427583920305336</c:v>
                </c:pt>
                <c:pt idx="19">
                  <c:v>0.16462974148371071</c:v>
                </c:pt>
                <c:pt idx="20">
                  <c:v>0.16847176723431032</c:v>
                </c:pt>
                <c:pt idx="21">
                  <c:v>0.16862070541383631</c:v>
                </c:pt>
                <c:pt idx="22">
                  <c:v>0.16895477241653514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9D-4074-AE6F-3F000DC6E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9002959"/>
        <c:axId val="1269004639"/>
      </c:lineChart>
      <c:catAx>
        <c:axId val="1269002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9004639"/>
        <c:crosses val="autoZero"/>
        <c:auto val="1"/>
        <c:lblAlgn val="ctr"/>
        <c:lblOffset val="100"/>
        <c:noMultiLvlLbl val="0"/>
      </c:catAx>
      <c:valAx>
        <c:axId val="1269004639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9002959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'2.1.Industry Consumption Pred'!$B$287:$B$309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Pred'!$G$287:$G$309</c:f>
              <c:numCache>
                <c:formatCode>0.000</c:formatCode>
                <c:ptCount val="23"/>
                <c:pt idx="0">
                  <c:v>1</c:v>
                </c:pt>
                <c:pt idx="1">
                  <c:v>-7.2529582574863477E-3</c:v>
                </c:pt>
                <c:pt idx="2">
                  <c:v>-1.552702875232956E-2</c:v>
                </c:pt>
                <c:pt idx="3">
                  <c:v>4.963055609374746E-3</c:v>
                </c:pt>
                <c:pt idx="4">
                  <c:v>5.5795710190713652E-2</c:v>
                </c:pt>
                <c:pt idx="5">
                  <c:v>5.1250268715625928E-2</c:v>
                </c:pt>
                <c:pt idx="6">
                  <c:v>-4.1594346044496418E-2</c:v>
                </c:pt>
                <c:pt idx="7">
                  <c:v>2.1528817243592249E-2</c:v>
                </c:pt>
                <c:pt idx="8">
                  <c:v>-3.5405423358853785E-2</c:v>
                </c:pt>
                <c:pt idx="9">
                  <c:v>5.3193376077750286E-2</c:v>
                </c:pt>
                <c:pt idx="10">
                  <c:v>-0.12428659364450496</c:v>
                </c:pt>
                <c:pt idx="11">
                  <c:v>-5.9467053446394059E-2</c:v>
                </c:pt>
                <c:pt idx="12">
                  <c:v>-1.7382692385767676E-2</c:v>
                </c:pt>
                <c:pt idx="13">
                  <c:v>-1.5117506675886879E-2</c:v>
                </c:pt>
                <c:pt idx="14">
                  <c:v>-7.0363423203301089E-3</c:v>
                </c:pt>
                <c:pt idx="15">
                  <c:v>-6.6106077795799037E-2</c:v>
                </c:pt>
                <c:pt idx="16">
                  <c:v>5.6570043658699713E-2</c:v>
                </c:pt>
                <c:pt idx="17">
                  <c:v>7.2072288005282856E-2</c:v>
                </c:pt>
                <c:pt idx="18">
                  <c:v>-5.3441729242311768E-2</c:v>
                </c:pt>
                <c:pt idx="19">
                  <c:v>-0.1494965758424113</c:v>
                </c:pt>
                <c:pt idx="20">
                  <c:v>-4.7840175327829103E-2</c:v>
                </c:pt>
                <c:pt idx="21">
                  <c:v>1.5073764937087852E-2</c:v>
                </c:pt>
                <c:pt idx="22">
                  <c:v>-9.5735498414956804E-4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1-420E-A18F-E2CBAFF4F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077759"/>
        <c:axId val="1269079439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'2.1.Industry Consumption Pred'!$B$287:$B$309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Pred'!$I$287:$I$309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D1-420E-A18F-E2CBAFF4F376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'2.1.Industry Consumption Pred'!$B$287:$B$309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'2.1.Industry Consumption Pred'!$J$287:$J$309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D1-420E-A18F-E2CBAFF4F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9077759"/>
        <c:axId val="1269079439"/>
      </c:lineChart>
      <c:catAx>
        <c:axId val="1269077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9079439"/>
        <c:crosses val="autoZero"/>
        <c:auto val="1"/>
        <c:lblAlgn val="ctr"/>
        <c:lblOffset val="100"/>
        <c:noMultiLvlLbl val="0"/>
      </c:catAx>
      <c:valAx>
        <c:axId val="1269079439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9077759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'2.2.Service Consumption Pred'!$D$3</c:f>
              <c:strCache>
                <c:ptCount val="1"/>
                <c:pt idx="0">
                  <c:v>Service related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'2.2.Service Consumption Pred'!$B$4:$C$159</c:f>
              <c:multiLvlStrCache>
                <c:ptCount val="156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  <c:pt idx="12">
                    <c:v>January</c:v>
                  </c:pt>
                  <c:pt idx="13">
                    <c:v>February</c:v>
                  </c:pt>
                  <c:pt idx="14">
                    <c:v>March</c:v>
                  </c:pt>
                  <c:pt idx="15">
                    <c:v>April</c:v>
                  </c:pt>
                  <c:pt idx="16">
                    <c:v>May</c:v>
                  </c:pt>
                  <c:pt idx="17">
                    <c:v>June</c:v>
                  </c:pt>
                  <c:pt idx="18">
                    <c:v>July</c:v>
                  </c:pt>
                  <c:pt idx="19">
                    <c:v>August</c:v>
                  </c:pt>
                  <c:pt idx="20">
                    <c:v>September</c:v>
                  </c:pt>
                  <c:pt idx="21">
                    <c:v>October</c:v>
                  </c:pt>
                  <c:pt idx="22">
                    <c:v>November</c:v>
                  </c:pt>
                  <c:pt idx="23">
                    <c:v>December</c:v>
                  </c:pt>
                  <c:pt idx="24">
                    <c:v>January</c:v>
                  </c:pt>
                  <c:pt idx="25">
                    <c:v>February</c:v>
                  </c:pt>
                  <c:pt idx="26">
                    <c:v>March</c:v>
                  </c:pt>
                  <c:pt idx="27">
                    <c:v>April</c:v>
                  </c:pt>
                  <c:pt idx="28">
                    <c:v>May</c:v>
                  </c:pt>
                  <c:pt idx="29">
                    <c:v>June</c:v>
                  </c:pt>
                  <c:pt idx="30">
                    <c:v>July</c:v>
                  </c:pt>
                  <c:pt idx="31">
                    <c:v>August</c:v>
                  </c:pt>
                  <c:pt idx="32">
                    <c:v>September</c:v>
                  </c:pt>
                  <c:pt idx="33">
                    <c:v>October</c:v>
                  </c:pt>
                  <c:pt idx="34">
                    <c:v>November</c:v>
                  </c:pt>
                  <c:pt idx="35">
                    <c:v>December</c:v>
                  </c:pt>
                  <c:pt idx="36">
                    <c:v>January</c:v>
                  </c:pt>
                  <c:pt idx="37">
                    <c:v>February</c:v>
                  </c:pt>
                  <c:pt idx="38">
                    <c:v>March</c:v>
                  </c:pt>
                  <c:pt idx="39">
                    <c:v>April</c:v>
                  </c:pt>
                  <c:pt idx="40">
                    <c:v>May</c:v>
                  </c:pt>
                  <c:pt idx="41">
                    <c:v>June</c:v>
                  </c:pt>
                  <c:pt idx="42">
                    <c:v>July</c:v>
                  </c:pt>
                  <c:pt idx="43">
                    <c:v>August</c:v>
                  </c:pt>
                  <c:pt idx="44">
                    <c:v>September</c:v>
                  </c:pt>
                  <c:pt idx="45">
                    <c:v>October</c:v>
                  </c:pt>
                  <c:pt idx="46">
                    <c:v>November</c:v>
                  </c:pt>
                  <c:pt idx="47">
                    <c:v>December</c:v>
                  </c:pt>
                  <c:pt idx="48">
                    <c:v>January</c:v>
                  </c:pt>
                  <c:pt idx="49">
                    <c:v>February</c:v>
                  </c:pt>
                  <c:pt idx="50">
                    <c:v>March</c:v>
                  </c:pt>
                  <c:pt idx="51">
                    <c:v>April</c:v>
                  </c:pt>
                  <c:pt idx="52">
                    <c:v>May</c:v>
                  </c:pt>
                  <c:pt idx="53">
                    <c:v>June</c:v>
                  </c:pt>
                  <c:pt idx="54">
                    <c:v>July</c:v>
                  </c:pt>
                  <c:pt idx="55">
                    <c:v>August</c:v>
                  </c:pt>
                  <c:pt idx="56">
                    <c:v>September</c:v>
                  </c:pt>
                  <c:pt idx="57">
                    <c:v>October</c:v>
                  </c:pt>
                  <c:pt idx="58">
                    <c:v>November</c:v>
                  </c:pt>
                  <c:pt idx="59">
                    <c:v>December</c:v>
                  </c:pt>
                  <c:pt idx="60">
                    <c:v>January</c:v>
                  </c:pt>
                  <c:pt idx="61">
                    <c:v>February</c:v>
                  </c:pt>
                  <c:pt idx="62">
                    <c:v>March</c:v>
                  </c:pt>
                  <c:pt idx="63">
                    <c:v>April</c:v>
                  </c:pt>
                  <c:pt idx="64">
                    <c:v>May</c:v>
                  </c:pt>
                  <c:pt idx="65">
                    <c:v>June</c:v>
                  </c:pt>
                  <c:pt idx="66">
                    <c:v>July</c:v>
                  </c:pt>
                  <c:pt idx="67">
                    <c:v>August</c:v>
                  </c:pt>
                  <c:pt idx="68">
                    <c:v>September</c:v>
                  </c:pt>
                  <c:pt idx="69">
                    <c:v>October</c:v>
                  </c:pt>
                  <c:pt idx="70">
                    <c:v>November</c:v>
                  </c:pt>
                  <c:pt idx="71">
                    <c:v>December</c:v>
                  </c:pt>
                  <c:pt idx="72">
                    <c:v>January</c:v>
                  </c:pt>
                  <c:pt idx="73">
                    <c:v>February</c:v>
                  </c:pt>
                  <c:pt idx="74">
                    <c:v>March</c:v>
                  </c:pt>
                  <c:pt idx="75">
                    <c:v>April</c:v>
                  </c:pt>
                  <c:pt idx="76">
                    <c:v>May</c:v>
                  </c:pt>
                  <c:pt idx="77">
                    <c:v>June</c:v>
                  </c:pt>
                  <c:pt idx="78">
                    <c:v>July</c:v>
                  </c:pt>
                  <c:pt idx="79">
                    <c:v>August</c:v>
                  </c:pt>
                  <c:pt idx="80">
                    <c:v>September</c:v>
                  </c:pt>
                  <c:pt idx="81">
                    <c:v>October</c:v>
                  </c:pt>
                  <c:pt idx="82">
                    <c:v>November</c:v>
                  </c:pt>
                  <c:pt idx="83">
                    <c:v>December</c:v>
                  </c:pt>
                  <c:pt idx="84">
                    <c:v>January</c:v>
                  </c:pt>
                  <c:pt idx="85">
                    <c:v>February</c:v>
                  </c:pt>
                  <c:pt idx="86">
                    <c:v>March</c:v>
                  </c:pt>
                  <c:pt idx="87">
                    <c:v>April</c:v>
                  </c:pt>
                  <c:pt idx="88">
                    <c:v>May</c:v>
                  </c:pt>
                  <c:pt idx="89">
                    <c:v>June</c:v>
                  </c:pt>
                  <c:pt idx="90">
                    <c:v>July</c:v>
                  </c:pt>
                  <c:pt idx="91">
                    <c:v>August</c:v>
                  </c:pt>
                  <c:pt idx="92">
                    <c:v>September</c:v>
                  </c:pt>
                  <c:pt idx="93">
                    <c:v>October</c:v>
                  </c:pt>
                  <c:pt idx="94">
                    <c:v>November</c:v>
                  </c:pt>
                  <c:pt idx="95">
                    <c:v>December</c:v>
                  </c:pt>
                  <c:pt idx="96">
                    <c:v>January</c:v>
                  </c:pt>
                  <c:pt idx="97">
                    <c:v>February</c:v>
                  </c:pt>
                  <c:pt idx="98">
                    <c:v>March</c:v>
                  </c:pt>
                  <c:pt idx="99">
                    <c:v>April</c:v>
                  </c:pt>
                  <c:pt idx="100">
                    <c:v>May</c:v>
                  </c:pt>
                  <c:pt idx="101">
                    <c:v>June</c:v>
                  </c:pt>
                  <c:pt idx="102">
                    <c:v>July</c:v>
                  </c:pt>
                  <c:pt idx="103">
                    <c:v>August</c:v>
                  </c:pt>
                  <c:pt idx="104">
                    <c:v>September</c:v>
                  </c:pt>
                  <c:pt idx="105">
                    <c:v>October</c:v>
                  </c:pt>
                  <c:pt idx="106">
                    <c:v>November</c:v>
                  </c:pt>
                  <c:pt idx="107">
                    <c:v>December</c:v>
                  </c:pt>
                  <c:pt idx="108">
                    <c:v>January</c:v>
                  </c:pt>
                  <c:pt idx="109">
                    <c:v>February</c:v>
                  </c:pt>
                  <c:pt idx="110">
                    <c:v>March</c:v>
                  </c:pt>
                  <c:pt idx="111">
                    <c:v>April</c:v>
                  </c:pt>
                  <c:pt idx="112">
                    <c:v>May</c:v>
                  </c:pt>
                  <c:pt idx="113">
                    <c:v>June</c:v>
                  </c:pt>
                  <c:pt idx="114">
                    <c:v>July</c:v>
                  </c:pt>
                  <c:pt idx="115">
                    <c:v>August</c:v>
                  </c:pt>
                  <c:pt idx="116">
                    <c:v>September</c:v>
                  </c:pt>
                  <c:pt idx="117">
                    <c:v>October</c:v>
                  </c:pt>
                  <c:pt idx="118">
                    <c:v>November</c:v>
                  </c:pt>
                  <c:pt idx="119">
                    <c:v>December</c:v>
                  </c:pt>
                  <c:pt idx="120">
                    <c:v>January</c:v>
                  </c:pt>
                  <c:pt idx="121">
                    <c:v>February</c:v>
                  </c:pt>
                  <c:pt idx="122">
                    <c:v>March</c:v>
                  </c:pt>
                  <c:pt idx="123">
                    <c:v>April</c:v>
                  </c:pt>
                  <c:pt idx="124">
                    <c:v>May</c:v>
                  </c:pt>
                  <c:pt idx="125">
                    <c:v>June</c:v>
                  </c:pt>
                  <c:pt idx="126">
                    <c:v>July</c:v>
                  </c:pt>
                  <c:pt idx="127">
                    <c:v>August</c:v>
                  </c:pt>
                  <c:pt idx="128">
                    <c:v>September</c:v>
                  </c:pt>
                  <c:pt idx="129">
                    <c:v>October</c:v>
                  </c:pt>
                  <c:pt idx="130">
                    <c:v>November</c:v>
                  </c:pt>
                  <c:pt idx="131">
                    <c:v>December</c:v>
                  </c:pt>
                  <c:pt idx="132">
                    <c:v>January</c:v>
                  </c:pt>
                  <c:pt idx="133">
                    <c:v>February</c:v>
                  </c:pt>
                  <c:pt idx="134">
                    <c:v>March</c:v>
                  </c:pt>
                  <c:pt idx="135">
                    <c:v>April</c:v>
                  </c:pt>
                  <c:pt idx="136">
                    <c:v>May</c:v>
                  </c:pt>
                  <c:pt idx="137">
                    <c:v>June</c:v>
                  </c:pt>
                  <c:pt idx="138">
                    <c:v>July</c:v>
                  </c:pt>
                  <c:pt idx="139">
                    <c:v>August</c:v>
                  </c:pt>
                  <c:pt idx="140">
                    <c:v>September</c:v>
                  </c:pt>
                  <c:pt idx="141">
                    <c:v>October</c:v>
                  </c:pt>
                  <c:pt idx="142">
                    <c:v>November</c:v>
                  </c:pt>
                  <c:pt idx="143">
                    <c:v>December</c:v>
                  </c:pt>
                  <c:pt idx="144">
                    <c:v>January</c:v>
                  </c:pt>
                  <c:pt idx="145">
                    <c:v>February</c:v>
                  </c:pt>
                  <c:pt idx="146">
                    <c:v>March</c:v>
                  </c:pt>
                  <c:pt idx="147">
                    <c:v>April</c:v>
                  </c:pt>
                  <c:pt idx="148">
                    <c:v>May</c:v>
                  </c:pt>
                  <c:pt idx="149">
                    <c:v>June</c:v>
                  </c:pt>
                  <c:pt idx="150">
                    <c:v>July</c:v>
                  </c:pt>
                  <c:pt idx="151">
                    <c:v>August</c:v>
                  </c:pt>
                  <c:pt idx="152">
                    <c:v>September</c:v>
                  </c:pt>
                  <c:pt idx="153">
                    <c:v>October</c:v>
                  </c:pt>
                  <c:pt idx="154">
                    <c:v>November</c:v>
                  </c:pt>
                  <c:pt idx="155">
                    <c:v>December</c:v>
                  </c:pt>
                </c:lvl>
                <c:lvl>
                  <c:pt idx="0">
                    <c:v>2005</c:v>
                  </c:pt>
                  <c:pt idx="12">
                    <c:v>2006</c:v>
                  </c:pt>
                  <c:pt idx="24">
                    <c:v>2007</c:v>
                  </c:pt>
                  <c:pt idx="36">
                    <c:v>2008</c:v>
                  </c:pt>
                  <c:pt idx="48">
                    <c:v>2009</c:v>
                  </c:pt>
                  <c:pt idx="60">
                    <c:v>2010</c:v>
                  </c:pt>
                  <c:pt idx="72">
                    <c:v>2011</c:v>
                  </c:pt>
                  <c:pt idx="84">
                    <c:v>2012</c:v>
                  </c:pt>
                  <c:pt idx="96">
                    <c:v>2013</c:v>
                  </c:pt>
                  <c:pt idx="108">
                    <c:v>2014</c:v>
                  </c:pt>
                  <c:pt idx="120">
                    <c:v>2015</c:v>
                  </c:pt>
                  <c:pt idx="132">
                    <c:v>2016</c:v>
                  </c:pt>
                  <c:pt idx="144">
                    <c:v>2017</c:v>
                  </c:pt>
                </c:lvl>
              </c:multiLvlStrCache>
            </c:multiLvlStrRef>
          </c:cat>
          <c:val>
            <c:numRef>
              <c:f>'2.2.Service Consumption Pred'!$D$4:$D$159</c:f>
              <c:numCache>
                <c:formatCode>General</c:formatCode>
                <c:ptCount val="156"/>
                <c:pt idx="0">
                  <c:v>1023.2</c:v>
                </c:pt>
                <c:pt idx="1">
                  <c:v>1036.2</c:v>
                </c:pt>
                <c:pt idx="2">
                  <c:v>1022.1</c:v>
                </c:pt>
                <c:pt idx="3">
                  <c:v>1050.0999999999999</c:v>
                </c:pt>
                <c:pt idx="4">
                  <c:v>1105.3</c:v>
                </c:pt>
                <c:pt idx="5">
                  <c:v>1157.3</c:v>
                </c:pt>
                <c:pt idx="6">
                  <c:v>1064.9000000000001</c:v>
                </c:pt>
                <c:pt idx="7">
                  <c:v>1155.9000000000001</c:v>
                </c:pt>
                <c:pt idx="8">
                  <c:v>1140.3</c:v>
                </c:pt>
                <c:pt idx="9">
                  <c:v>1098.8</c:v>
                </c:pt>
                <c:pt idx="10">
                  <c:v>1163.2</c:v>
                </c:pt>
                <c:pt idx="11">
                  <c:v>1058.3</c:v>
                </c:pt>
                <c:pt idx="12">
                  <c:v>1096</c:v>
                </c:pt>
                <c:pt idx="13">
                  <c:v>1079.8</c:v>
                </c:pt>
                <c:pt idx="14">
                  <c:v>1098.9000000000001</c:v>
                </c:pt>
                <c:pt idx="15">
                  <c:v>1102.0999999999999</c:v>
                </c:pt>
                <c:pt idx="16">
                  <c:v>1174</c:v>
                </c:pt>
                <c:pt idx="17">
                  <c:v>1171</c:v>
                </c:pt>
                <c:pt idx="18">
                  <c:v>1118.0999999999999</c:v>
                </c:pt>
                <c:pt idx="19">
                  <c:v>1239.0999999999999</c:v>
                </c:pt>
                <c:pt idx="20">
                  <c:v>1164.4000000000001</c:v>
                </c:pt>
                <c:pt idx="21">
                  <c:v>1180.2</c:v>
                </c:pt>
                <c:pt idx="22">
                  <c:v>1231.5999999999999</c:v>
                </c:pt>
                <c:pt idx="23">
                  <c:v>1130.5</c:v>
                </c:pt>
                <c:pt idx="24">
                  <c:v>1202.5999999999999</c:v>
                </c:pt>
                <c:pt idx="25">
                  <c:v>1098.3</c:v>
                </c:pt>
                <c:pt idx="26">
                  <c:v>1182.4000000000001</c:v>
                </c:pt>
                <c:pt idx="27">
                  <c:v>1180.9000000000001</c:v>
                </c:pt>
                <c:pt idx="28">
                  <c:v>1251.2</c:v>
                </c:pt>
                <c:pt idx="29">
                  <c:v>1212.5999999999999</c:v>
                </c:pt>
                <c:pt idx="30">
                  <c:v>1225.2</c:v>
                </c:pt>
                <c:pt idx="31">
                  <c:v>1268.2</c:v>
                </c:pt>
                <c:pt idx="32">
                  <c:v>1182.2</c:v>
                </c:pt>
                <c:pt idx="33">
                  <c:v>1253.5</c:v>
                </c:pt>
                <c:pt idx="34">
                  <c:v>1271.4000000000001</c:v>
                </c:pt>
                <c:pt idx="35">
                  <c:v>1192.0999999999999</c:v>
                </c:pt>
                <c:pt idx="36">
                  <c:v>1248.7</c:v>
                </c:pt>
                <c:pt idx="37">
                  <c:v>1217.0999999999999</c:v>
                </c:pt>
                <c:pt idx="38">
                  <c:v>1163.0999999999999</c:v>
                </c:pt>
                <c:pt idx="39">
                  <c:v>1281.4000000000001</c:v>
                </c:pt>
                <c:pt idx="40">
                  <c:v>1249.0999999999999</c:v>
                </c:pt>
                <c:pt idx="41">
                  <c:v>1311.2</c:v>
                </c:pt>
                <c:pt idx="42">
                  <c:v>1298.7</c:v>
                </c:pt>
                <c:pt idx="43">
                  <c:v>1190.2</c:v>
                </c:pt>
                <c:pt idx="44">
                  <c:v>1298.5999999999999</c:v>
                </c:pt>
                <c:pt idx="45">
                  <c:v>1282.5999999999999</c:v>
                </c:pt>
                <c:pt idx="46">
                  <c:v>1218.4000000000001</c:v>
                </c:pt>
                <c:pt idx="47">
                  <c:v>1245.8</c:v>
                </c:pt>
                <c:pt idx="48">
                  <c:v>1169.5</c:v>
                </c:pt>
                <c:pt idx="49">
                  <c:v>1190.2</c:v>
                </c:pt>
                <c:pt idx="50">
                  <c:v>1188.3</c:v>
                </c:pt>
                <c:pt idx="51">
                  <c:v>1211.7</c:v>
                </c:pt>
                <c:pt idx="52">
                  <c:v>1207.2</c:v>
                </c:pt>
                <c:pt idx="53">
                  <c:v>1315.3</c:v>
                </c:pt>
                <c:pt idx="54">
                  <c:v>1304.7</c:v>
                </c:pt>
                <c:pt idx="55">
                  <c:v>1241.4000000000001</c:v>
                </c:pt>
                <c:pt idx="56">
                  <c:v>1241.8</c:v>
                </c:pt>
                <c:pt idx="57">
                  <c:v>1277.5</c:v>
                </c:pt>
                <c:pt idx="58">
                  <c:v>1222.7</c:v>
                </c:pt>
                <c:pt idx="59">
                  <c:v>1229.7</c:v>
                </c:pt>
                <c:pt idx="60">
                  <c:v>1161.7</c:v>
                </c:pt>
                <c:pt idx="61">
                  <c:v>1180</c:v>
                </c:pt>
                <c:pt idx="62">
                  <c:v>1345.4</c:v>
                </c:pt>
                <c:pt idx="63">
                  <c:v>1308.8</c:v>
                </c:pt>
                <c:pt idx="64">
                  <c:v>1235</c:v>
                </c:pt>
                <c:pt idx="65">
                  <c:v>1373.2</c:v>
                </c:pt>
                <c:pt idx="66">
                  <c:v>1317.3</c:v>
                </c:pt>
                <c:pt idx="67">
                  <c:v>1308.3</c:v>
                </c:pt>
                <c:pt idx="68">
                  <c:v>1287.3</c:v>
                </c:pt>
                <c:pt idx="69">
                  <c:v>1278.3</c:v>
                </c:pt>
                <c:pt idx="70">
                  <c:v>1299.2</c:v>
                </c:pt>
                <c:pt idx="71">
                  <c:v>1375.3</c:v>
                </c:pt>
                <c:pt idx="72">
                  <c:v>1266.4000000000001</c:v>
                </c:pt>
                <c:pt idx="73">
                  <c:v>1253.8</c:v>
                </c:pt>
                <c:pt idx="74">
                  <c:v>1261.5</c:v>
                </c:pt>
                <c:pt idx="75">
                  <c:v>1283.4000000000001</c:v>
                </c:pt>
                <c:pt idx="76">
                  <c:v>1314.3</c:v>
                </c:pt>
                <c:pt idx="77">
                  <c:v>1405.6</c:v>
                </c:pt>
                <c:pt idx="78">
                  <c:v>1300.5999999999999</c:v>
                </c:pt>
                <c:pt idx="79">
                  <c:v>1440.5</c:v>
                </c:pt>
                <c:pt idx="80">
                  <c:v>1361.9</c:v>
                </c:pt>
                <c:pt idx="81">
                  <c:v>1299.7</c:v>
                </c:pt>
                <c:pt idx="82">
                  <c:v>1386.2</c:v>
                </c:pt>
                <c:pt idx="83">
                  <c:v>1302.5</c:v>
                </c:pt>
                <c:pt idx="84">
                  <c:v>1202.5999999999999</c:v>
                </c:pt>
                <c:pt idx="85">
                  <c:v>1344.4</c:v>
                </c:pt>
                <c:pt idx="86">
                  <c:v>1291.5</c:v>
                </c:pt>
                <c:pt idx="87">
                  <c:v>1391.3</c:v>
                </c:pt>
                <c:pt idx="88">
                  <c:v>1388.1</c:v>
                </c:pt>
                <c:pt idx="89">
                  <c:v>1391.2</c:v>
                </c:pt>
                <c:pt idx="90">
                  <c:v>1375.8</c:v>
                </c:pt>
                <c:pt idx="91">
                  <c:v>1443.2</c:v>
                </c:pt>
                <c:pt idx="92">
                  <c:v>1401.3</c:v>
                </c:pt>
                <c:pt idx="93">
                  <c:v>1378.7</c:v>
                </c:pt>
                <c:pt idx="94">
                  <c:v>1378.8</c:v>
                </c:pt>
                <c:pt idx="95">
                  <c:v>1378.9</c:v>
                </c:pt>
                <c:pt idx="96">
                  <c:v>1383.3</c:v>
                </c:pt>
                <c:pt idx="97">
                  <c:v>1283.3</c:v>
                </c:pt>
                <c:pt idx="98">
                  <c:v>1291.0999999999999</c:v>
                </c:pt>
                <c:pt idx="99">
                  <c:v>1406.5</c:v>
                </c:pt>
                <c:pt idx="100">
                  <c:v>1400.9</c:v>
                </c:pt>
                <c:pt idx="101">
                  <c:v>1412.7</c:v>
                </c:pt>
                <c:pt idx="102">
                  <c:v>1466.6</c:v>
                </c:pt>
                <c:pt idx="103">
                  <c:v>1423.7</c:v>
                </c:pt>
                <c:pt idx="104">
                  <c:v>1411.2</c:v>
                </c:pt>
                <c:pt idx="105">
                  <c:v>1411</c:v>
                </c:pt>
                <c:pt idx="106">
                  <c:v>1447.4</c:v>
                </c:pt>
                <c:pt idx="107">
                  <c:v>1381.1</c:v>
                </c:pt>
                <c:pt idx="108">
                  <c:v>1354</c:v>
                </c:pt>
                <c:pt idx="109">
                  <c:v>1370.3</c:v>
                </c:pt>
                <c:pt idx="110">
                  <c:v>1316.5</c:v>
                </c:pt>
                <c:pt idx="111">
                  <c:v>1416.3</c:v>
                </c:pt>
                <c:pt idx="112">
                  <c:v>1416.9</c:v>
                </c:pt>
                <c:pt idx="113">
                  <c:v>1447.2</c:v>
                </c:pt>
                <c:pt idx="114">
                  <c:v>1451.6</c:v>
                </c:pt>
                <c:pt idx="115">
                  <c:v>1486.1</c:v>
                </c:pt>
                <c:pt idx="116">
                  <c:v>1447.1</c:v>
                </c:pt>
                <c:pt idx="117">
                  <c:v>1458</c:v>
                </c:pt>
                <c:pt idx="118">
                  <c:v>1457.4</c:v>
                </c:pt>
                <c:pt idx="119">
                  <c:v>1425.1</c:v>
                </c:pt>
                <c:pt idx="120">
                  <c:v>1412.2</c:v>
                </c:pt>
                <c:pt idx="121">
                  <c:v>1335.3</c:v>
                </c:pt>
                <c:pt idx="122">
                  <c:v>1386.4</c:v>
                </c:pt>
                <c:pt idx="123">
                  <c:v>1455.8</c:v>
                </c:pt>
                <c:pt idx="124">
                  <c:v>1467.5</c:v>
                </c:pt>
                <c:pt idx="125">
                  <c:v>1491.5</c:v>
                </c:pt>
                <c:pt idx="126">
                  <c:v>1475.4</c:v>
                </c:pt>
                <c:pt idx="127">
                  <c:v>1520.4</c:v>
                </c:pt>
                <c:pt idx="128">
                  <c:v>1486</c:v>
                </c:pt>
                <c:pt idx="129">
                  <c:v>1499.6</c:v>
                </c:pt>
                <c:pt idx="130">
                  <c:v>1506.2</c:v>
                </c:pt>
                <c:pt idx="131">
                  <c:v>1444.7</c:v>
                </c:pt>
                <c:pt idx="132">
                  <c:v>1419.1</c:v>
                </c:pt>
                <c:pt idx="133">
                  <c:v>1449</c:v>
                </c:pt>
                <c:pt idx="134">
                  <c:v>1383.4</c:v>
                </c:pt>
                <c:pt idx="135">
                  <c:v>1504.2</c:v>
                </c:pt>
                <c:pt idx="136">
                  <c:v>1490.3</c:v>
                </c:pt>
                <c:pt idx="137">
                  <c:v>1536.4</c:v>
                </c:pt>
                <c:pt idx="138">
                  <c:v>1449.7</c:v>
                </c:pt>
                <c:pt idx="139">
                  <c:v>1533.2</c:v>
                </c:pt>
                <c:pt idx="140">
                  <c:v>1464.3</c:v>
                </c:pt>
                <c:pt idx="141">
                  <c:v>1493.2</c:v>
                </c:pt>
                <c:pt idx="142">
                  <c:v>1504.4</c:v>
                </c:pt>
                <c:pt idx="143">
                  <c:v>1471</c:v>
                </c:pt>
                <c:pt idx="144">
                  <c:v>1459</c:v>
                </c:pt>
                <c:pt idx="145">
                  <c:v>1454.4</c:v>
                </c:pt>
                <c:pt idx="146">
                  <c:v>1441.8</c:v>
                </c:pt>
                <c:pt idx="147">
                  <c:v>1442.2</c:v>
                </c:pt>
                <c:pt idx="148">
                  <c:v>1523.6</c:v>
                </c:pt>
                <c:pt idx="149">
                  <c:v>1464.2</c:v>
                </c:pt>
                <c:pt idx="150">
                  <c:v>1507.1</c:v>
                </c:pt>
                <c:pt idx="151">
                  <c:v>1644.4</c:v>
                </c:pt>
                <c:pt idx="152">
                  <c:v>1527.1</c:v>
                </c:pt>
                <c:pt idx="153">
                  <c:v>1524</c:v>
                </c:pt>
                <c:pt idx="154">
                  <c:v>1561.6</c:v>
                </c:pt>
                <c:pt idx="155">
                  <c:v>1513.7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50-4976-AE9A-0ACD8BC918B4}"/>
            </c:ext>
          </c:extLst>
        </c:ser>
        <c:ser>
          <c:idx val="1"/>
          <c:order val="1"/>
          <c:tx>
            <c:strRef>
              <c:f>'2.2.Service Consumption Pred'!$E$3</c:f>
              <c:strCache>
                <c:ptCount val="1"/>
                <c:pt idx="0">
                  <c:v>LT 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'2.2.Service Consumption Pred'!$B$4:$C$159</c:f>
              <c:multiLvlStrCache>
                <c:ptCount val="156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  <c:pt idx="12">
                    <c:v>January</c:v>
                  </c:pt>
                  <c:pt idx="13">
                    <c:v>February</c:v>
                  </c:pt>
                  <c:pt idx="14">
                    <c:v>March</c:v>
                  </c:pt>
                  <c:pt idx="15">
                    <c:v>April</c:v>
                  </c:pt>
                  <c:pt idx="16">
                    <c:v>May</c:v>
                  </c:pt>
                  <c:pt idx="17">
                    <c:v>June</c:v>
                  </c:pt>
                  <c:pt idx="18">
                    <c:v>July</c:v>
                  </c:pt>
                  <c:pt idx="19">
                    <c:v>August</c:v>
                  </c:pt>
                  <c:pt idx="20">
                    <c:v>September</c:v>
                  </c:pt>
                  <c:pt idx="21">
                    <c:v>October</c:v>
                  </c:pt>
                  <c:pt idx="22">
                    <c:v>November</c:v>
                  </c:pt>
                  <c:pt idx="23">
                    <c:v>December</c:v>
                  </c:pt>
                  <c:pt idx="24">
                    <c:v>January</c:v>
                  </c:pt>
                  <c:pt idx="25">
                    <c:v>February</c:v>
                  </c:pt>
                  <c:pt idx="26">
                    <c:v>March</c:v>
                  </c:pt>
                  <c:pt idx="27">
                    <c:v>April</c:v>
                  </c:pt>
                  <c:pt idx="28">
                    <c:v>May</c:v>
                  </c:pt>
                  <c:pt idx="29">
                    <c:v>June</c:v>
                  </c:pt>
                  <c:pt idx="30">
                    <c:v>July</c:v>
                  </c:pt>
                  <c:pt idx="31">
                    <c:v>August</c:v>
                  </c:pt>
                  <c:pt idx="32">
                    <c:v>September</c:v>
                  </c:pt>
                  <c:pt idx="33">
                    <c:v>October</c:v>
                  </c:pt>
                  <c:pt idx="34">
                    <c:v>November</c:v>
                  </c:pt>
                  <c:pt idx="35">
                    <c:v>December</c:v>
                  </c:pt>
                  <c:pt idx="36">
                    <c:v>January</c:v>
                  </c:pt>
                  <c:pt idx="37">
                    <c:v>February</c:v>
                  </c:pt>
                  <c:pt idx="38">
                    <c:v>March</c:v>
                  </c:pt>
                  <c:pt idx="39">
                    <c:v>April</c:v>
                  </c:pt>
                  <c:pt idx="40">
                    <c:v>May</c:v>
                  </c:pt>
                  <c:pt idx="41">
                    <c:v>June</c:v>
                  </c:pt>
                  <c:pt idx="42">
                    <c:v>July</c:v>
                  </c:pt>
                  <c:pt idx="43">
                    <c:v>August</c:v>
                  </c:pt>
                  <c:pt idx="44">
                    <c:v>September</c:v>
                  </c:pt>
                  <c:pt idx="45">
                    <c:v>October</c:v>
                  </c:pt>
                  <c:pt idx="46">
                    <c:v>November</c:v>
                  </c:pt>
                  <c:pt idx="47">
                    <c:v>December</c:v>
                  </c:pt>
                  <c:pt idx="48">
                    <c:v>January</c:v>
                  </c:pt>
                  <c:pt idx="49">
                    <c:v>February</c:v>
                  </c:pt>
                  <c:pt idx="50">
                    <c:v>March</c:v>
                  </c:pt>
                  <c:pt idx="51">
                    <c:v>April</c:v>
                  </c:pt>
                  <c:pt idx="52">
                    <c:v>May</c:v>
                  </c:pt>
                  <c:pt idx="53">
                    <c:v>June</c:v>
                  </c:pt>
                  <c:pt idx="54">
                    <c:v>July</c:v>
                  </c:pt>
                  <c:pt idx="55">
                    <c:v>August</c:v>
                  </c:pt>
                  <c:pt idx="56">
                    <c:v>September</c:v>
                  </c:pt>
                  <c:pt idx="57">
                    <c:v>October</c:v>
                  </c:pt>
                  <c:pt idx="58">
                    <c:v>November</c:v>
                  </c:pt>
                  <c:pt idx="59">
                    <c:v>December</c:v>
                  </c:pt>
                  <c:pt idx="60">
                    <c:v>January</c:v>
                  </c:pt>
                  <c:pt idx="61">
                    <c:v>February</c:v>
                  </c:pt>
                  <c:pt idx="62">
                    <c:v>March</c:v>
                  </c:pt>
                  <c:pt idx="63">
                    <c:v>April</c:v>
                  </c:pt>
                  <c:pt idx="64">
                    <c:v>May</c:v>
                  </c:pt>
                  <c:pt idx="65">
                    <c:v>June</c:v>
                  </c:pt>
                  <c:pt idx="66">
                    <c:v>July</c:v>
                  </c:pt>
                  <c:pt idx="67">
                    <c:v>August</c:v>
                  </c:pt>
                  <c:pt idx="68">
                    <c:v>September</c:v>
                  </c:pt>
                  <c:pt idx="69">
                    <c:v>October</c:v>
                  </c:pt>
                  <c:pt idx="70">
                    <c:v>November</c:v>
                  </c:pt>
                  <c:pt idx="71">
                    <c:v>December</c:v>
                  </c:pt>
                  <c:pt idx="72">
                    <c:v>January</c:v>
                  </c:pt>
                  <c:pt idx="73">
                    <c:v>February</c:v>
                  </c:pt>
                  <c:pt idx="74">
                    <c:v>March</c:v>
                  </c:pt>
                  <c:pt idx="75">
                    <c:v>April</c:v>
                  </c:pt>
                  <c:pt idx="76">
                    <c:v>May</c:v>
                  </c:pt>
                  <c:pt idx="77">
                    <c:v>June</c:v>
                  </c:pt>
                  <c:pt idx="78">
                    <c:v>July</c:v>
                  </c:pt>
                  <c:pt idx="79">
                    <c:v>August</c:v>
                  </c:pt>
                  <c:pt idx="80">
                    <c:v>September</c:v>
                  </c:pt>
                  <c:pt idx="81">
                    <c:v>October</c:v>
                  </c:pt>
                  <c:pt idx="82">
                    <c:v>November</c:v>
                  </c:pt>
                  <c:pt idx="83">
                    <c:v>December</c:v>
                  </c:pt>
                  <c:pt idx="84">
                    <c:v>January</c:v>
                  </c:pt>
                  <c:pt idx="85">
                    <c:v>February</c:v>
                  </c:pt>
                  <c:pt idx="86">
                    <c:v>March</c:v>
                  </c:pt>
                  <c:pt idx="87">
                    <c:v>April</c:v>
                  </c:pt>
                  <c:pt idx="88">
                    <c:v>May</c:v>
                  </c:pt>
                  <c:pt idx="89">
                    <c:v>June</c:v>
                  </c:pt>
                  <c:pt idx="90">
                    <c:v>July</c:v>
                  </c:pt>
                  <c:pt idx="91">
                    <c:v>August</c:v>
                  </c:pt>
                  <c:pt idx="92">
                    <c:v>September</c:v>
                  </c:pt>
                  <c:pt idx="93">
                    <c:v>October</c:v>
                  </c:pt>
                  <c:pt idx="94">
                    <c:v>November</c:v>
                  </c:pt>
                  <c:pt idx="95">
                    <c:v>December</c:v>
                  </c:pt>
                  <c:pt idx="96">
                    <c:v>January</c:v>
                  </c:pt>
                  <c:pt idx="97">
                    <c:v>February</c:v>
                  </c:pt>
                  <c:pt idx="98">
                    <c:v>March</c:v>
                  </c:pt>
                  <c:pt idx="99">
                    <c:v>April</c:v>
                  </c:pt>
                  <c:pt idx="100">
                    <c:v>May</c:v>
                  </c:pt>
                  <c:pt idx="101">
                    <c:v>June</c:v>
                  </c:pt>
                  <c:pt idx="102">
                    <c:v>July</c:v>
                  </c:pt>
                  <c:pt idx="103">
                    <c:v>August</c:v>
                  </c:pt>
                  <c:pt idx="104">
                    <c:v>September</c:v>
                  </c:pt>
                  <c:pt idx="105">
                    <c:v>October</c:v>
                  </c:pt>
                  <c:pt idx="106">
                    <c:v>November</c:v>
                  </c:pt>
                  <c:pt idx="107">
                    <c:v>December</c:v>
                  </c:pt>
                  <c:pt idx="108">
                    <c:v>January</c:v>
                  </c:pt>
                  <c:pt idx="109">
                    <c:v>February</c:v>
                  </c:pt>
                  <c:pt idx="110">
                    <c:v>March</c:v>
                  </c:pt>
                  <c:pt idx="111">
                    <c:v>April</c:v>
                  </c:pt>
                  <c:pt idx="112">
                    <c:v>May</c:v>
                  </c:pt>
                  <c:pt idx="113">
                    <c:v>June</c:v>
                  </c:pt>
                  <c:pt idx="114">
                    <c:v>July</c:v>
                  </c:pt>
                  <c:pt idx="115">
                    <c:v>August</c:v>
                  </c:pt>
                  <c:pt idx="116">
                    <c:v>September</c:v>
                  </c:pt>
                  <c:pt idx="117">
                    <c:v>October</c:v>
                  </c:pt>
                  <c:pt idx="118">
                    <c:v>November</c:v>
                  </c:pt>
                  <c:pt idx="119">
                    <c:v>December</c:v>
                  </c:pt>
                  <c:pt idx="120">
                    <c:v>January</c:v>
                  </c:pt>
                  <c:pt idx="121">
                    <c:v>February</c:v>
                  </c:pt>
                  <c:pt idx="122">
                    <c:v>March</c:v>
                  </c:pt>
                  <c:pt idx="123">
                    <c:v>April</c:v>
                  </c:pt>
                  <c:pt idx="124">
                    <c:v>May</c:v>
                  </c:pt>
                  <c:pt idx="125">
                    <c:v>June</c:v>
                  </c:pt>
                  <c:pt idx="126">
                    <c:v>July</c:v>
                  </c:pt>
                  <c:pt idx="127">
                    <c:v>August</c:v>
                  </c:pt>
                  <c:pt idx="128">
                    <c:v>September</c:v>
                  </c:pt>
                  <c:pt idx="129">
                    <c:v>October</c:v>
                  </c:pt>
                  <c:pt idx="130">
                    <c:v>November</c:v>
                  </c:pt>
                  <c:pt idx="131">
                    <c:v>December</c:v>
                  </c:pt>
                  <c:pt idx="132">
                    <c:v>January</c:v>
                  </c:pt>
                  <c:pt idx="133">
                    <c:v>February</c:v>
                  </c:pt>
                  <c:pt idx="134">
                    <c:v>March</c:v>
                  </c:pt>
                  <c:pt idx="135">
                    <c:v>April</c:v>
                  </c:pt>
                  <c:pt idx="136">
                    <c:v>May</c:v>
                  </c:pt>
                  <c:pt idx="137">
                    <c:v>June</c:v>
                  </c:pt>
                  <c:pt idx="138">
                    <c:v>July</c:v>
                  </c:pt>
                  <c:pt idx="139">
                    <c:v>August</c:v>
                  </c:pt>
                  <c:pt idx="140">
                    <c:v>September</c:v>
                  </c:pt>
                  <c:pt idx="141">
                    <c:v>October</c:v>
                  </c:pt>
                  <c:pt idx="142">
                    <c:v>November</c:v>
                  </c:pt>
                  <c:pt idx="143">
                    <c:v>December</c:v>
                  </c:pt>
                  <c:pt idx="144">
                    <c:v>January</c:v>
                  </c:pt>
                  <c:pt idx="145">
                    <c:v>February</c:v>
                  </c:pt>
                  <c:pt idx="146">
                    <c:v>March</c:v>
                  </c:pt>
                  <c:pt idx="147">
                    <c:v>April</c:v>
                  </c:pt>
                  <c:pt idx="148">
                    <c:v>May</c:v>
                  </c:pt>
                  <c:pt idx="149">
                    <c:v>June</c:v>
                  </c:pt>
                  <c:pt idx="150">
                    <c:v>July</c:v>
                  </c:pt>
                  <c:pt idx="151">
                    <c:v>August</c:v>
                  </c:pt>
                  <c:pt idx="152">
                    <c:v>September</c:v>
                  </c:pt>
                  <c:pt idx="153">
                    <c:v>October</c:v>
                  </c:pt>
                  <c:pt idx="154">
                    <c:v>November</c:v>
                  </c:pt>
                  <c:pt idx="155">
                    <c:v>December</c:v>
                  </c:pt>
                </c:lvl>
                <c:lvl>
                  <c:pt idx="0">
                    <c:v>2005</c:v>
                  </c:pt>
                  <c:pt idx="12">
                    <c:v>2006</c:v>
                  </c:pt>
                  <c:pt idx="24">
                    <c:v>2007</c:v>
                  </c:pt>
                  <c:pt idx="36">
                    <c:v>2008</c:v>
                  </c:pt>
                  <c:pt idx="48">
                    <c:v>2009</c:v>
                  </c:pt>
                  <c:pt idx="60">
                    <c:v>2010</c:v>
                  </c:pt>
                  <c:pt idx="72">
                    <c:v>2011</c:v>
                  </c:pt>
                  <c:pt idx="84">
                    <c:v>2012</c:v>
                  </c:pt>
                  <c:pt idx="96">
                    <c:v>2013</c:v>
                  </c:pt>
                  <c:pt idx="108">
                    <c:v>2014</c:v>
                  </c:pt>
                  <c:pt idx="120">
                    <c:v>2015</c:v>
                  </c:pt>
                  <c:pt idx="132">
                    <c:v>2016</c:v>
                  </c:pt>
                  <c:pt idx="144">
                    <c:v>2017</c:v>
                  </c:pt>
                </c:lvl>
              </c:multiLvlStrCache>
            </c:multiLvlStrRef>
          </c:cat>
          <c:val>
            <c:numRef>
              <c:f>'2.2.Service Consumption Pred'!$E$4:$E$159</c:f>
              <c:numCache>
                <c:formatCode>General</c:formatCode>
                <c:ptCount val="156"/>
                <c:pt idx="0">
                  <c:v>1103.8453535848441</c:v>
                </c:pt>
                <c:pt idx="1">
                  <c:v>1106.6333209000438</c:v>
                </c:pt>
                <c:pt idx="2">
                  <c:v>1109.4212882152435</c:v>
                </c:pt>
                <c:pt idx="3">
                  <c:v>1112.2092555304432</c:v>
                </c:pt>
                <c:pt idx="4">
                  <c:v>1114.9972228456429</c:v>
                </c:pt>
                <c:pt idx="5">
                  <c:v>1117.7851901608426</c:v>
                </c:pt>
                <c:pt idx="6">
                  <c:v>1120.5731574760423</c:v>
                </c:pt>
                <c:pt idx="7">
                  <c:v>1123.361124791242</c:v>
                </c:pt>
                <c:pt idx="8">
                  <c:v>1126.1490921064417</c:v>
                </c:pt>
                <c:pt idx="9">
                  <c:v>1128.9370594216414</c:v>
                </c:pt>
                <c:pt idx="10">
                  <c:v>1131.7250267368411</c:v>
                </c:pt>
                <c:pt idx="11">
                  <c:v>1134.5129940520408</c:v>
                </c:pt>
                <c:pt idx="12">
                  <c:v>1137.3009613672405</c:v>
                </c:pt>
                <c:pt idx="13">
                  <c:v>1140.0889286824402</c:v>
                </c:pt>
                <c:pt idx="14">
                  <c:v>1142.8768959976398</c:v>
                </c:pt>
                <c:pt idx="15">
                  <c:v>1145.6648633128395</c:v>
                </c:pt>
                <c:pt idx="16">
                  <c:v>1148.4528306280392</c:v>
                </c:pt>
                <c:pt idx="17">
                  <c:v>1151.2407979432389</c:v>
                </c:pt>
                <c:pt idx="18">
                  <c:v>1154.0287652584386</c:v>
                </c:pt>
                <c:pt idx="19">
                  <c:v>1156.8167325736383</c:v>
                </c:pt>
                <c:pt idx="20">
                  <c:v>1159.604699888838</c:v>
                </c:pt>
                <c:pt idx="21">
                  <c:v>1162.3926672040377</c:v>
                </c:pt>
                <c:pt idx="22">
                  <c:v>1165.1806345192374</c:v>
                </c:pt>
                <c:pt idx="23">
                  <c:v>1167.9686018344371</c:v>
                </c:pt>
                <c:pt idx="24">
                  <c:v>1170.7565691496368</c:v>
                </c:pt>
                <c:pt idx="25">
                  <c:v>1173.5445364648365</c:v>
                </c:pt>
                <c:pt idx="26">
                  <c:v>1176.3325037800362</c:v>
                </c:pt>
                <c:pt idx="27">
                  <c:v>1179.1204710952359</c:v>
                </c:pt>
                <c:pt idx="28">
                  <c:v>1181.9084384104356</c:v>
                </c:pt>
                <c:pt idx="29">
                  <c:v>1184.6964057256355</c:v>
                </c:pt>
                <c:pt idx="30">
                  <c:v>1187.4843730408352</c:v>
                </c:pt>
                <c:pt idx="31">
                  <c:v>1190.2723403560349</c:v>
                </c:pt>
                <c:pt idx="32">
                  <c:v>1193.0603076712346</c:v>
                </c:pt>
                <c:pt idx="33">
                  <c:v>1195.8482749864343</c:v>
                </c:pt>
                <c:pt idx="34">
                  <c:v>1198.636242301634</c:v>
                </c:pt>
                <c:pt idx="35">
                  <c:v>1201.4242096168337</c:v>
                </c:pt>
                <c:pt idx="36">
                  <c:v>1204.2121769320333</c:v>
                </c:pt>
                <c:pt idx="37">
                  <c:v>1207.000144247233</c:v>
                </c:pt>
                <c:pt idx="38">
                  <c:v>1209.7881115624327</c:v>
                </c:pt>
                <c:pt idx="39">
                  <c:v>1212.5760788776324</c:v>
                </c:pt>
                <c:pt idx="40">
                  <c:v>1215.3640461928321</c:v>
                </c:pt>
                <c:pt idx="41">
                  <c:v>1218.1520135080318</c:v>
                </c:pt>
                <c:pt idx="42">
                  <c:v>1220.9399808232315</c:v>
                </c:pt>
                <c:pt idx="43">
                  <c:v>1223.7279481384312</c:v>
                </c:pt>
                <c:pt idx="44">
                  <c:v>1226.5159154536309</c:v>
                </c:pt>
                <c:pt idx="45">
                  <c:v>1229.3038827688306</c:v>
                </c:pt>
                <c:pt idx="46">
                  <c:v>1232.0918500840303</c:v>
                </c:pt>
                <c:pt idx="47">
                  <c:v>1234.87981739923</c:v>
                </c:pt>
                <c:pt idx="48">
                  <c:v>1237.6677847144297</c:v>
                </c:pt>
                <c:pt idx="49">
                  <c:v>1240.4557520296294</c:v>
                </c:pt>
                <c:pt idx="50">
                  <c:v>1243.2437193448291</c:v>
                </c:pt>
                <c:pt idx="51">
                  <c:v>1246.0316866600288</c:v>
                </c:pt>
                <c:pt idx="52">
                  <c:v>1248.8196539752284</c:v>
                </c:pt>
                <c:pt idx="53">
                  <c:v>1251.6076212904281</c:v>
                </c:pt>
                <c:pt idx="54">
                  <c:v>1254.3955886056278</c:v>
                </c:pt>
                <c:pt idx="55">
                  <c:v>1257.1835559208275</c:v>
                </c:pt>
                <c:pt idx="56">
                  <c:v>1259.9715232360272</c:v>
                </c:pt>
                <c:pt idx="57">
                  <c:v>1262.7594905512269</c:v>
                </c:pt>
                <c:pt idx="58">
                  <c:v>1265.5474578664266</c:v>
                </c:pt>
                <c:pt idx="59">
                  <c:v>1268.3354251816263</c:v>
                </c:pt>
                <c:pt idx="60">
                  <c:v>1271.123392496826</c:v>
                </c:pt>
                <c:pt idx="61">
                  <c:v>1273.9113598120257</c:v>
                </c:pt>
                <c:pt idx="62">
                  <c:v>1276.6993271272254</c:v>
                </c:pt>
                <c:pt idx="63">
                  <c:v>1279.4872944424251</c:v>
                </c:pt>
                <c:pt idx="64">
                  <c:v>1282.2752617576248</c:v>
                </c:pt>
                <c:pt idx="65">
                  <c:v>1285.0632290728245</c:v>
                </c:pt>
                <c:pt idx="66">
                  <c:v>1287.8511963880242</c:v>
                </c:pt>
                <c:pt idx="67">
                  <c:v>1290.6391637032239</c:v>
                </c:pt>
                <c:pt idx="68">
                  <c:v>1293.4271310184236</c:v>
                </c:pt>
                <c:pt idx="69">
                  <c:v>1296.2150983336232</c:v>
                </c:pt>
                <c:pt idx="70">
                  <c:v>1299.0030656488229</c:v>
                </c:pt>
                <c:pt idx="71">
                  <c:v>1301.7910329640226</c:v>
                </c:pt>
                <c:pt idx="72">
                  <c:v>1304.5790002792223</c:v>
                </c:pt>
                <c:pt idx="73">
                  <c:v>1307.366967594422</c:v>
                </c:pt>
                <c:pt idx="74">
                  <c:v>1310.1549349096217</c:v>
                </c:pt>
                <c:pt idx="75">
                  <c:v>1312.9429022248214</c:v>
                </c:pt>
                <c:pt idx="76">
                  <c:v>1315.7308695400211</c:v>
                </c:pt>
                <c:pt idx="77">
                  <c:v>1318.5188368552208</c:v>
                </c:pt>
                <c:pt idx="78">
                  <c:v>1321.3068041704205</c:v>
                </c:pt>
                <c:pt idx="79">
                  <c:v>1324.0947714856202</c:v>
                </c:pt>
                <c:pt idx="80">
                  <c:v>1326.8827388008199</c:v>
                </c:pt>
                <c:pt idx="81">
                  <c:v>1329.6707061160196</c:v>
                </c:pt>
                <c:pt idx="82">
                  <c:v>1332.4586734312193</c:v>
                </c:pt>
                <c:pt idx="83">
                  <c:v>1335.246640746419</c:v>
                </c:pt>
                <c:pt idx="84">
                  <c:v>1338.0346080616187</c:v>
                </c:pt>
                <c:pt idx="85">
                  <c:v>1340.8225753768183</c:v>
                </c:pt>
                <c:pt idx="86">
                  <c:v>1343.610542692018</c:v>
                </c:pt>
                <c:pt idx="87">
                  <c:v>1346.3985100072177</c:v>
                </c:pt>
                <c:pt idx="88">
                  <c:v>1349.1864773224174</c:v>
                </c:pt>
                <c:pt idx="89">
                  <c:v>1351.9744446376171</c:v>
                </c:pt>
                <c:pt idx="90">
                  <c:v>1354.7624119528168</c:v>
                </c:pt>
                <c:pt idx="91">
                  <c:v>1357.5503792680165</c:v>
                </c:pt>
                <c:pt idx="92">
                  <c:v>1360.3383465832162</c:v>
                </c:pt>
                <c:pt idx="93">
                  <c:v>1363.1263138984159</c:v>
                </c:pt>
                <c:pt idx="94">
                  <c:v>1365.9142812136156</c:v>
                </c:pt>
                <c:pt idx="95">
                  <c:v>1368.7022485288153</c:v>
                </c:pt>
                <c:pt idx="96">
                  <c:v>1371.490215844015</c:v>
                </c:pt>
                <c:pt idx="97">
                  <c:v>1374.2781831592147</c:v>
                </c:pt>
                <c:pt idx="98">
                  <c:v>1377.0661504744144</c:v>
                </c:pt>
                <c:pt idx="99">
                  <c:v>1379.8541177896141</c:v>
                </c:pt>
                <c:pt idx="100">
                  <c:v>1382.6420851048138</c:v>
                </c:pt>
                <c:pt idx="101">
                  <c:v>1385.4300524200135</c:v>
                </c:pt>
                <c:pt idx="102">
                  <c:v>1388.2180197352131</c:v>
                </c:pt>
                <c:pt idx="103">
                  <c:v>1391.0059870504128</c:v>
                </c:pt>
                <c:pt idx="104">
                  <c:v>1393.7939543656128</c:v>
                </c:pt>
                <c:pt idx="105">
                  <c:v>1396.5819216808125</c:v>
                </c:pt>
                <c:pt idx="106">
                  <c:v>1399.3698889960122</c:v>
                </c:pt>
                <c:pt idx="107">
                  <c:v>1402.1578563112118</c:v>
                </c:pt>
                <c:pt idx="108">
                  <c:v>1404.9458236264115</c:v>
                </c:pt>
                <c:pt idx="109">
                  <c:v>1407.7337909416112</c:v>
                </c:pt>
                <c:pt idx="110">
                  <c:v>1410.5217582568109</c:v>
                </c:pt>
                <c:pt idx="111">
                  <c:v>1413.3097255720106</c:v>
                </c:pt>
                <c:pt idx="112">
                  <c:v>1416.0976928872103</c:v>
                </c:pt>
                <c:pt idx="113">
                  <c:v>1418.88566020241</c:v>
                </c:pt>
                <c:pt idx="114">
                  <c:v>1421.6736275176097</c:v>
                </c:pt>
                <c:pt idx="115">
                  <c:v>1424.4615948328094</c:v>
                </c:pt>
                <c:pt idx="116">
                  <c:v>1427.2495621480091</c:v>
                </c:pt>
                <c:pt idx="117">
                  <c:v>1430.0375294632088</c:v>
                </c:pt>
                <c:pt idx="118">
                  <c:v>1432.8254967784085</c:v>
                </c:pt>
                <c:pt idx="119">
                  <c:v>1435.6134640936082</c:v>
                </c:pt>
                <c:pt idx="120">
                  <c:v>1438.4014314088079</c:v>
                </c:pt>
                <c:pt idx="121">
                  <c:v>1441.1893987240076</c:v>
                </c:pt>
                <c:pt idx="122">
                  <c:v>1443.9773660392073</c:v>
                </c:pt>
                <c:pt idx="123">
                  <c:v>1446.7653333544069</c:v>
                </c:pt>
                <c:pt idx="124">
                  <c:v>1449.5533006696066</c:v>
                </c:pt>
                <c:pt idx="125">
                  <c:v>1452.3412679848063</c:v>
                </c:pt>
                <c:pt idx="126">
                  <c:v>1455.129235300006</c:v>
                </c:pt>
                <c:pt idx="127">
                  <c:v>1457.9172026152057</c:v>
                </c:pt>
                <c:pt idx="128">
                  <c:v>1460.7051699304054</c:v>
                </c:pt>
                <c:pt idx="129">
                  <c:v>1463.4931372456051</c:v>
                </c:pt>
                <c:pt idx="130">
                  <c:v>1466.2811045608048</c:v>
                </c:pt>
                <c:pt idx="131">
                  <c:v>1469.0690718760045</c:v>
                </c:pt>
                <c:pt idx="132">
                  <c:v>1471.8570391912042</c:v>
                </c:pt>
                <c:pt idx="133">
                  <c:v>1474.6450065064039</c:v>
                </c:pt>
                <c:pt idx="134">
                  <c:v>1477.4329738216036</c:v>
                </c:pt>
                <c:pt idx="135">
                  <c:v>1480.2209411368033</c:v>
                </c:pt>
                <c:pt idx="136">
                  <c:v>1483.008908452003</c:v>
                </c:pt>
                <c:pt idx="137">
                  <c:v>1485.7968757672027</c:v>
                </c:pt>
                <c:pt idx="138">
                  <c:v>1488.5848430824024</c:v>
                </c:pt>
                <c:pt idx="139">
                  <c:v>1491.3728103976021</c:v>
                </c:pt>
                <c:pt idx="140">
                  <c:v>1494.1607777128017</c:v>
                </c:pt>
                <c:pt idx="141">
                  <c:v>1496.9487450280014</c:v>
                </c:pt>
                <c:pt idx="142">
                  <c:v>1499.7367123432011</c:v>
                </c:pt>
                <c:pt idx="143">
                  <c:v>1502.5246796584008</c:v>
                </c:pt>
                <c:pt idx="144">
                  <c:v>1505.3126469736005</c:v>
                </c:pt>
                <c:pt idx="145">
                  <c:v>1508.1006142888002</c:v>
                </c:pt>
                <c:pt idx="146">
                  <c:v>1510.8885816039999</c:v>
                </c:pt>
                <c:pt idx="147">
                  <c:v>1513.6765489191996</c:v>
                </c:pt>
                <c:pt idx="148">
                  <c:v>1516.4645162343993</c:v>
                </c:pt>
                <c:pt idx="149">
                  <c:v>1519.252483549599</c:v>
                </c:pt>
                <c:pt idx="150">
                  <c:v>1522.0404508647987</c:v>
                </c:pt>
                <c:pt idx="151">
                  <c:v>1524.8284181799986</c:v>
                </c:pt>
                <c:pt idx="152">
                  <c:v>1527.6163854951983</c:v>
                </c:pt>
                <c:pt idx="153">
                  <c:v>1530.404352810398</c:v>
                </c:pt>
                <c:pt idx="154">
                  <c:v>1533.1923201255977</c:v>
                </c:pt>
                <c:pt idx="155">
                  <c:v>1535.9802874407974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50-4976-AE9A-0ACD8BC918B4}"/>
            </c:ext>
          </c:extLst>
        </c:ser>
        <c:ser>
          <c:idx val="2"/>
          <c:order val="2"/>
          <c:tx>
            <c:strRef>
              <c:f>'2.2.Service Consumption Pred'!$F$3</c:f>
              <c:strCache>
                <c:ptCount val="1"/>
                <c:pt idx="0">
                  <c:v>Seasonal Forecast with Trend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'2.2.Service Consumption Pred'!$B$4:$C$159</c:f>
              <c:multiLvlStrCache>
                <c:ptCount val="156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  <c:pt idx="12">
                    <c:v>January</c:v>
                  </c:pt>
                  <c:pt idx="13">
                    <c:v>February</c:v>
                  </c:pt>
                  <c:pt idx="14">
                    <c:v>March</c:v>
                  </c:pt>
                  <c:pt idx="15">
                    <c:v>April</c:v>
                  </c:pt>
                  <c:pt idx="16">
                    <c:v>May</c:v>
                  </c:pt>
                  <c:pt idx="17">
                    <c:v>June</c:v>
                  </c:pt>
                  <c:pt idx="18">
                    <c:v>July</c:v>
                  </c:pt>
                  <c:pt idx="19">
                    <c:v>August</c:v>
                  </c:pt>
                  <c:pt idx="20">
                    <c:v>September</c:v>
                  </c:pt>
                  <c:pt idx="21">
                    <c:v>October</c:v>
                  </c:pt>
                  <c:pt idx="22">
                    <c:v>November</c:v>
                  </c:pt>
                  <c:pt idx="23">
                    <c:v>December</c:v>
                  </c:pt>
                  <c:pt idx="24">
                    <c:v>January</c:v>
                  </c:pt>
                  <c:pt idx="25">
                    <c:v>February</c:v>
                  </c:pt>
                  <c:pt idx="26">
                    <c:v>March</c:v>
                  </c:pt>
                  <c:pt idx="27">
                    <c:v>April</c:v>
                  </c:pt>
                  <c:pt idx="28">
                    <c:v>May</c:v>
                  </c:pt>
                  <c:pt idx="29">
                    <c:v>June</c:v>
                  </c:pt>
                  <c:pt idx="30">
                    <c:v>July</c:v>
                  </c:pt>
                  <c:pt idx="31">
                    <c:v>August</c:v>
                  </c:pt>
                  <c:pt idx="32">
                    <c:v>September</c:v>
                  </c:pt>
                  <c:pt idx="33">
                    <c:v>October</c:v>
                  </c:pt>
                  <c:pt idx="34">
                    <c:v>November</c:v>
                  </c:pt>
                  <c:pt idx="35">
                    <c:v>December</c:v>
                  </c:pt>
                  <c:pt idx="36">
                    <c:v>January</c:v>
                  </c:pt>
                  <c:pt idx="37">
                    <c:v>February</c:v>
                  </c:pt>
                  <c:pt idx="38">
                    <c:v>March</c:v>
                  </c:pt>
                  <c:pt idx="39">
                    <c:v>April</c:v>
                  </c:pt>
                  <c:pt idx="40">
                    <c:v>May</c:v>
                  </c:pt>
                  <c:pt idx="41">
                    <c:v>June</c:v>
                  </c:pt>
                  <c:pt idx="42">
                    <c:v>July</c:v>
                  </c:pt>
                  <c:pt idx="43">
                    <c:v>August</c:v>
                  </c:pt>
                  <c:pt idx="44">
                    <c:v>September</c:v>
                  </c:pt>
                  <c:pt idx="45">
                    <c:v>October</c:v>
                  </c:pt>
                  <c:pt idx="46">
                    <c:v>November</c:v>
                  </c:pt>
                  <c:pt idx="47">
                    <c:v>December</c:v>
                  </c:pt>
                  <c:pt idx="48">
                    <c:v>January</c:v>
                  </c:pt>
                  <c:pt idx="49">
                    <c:v>February</c:v>
                  </c:pt>
                  <c:pt idx="50">
                    <c:v>March</c:v>
                  </c:pt>
                  <c:pt idx="51">
                    <c:v>April</c:v>
                  </c:pt>
                  <c:pt idx="52">
                    <c:v>May</c:v>
                  </c:pt>
                  <c:pt idx="53">
                    <c:v>June</c:v>
                  </c:pt>
                  <c:pt idx="54">
                    <c:v>July</c:v>
                  </c:pt>
                  <c:pt idx="55">
                    <c:v>August</c:v>
                  </c:pt>
                  <c:pt idx="56">
                    <c:v>September</c:v>
                  </c:pt>
                  <c:pt idx="57">
                    <c:v>October</c:v>
                  </c:pt>
                  <c:pt idx="58">
                    <c:v>November</c:v>
                  </c:pt>
                  <c:pt idx="59">
                    <c:v>December</c:v>
                  </c:pt>
                  <c:pt idx="60">
                    <c:v>January</c:v>
                  </c:pt>
                  <c:pt idx="61">
                    <c:v>February</c:v>
                  </c:pt>
                  <c:pt idx="62">
                    <c:v>March</c:v>
                  </c:pt>
                  <c:pt idx="63">
                    <c:v>April</c:v>
                  </c:pt>
                  <c:pt idx="64">
                    <c:v>May</c:v>
                  </c:pt>
                  <c:pt idx="65">
                    <c:v>June</c:v>
                  </c:pt>
                  <c:pt idx="66">
                    <c:v>July</c:v>
                  </c:pt>
                  <c:pt idx="67">
                    <c:v>August</c:v>
                  </c:pt>
                  <c:pt idx="68">
                    <c:v>September</c:v>
                  </c:pt>
                  <c:pt idx="69">
                    <c:v>October</c:v>
                  </c:pt>
                  <c:pt idx="70">
                    <c:v>November</c:v>
                  </c:pt>
                  <c:pt idx="71">
                    <c:v>December</c:v>
                  </c:pt>
                  <c:pt idx="72">
                    <c:v>January</c:v>
                  </c:pt>
                  <c:pt idx="73">
                    <c:v>February</c:v>
                  </c:pt>
                  <c:pt idx="74">
                    <c:v>March</c:v>
                  </c:pt>
                  <c:pt idx="75">
                    <c:v>April</c:v>
                  </c:pt>
                  <c:pt idx="76">
                    <c:v>May</c:v>
                  </c:pt>
                  <c:pt idx="77">
                    <c:v>June</c:v>
                  </c:pt>
                  <c:pt idx="78">
                    <c:v>July</c:v>
                  </c:pt>
                  <c:pt idx="79">
                    <c:v>August</c:v>
                  </c:pt>
                  <c:pt idx="80">
                    <c:v>September</c:v>
                  </c:pt>
                  <c:pt idx="81">
                    <c:v>October</c:v>
                  </c:pt>
                  <c:pt idx="82">
                    <c:v>November</c:v>
                  </c:pt>
                  <c:pt idx="83">
                    <c:v>December</c:v>
                  </c:pt>
                  <c:pt idx="84">
                    <c:v>January</c:v>
                  </c:pt>
                  <c:pt idx="85">
                    <c:v>February</c:v>
                  </c:pt>
                  <c:pt idx="86">
                    <c:v>March</c:v>
                  </c:pt>
                  <c:pt idx="87">
                    <c:v>April</c:v>
                  </c:pt>
                  <c:pt idx="88">
                    <c:v>May</c:v>
                  </c:pt>
                  <c:pt idx="89">
                    <c:v>June</c:v>
                  </c:pt>
                  <c:pt idx="90">
                    <c:v>July</c:v>
                  </c:pt>
                  <c:pt idx="91">
                    <c:v>August</c:v>
                  </c:pt>
                  <c:pt idx="92">
                    <c:v>September</c:v>
                  </c:pt>
                  <c:pt idx="93">
                    <c:v>October</c:v>
                  </c:pt>
                  <c:pt idx="94">
                    <c:v>November</c:v>
                  </c:pt>
                  <c:pt idx="95">
                    <c:v>December</c:v>
                  </c:pt>
                  <c:pt idx="96">
                    <c:v>January</c:v>
                  </c:pt>
                  <c:pt idx="97">
                    <c:v>February</c:v>
                  </c:pt>
                  <c:pt idx="98">
                    <c:v>March</c:v>
                  </c:pt>
                  <c:pt idx="99">
                    <c:v>April</c:v>
                  </c:pt>
                  <c:pt idx="100">
                    <c:v>May</c:v>
                  </c:pt>
                  <c:pt idx="101">
                    <c:v>June</c:v>
                  </c:pt>
                  <c:pt idx="102">
                    <c:v>July</c:v>
                  </c:pt>
                  <c:pt idx="103">
                    <c:v>August</c:v>
                  </c:pt>
                  <c:pt idx="104">
                    <c:v>September</c:v>
                  </c:pt>
                  <c:pt idx="105">
                    <c:v>October</c:v>
                  </c:pt>
                  <c:pt idx="106">
                    <c:v>November</c:v>
                  </c:pt>
                  <c:pt idx="107">
                    <c:v>December</c:v>
                  </c:pt>
                  <c:pt idx="108">
                    <c:v>January</c:v>
                  </c:pt>
                  <c:pt idx="109">
                    <c:v>February</c:v>
                  </c:pt>
                  <c:pt idx="110">
                    <c:v>March</c:v>
                  </c:pt>
                  <c:pt idx="111">
                    <c:v>April</c:v>
                  </c:pt>
                  <c:pt idx="112">
                    <c:v>May</c:v>
                  </c:pt>
                  <c:pt idx="113">
                    <c:v>June</c:v>
                  </c:pt>
                  <c:pt idx="114">
                    <c:v>July</c:v>
                  </c:pt>
                  <c:pt idx="115">
                    <c:v>August</c:v>
                  </c:pt>
                  <c:pt idx="116">
                    <c:v>September</c:v>
                  </c:pt>
                  <c:pt idx="117">
                    <c:v>October</c:v>
                  </c:pt>
                  <c:pt idx="118">
                    <c:v>November</c:v>
                  </c:pt>
                  <c:pt idx="119">
                    <c:v>December</c:v>
                  </c:pt>
                  <c:pt idx="120">
                    <c:v>January</c:v>
                  </c:pt>
                  <c:pt idx="121">
                    <c:v>February</c:v>
                  </c:pt>
                  <c:pt idx="122">
                    <c:v>March</c:v>
                  </c:pt>
                  <c:pt idx="123">
                    <c:v>April</c:v>
                  </c:pt>
                  <c:pt idx="124">
                    <c:v>May</c:v>
                  </c:pt>
                  <c:pt idx="125">
                    <c:v>June</c:v>
                  </c:pt>
                  <c:pt idx="126">
                    <c:v>July</c:v>
                  </c:pt>
                  <c:pt idx="127">
                    <c:v>August</c:v>
                  </c:pt>
                  <c:pt idx="128">
                    <c:v>September</c:v>
                  </c:pt>
                  <c:pt idx="129">
                    <c:v>October</c:v>
                  </c:pt>
                  <c:pt idx="130">
                    <c:v>November</c:v>
                  </c:pt>
                  <c:pt idx="131">
                    <c:v>December</c:v>
                  </c:pt>
                  <c:pt idx="132">
                    <c:v>January</c:v>
                  </c:pt>
                  <c:pt idx="133">
                    <c:v>February</c:v>
                  </c:pt>
                  <c:pt idx="134">
                    <c:v>March</c:v>
                  </c:pt>
                  <c:pt idx="135">
                    <c:v>April</c:v>
                  </c:pt>
                  <c:pt idx="136">
                    <c:v>May</c:v>
                  </c:pt>
                  <c:pt idx="137">
                    <c:v>June</c:v>
                  </c:pt>
                  <c:pt idx="138">
                    <c:v>July</c:v>
                  </c:pt>
                  <c:pt idx="139">
                    <c:v>August</c:v>
                  </c:pt>
                  <c:pt idx="140">
                    <c:v>September</c:v>
                  </c:pt>
                  <c:pt idx="141">
                    <c:v>October</c:v>
                  </c:pt>
                  <c:pt idx="142">
                    <c:v>November</c:v>
                  </c:pt>
                  <c:pt idx="143">
                    <c:v>December</c:v>
                  </c:pt>
                  <c:pt idx="144">
                    <c:v>January</c:v>
                  </c:pt>
                  <c:pt idx="145">
                    <c:v>February</c:v>
                  </c:pt>
                  <c:pt idx="146">
                    <c:v>March</c:v>
                  </c:pt>
                  <c:pt idx="147">
                    <c:v>April</c:v>
                  </c:pt>
                  <c:pt idx="148">
                    <c:v>May</c:v>
                  </c:pt>
                  <c:pt idx="149">
                    <c:v>June</c:v>
                  </c:pt>
                  <c:pt idx="150">
                    <c:v>July</c:v>
                  </c:pt>
                  <c:pt idx="151">
                    <c:v>August</c:v>
                  </c:pt>
                  <c:pt idx="152">
                    <c:v>September</c:v>
                  </c:pt>
                  <c:pt idx="153">
                    <c:v>October</c:v>
                  </c:pt>
                  <c:pt idx="154">
                    <c:v>November</c:v>
                  </c:pt>
                  <c:pt idx="155">
                    <c:v>December</c:v>
                  </c:pt>
                </c:lvl>
                <c:lvl>
                  <c:pt idx="0">
                    <c:v>2005</c:v>
                  </c:pt>
                  <c:pt idx="12">
                    <c:v>2006</c:v>
                  </c:pt>
                  <c:pt idx="24">
                    <c:v>2007</c:v>
                  </c:pt>
                  <c:pt idx="36">
                    <c:v>2008</c:v>
                  </c:pt>
                  <c:pt idx="48">
                    <c:v>2009</c:v>
                  </c:pt>
                  <c:pt idx="60">
                    <c:v>2010</c:v>
                  </c:pt>
                  <c:pt idx="72">
                    <c:v>2011</c:v>
                  </c:pt>
                  <c:pt idx="84">
                    <c:v>2012</c:v>
                  </c:pt>
                  <c:pt idx="96">
                    <c:v>2013</c:v>
                  </c:pt>
                  <c:pt idx="108">
                    <c:v>2014</c:v>
                  </c:pt>
                  <c:pt idx="120">
                    <c:v>2015</c:v>
                  </c:pt>
                  <c:pt idx="132">
                    <c:v>2016</c:v>
                  </c:pt>
                  <c:pt idx="144">
                    <c:v>2017</c:v>
                  </c:pt>
                </c:lvl>
              </c:multiLvlStrCache>
            </c:multiLvlStrRef>
          </c:cat>
          <c:val>
            <c:numRef>
              <c:f>'2.2.Service Consumption Pred'!$F$4:$F$159</c:f>
              <c:numCache>
                <c:formatCode>0.00</c:formatCode>
                <c:ptCount val="156"/>
                <c:pt idx="0">
                  <c:v>1054.9174146130679</c:v>
                </c:pt>
                <c:pt idx="1">
                  <c:v>1049.2109323197569</c:v>
                </c:pt>
                <c:pt idx="2">
                  <c:v>1055.5574755248142</c:v>
                </c:pt>
                <c:pt idx="3">
                  <c:v>1099.3799250915895</c:v>
                </c:pt>
                <c:pt idx="4">
                  <c:v>1112.8227194681572</c:v>
                </c:pt>
                <c:pt idx="5">
                  <c:v>1144.5207746942158</c:v>
                </c:pt>
                <c:pt idx="6">
                  <c:v>1124.7624233895092</c:v>
                </c:pt>
                <c:pt idx="7">
                  <c:v>1161.0184124332773</c:v>
                </c:pt>
                <c:pt idx="8">
                  <c:v>1131.5979962316328</c:v>
                </c:pt>
                <c:pt idx="9">
                  <c:v>1134.6904688564352</c:v>
                </c:pt>
                <c:pt idx="10">
                  <c:v>1150.0246437325584</c:v>
                </c:pt>
                <c:pt idx="11">
                  <c:v>1119.2109034968694</c:v>
                </c:pt>
                <c:pt idx="12">
                  <c:v>1086.8901027722354</c:v>
                </c:pt>
                <c:pt idx="13">
                  <c:v>1080.9305532364153</c:v>
                </c:pt>
                <c:pt idx="14">
                  <c:v>1087.3887710552485</c:v>
                </c:pt>
                <c:pt idx="15">
                  <c:v>1132.4496225381936</c:v>
                </c:pt>
                <c:pt idx="16">
                  <c:v>1146.2130810502688</c:v>
                </c:pt>
                <c:pt idx="17">
                  <c:v>1178.7765856264257</c:v>
                </c:pt>
                <c:pt idx="18">
                  <c:v>1158.3431050560712</c:v>
                </c:pt>
                <c:pt idx="19">
                  <c:v>1195.5955183854942</c:v>
                </c:pt>
                <c:pt idx="20">
                  <c:v>1165.2154799153054</c:v>
                </c:pt>
                <c:pt idx="21">
                  <c:v>1168.3165766749989</c:v>
                </c:pt>
                <c:pt idx="22">
                  <c:v>1184.0212175573351</c:v>
                </c:pt>
                <c:pt idx="23">
                  <c:v>1152.2152685499636</c:v>
                </c:pt>
                <c:pt idx="24">
                  <c:v>1118.8627909314032</c:v>
                </c:pt>
                <c:pt idx="25">
                  <c:v>1112.6501741530737</c:v>
                </c:pt>
                <c:pt idx="26">
                  <c:v>1119.2200665856828</c:v>
                </c:pt>
                <c:pt idx="27">
                  <c:v>1165.5193199847977</c:v>
                </c:pt>
                <c:pt idx="28">
                  <c:v>1179.6034426323804</c:v>
                </c:pt>
                <c:pt idx="29">
                  <c:v>1213.0323965586358</c:v>
                </c:pt>
                <c:pt idx="30">
                  <c:v>1191.9237867226332</c:v>
                </c:pt>
                <c:pt idx="31">
                  <c:v>1230.1726243377111</c:v>
                </c:pt>
                <c:pt idx="32">
                  <c:v>1198.8329635989783</c:v>
                </c:pt>
                <c:pt idx="33">
                  <c:v>1201.9426844935629</c:v>
                </c:pt>
                <c:pt idx="34">
                  <c:v>1218.0177913821124</c:v>
                </c:pt>
                <c:pt idx="35">
                  <c:v>1185.2196336030584</c:v>
                </c:pt>
                <c:pt idx="36">
                  <c:v>1150.835479090571</c:v>
                </c:pt>
                <c:pt idx="37">
                  <c:v>1144.3697950697322</c:v>
                </c:pt>
                <c:pt idx="38">
                  <c:v>1151.0513621161174</c:v>
                </c:pt>
                <c:pt idx="39">
                  <c:v>1198.5890174314018</c:v>
                </c:pt>
                <c:pt idx="40">
                  <c:v>1212.9938042144922</c:v>
                </c:pt>
                <c:pt idx="41">
                  <c:v>1247.2882074908457</c:v>
                </c:pt>
                <c:pt idx="42">
                  <c:v>1225.5044683891949</c:v>
                </c:pt>
                <c:pt idx="43">
                  <c:v>1264.7497302899278</c:v>
                </c:pt>
                <c:pt idx="44">
                  <c:v>1232.4504472826511</c:v>
                </c:pt>
                <c:pt idx="45">
                  <c:v>1235.5687923121266</c:v>
                </c:pt>
                <c:pt idx="46">
                  <c:v>1252.0143652068891</c:v>
                </c:pt>
                <c:pt idx="47">
                  <c:v>1218.2239986561526</c:v>
                </c:pt>
                <c:pt idx="48">
                  <c:v>1182.8081672497387</c:v>
                </c:pt>
                <c:pt idx="49">
                  <c:v>1176.0894159863906</c:v>
                </c:pt>
                <c:pt idx="50">
                  <c:v>1182.8826576465517</c:v>
                </c:pt>
                <c:pt idx="51">
                  <c:v>1231.6587148780059</c:v>
                </c:pt>
                <c:pt idx="52">
                  <c:v>1246.3841657966038</c:v>
                </c:pt>
                <c:pt idx="53">
                  <c:v>1281.5440184230556</c:v>
                </c:pt>
                <c:pt idx="54">
                  <c:v>1259.0851500557569</c:v>
                </c:pt>
                <c:pt idx="55">
                  <c:v>1299.3268362421447</c:v>
                </c:pt>
                <c:pt idx="56">
                  <c:v>1266.0679309663237</c:v>
                </c:pt>
                <c:pt idx="57">
                  <c:v>1269.19490013069</c:v>
                </c:pt>
                <c:pt idx="58">
                  <c:v>1286.0109390316659</c:v>
                </c:pt>
                <c:pt idx="59">
                  <c:v>1251.2283637092471</c:v>
                </c:pt>
                <c:pt idx="60">
                  <c:v>1214.7808554089063</c:v>
                </c:pt>
                <c:pt idx="61">
                  <c:v>1207.809036903049</c:v>
                </c:pt>
                <c:pt idx="62">
                  <c:v>1214.713953176986</c:v>
                </c:pt>
                <c:pt idx="63">
                  <c:v>1264.72841232461</c:v>
                </c:pt>
                <c:pt idx="64">
                  <c:v>1279.7745273787154</c:v>
                </c:pt>
                <c:pt idx="65">
                  <c:v>1315.7998293552655</c:v>
                </c:pt>
                <c:pt idx="66">
                  <c:v>1292.6658317223187</c:v>
                </c:pt>
                <c:pt idx="67">
                  <c:v>1333.9039421943614</c:v>
                </c:pt>
                <c:pt idx="68">
                  <c:v>1299.6854146499963</c:v>
                </c:pt>
                <c:pt idx="69">
                  <c:v>1302.8210079492537</c:v>
                </c:pt>
                <c:pt idx="70">
                  <c:v>1320.0075128564426</c:v>
                </c:pt>
                <c:pt idx="71">
                  <c:v>1284.2327287623416</c:v>
                </c:pt>
                <c:pt idx="72">
                  <c:v>1246.7535435680741</c:v>
                </c:pt>
                <c:pt idx="73">
                  <c:v>1239.5286578197074</c:v>
                </c:pt>
                <c:pt idx="74">
                  <c:v>1246.5452487074203</c:v>
                </c:pt>
                <c:pt idx="75">
                  <c:v>1297.7981097712141</c:v>
                </c:pt>
                <c:pt idx="76">
                  <c:v>1313.1648889608271</c:v>
                </c:pt>
                <c:pt idx="77">
                  <c:v>1350.0556402874754</c:v>
                </c:pt>
                <c:pt idx="78">
                  <c:v>1326.2465133888804</c:v>
                </c:pt>
                <c:pt idx="79">
                  <c:v>1368.4810481465781</c:v>
                </c:pt>
                <c:pt idx="80">
                  <c:v>1333.302898333669</c:v>
                </c:pt>
                <c:pt idx="81">
                  <c:v>1336.4471157678174</c:v>
                </c:pt>
                <c:pt idx="82">
                  <c:v>1354.0040866812196</c:v>
                </c:pt>
                <c:pt idx="83">
                  <c:v>1317.2370938154361</c:v>
                </c:pt>
                <c:pt idx="84">
                  <c:v>1278.7262317272416</c:v>
                </c:pt>
                <c:pt idx="85">
                  <c:v>1271.2482787363658</c:v>
                </c:pt>
                <c:pt idx="86">
                  <c:v>1278.3765442378547</c:v>
                </c:pt>
                <c:pt idx="87">
                  <c:v>1330.8678072178179</c:v>
                </c:pt>
                <c:pt idx="88">
                  <c:v>1346.5552505429387</c:v>
                </c:pt>
                <c:pt idx="89">
                  <c:v>1384.3114512196851</c:v>
                </c:pt>
                <c:pt idx="90">
                  <c:v>1359.8271950554422</c:v>
                </c:pt>
                <c:pt idx="91">
                  <c:v>1403.0581540987951</c:v>
                </c:pt>
                <c:pt idx="92">
                  <c:v>1366.9203820173418</c:v>
                </c:pt>
                <c:pt idx="93">
                  <c:v>1370.0732235863811</c:v>
                </c:pt>
                <c:pt idx="94">
                  <c:v>1388.0006605059964</c:v>
                </c:pt>
                <c:pt idx="95">
                  <c:v>1350.2414588685303</c:v>
                </c:pt>
                <c:pt idx="96">
                  <c:v>1310.6989198864092</c:v>
                </c:pt>
                <c:pt idx="97">
                  <c:v>1302.9678996530242</c:v>
                </c:pt>
                <c:pt idx="98">
                  <c:v>1310.2078397682892</c:v>
                </c:pt>
                <c:pt idx="99">
                  <c:v>1363.937504664422</c:v>
                </c:pt>
                <c:pt idx="100">
                  <c:v>1379.9456121250505</c:v>
                </c:pt>
                <c:pt idx="101">
                  <c:v>1418.567262151895</c:v>
                </c:pt>
                <c:pt idx="102">
                  <c:v>1393.4078767220042</c:v>
                </c:pt>
                <c:pt idx="103">
                  <c:v>1437.6352600510118</c:v>
                </c:pt>
                <c:pt idx="104">
                  <c:v>1400.5378657010147</c:v>
                </c:pt>
                <c:pt idx="105">
                  <c:v>1403.6993314049448</c:v>
                </c:pt>
                <c:pt idx="106">
                  <c:v>1421.9972343307734</c:v>
                </c:pt>
                <c:pt idx="107">
                  <c:v>1383.2458239216251</c:v>
                </c:pt>
                <c:pt idx="108">
                  <c:v>1342.6716080455772</c:v>
                </c:pt>
                <c:pt idx="109">
                  <c:v>1334.6875205696829</c:v>
                </c:pt>
                <c:pt idx="110">
                  <c:v>1342.0391352987237</c:v>
                </c:pt>
                <c:pt idx="111">
                  <c:v>1397.0072021110263</c:v>
                </c:pt>
                <c:pt idx="112">
                  <c:v>1413.3359737071623</c:v>
                </c:pt>
                <c:pt idx="113">
                  <c:v>1452.8230730841051</c:v>
                </c:pt>
                <c:pt idx="114">
                  <c:v>1426.9885583885662</c:v>
                </c:pt>
                <c:pt idx="115">
                  <c:v>1472.2123660032287</c:v>
                </c:pt>
                <c:pt idx="116">
                  <c:v>1434.1553493846873</c:v>
                </c:pt>
                <c:pt idx="117">
                  <c:v>1437.3254392235085</c:v>
                </c:pt>
                <c:pt idx="118">
                  <c:v>1455.9938081555504</c:v>
                </c:pt>
                <c:pt idx="119">
                  <c:v>1416.2501889747195</c:v>
                </c:pt>
                <c:pt idx="120">
                  <c:v>1374.6442962047447</c:v>
                </c:pt>
                <c:pt idx="121">
                  <c:v>1366.4071414863413</c:v>
                </c:pt>
                <c:pt idx="122">
                  <c:v>1373.8704308291581</c:v>
                </c:pt>
                <c:pt idx="123">
                  <c:v>1430.0768995576304</c:v>
                </c:pt>
                <c:pt idx="124">
                  <c:v>1446.7263352892739</c:v>
                </c:pt>
                <c:pt idx="125">
                  <c:v>1487.078884016315</c:v>
                </c:pt>
                <c:pt idx="126">
                  <c:v>1460.5692400551279</c:v>
                </c:pt>
                <c:pt idx="127">
                  <c:v>1506.7894719554456</c:v>
                </c:pt>
                <c:pt idx="128">
                  <c:v>1467.7728330683601</c:v>
                </c:pt>
                <c:pt idx="129">
                  <c:v>1470.9515470420722</c:v>
                </c:pt>
                <c:pt idx="130">
                  <c:v>1489.9903819803271</c:v>
                </c:pt>
                <c:pt idx="131">
                  <c:v>1449.2545540278138</c:v>
                </c:pt>
                <c:pt idx="132">
                  <c:v>1406.6169843639125</c:v>
                </c:pt>
                <c:pt idx="133">
                  <c:v>1398.1267624029997</c:v>
                </c:pt>
                <c:pt idx="134">
                  <c:v>1405.7017263595924</c:v>
                </c:pt>
                <c:pt idx="135">
                  <c:v>1463.1465970042343</c:v>
                </c:pt>
                <c:pt idx="136">
                  <c:v>1480.1166968713856</c:v>
                </c:pt>
                <c:pt idx="137">
                  <c:v>1521.3346949485249</c:v>
                </c:pt>
                <c:pt idx="138">
                  <c:v>1494.1499217216897</c:v>
                </c:pt>
                <c:pt idx="139">
                  <c:v>1541.3665779076623</c:v>
                </c:pt>
                <c:pt idx="140">
                  <c:v>1501.3903167520327</c:v>
                </c:pt>
                <c:pt idx="141">
                  <c:v>1504.5776548606359</c:v>
                </c:pt>
                <c:pt idx="142">
                  <c:v>1523.9869558051039</c:v>
                </c:pt>
                <c:pt idx="143">
                  <c:v>1482.2589190809083</c:v>
                </c:pt>
                <c:pt idx="144">
                  <c:v>1438.58967252308</c:v>
                </c:pt>
                <c:pt idx="145">
                  <c:v>1429.8463833196579</c:v>
                </c:pt>
                <c:pt idx="146">
                  <c:v>1437.5330218900267</c:v>
                </c:pt>
                <c:pt idx="147">
                  <c:v>1496.2162944508384</c:v>
                </c:pt>
                <c:pt idx="148">
                  <c:v>1513.5070584534972</c:v>
                </c:pt>
                <c:pt idx="149">
                  <c:v>1555.5905058807348</c:v>
                </c:pt>
                <c:pt idx="150">
                  <c:v>1527.7306033882517</c:v>
                </c:pt>
                <c:pt idx="151">
                  <c:v>1575.9436838598792</c:v>
                </c:pt>
                <c:pt idx="152">
                  <c:v>1535.0078004357056</c:v>
                </c:pt>
                <c:pt idx="153">
                  <c:v>1538.2037626791996</c:v>
                </c:pt>
                <c:pt idx="154">
                  <c:v>1557.9835296298809</c:v>
                </c:pt>
                <c:pt idx="155">
                  <c:v>1515.263284134003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50-4976-AE9A-0ACD8BC91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014496"/>
        <c:axId val="680013512"/>
      </c:lineChart>
      <c:catAx>
        <c:axId val="6800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13512"/>
        <c:crosses val="autoZero"/>
        <c:auto val="1"/>
        <c:lblAlgn val="ctr"/>
        <c:lblOffset val="100"/>
        <c:noMultiLvlLbl val="0"/>
      </c:catAx>
      <c:valAx>
        <c:axId val="68001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ARIMA (Transport related)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Transport related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'2.3.Transport Prediction'!$B$63:$B$224</c:f>
              <c:numCache>
                <c:formatCode>m/d/yy</c:formatCode>
                <c:ptCount val="162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  <c:pt idx="156">
                  <c:v>43101</c:v>
                </c:pt>
                <c:pt idx="157">
                  <c:v>43132</c:v>
                </c:pt>
                <c:pt idx="158">
                  <c:v>43160</c:v>
                </c:pt>
                <c:pt idx="159">
                  <c:v>43191</c:v>
                </c:pt>
                <c:pt idx="160">
                  <c:v>43221</c:v>
                </c:pt>
                <c:pt idx="161">
                  <c:v>43252</c:v>
                </c:pt>
              </c:numCache>
            </c:numRef>
          </c:xVal>
          <c:yVal>
            <c:numRef>
              <c:f>'2.3.Transport Prediction'!$C$63:$C$224</c:f>
              <c:numCache>
                <c:formatCode>0.000</c:formatCode>
                <c:ptCount val="162"/>
                <c:pt idx="0">
                  <c:v>93.3</c:v>
                </c:pt>
                <c:pt idx="1">
                  <c:v>95.7</c:v>
                </c:pt>
                <c:pt idx="2">
                  <c:v>93.8</c:v>
                </c:pt>
                <c:pt idx="3">
                  <c:v>99.4</c:v>
                </c:pt>
                <c:pt idx="4">
                  <c:v>100</c:v>
                </c:pt>
                <c:pt idx="5">
                  <c:v>105.6</c:v>
                </c:pt>
                <c:pt idx="6">
                  <c:v>99.4</c:v>
                </c:pt>
                <c:pt idx="7">
                  <c:v>106.3</c:v>
                </c:pt>
                <c:pt idx="8">
                  <c:v>104.2</c:v>
                </c:pt>
                <c:pt idx="9">
                  <c:v>99.5</c:v>
                </c:pt>
                <c:pt idx="10">
                  <c:v>105.7</c:v>
                </c:pt>
                <c:pt idx="11">
                  <c:v>97.1</c:v>
                </c:pt>
                <c:pt idx="12">
                  <c:v>101.4</c:v>
                </c:pt>
                <c:pt idx="13">
                  <c:v>97.7</c:v>
                </c:pt>
                <c:pt idx="14">
                  <c:v>95.8</c:v>
                </c:pt>
                <c:pt idx="15">
                  <c:v>103</c:v>
                </c:pt>
                <c:pt idx="16">
                  <c:v>105</c:v>
                </c:pt>
                <c:pt idx="17">
                  <c:v>106.5</c:v>
                </c:pt>
                <c:pt idx="18">
                  <c:v>102</c:v>
                </c:pt>
                <c:pt idx="19">
                  <c:v>110.5</c:v>
                </c:pt>
                <c:pt idx="20">
                  <c:v>105.5</c:v>
                </c:pt>
                <c:pt idx="21">
                  <c:v>106.2</c:v>
                </c:pt>
                <c:pt idx="22">
                  <c:v>110</c:v>
                </c:pt>
                <c:pt idx="23">
                  <c:v>101.9</c:v>
                </c:pt>
                <c:pt idx="24">
                  <c:v>107.5</c:v>
                </c:pt>
                <c:pt idx="25">
                  <c:v>99.7</c:v>
                </c:pt>
                <c:pt idx="26">
                  <c:v>101.9</c:v>
                </c:pt>
                <c:pt idx="27">
                  <c:v>106.4</c:v>
                </c:pt>
                <c:pt idx="28">
                  <c:v>108.5</c:v>
                </c:pt>
                <c:pt idx="29">
                  <c:v>108.5</c:v>
                </c:pt>
                <c:pt idx="30">
                  <c:v>111.7</c:v>
                </c:pt>
                <c:pt idx="31">
                  <c:v>113.3</c:v>
                </c:pt>
                <c:pt idx="32">
                  <c:v>109.5</c:v>
                </c:pt>
                <c:pt idx="33">
                  <c:v>112.3</c:v>
                </c:pt>
                <c:pt idx="34">
                  <c:v>113.8</c:v>
                </c:pt>
                <c:pt idx="35">
                  <c:v>107.1</c:v>
                </c:pt>
                <c:pt idx="36">
                  <c:v>113.4</c:v>
                </c:pt>
                <c:pt idx="37">
                  <c:v>110.5</c:v>
                </c:pt>
                <c:pt idx="38">
                  <c:v>105.5</c:v>
                </c:pt>
                <c:pt idx="39">
                  <c:v>116.5</c:v>
                </c:pt>
                <c:pt idx="40">
                  <c:v>114.2</c:v>
                </c:pt>
                <c:pt idx="41">
                  <c:v>121.8</c:v>
                </c:pt>
                <c:pt idx="42">
                  <c:v>121.2</c:v>
                </c:pt>
                <c:pt idx="43">
                  <c:v>117.4</c:v>
                </c:pt>
                <c:pt idx="44">
                  <c:v>123.5</c:v>
                </c:pt>
                <c:pt idx="45">
                  <c:v>120.1</c:v>
                </c:pt>
                <c:pt idx="46">
                  <c:v>117.5</c:v>
                </c:pt>
                <c:pt idx="47">
                  <c:v>118.2</c:v>
                </c:pt>
                <c:pt idx="48">
                  <c:v>109</c:v>
                </c:pt>
                <c:pt idx="49">
                  <c:v>109.7</c:v>
                </c:pt>
                <c:pt idx="50">
                  <c:v>106.3</c:v>
                </c:pt>
                <c:pt idx="51">
                  <c:v>117.6</c:v>
                </c:pt>
                <c:pt idx="52">
                  <c:v>112.5</c:v>
                </c:pt>
                <c:pt idx="53">
                  <c:v>123.2</c:v>
                </c:pt>
                <c:pt idx="54">
                  <c:v>119.9</c:v>
                </c:pt>
                <c:pt idx="55">
                  <c:v>129.1</c:v>
                </c:pt>
                <c:pt idx="56">
                  <c:v>172.3</c:v>
                </c:pt>
                <c:pt idx="57">
                  <c:v>171.8</c:v>
                </c:pt>
                <c:pt idx="58">
                  <c:v>167.3</c:v>
                </c:pt>
                <c:pt idx="59">
                  <c:v>169.1</c:v>
                </c:pt>
                <c:pt idx="60">
                  <c:v>163.80000000000001</c:v>
                </c:pt>
                <c:pt idx="61">
                  <c:v>166.3</c:v>
                </c:pt>
                <c:pt idx="62">
                  <c:v>165</c:v>
                </c:pt>
                <c:pt idx="63">
                  <c:v>173.6</c:v>
                </c:pt>
                <c:pt idx="64">
                  <c:v>167.3</c:v>
                </c:pt>
                <c:pt idx="65">
                  <c:v>181</c:v>
                </c:pt>
                <c:pt idx="66">
                  <c:v>173.4</c:v>
                </c:pt>
                <c:pt idx="67">
                  <c:v>182.8</c:v>
                </c:pt>
                <c:pt idx="68">
                  <c:v>181.1</c:v>
                </c:pt>
                <c:pt idx="69">
                  <c:v>174.9</c:v>
                </c:pt>
                <c:pt idx="70">
                  <c:v>185.5</c:v>
                </c:pt>
                <c:pt idx="71">
                  <c:v>183.7</c:v>
                </c:pt>
                <c:pt idx="72">
                  <c:v>176.9</c:v>
                </c:pt>
                <c:pt idx="73">
                  <c:v>176.7</c:v>
                </c:pt>
                <c:pt idx="74">
                  <c:v>166.3</c:v>
                </c:pt>
                <c:pt idx="75">
                  <c:v>180.2</c:v>
                </c:pt>
                <c:pt idx="76">
                  <c:v>184</c:v>
                </c:pt>
                <c:pt idx="77">
                  <c:v>195.6</c:v>
                </c:pt>
                <c:pt idx="78">
                  <c:v>186.2</c:v>
                </c:pt>
                <c:pt idx="79">
                  <c:v>201</c:v>
                </c:pt>
                <c:pt idx="80">
                  <c:v>194.1</c:v>
                </c:pt>
                <c:pt idx="81">
                  <c:v>183.9</c:v>
                </c:pt>
                <c:pt idx="82">
                  <c:v>196.5</c:v>
                </c:pt>
                <c:pt idx="83">
                  <c:v>182.8</c:v>
                </c:pt>
                <c:pt idx="84">
                  <c:v>187.8</c:v>
                </c:pt>
                <c:pt idx="85">
                  <c:v>189.8</c:v>
                </c:pt>
                <c:pt idx="86">
                  <c:v>181.3</c:v>
                </c:pt>
                <c:pt idx="87">
                  <c:v>194.9</c:v>
                </c:pt>
                <c:pt idx="88">
                  <c:v>196</c:v>
                </c:pt>
                <c:pt idx="89">
                  <c:v>199.2</c:v>
                </c:pt>
                <c:pt idx="90">
                  <c:v>199.1</c:v>
                </c:pt>
                <c:pt idx="91">
                  <c:v>200.1</c:v>
                </c:pt>
                <c:pt idx="92">
                  <c:v>198.9</c:v>
                </c:pt>
                <c:pt idx="93">
                  <c:v>193.6</c:v>
                </c:pt>
                <c:pt idx="94">
                  <c:v>198.5</c:v>
                </c:pt>
                <c:pt idx="95">
                  <c:v>189.3</c:v>
                </c:pt>
                <c:pt idx="96">
                  <c:v>197.2</c:v>
                </c:pt>
                <c:pt idx="97">
                  <c:v>189.6</c:v>
                </c:pt>
                <c:pt idx="98">
                  <c:v>176.4</c:v>
                </c:pt>
                <c:pt idx="99">
                  <c:v>198.1</c:v>
                </c:pt>
                <c:pt idx="100">
                  <c:v>199.8</c:v>
                </c:pt>
                <c:pt idx="101">
                  <c:v>202.1</c:v>
                </c:pt>
                <c:pt idx="102">
                  <c:v>204.5</c:v>
                </c:pt>
                <c:pt idx="103">
                  <c:v>202.5</c:v>
                </c:pt>
                <c:pt idx="104">
                  <c:v>202.7</c:v>
                </c:pt>
                <c:pt idx="105">
                  <c:v>196.2</c:v>
                </c:pt>
                <c:pt idx="106">
                  <c:v>203.5</c:v>
                </c:pt>
                <c:pt idx="107">
                  <c:v>196.4</c:v>
                </c:pt>
                <c:pt idx="108">
                  <c:v>197.7</c:v>
                </c:pt>
                <c:pt idx="109">
                  <c:v>193</c:v>
                </c:pt>
                <c:pt idx="110">
                  <c:v>180.1</c:v>
                </c:pt>
                <c:pt idx="111">
                  <c:v>203.7</c:v>
                </c:pt>
                <c:pt idx="112">
                  <c:v>202.8</c:v>
                </c:pt>
                <c:pt idx="113">
                  <c:v>209.1</c:v>
                </c:pt>
                <c:pt idx="114">
                  <c:v>208.2</c:v>
                </c:pt>
                <c:pt idx="115">
                  <c:v>214.7</c:v>
                </c:pt>
                <c:pt idx="116">
                  <c:v>210.1</c:v>
                </c:pt>
                <c:pt idx="117">
                  <c:v>206.9</c:v>
                </c:pt>
                <c:pt idx="118">
                  <c:v>210.4</c:v>
                </c:pt>
                <c:pt idx="119">
                  <c:v>204.4</c:v>
                </c:pt>
                <c:pt idx="120">
                  <c:v>203.9</c:v>
                </c:pt>
                <c:pt idx="121">
                  <c:v>199.1</c:v>
                </c:pt>
                <c:pt idx="122">
                  <c:v>183.1</c:v>
                </c:pt>
                <c:pt idx="123">
                  <c:v>206.2</c:v>
                </c:pt>
                <c:pt idx="124">
                  <c:v>204</c:v>
                </c:pt>
                <c:pt idx="125">
                  <c:v>207.7</c:v>
                </c:pt>
                <c:pt idx="126">
                  <c:v>204.9</c:v>
                </c:pt>
                <c:pt idx="127">
                  <c:v>210</c:v>
                </c:pt>
                <c:pt idx="128">
                  <c:v>206.7</c:v>
                </c:pt>
                <c:pt idx="129">
                  <c:v>202.5</c:v>
                </c:pt>
                <c:pt idx="130">
                  <c:v>211.1</c:v>
                </c:pt>
                <c:pt idx="131">
                  <c:v>205.6</c:v>
                </c:pt>
                <c:pt idx="132">
                  <c:v>214.4</c:v>
                </c:pt>
                <c:pt idx="133">
                  <c:v>214.9</c:v>
                </c:pt>
                <c:pt idx="134">
                  <c:v>203.6</c:v>
                </c:pt>
                <c:pt idx="135">
                  <c:v>221.9</c:v>
                </c:pt>
                <c:pt idx="136">
                  <c:v>220.3</c:v>
                </c:pt>
                <c:pt idx="137">
                  <c:v>228.4</c:v>
                </c:pt>
                <c:pt idx="138">
                  <c:v>217.7</c:v>
                </c:pt>
                <c:pt idx="139">
                  <c:v>226.7</c:v>
                </c:pt>
                <c:pt idx="140">
                  <c:v>218.6</c:v>
                </c:pt>
                <c:pt idx="141">
                  <c:v>220.4</c:v>
                </c:pt>
                <c:pt idx="142">
                  <c:v>233.8</c:v>
                </c:pt>
                <c:pt idx="143">
                  <c:v>217.1</c:v>
                </c:pt>
                <c:pt idx="144">
                  <c:v>226.1</c:v>
                </c:pt>
                <c:pt idx="145">
                  <c:v>222.6</c:v>
                </c:pt>
                <c:pt idx="146">
                  <c:v>209.7</c:v>
                </c:pt>
                <c:pt idx="147">
                  <c:v>220.9</c:v>
                </c:pt>
                <c:pt idx="148">
                  <c:v>230</c:v>
                </c:pt>
                <c:pt idx="149">
                  <c:v>228.9</c:v>
                </c:pt>
                <c:pt idx="150">
                  <c:v>232.2</c:v>
                </c:pt>
                <c:pt idx="151">
                  <c:v>242.1</c:v>
                </c:pt>
                <c:pt idx="152">
                  <c:v>231.9</c:v>
                </c:pt>
                <c:pt idx="153">
                  <c:v>235</c:v>
                </c:pt>
                <c:pt idx="154">
                  <c:v>247</c:v>
                </c:pt>
                <c:pt idx="155">
                  <c:v>241.5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2-4B11-A271-5E1DC1DBAE74}"/>
            </c:ext>
          </c:extLst>
        </c:ser>
        <c:ser>
          <c:idx val="1"/>
          <c:order val="1"/>
          <c:tx>
            <c:v>ARIMA (Transport related)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Pt>
            <c:idx val="156"/>
            <c:bubble3D val="0"/>
            <c:spPr>
              <a:ln w="12700">
                <a:solidFill>
                  <a:srgbClr val="0078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2-4622-4B11-A271-5E1DC1DBAE74}"/>
              </c:ext>
            </c:extLst>
          </c:dPt>
          <c:xVal>
            <c:numRef>
              <c:f>'2.3.Transport Prediction'!$B$63:$B$224</c:f>
              <c:numCache>
                <c:formatCode>m/d/yy</c:formatCode>
                <c:ptCount val="162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  <c:pt idx="156">
                  <c:v>43101</c:v>
                </c:pt>
                <c:pt idx="157">
                  <c:v>43132</c:v>
                </c:pt>
                <c:pt idx="158">
                  <c:v>43160</c:v>
                </c:pt>
                <c:pt idx="159">
                  <c:v>43191</c:v>
                </c:pt>
                <c:pt idx="160">
                  <c:v>43221</c:v>
                </c:pt>
                <c:pt idx="161">
                  <c:v>43252</c:v>
                </c:pt>
              </c:numCache>
            </c:numRef>
          </c:xVal>
          <c:yVal>
            <c:numRef>
              <c:f>'2.3.Transport Prediction'!$D$63:$D$224</c:f>
              <c:numCache>
                <c:formatCode>0.000</c:formatCode>
                <c:ptCount val="162"/>
                <c:pt idx="0">
                  <c:v>93.3</c:v>
                </c:pt>
                <c:pt idx="1">
                  <c:v>95.7</c:v>
                </c:pt>
                <c:pt idx="2">
                  <c:v>93.8</c:v>
                </c:pt>
                <c:pt idx="3">
                  <c:v>99.4</c:v>
                </c:pt>
                <c:pt idx="4">
                  <c:v>100</c:v>
                </c:pt>
                <c:pt idx="5">
                  <c:v>105.6</c:v>
                </c:pt>
                <c:pt idx="6">
                  <c:v>99.4</c:v>
                </c:pt>
                <c:pt idx="7">
                  <c:v>106.3</c:v>
                </c:pt>
                <c:pt idx="8">
                  <c:v>104.2</c:v>
                </c:pt>
                <c:pt idx="9">
                  <c:v>99.5</c:v>
                </c:pt>
                <c:pt idx="10">
                  <c:v>105.7</c:v>
                </c:pt>
                <c:pt idx="11">
                  <c:v>97.1</c:v>
                </c:pt>
                <c:pt idx="12">
                  <c:v>101.4</c:v>
                </c:pt>
                <c:pt idx="13">
                  <c:v>102.69158570620752</c:v>
                </c:pt>
                <c:pt idx="14">
                  <c:v>96.928645733731258</c:v>
                </c:pt>
                <c:pt idx="15">
                  <c:v>101.99220908430269</c:v>
                </c:pt>
                <c:pt idx="16">
                  <c:v>103.48830923430005</c:v>
                </c:pt>
                <c:pt idx="17">
                  <c:v>109.48053037837512</c:v>
                </c:pt>
                <c:pt idx="18">
                  <c:v>101.26727433047061</c:v>
                </c:pt>
                <c:pt idx="19">
                  <c:v>109.08920764073842</c:v>
                </c:pt>
                <c:pt idx="20">
                  <c:v>107.57326508426512</c:v>
                </c:pt>
                <c:pt idx="21">
                  <c:v>102.19480586350207</c:v>
                </c:pt>
                <c:pt idx="22">
                  <c:v>111.21622901530094</c:v>
                </c:pt>
                <c:pt idx="23">
                  <c:v>101.72490256002122</c:v>
                </c:pt>
                <c:pt idx="24">
                  <c:v>106.12001356813862</c:v>
                </c:pt>
                <c:pt idx="25">
                  <c:v>104.83178563968877</c:v>
                </c:pt>
                <c:pt idx="26">
                  <c:v>99.483124019671465</c:v>
                </c:pt>
                <c:pt idx="27">
                  <c:v>107.86513802561626</c:v>
                </c:pt>
                <c:pt idx="28">
                  <c:v>108.22845358752187</c:v>
                </c:pt>
                <c:pt idx="29">
                  <c:v>110.97506531203129</c:v>
                </c:pt>
                <c:pt idx="30">
                  <c:v>104.97187699025797</c:v>
                </c:pt>
                <c:pt idx="31">
                  <c:v>117.43629371586186</c:v>
                </c:pt>
                <c:pt idx="32">
                  <c:v>110.17298658516302</c:v>
                </c:pt>
                <c:pt idx="33">
                  <c:v>109.29398735018368</c:v>
                </c:pt>
                <c:pt idx="34">
                  <c:v>115.90146487413757</c:v>
                </c:pt>
                <c:pt idx="35">
                  <c:v>106.14915361661191</c:v>
                </c:pt>
                <c:pt idx="36">
                  <c:v>111.92000185204539</c:v>
                </c:pt>
                <c:pt idx="37">
                  <c:v>108.71275645690491</c:v>
                </c:pt>
                <c:pt idx="38">
                  <c:v>110.19576277703169</c:v>
                </c:pt>
                <c:pt idx="39">
                  <c:v>112.35817109365661</c:v>
                </c:pt>
                <c:pt idx="40">
                  <c:v>117.05875074545537</c:v>
                </c:pt>
                <c:pt idx="41">
                  <c:v>116.96277279985009</c:v>
                </c:pt>
                <c:pt idx="42">
                  <c:v>120.38409352993041</c:v>
                </c:pt>
                <c:pt idx="43">
                  <c:v>124.3708050917437</c:v>
                </c:pt>
                <c:pt idx="44">
                  <c:v>116.44977311611156</c:v>
                </c:pt>
                <c:pt idx="45">
                  <c:v>122.27927881546083</c:v>
                </c:pt>
                <c:pt idx="46">
                  <c:v>123.06826381673488</c:v>
                </c:pt>
                <c:pt idx="47">
                  <c:v>112.20335198297973</c:v>
                </c:pt>
                <c:pt idx="48">
                  <c:v>121.06714495687703</c:v>
                </c:pt>
                <c:pt idx="49">
                  <c:v>109.18751739717094</c:v>
                </c:pt>
                <c:pt idx="50">
                  <c:v>106.65374980360343</c:v>
                </c:pt>
                <c:pt idx="51">
                  <c:v>114.91068295803628</c:v>
                </c:pt>
                <c:pt idx="52">
                  <c:v>115.98650466682128</c:v>
                </c:pt>
                <c:pt idx="53">
                  <c:v>119.03249525801267</c:v>
                </c:pt>
                <c:pt idx="54">
                  <c:v>120.50790312705327</c:v>
                </c:pt>
                <c:pt idx="55">
                  <c:v>121.32210285979964</c:v>
                </c:pt>
                <c:pt idx="56">
                  <c:v>131.96011802455843</c:v>
                </c:pt>
                <c:pt idx="57">
                  <c:v>161.03181354732683</c:v>
                </c:pt>
                <c:pt idx="58">
                  <c:v>169.83297503513941</c:v>
                </c:pt>
                <c:pt idx="59">
                  <c:v>166.48930692475196</c:v>
                </c:pt>
                <c:pt idx="60">
                  <c:v>166.82319872023595</c:v>
                </c:pt>
                <c:pt idx="61">
                  <c:v>164.21975583270449</c:v>
                </c:pt>
                <c:pt idx="62">
                  <c:v>163.63075365642138</c:v>
                </c:pt>
                <c:pt idx="63">
                  <c:v>173.66483809169182</c:v>
                </c:pt>
                <c:pt idx="64">
                  <c:v>171.23074145978623</c:v>
                </c:pt>
                <c:pt idx="65">
                  <c:v>175.93186731983448</c:v>
                </c:pt>
                <c:pt idx="66">
                  <c:v>176.86302955353932</c:v>
                </c:pt>
                <c:pt idx="67">
                  <c:v>180.80105165929123</c:v>
                </c:pt>
                <c:pt idx="68">
                  <c:v>202.42290935730009</c:v>
                </c:pt>
                <c:pt idx="69">
                  <c:v>184.75648633772136</c:v>
                </c:pt>
                <c:pt idx="70">
                  <c:v>177.01327754420092</c:v>
                </c:pt>
                <c:pt idx="71">
                  <c:v>180.81340536478041</c:v>
                </c:pt>
                <c:pt idx="72">
                  <c:v>180.45277508886383</c:v>
                </c:pt>
                <c:pt idx="73">
                  <c:v>177.95211596517584</c:v>
                </c:pt>
                <c:pt idx="74">
                  <c:v>175.15747634026559</c:v>
                </c:pt>
                <c:pt idx="75">
                  <c:v>176.83942395099382</c:v>
                </c:pt>
                <c:pt idx="76">
                  <c:v>176.51548824130381</c:v>
                </c:pt>
                <c:pt idx="77">
                  <c:v>191.37776298113661</c:v>
                </c:pt>
                <c:pt idx="78">
                  <c:v>189.40121883189639</c:v>
                </c:pt>
                <c:pt idx="79">
                  <c:v>194.46520839698326</c:v>
                </c:pt>
                <c:pt idx="80">
                  <c:v>201.81056376787674</c:v>
                </c:pt>
                <c:pt idx="81">
                  <c:v>191.95381472539302</c:v>
                </c:pt>
                <c:pt idx="82">
                  <c:v>192.15881647349551</c:v>
                </c:pt>
                <c:pt idx="83">
                  <c:v>191.7574111185958</c:v>
                </c:pt>
                <c:pt idx="84">
                  <c:v>181.69914524201943</c:v>
                </c:pt>
                <c:pt idx="85">
                  <c:v>185.82146291171364</c:v>
                </c:pt>
                <c:pt idx="86">
                  <c:v>182.80312709306222</c:v>
                </c:pt>
                <c:pt idx="87">
                  <c:v>192.53125375644518</c:v>
                </c:pt>
                <c:pt idx="88">
                  <c:v>195.74373784327292</c:v>
                </c:pt>
                <c:pt idx="89">
                  <c:v>204.66848770936429</c:v>
                </c:pt>
                <c:pt idx="90">
                  <c:v>194.74160340273846</c:v>
                </c:pt>
                <c:pt idx="91">
                  <c:v>207.76384358980241</c:v>
                </c:pt>
                <c:pt idx="92">
                  <c:v>202.07659594255571</c:v>
                </c:pt>
                <c:pt idx="93">
                  <c:v>194.03329478256376</c:v>
                </c:pt>
                <c:pt idx="94">
                  <c:v>200.70841380202822</c:v>
                </c:pt>
                <c:pt idx="95">
                  <c:v>190.24326457501908</c:v>
                </c:pt>
                <c:pt idx="96">
                  <c:v>191.80037986355092</c:v>
                </c:pt>
                <c:pt idx="97">
                  <c:v>196.07914510414406</c:v>
                </c:pt>
                <c:pt idx="98">
                  <c:v>185.40703109707471</c:v>
                </c:pt>
                <c:pt idx="99">
                  <c:v>189.9365186224027</c:v>
                </c:pt>
                <c:pt idx="100">
                  <c:v>196.30223585482878</c:v>
                </c:pt>
                <c:pt idx="101">
                  <c:v>204.00400904038412</c:v>
                </c:pt>
                <c:pt idx="102">
                  <c:v>200.49018477043242</c:v>
                </c:pt>
                <c:pt idx="103">
                  <c:v>207.70077852991398</c:v>
                </c:pt>
                <c:pt idx="104">
                  <c:v>205.09819209443347</c:v>
                </c:pt>
                <c:pt idx="105">
                  <c:v>199.27825231628194</c:v>
                </c:pt>
                <c:pt idx="106">
                  <c:v>201.48663586075412</c:v>
                </c:pt>
                <c:pt idx="107">
                  <c:v>195.99710532300051</c:v>
                </c:pt>
                <c:pt idx="108">
                  <c:v>199.50130953014997</c:v>
                </c:pt>
                <c:pt idx="109">
                  <c:v>194.40196303406856</c:v>
                </c:pt>
                <c:pt idx="110">
                  <c:v>185.42612333137953</c:v>
                </c:pt>
                <c:pt idx="111">
                  <c:v>196.38668844792844</c:v>
                </c:pt>
                <c:pt idx="112">
                  <c:v>202.6146975276271</c:v>
                </c:pt>
                <c:pt idx="113">
                  <c:v>207.49557132013712</c:v>
                </c:pt>
                <c:pt idx="114">
                  <c:v>207.90643878065706</c:v>
                </c:pt>
                <c:pt idx="115">
                  <c:v>211.16434802297752</c:v>
                </c:pt>
                <c:pt idx="116">
                  <c:v>216.17707283759313</c:v>
                </c:pt>
                <c:pt idx="117">
                  <c:v>206.89023662647128</c:v>
                </c:pt>
                <c:pt idx="118">
                  <c:v>212.69269056839897</c:v>
                </c:pt>
                <c:pt idx="119">
                  <c:v>204.39841545698422</c:v>
                </c:pt>
                <c:pt idx="120">
                  <c:v>205.56853534350151</c:v>
                </c:pt>
                <c:pt idx="121">
                  <c:v>201.53528752280386</c:v>
                </c:pt>
                <c:pt idx="122">
                  <c:v>191.35988211255562</c:v>
                </c:pt>
                <c:pt idx="123">
                  <c:v>201.35390932766009</c:v>
                </c:pt>
                <c:pt idx="124">
                  <c:v>204.47639791863793</c:v>
                </c:pt>
                <c:pt idx="125">
                  <c:v>210.10542234283108</c:v>
                </c:pt>
                <c:pt idx="126">
                  <c:v>206.20751348217223</c:v>
                </c:pt>
                <c:pt idx="127">
                  <c:v>210.9872495532407</c:v>
                </c:pt>
                <c:pt idx="128">
                  <c:v>209.65096765102172</c:v>
                </c:pt>
                <c:pt idx="129">
                  <c:v>203.88470947447655</c:v>
                </c:pt>
                <c:pt idx="130">
                  <c:v>207.06601056888454</c:v>
                </c:pt>
                <c:pt idx="131">
                  <c:v>204.25158263276873</c:v>
                </c:pt>
                <c:pt idx="132">
                  <c:v>205.75678020049483</c:v>
                </c:pt>
                <c:pt idx="133">
                  <c:v>209.58448785786774</c:v>
                </c:pt>
                <c:pt idx="134">
                  <c:v>203.84540317399927</c:v>
                </c:pt>
                <c:pt idx="135">
                  <c:v>220.85752811656545</c:v>
                </c:pt>
                <c:pt idx="136">
                  <c:v>221.1357446876172</c:v>
                </c:pt>
                <c:pt idx="137">
                  <c:v>225.95525483978332</c:v>
                </c:pt>
                <c:pt idx="138">
                  <c:v>225.07192308380041</c:v>
                </c:pt>
                <c:pt idx="139">
                  <c:v>224.81485621787903</c:v>
                </c:pt>
                <c:pt idx="140">
                  <c:v>226.46201860001847</c:v>
                </c:pt>
                <c:pt idx="141">
                  <c:v>216.45222818737489</c:v>
                </c:pt>
                <c:pt idx="142">
                  <c:v>226.00869468934087</c:v>
                </c:pt>
                <c:pt idx="143">
                  <c:v>225.7830073778517</c:v>
                </c:pt>
                <c:pt idx="144">
                  <c:v>223.61155858823733</c:v>
                </c:pt>
                <c:pt idx="145">
                  <c:v>225.06921202189685</c:v>
                </c:pt>
                <c:pt idx="146">
                  <c:v>214.64755038618705</c:v>
                </c:pt>
                <c:pt idx="147">
                  <c:v>226.05110243529754</c:v>
                </c:pt>
                <c:pt idx="148">
                  <c:v>221.32525319159166</c:v>
                </c:pt>
                <c:pt idx="149">
                  <c:v>234.74936655137304</c:v>
                </c:pt>
                <c:pt idx="150">
                  <c:v>224.11373929286862</c:v>
                </c:pt>
                <c:pt idx="151">
                  <c:v>237.51699280378412</c:v>
                </c:pt>
                <c:pt idx="152">
                  <c:v>238.33710316913385</c:v>
                </c:pt>
                <c:pt idx="153">
                  <c:v>232.39946217033255</c:v>
                </c:pt>
                <c:pt idx="154">
                  <c:v>243.28358902114243</c:v>
                </c:pt>
                <c:pt idx="155">
                  <c:v>235.85007203955712</c:v>
                </c:pt>
                <c:pt idx="156">
                  <c:v>245.04482846036103</c:v>
                </c:pt>
                <c:pt idx="157">
                  <c:v>242.69784025092076</c:v>
                </c:pt>
                <c:pt idx="158">
                  <c:v>233.52777278464785</c:v>
                </c:pt>
                <c:pt idx="159">
                  <c:v>246.39578416940924</c:v>
                </c:pt>
                <c:pt idx="160">
                  <c:v>250.07356318280645</c:v>
                </c:pt>
                <c:pt idx="161">
                  <c:v>253.30133670304804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22-4B11-A271-5E1DC1DBAE74}"/>
            </c:ext>
          </c:extLst>
        </c:ser>
        <c:ser>
          <c:idx val="2"/>
          <c:order val="2"/>
          <c:tx>
            <c:v>Prediction</c:v>
          </c:tx>
          <c:spPr>
            <a:ln w="12700">
              <a:solidFill>
                <a:srgbClr val="0078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'2.3.Transport Prediction'!$B$219:$B$224</c:f>
              <c:numCache>
                <c:formatCode>m/d/yy</c:formatCode>
                <c:ptCount val="6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</c:numCache>
            </c:numRef>
          </c:xVal>
          <c:yVal>
            <c:numRef>
              <c:f>'2.3.Transport Prediction'!$D$219:$D$224</c:f>
              <c:numCache>
                <c:formatCode>0.000</c:formatCode>
                <c:ptCount val="6"/>
                <c:pt idx="0">
                  <c:v>245.04482846036103</c:v>
                </c:pt>
                <c:pt idx="1">
                  <c:v>242.69784025092076</c:v>
                </c:pt>
                <c:pt idx="2">
                  <c:v>233.52777278464785</c:v>
                </c:pt>
                <c:pt idx="3">
                  <c:v>246.39578416940924</c:v>
                </c:pt>
                <c:pt idx="4">
                  <c:v>250.07356318280645</c:v>
                </c:pt>
                <c:pt idx="5">
                  <c:v>253.30133670304804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622-4B11-A271-5E1DC1DBAE74}"/>
            </c:ext>
          </c:extLst>
        </c:ser>
        <c:ser>
          <c:idx val="3"/>
          <c:order val="3"/>
          <c:tx>
            <c:v>Lower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'2.3.Transport Prediction'!$B$219:$B$224</c:f>
              <c:numCache>
                <c:formatCode>m/d/yy</c:formatCode>
                <c:ptCount val="6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</c:numCache>
            </c:numRef>
          </c:xVal>
          <c:yVal>
            <c:numRef>
              <c:f>'2.3.Transport Prediction'!$H$219:$H$224</c:f>
              <c:numCache>
                <c:formatCode>0.000</c:formatCode>
                <c:ptCount val="6"/>
                <c:pt idx="0">
                  <c:v>233.64318648860271</c:v>
                </c:pt>
                <c:pt idx="1">
                  <c:v>228.29549648642413</c:v>
                </c:pt>
                <c:pt idx="2">
                  <c:v>216.65893064171209</c:v>
                </c:pt>
                <c:pt idx="3">
                  <c:v>227.19653129661893</c:v>
                </c:pt>
                <c:pt idx="4">
                  <c:v>228.70137798360881</c:v>
                </c:pt>
                <c:pt idx="5">
                  <c:v>229.93065870565923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622-4B11-A271-5E1DC1DBAE74}"/>
            </c:ext>
          </c:extLst>
        </c:ser>
        <c:ser>
          <c:idx val="4"/>
          <c:order val="4"/>
          <c:tx>
            <c:v>Upper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'2.3.Transport Prediction'!$B$219:$B$224</c:f>
              <c:numCache>
                <c:formatCode>m/d/yy</c:formatCode>
                <c:ptCount val="6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</c:numCache>
            </c:numRef>
          </c:xVal>
          <c:yVal>
            <c:numRef>
              <c:f>'2.3.Transport Prediction'!$I$219:$I$224</c:f>
              <c:numCache>
                <c:formatCode>0.000</c:formatCode>
                <c:ptCount val="6"/>
                <c:pt idx="0">
                  <c:v>256.44647043211933</c:v>
                </c:pt>
                <c:pt idx="1">
                  <c:v>257.10018401541737</c:v>
                </c:pt>
                <c:pt idx="2">
                  <c:v>250.39661492758361</c:v>
                </c:pt>
                <c:pt idx="3">
                  <c:v>265.59503704219958</c:v>
                </c:pt>
                <c:pt idx="4">
                  <c:v>271.44574838200407</c:v>
                </c:pt>
                <c:pt idx="5">
                  <c:v>276.67201470043682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622-4B11-A271-5E1DC1DBA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818064"/>
        <c:axId val="1089819744"/>
      </c:scatterChart>
      <c:valAx>
        <c:axId val="1089818064"/>
        <c:scaling>
          <c:orientation val="minMax"/>
          <c:max val="44000"/>
          <c:min val="3800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819744"/>
        <c:crosses val="autoZero"/>
        <c:crossBetween val="midCat"/>
      </c:valAx>
      <c:valAx>
        <c:axId val="1089819744"/>
        <c:scaling>
          <c:orientation val="minMax"/>
          <c:max val="300"/>
          <c:min val="5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Transport related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81806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'2.3.Transport Prediction'!$B$63:$B$218</c:f>
              <c:numCache>
                <c:formatCode>m/d/yy</c:formatCode>
                <c:ptCount val="156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</c:numCache>
            </c:numRef>
          </c:cat>
          <c:val>
            <c:numRef>
              <c:f>'2.3.Transport Prediction'!$E$63:$E$218</c:f>
              <c:numCache>
                <c:formatCode>0.000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-4.9915857062075162</c:v>
                </c:pt>
                <c:pt idx="14">
                  <c:v>-1.1286457337312612</c:v>
                </c:pt>
                <c:pt idx="15">
                  <c:v>1.0077909156973135</c:v>
                </c:pt>
                <c:pt idx="16">
                  <c:v>1.511690765699953</c:v>
                </c:pt>
                <c:pt idx="17">
                  <c:v>-2.9805303783751214</c:v>
                </c:pt>
                <c:pt idx="18">
                  <c:v>0.73272566952938689</c:v>
                </c:pt>
                <c:pt idx="19">
                  <c:v>1.4107923592615776</c:v>
                </c:pt>
                <c:pt idx="20">
                  <c:v>-2.0732650842651168</c:v>
                </c:pt>
                <c:pt idx="21">
                  <c:v>4.0051941364979342</c:v>
                </c:pt>
                <c:pt idx="22">
                  <c:v>-1.2162290153009394</c:v>
                </c:pt>
                <c:pt idx="23">
                  <c:v>0.17509743997878502</c:v>
                </c:pt>
                <c:pt idx="24">
                  <c:v>1.3799864318613828</c:v>
                </c:pt>
                <c:pt idx="25">
                  <c:v>-5.131785639688772</c:v>
                </c:pt>
                <c:pt idx="26">
                  <c:v>2.4168759803285411</c:v>
                </c:pt>
                <c:pt idx="27">
                  <c:v>-1.4651380256162554</c:v>
                </c:pt>
                <c:pt idx="28">
                  <c:v>0.27154641247813061</c:v>
                </c:pt>
                <c:pt idx="29">
                  <c:v>-2.4750653120312904</c:v>
                </c:pt>
                <c:pt idx="30">
                  <c:v>6.7281230097420348</c:v>
                </c:pt>
                <c:pt idx="31">
                  <c:v>-4.1362937158618678</c:v>
                </c:pt>
                <c:pt idx="32">
                  <c:v>-0.67298658516301657</c:v>
                </c:pt>
                <c:pt idx="33">
                  <c:v>3.0060126498163129</c:v>
                </c:pt>
                <c:pt idx="34">
                  <c:v>-2.1014648741375765</c:v>
                </c:pt>
                <c:pt idx="35">
                  <c:v>0.95084638338808247</c:v>
                </c:pt>
                <c:pt idx="36">
                  <c:v>1.4799981479546176</c:v>
                </c:pt>
                <c:pt idx="37">
                  <c:v>1.7872435430950873</c:v>
                </c:pt>
                <c:pt idx="38">
                  <c:v>-4.695762777031689</c:v>
                </c:pt>
                <c:pt idx="39">
                  <c:v>4.1418289063433917</c:v>
                </c:pt>
                <c:pt idx="40">
                  <c:v>-2.8587507454553673</c:v>
                </c:pt>
                <c:pt idx="41">
                  <c:v>4.8372272001499113</c:v>
                </c:pt>
                <c:pt idx="42">
                  <c:v>0.81590647006959216</c:v>
                </c:pt>
                <c:pt idx="43">
                  <c:v>-6.9708050917436992</c:v>
                </c:pt>
                <c:pt idx="44">
                  <c:v>7.0502268838884419</c:v>
                </c:pt>
                <c:pt idx="45">
                  <c:v>-2.1792788154608331</c:v>
                </c:pt>
                <c:pt idx="46">
                  <c:v>-5.5682638167348841</c:v>
                </c:pt>
                <c:pt idx="47">
                  <c:v>5.9966480170202772</c:v>
                </c:pt>
                <c:pt idx="48">
                  <c:v>-12.06714495687703</c:v>
                </c:pt>
                <c:pt idx="49">
                  <c:v>0.51248260282906699</c:v>
                </c:pt>
                <c:pt idx="50">
                  <c:v>-0.353749803603435</c:v>
                </c:pt>
                <c:pt idx="51">
                  <c:v>2.6893170419637187</c:v>
                </c:pt>
                <c:pt idx="52">
                  <c:v>-3.4865046668212756</c:v>
                </c:pt>
                <c:pt idx="53">
                  <c:v>4.1675047419873295</c:v>
                </c:pt>
                <c:pt idx="54">
                  <c:v>-0.60790312705326244</c:v>
                </c:pt>
                <c:pt idx="55">
                  <c:v>7.7778971402003521</c:v>
                </c:pt>
                <c:pt idx="56">
                  <c:v>40.339881975441585</c:v>
                </c:pt>
                <c:pt idx="57">
                  <c:v>10.768186452673177</c:v>
                </c:pt>
                <c:pt idx="58">
                  <c:v>-2.5329750351394011</c:v>
                </c:pt>
                <c:pt idx="59">
                  <c:v>2.6106930752480366</c:v>
                </c:pt>
                <c:pt idx="60">
                  <c:v>-3.0231987202359392</c:v>
                </c:pt>
                <c:pt idx="61">
                  <c:v>2.0802441672955183</c:v>
                </c:pt>
                <c:pt idx="62">
                  <c:v>1.3692463435786237</c:v>
                </c:pt>
                <c:pt idx="63">
                  <c:v>-6.4838091691825639E-2</c:v>
                </c:pt>
                <c:pt idx="64">
                  <c:v>-3.9307414597862191</c:v>
                </c:pt>
                <c:pt idx="65">
                  <c:v>5.0681326801655189</c:v>
                </c:pt>
                <c:pt idx="66">
                  <c:v>-3.4630295535393145</c:v>
                </c:pt>
                <c:pt idx="67">
                  <c:v>1.9989483407087789</c:v>
                </c:pt>
                <c:pt idx="68">
                  <c:v>-21.322909357300091</c:v>
                </c:pt>
                <c:pt idx="69">
                  <c:v>-9.8564863377213499</c:v>
                </c:pt>
                <c:pt idx="70">
                  <c:v>8.4867224557990824</c:v>
                </c:pt>
                <c:pt idx="71">
                  <c:v>2.8865946352195806</c:v>
                </c:pt>
                <c:pt idx="72">
                  <c:v>-3.5527750888638252</c:v>
                </c:pt>
                <c:pt idx="73">
                  <c:v>-1.2521159651758467</c:v>
                </c:pt>
                <c:pt idx="74">
                  <c:v>-8.8574763402655776</c:v>
                </c:pt>
                <c:pt idx="75">
                  <c:v>3.3605760490061698</c:v>
                </c:pt>
                <c:pt idx="76">
                  <c:v>7.4845117586961862</c:v>
                </c:pt>
                <c:pt idx="77">
                  <c:v>4.2222370188633818</c:v>
                </c:pt>
                <c:pt idx="78">
                  <c:v>-3.2012188318963979</c:v>
                </c:pt>
                <c:pt idx="79">
                  <c:v>6.5347916030167426</c:v>
                </c:pt>
                <c:pt idx="80">
                  <c:v>-7.7105637678767494</c:v>
                </c:pt>
                <c:pt idx="81">
                  <c:v>-8.0538147253930106</c:v>
                </c:pt>
                <c:pt idx="82">
                  <c:v>4.3411835265044942</c:v>
                </c:pt>
                <c:pt idx="83">
                  <c:v>-8.9574111185957861</c:v>
                </c:pt>
                <c:pt idx="84">
                  <c:v>6.100854757980585</c:v>
                </c:pt>
                <c:pt idx="85">
                  <c:v>3.9785370882863731</c:v>
                </c:pt>
                <c:pt idx="86">
                  <c:v>-1.5031270930622043</c:v>
                </c:pt>
                <c:pt idx="87">
                  <c:v>2.3687462435548241</c:v>
                </c:pt>
                <c:pt idx="88">
                  <c:v>0.25626215672707531</c:v>
                </c:pt>
                <c:pt idx="89">
                  <c:v>-5.4684877093642967</c:v>
                </c:pt>
                <c:pt idx="90">
                  <c:v>4.3583965972615317</c:v>
                </c:pt>
                <c:pt idx="91">
                  <c:v>-7.6638435898024113</c:v>
                </c:pt>
                <c:pt idx="92">
                  <c:v>-3.1765959425557071</c:v>
                </c:pt>
                <c:pt idx="93">
                  <c:v>-0.43329478256376319</c:v>
                </c:pt>
                <c:pt idx="94">
                  <c:v>-2.2084138020282182</c:v>
                </c:pt>
                <c:pt idx="95">
                  <c:v>-0.94326457501907157</c:v>
                </c:pt>
                <c:pt idx="96">
                  <c:v>5.399620136449073</c:v>
                </c:pt>
                <c:pt idx="97">
                  <c:v>-6.4791451041440666</c:v>
                </c:pt>
                <c:pt idx="98">
                  <c:v>-9.0070310970747016</c:v>
                </c:pt>
                <c:pt idx="99">
                  <c:v>8.163481377597293</c:v>
                </c:pt>
                <c:pt idx="100">
                  <c:v>3.4977641451712316</c:v>
                </c:pt>
                <c:pt idx="101">
                  <c:v>-1.9040090403841248</c:v>
                </c:pt>
                <c:pt idx="102">
                  <c:v>4.0098152295675789</c:v>
                </c:pt>
                <c:pt idx="103">
                  <c:v>-5.2007785299139755</c:v>
                </c:pt>
                <c:pt idx="104">
                  <c:v>-2.3981920944334831</c:v>
                </c:pt>
                <c:pt idx="105">
                  <c:v>-3.0782523162819473</c:v>
                </c:pt>
                <c:pt idx="106">
                  <c:v>2.0133641392458799</c:v>
                </c:pt>
                <c:pt idx="107">
                  <c:v>0.40289467699949455</c:v>
                </c:pt>
                <c:pt idx="108">
                  <c:v>-1.8013095301499789</c:v>
                </c:pt>
                <c:pt idx="109">
                  <c:v>-1.401963034068558</c:v>
                </c:pt>
                <c:pt idx="110">
                  <c:v>-5.3261233313795344</c:v>
                </c:pt>
                <c:pt idx="111">
                  <c:v>7.3133115520715535</c:v>
                </c:pt>
                <c:pt idx="112">
                  <c:v>0.18530247237291064</c:v>
                </c:pt>
                <c:pt idx="113">
                  <c:v>1.6044286798628775</c:v>
                </c:pt>
                <c:pt idx="114">
                  <c:v>0.29356121934293355</c:v>
                </c:pt>
                <c:pt idx="115">
                  <c:v>3.5356519770224679</c:v>
                </c:pt>
                <c:pt idx="116">
                  <c:v>-6.0770728375931355</c:v>
                </c:pt>
                <c:pt idx="117">
                  <c:v>9.7633735287274703E-3</c:v>
                </c:pt>
                <c:pt idx="118">
                  <c:v>-2.2926905683989673</c:v>
                </c:pt>
                <c:pt idx="119">
                  <c:v>1.584543015781037E-3</c:v>
                </c:pt>
                <c:pt idx="120">
                  <c:v>-1.6685353435015031</c:v>
                </c:pt>
                <c:pt idx="121">
                  <c:v>-2.4352875228038613</c:v>
                </c:pt>
                <c:pt idx="122">
                  <c:v>-8.2598821125556299</c:v>
                </c:pt>
                <c:pt idx="123">
                  <c:v>4.8460906723398978</c:v>
                </c:pt>
                <c:pt idx="124">
                  <c:v>-0.4763979186379288</c:v>
                </c:pt>
                <c:pt idx="125">
                  <c:v>-2.4054223428310877</c:v>
                </c:pt>
                <c:pt idx="126">
                  <c:v>-1.3075134821722258</c:v>
                </c:pt>
                <c:pt idx="127">
                  <c:v>-0.98724955324070152</c:v>
                </c:pt>
                <c:pt idx="128">
                  <c:v>-2.9509676510217275</c:v>
                </c:pt>
                <c:pt idx="129">
                  <c:v>-1.3847094744765513</c:v>
                </c:pt>
                <c:pt idx="130">
                  <c:v>4.033989431115458</c:v>
                </c:pt>
                <c:pt idx="131">
                  <c:v>1.3484173672312636</c:v>
                </c:pt>
                <c:pt idx="132">
                  <c:v>8.6432197995051752</c:v>
                </c:pt>
                <c:pt idx="133">
                  <c:v>5.3155121421322633</c:v>
                </c:pt>
                <c:pt idx="134">
                  <c:v>-0.24540317399927858</c:v>
                </c:pt>
                <c:pt idx="135">
                  <c:v>1.0424718834345583</c:v>
                </c:pt>
                <c:pt idx="136">
                  <c:v>-0.83574468761719345</c:v>
                </c:pt>
                <c:pt idx="137">
                  <c:v>2.4447451602166836</c:v>
                </c:pt>
                <c:pt idx="138">
                  <c:v>-7.371923083800425</c:v>
                </c:pt>
                <c:pt idx="139">
                  <c:v>1.8851437821209629</c:v>
                </c:pt>
                <c:pt idx="140">
                  <c:v>-7.8620186000184731</c:v>
                </c:pt>
                <c:pt idx="141">
                  <c:v>3.9477718126251204</c:v>
                </c:pt>
                <c:pt idx="142">
                  <c:v>7.7913053106591406</c:v>
                </c:pt>
                <c:pt idx="143">
                  <c:v>-8.683007377851709</c:v>
                </c:pt>
                <c:pt idx="144">
                  <c:v>2.4884414117626648</c:v>
                </c:pt>
                <c:pt idx="145">
                  <c:v>-2.4692120218968512</c:v>
                </c:pt>
                <c:pt idx="146">
                  <c:v>-4.9475503861870607</c:v>
                </c:pt>
                <c:pt idx="147">
                  <c:v>-5.1511024352975312</c:v>
                </c:pt>
                <c:pt idx="148">
                  <c:v>8.6747468084083437</c:v>
                </c:pt>
                <c:pt idx="149">
                  <c:v>-5.8493665513730377</c:v>
                </c:pt>
                <c:pt idx="150">
                  <c:v>8.0862607071313732</c:v>
                </c:pt>
                <c:pt idx="151">
                  <c:v>4.583007196215874</c:v>
                </c:pt>
                <c:pt idx="152">
                  <c:v>-6.4371031691338487</c:v>
                </c:pt>
                <c:pt idx="153">
                  <c:v>2.6005378296674451</c:v>
                </c:pt>
                <c:pt idx="154">
                  <c:v>3.7164109788575672</c:v>
                </c:pt>
                <c:pt idx="155">
                  <c:v>5.6499279604428807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2-4923-BC29-8D1523FFF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295184"/>
        <c:axId val="1089054960"/>
      </c:barChart>
      <c:dateAx>
        <c:axId val="1088295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054960"/>
        <c:crosses val="autoZero"/>
        <c:auto val="1"/>
        <c:lblOffset val="100"/>
        <c:baseTimeUnit val="months"/>
      </c:dateAx>
      <c:valAx>
        <c:axId val="10890549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829518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AutocorrelogramTransport related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'2.3.Transport Prediction'!$B$248:$B$270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Prediction'!$C$248:$C$270</c:f>
              <c:numCache>
                <c:formatCode>0.000</c:formatCode>
                <c:ptCount val="23"/>
                <c:pt idx="0">
                  <c:v>1</c:v>
                </c:pt>
                <c:pt idx="1">
                  <c:v>0.96792673884986813</c:v>
                </c:pt>
                <c:pt idx="2">
                  <c:v>0.94705142258769237</c:v>
                </c:pt>
                <c:pt idx="3">
                  <c:v>0.92590568063500878</c:v>
                </c:pt>
                <c:pt idx="4">
                  <c:v>0.90220479162727518</c:v>
                </c:pt>
                <c:pt idx="5">
                  <c:v>0.88384882999377079</c:v>
                </c:pt>
                <c:pt idx="6">
                  <c:v>0.86401610931993589</c:v>
                </c:pt>
                <c:pt idx="7">
                  <c:v>0.84734503667940608</c:v>
                </c:pt>
                <c:pt idx="8">
                  <c:v>0.82843456377698821</c:v>
                </c:pt>
                <c:pt idx="9">
                  <c:v>0.81820607899430065</c:v>
                </c:pt>
                <c:pt idx="10">
                  <c:v>0.80463211948362234</c:v>
                </c:pt>
                <c:pt idx="11">
                  <c:v>0.78965417870328081</c:v>
                </c:pt>
                <c:pt idx="12">
                  <c:v>0.77954068827393619</c:v>
                </c:pt>
                <c:pt idx="13">
                  <c:v>0.75318625115041182</c:v>
                </c:pt>
                <c:pt idx="14">
                  <c:v>0.73437337262244273</c:v>
                </c:pt>
                <c:pt idx="15">
                  <c:v>0.71172552212379159</c:v>
                </c:pt>
                <c:pt idx="16">
                  <c:v>0.68990257436150759</c:v>
                </c:pt>
                <c:pt idx="17">
                  <c:v>0.67259373064859351</c:v>
                </c:pt>
                <c:pt idx="18">
                  <c:v>0.6518050329382723</c:v>
                </c:pt>
                <c:pt idx="19">
                  <c:v>0.63444022475264406</c:v>
                </c:pt>
                <c:pt idx="20">
                  <c:v>0.61661367911082421</c:v>
                </c:pt>
                <c:pt idx="21">
                  <c:v>0.59967488929012858</c:v>
                </c:pt>
                <c:pt idx="22">
                  <c:v>0.58479697272113207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8-466C-86A6-63A164EBB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9937632"/>
        <c:axId val="108993481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'2.3.Transport Prediction'!$B$248:$B$270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Prediction'!$E$248:$E$270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-0.266018210603857</c:v>
                </c:pt>
                <c:pt idx="3">
                  <c:v>-0.33902485884338451</c:v>
                </c:pt>
                <c:pt idx="4">
                  <c:v>-0.39643346577301336</c:v>
                </c:pt>
                <c:pt idx="5">
                  <c:v>-0.44412527201570329</c:v>
                </c:pt>
                <c:pt idx="6">
                  <c:v>-0.48551044372982316</c:v>
                </c:pt>
                <c:pt idx="7">
                  <c:v>-0.52200219906760459</c:v>
                </c:pt>
                <c:pt idx="8">
                  <c:v>-0.55483970849685071</c:v>
                </c:pt>
                <c:pt idx="9">
                  <c:v>-0.58450594800303413</c:v>
                </c:pt>
                <c:pt idx="10">
                  <c:v>-0.61206030202104378</c:v>
                </c:pt>
                <c:pt idx="11">
                  <c:v>-0.63757630073111071</c:v>
                </c:pt>
                <c:pt idx="12">
                  <c:v>-0.66122101513854559</c:v>
                </c:pt>
                <c:pt idx="13">
                  <c:v>-0.68347738185740892</c:v>
                </c:pt>
                <c:pt idx="14">
                  <c:v>-0.70361924456010738</c:v>
                </c:pt>
                <c:pt idx="15">
                  <c:v>-0.72224683518045152</c:v>
                </c:pt>
                <c:pt idx="16">
                  <c:v>-0.73931587939564181</c:v>
                </c:pt>
                <c:pt idx="17">
                  <c:v>-0.75500266369021996</c:v>
                </c:pt>
                <c:pt idx="18">
                  <c:v>-0.76961588661435032</c:v>
                </c:pt>
                <c:pt idx="19">
                  <c:v>-0.78309146421827758</c:v>
                </c:pt>
                <c:pt idx="20">
                  <c:v>-0.79564807733587106</c:v>
                </c:pt>
                <c:pt idx="21">
                  <c:v>-0.8073296256055309</c:v>
                </c:pt>
                <c:pt idx="22">
                  <c:v>-0.81822474033150894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88-466C-86A6-63A164EBB603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'2.3.Transport Prediction'!$B$248:$B$270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Prediction'!$F$248:$F$270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0.266018210603857</c:v>
                </c:pt>
                <c:pt idx="3">
                  <c:v>0.33902485884338451</c:v>
                </c:pt>
                <c:pt idx="4">
                  <c:v>0.39643346577301336</c:v>
                </c:pt>
                <c:pt idx="5">
                  <c:v>0.44412527201570329</c:v>
                </c:pt>
                <c:pt idx="6">
                  <c:v>0.48551044372982316</c:v>
                </c:pt>
                <c:pt idx="7">
                  <c:v>0.52200219906760459</c:v>
                </c:pt>
                <c:pt idx="8">
                  <c:v>0.55483970849685071</c:v>
                </c:pt>
                <c:pt idx="9">
                  <c:v>0.58450594800303413</c:v>
                </c:pt>
                <c:pt idx="10">
                  <c:v>0.61206030202104378</c:v>
                </c:pt>
                <c:pt idx="11">
                  <c:v>0.63757630073111071</c:v>
                </c:pt>
                <c:pt idx="12">
                  <c:v>0.66122101513854559</c:v>
                </c:pt>
                <c:pt idx="13">
                  <c:v>0.68347738185740892</c:v>
                </c:pt>
                <c:pt idx="14">
                  <c:v>0.70361924456010738</c:v>
                </c:pt>
                <c:pt idx="15">
                  <c:v>0.72224683518045152</c:v>
                </c:pt>
                <c:pt idx="16">
                  <c:v>0.73931587939564181</c:v>
                </c:pt>
                <c:pt idx="17">
                  <c:v>0.75500266369021996</c:v>
                </c:pt>
                <c:pt idx="18">
                  <c:v>0.76961588661435032</c:v>
                </c:pt>
                <c:pt idx="19">
                  <c:v>0.78309146421827758</c:v>
                </c:pt>
                <c:pt idx="20">
                  <c:v>0.79564807733587106</c:v>
                </c:pt>
                <c:pt idx="21">
                  <c:v>0.8073296256055309</c:v>
                </c:pt>
                <c:pt idx="22">
                  <c:v>0.81822474033150894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88-466C-86A6-63A164EBB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937632"/>
        <c:axId val="1089934816"/>
      </c:lineChart>
      <c:catAx>
        <c:axId val="1089937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934816"/>
        <c:crosses val="autoZero"/>
        <c:auto val="1"/>
        <c:lblAlgn val="ctr"/>
        <c:lblOffset val="100"/>
        <c:noMultiLvlLbl val="0"/>
      </c:catAx>
      <c:valAx>
        <c:axId val="108993481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93763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Partial autocorrelogramTransport related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'2.3.Transport Prediction'!$B$248:$B$270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Prediction'!$G$248:$G$270</c:f>
              <c:numCache>
                <c:formatCode>0.000</c:formatCode>
                <c:ptCount val="23"/>
                <c:pt idx="0">
                  <c:v>1</c:v>
                </c:pt>
                <c:pt idx="1">
                  <c:v>0.96792673884986813</c:v>
                </c:pt>
                <c:pt idx="2">
                  <c:v>0.16111534718516227</c:v>
                </c:pt>
                <c:pt idx="3">
                  <c:v>1.5811289790784545E-2</c:v>
                </c:pt>
                <c:pt idx="4">
                  <c:v>-4.8522902781820546E-2</c:v>
                </c:pt>
                <c:pt idx="5">
                  <c:v>6.0791738934388127E-2</c:v>
                </c:pt>
                <c:pt idx="6">
                  <c:v>-6.9970519909836743E-3</c:v>
                </c:pt>
                <c:pt idx="7">
                  <c:v>4.0131941015118855E-2</c:v>
                </c:pt>
                <c:pt idx="8">
                  <c:v>-3.4044070258391068E-2</c:v>
                </c:pt>
                <c:pt idx="9">
                  <c:v>0.12916316240384965</c:v>
                </c:pt>
                <c:pt idx="10">
                  <c:v>-1.9035147508833814E-2</c:v>
                </c:pt>
                <c:pt idx="11">
                  <c:v>-2.9436591687847614E-2</c:v>
                </c:pt>
                <c:pt idx="12">
                  <c:v>4.982173320725574E-2</c:v>
                </c:pt>
                <c:pt idx="13">
                  <c:v>-0.2279486029887583</c:v>
                </c:pt>
                <c:pt idx="14">
                  <c:v>2.9659759203923393E-2</c:v>
                </c:pt>
                <c:pt idx="15">
                  <c:v>-5.3074142893298343E-2</c:v>
                </c:pt>
                <c:pt idx="16">
                  <c:v>4.6887190723633653E-3</c:v>
                </c:pt>
                <c:pt idx="17">
                  <c:v>4.6551413194453842E-2</c:v>
                </c:pt>
                <c:pt idx="18">
                  <c:v>-3.9357638923995852E-2</c:v>
                </c:pt>
                <c:pt idx="19">
                  <c:v>5.2502429311890256E-3</c:v>
                </c:pt>
                <c:pt idx="20">
                  <c:v>1.6164698413878277E-2</c:v>
                </c:pt>
                <c:pt idx="21">
                  <c:v>-5.3402634348283289E-2</c:v>
                </c:pt>
                <c:pt idx="22">
                  <c:v>5.2321744124920765E-2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FD-4193-B811-7D17B1304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9159344"/>
        <c:axId val="1089161072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'2.3.Transport Prediction'!$B$248:$B$270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Prediction'!$I$248:$I$270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FD-4193-B811-7D17B1304636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'2.3.Transport Prediction'!$B$248:$B$270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Prediction'!$J$248:$J$270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FD-4193-B811-7D17B1304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159344"/>
        <c:axId val="1089161072"/>
      </c:lineChart>
      <c:catAx>
        <c:axId val="1089159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161072"/>
        <c:crosses val="autoZero"/>
        <c:auto val="1"/>
        <c:lblAlgn val="ctr"/>
        <c:lblOffset val="100"/>
        <c:noMultiLvlLbl val="0"/>
      </c:catAx>
      <c:valAx>
        <c:axId val="1089161072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15934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'2.3.Transport Prediction'!$B$294:$B$316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Prediction'!$C$294:$C$316</c:f>
              <c:numCache>
                <c:formatCode>0.000</c:formatCode>
                <c:ptCount val="23"/>
                <c:pt idx="0">
                  <c:v>1</c:v>
                </c:pt>
                <c:pt idx="1">
                  <c:v>3.9112760781258799E-3</c:v>
                </c:pt>
                <c:pt idx="2">
                  <c:v>-2.7091870163890086E-2</c:v>
                </c:pt>
                <c:pt idx="3">
                  <c:v>8.5544013385038059E-2</c:v>
                </c:pt>
                <c:pt idx="4">
                  <c:v>-0.13047058710098541</c:v>
                </c:pt>
                <c:pt idx="5">
                  <c:v>2.1591951162731486E-2</c:v>
                </c:pt>
                <c:pt idx="6">
                  <c:v>0.14978532981410961</c:v>
                </c:pt>
                <c:pt idx="7">
                  <c:v>-0.1205491915948273</c:v>
                </c:pt>
                <c:pt idx="8">
                  <c:v>-0.16601364666346313</c:v>
                </c:pt>
                <c:pt idx="9">
                  <c:v>0.13464812151926767</c:v>
                </c:pt>
                <c:pt idx="10">
                  <c:v>-0.15295809116408102</c:v>
                </c:pt>
                <c:pt idx="11">
                  <c:v>-6.8205708712597513E-2</c:v>
                </c:pt>
                <c:pt idx="12">
                  <c:v>-1.7575612747268068E-2</c:v>
                </c:pt>
                <c:pt idx="13">
                  <c:v>-0.23949075119927266</c:v>
                </c:pt>
                <c:pt idx="14">
                  <c:v>0.11649562356216531</c:v>
                </c:pt>
                <c:pt idx="15">
                  <c:v>6.5130060527345254E-2</c:v>
                </c:pt>
                <c:pt idx="16">
                  <c:v>-0.10663507884222359</c:v>
                </c:pt>
                <c:pt idx="17">
                  <c:v>9.8018485677920947E-3</c:v>
                </c:pt>
                <c:pt idx="18">
                  <c:v>-2.1205083748515739E-2</c:v>
                </c:pt>
                <c:pt idx="19">
                  <c:v>-2.3321969699648979E-2</c:v>
                </c:pt>
                <c:pt idx="20">
                  <c:v>0.15967136445108718</c:v>
                </c:pt>
                <c:pt idx="21">
                  <c:v>8.5463863324017161E-2</c:v>
                </c:pt>
                <c:pt idx="22">
                  <c:v>-9.3971711420126919E-2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C2-456E-B2FE-FEC6E4A89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9924064"/>
        <c:axId val="108998076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'2.3.Transport Prediction'!$B$294:$B$316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Prediction'!$E$294:$E$316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-0.15692510778228455</c:v>
                </c:pt>
                <c:pt idx="3">
                  <c:v>-0.15704024025506028</c:v>
                </c:pt>
                <c:pt idx="4">
                  <c:v>-0.15818354457291695</c:v>
                </c:pt>
                <c:pt idx="5">
                  <c:v>-0.16081164933271236</c:v>
                </c:pt>
                <c:pt idx="6">
                  <c:v>-0.16088302357135018</c:v>
                </c:pt>
                <c:pt idx="7">
                  <c:v>-0.1642811338723795</c:v>
                </c:pt>
                <c:pt idx="8">
                  <c:v>-0.16644515485086706</c:v>
                </c:pt>
                <c:pt idx="9">
                  <c:v>-0.17047384306336741</c:v>
                </c:pt>
                <c:pt idx="10">
                  <c:v>-0.17307290325508784</c:v>
                </c:pt>
                <c:pt idx="11">
                  <c:v>-0.17637029012495206</c:v>
                </c:pt>
                <c:pt idx="12">
                  <c:v>-0.17701861117915679</c:v>
                </c:pt>
                <c:pt idx="13">
                  <c:v>-0.17706157678125781</c:v>
                </c:pt>
                <c:pt idx="14">
                  <c:v>-0.18486629174192676</c:v>
                </c:pt>
                <c:pt idx="15">
                  <c:v>-0.18666526658793095</c:v>
                </c:pt>
                <c:pt idx="16">
                  <c:v>-0.18722402171326438</c:v>
                </c:pt>
                <c:pt idx="17">
                  <c:v>-0.18871367736658273</c:v>
                </c:pt>
                <c:pt idx="18">
                  <c:v>-0.18872621367761022</c:v>
                </c:pt>
                <c:pt idx="19">
                  <c:v>-0.18878487500022983</c:v>
                </c:pt>
                <c:pt idx="20">
                  <c:v>-0.18885580880536601</c:v>
                </c:pt>
                <c:pt idx="21">
                  <c:v>-0.19215131819102063</c:v>
                </c:pt>
                <c:pt idx="22">
                  <c:v>-0.19308508686379447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C2-456E-B2FE-FEC6E4A893DE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'2.3.Transport Prediction'!$B$294:$B$316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Prediction'!$F$294:$F$316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0.15692510778228455</c:v>
                </c:pt>
                <c:pt idx="3">
                  <c:v>0.15704024025506028</c:v>
                </c:pt>
                <c:pt idx="4">
                  <c:v>0.15818354457291695</c:v>
                </c:pt>
                <c:pt idx="5">
                  <c:v>0.16081164933271236</c:v>
                </c:pt>
                <c:pt idx="6">
                  <c:v>0.16088302357135018</c:v>
                </c:pt>
                <c:pt idx="7">
                  <c:v>0.1642811338723795</c:v>
                </c:pt>
                <c:pt idx="8">
                  <c:v>0.16644515485086706</c:v>
                </c:pt>
                <c:pt idx="9">
                  <c:v>0.17047384306336741</c:v>
                </c:pt>
                <c:pt idx="10">
                  <c:v>0.17307290325508784</c:v>
                </c:pt>
                <c:pt idx="11">
                  <c:v>0.17637029012495206</c:v>
                </c:pt>
                <c:pt idx="12">
                  <c:v>0.17701861117915679</c:v>
                </c:pt>
                <c:pt idx="13">
                  <c:v>0.17706157678125781</c:v>
                </c:pt>
                <c:pt idx="14">
                  <c:v>0.18486629174192676</c:v>
                </c:pt>
                <c:pt idx="15">
                  <c:v>0.18666526658793095</c:v>
                </c:pt>
                <c:pt idx="16">
                  <c:v>0.18722402171326438</c:v>
                </c:pt>
                <c:pt idx="17">
                  <c:v>0.18871367736658273</c:v>
                </c:pt>
                <c:pt idx="18">
                  <c:v>0.18872621367761022</c:v>
                </c:pt>
                <c:pt idx="19">
                  <c:v>0.18878487500022983</c:v>
                </c:pt>
                <c:pt idx="20">
                  <c:v>0.18885580880536601</c:v>
                </c:pt>
                <c:pt idx="21">
                  <c:v>0.19215131819102063</c:v>
                </c:pt>
                <c:pt idx="22">
                  <c:v>0.19308508686379447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C2-456E-B2FE-FEC6E4A89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924064"/>
        <c:axId val="1089980768"/>
      </c:lineChart>
      <c:catAx>
        <c:axId val="10899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980768"/>
        <c:crosses val="autoZero"/>
        <c:auto val="1"/>
        <c:lblAlgn val="ctr"/>
        <c:lblOffset val="100"/>
        <c:noMultiLvlLbl val="0"/>
      </c:catAx>
      <c:valAx>
        <c:axId val="108998076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92406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'2.3.Transport Prediction'!$B$294:$B$316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Prediction'!$G$294:$G$316</c:f>
              <c:numCache>
                <c:formatCode>0.000</c:formatCode>
                <c:ptCount val="23"/>
                <c:pt idx="0">
                  <c:v>1</c:v>
                </c:pt>
                <c:pt idx="1">
                  <c:v>3.9112760781258799E-3</c:v>
                </c:pt>
                <c:pt idx="2">
                  <c:v>-2.7107582938436965E-2</c:v>
                </c:pt>
                <c:pt idx="3">
                  <c:v>8.5823251529746514E-2</c:v>
                </c:pt>
                <c:pt idx="4">
                  <c:v>-0.1331727314753792</c:v>
                </c:pt>
                <c:pt idx="5">
                  <c:v>3.0217445872268486E-2</c:v>
                </c:pt>
                <c:pt idx="6">
                  <c:v>0.13733106782996618</c:v>
                </c:pt>
                <c:pt idx="7">
                  <c:v>-0.10654718028270893</c:v>
                </c:pt>
                <c:pt idx="8">
                  <c:v>-0.18574409011201615</c:v>
                </c:pt>
                <c:pt idx="9">
                  <c:v>0.13447387436134051</c:v>
                </c:pt>
                <c:pt idx="10">
                  <c:v>-0.11937546276335458</c:v>
                </c:pt>
                <c:pt idx="11">
                  <c:v>-8.5185967279301708E-2</c:v>
                </c:pt>
                <c:pt idx="12">
                  <c:v>-9.4635309253571845E-2</c:v>
                </c:pt>
                <c:pt idx="13">
                  <c:v>-0.16218589209104387</c:v>
                </c:pt>
                <c:pt idx="14">
                  <c:v>0.14431787244442701</c:v>
                </c:pt>
                <c:pt idx="15">
                  <c:v>-2.5692760007709585E-2</c:v>
                </c:pt>
                <c:pt idx="16">
                  <c:v>-8.6956669770159617E-2</c:v>
                </c:pt>
                <c:pt idx="17">
                  <c:v>-8.4107964110280786E-5</c:v>
                </c:pt>
                <c:pt idx="18">
                  <c:v>-4.9971750632712274E-2</c:v>
                </c:pt>
                <c:pt idx="19">
                  <c:v>3.7440697984720765E-2</c:v>
                </c:pt>
                <c:pt idx="20">
                  <c:v>6.0962838240315897E-2</c:v>
                </c:pt>
                <c:pt idx="21">
                  <c:v>2.1265761727793837E-2</c:v>
                </c:pt>
                <c:pt idx="22">
                  <c:v>-6.0414328764575136E-3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C-4BFE-BA94-2490686A5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178448"/>
        <c:axId val="109018017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'2.3.Transport Prediction'!$B$294:$B$316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Prediction'!$I$294:$I$316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4C-4BFE-BA94-2490686A5DDB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'2.3.Transport Prediction'!$B$294:$B$316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'2.3.Transport Prediction'!$J$294:$J$316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4C-4BFE-BA94-2490686A5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178448"/>
        <c:axId val="1090180176"/>
      </c:lineChart>
      <c:catAx>
        <c:axId val="1090178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90180176"/>
        <c:crosses val="autoZero"/>
        <c:auto val="1"/>
        <c:lblAlgn val="ctr"/>
        <c:lblOffset val="100"/>
        <c:noMultiLvlLbl val="0"/>
      </c:catAx>
      <c:valAx>
        <c:axId val="109018017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9017844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ARIMA (Households)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Households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'2.4.Household Prediction'!$B$59:$B$214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'2.4.Household Prediction'!$C$59:$C$214</c:f>
              <c:numCache>
                <c:formatCode>0.000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452.3</c:v>
                </c:pt>
                <c:pt idx="14">
                  <c:v>470</c:v>
                </c:pt>
                <c:pt idx="15">
                  <c:v>511.3</c:v>
                </c:pt>
                <c:pt idx="16">
                  <c:v>522</c:v>
                </c:pt>
                <c:pt idx="17">
                  <c:v>533.20000000000005</c:v>
                </c:pt>
                <c:pt idx="18">
                  <c:v>513.20000000000005</c:v>
                </c:pt>
                <c:pt idx="19">
                  <c:v>544.20000000000005</c:v>
                </c:pt>
                <c:pt idx="20">
                  <c:v>541.4</c:v>
                </c:pt>
                <c:pt idx="21">
                  <c:v>525.70000000000005</c:v>
                </c:pt>
                <c:pt idx="22">
                  <c:v>535.20000000000005</c:v>
                </c:pt>
                <c:pt idx="23">
                  <c:v>495</c:v>
                </c:pt>
                <c:pt idx="24">
                  <c:v>473.6</c:v>
                </c:pt>
                <c:pt idx="25">
                  <c:v>444.4</c:v>
                </c:pt>
                <c:pt idx="26">
                  <c:v>451.8</c:v>
                </c:pt>
                <c:pt idx="27">
                  <c:v>511</c:v>
                </c:pt>
                <c:pt idx="28">
                  <c:v>542.79999999999995</c:v>
                </c:pt>
                <c:pt idx="29">
                  <c:v>556</c:v>
                </c:pt>
                <c:pt idx="30">
                  <c:v>563.1</c:v>
                </c:pt>
                <c:pt idx="31">
                  <c:v>555</c:v>
                </c:pt>
                <c:pt idx="32">
                  <c:v>513.6</c:v>
                </c:pt>
                <c:pt idx="33">
                  <c:v>514.70000000000005</c:v>
                </c:pt>
                <c:pt idx="34">
                  <c:v>547.9</c:v>
                </c:pt>
                <c:pt idx="35">
                  <c:v>489.9</c:v>
                </c:pt>
                <c:pt idx="36">
                  <c:v>467.1</c:v>
                </c:pt>
                <c:pt idx="37">
                  <c:v>472.7</c:v>
                </c:pt>
                <c:pt idx="38">
                  <c:v>449.5</c:v>
                </c:pt>
                <c:pt idx="39">
                  <c:v>491.5</c:v>
                </c:pt>
                <c:pt idx="40">
                  <c:v>544</c:v>
                </c:pt>
                <c:pt idx="41">
                  <c:v>572.5</c:v>
                </c:pt>
                <c:pt idx="42">
                  <c:v>525.79999999999995</c:v>
                </c:pt>
                <c:pt idx="43">
                  <c:v>510.1</c:v>
                </c:pt>
                <c:pt idx="44">
                  <c:v>519.1</c:v>
                </c:pt>
                <c:pt idx="45">
                  <c:v>522.1</c:v>
                </c:pt>
                <c:pt idx="46">
                  <c:v>535.6</c:v>
                </c:pt>
                <c:pt idx="47">
                  <c:v>484</c:v>
                </c:pt>
                <c:pt idx="48">
                  <c:v>476.4</c:v>
                </c:pt>
                <c:pt idx="49">
                  <c:v>460.5</c:v>
                </c:pt>
                <c:pt idx="50">
                  <c:v>461.2</c:v>
                </c:pt>
                <c:pt idx="51">
                  <c:v>510.5</c:v>
                </c:pt>
                <c:pt idx="52">
                  <c:v>556.6</c:v>
                </c:pt>
                <c:pt idx="53">
                  <c:v>609.5</c:v>
                </c:pt>
                <c:pt idx="54">
                  <c:v>592.70000000000005</c:v>
                </c:pt>
                <c:pt idx="55">
                  <c:v>572.1</c:v>
                </c:pt>
                <c:pt idx="56">
                  <c:v>554.9</c:v>
                </c:pt>
                <c:pt idx="57">
                  <c:v>557.4</c:v>
                </c:pt>
                <c:pt idx="58">
                  <c:v>562.9</c:v>
                </c:pt>
                <c:pt idx="59">
                  <c:v>516</c:v>
                </c:pt>
                <c:pt idx="60">
                  <c:v>490.6</c:v>
                </c:pt>
                <c:pt idx="61">
                  <c:v>503.9</c:v>
                </c:pt>
                <c:pt idx="62">
                  <c:v>547.6</c:v>
                </c:pt>
                <c:pt idx="63">
                  <c:v>585</c:v>
                </c:pt>
                <c:pt idx="64">
                  <c:v>573.5</c:v>
                </c:pt>
                <c:pt idx="65">
                  <c:v>606</c:v>
                </c:pt>
                <c:pt idx="66">
                  <c:v>575.20000000000005</c:v>
                </c:pt>
                <c:pt idx="67">
                  <c:v>539.70000000000005</c:v>
                </c:pt>
                <c:pt idx="68">
                  <c:v>539.20000000000005</c:v>
                </c:pt>
                <c:pt idx="69">
                  <c:v>557.79999999999995</c:v>
                </c:pt>
                <c:pt idx="70">
                  <c:v>581.4</c:v>
                </c:pt>
                <c:pt idx="71">
                  <c:v>536.20000000000005</c:v>
                </c:pt>
                <c:pt idx="72">
                  <c:v>499.3</c:v>
                </c:pt>
                <c:pt idx="73">
                  <c:v>461.7</c:v>
                </c:pt>
                <c:pt idx="74">
                  <c:v>465.7</c:v>
                </c:pt>
                <c:pt idx="75">
                  <c:v>524.4</c:v>
                </c:pt>
                <c:pt idx="76">
                  <c:v>565.1</c:v>
                </c:pt>
                <c:pt idx="77">
                  <c:v>602.79999999999995</c:v>
                </c:pt>
                <c:pt idx="78">
                  <c:v>586</c:v>
                </c:pt>
                <c:pt idx="79">
                  <c:v>590.6</c:v>
                </c:pt>
                <c:pt idx="80">
                  <c:v>582.6</c:v>
                </c:pt>
                <c:pt idx="81">
                  <c:v>557.70000000000005</c:v>
                </c:pt>
                <c:pt idx="82">
                  <c:v>541.1</c:v>
                </c:pt>
                <c:pt idx="83">
                  <c:v>505.9</c:v>
                </c:pt>
                <c:pt idx="84">
                  <c:v>503.3</c:v>
                </c:pt>
                <c:pt idx="85">
                  <c:v>505</c:v>
                </c:pt>
                <c:pt idx="86">
                  <c:v>508.6</c:v>
                </c:pt>
                <c:pt idx="87">
                  <c:v>540.9</c:v>
                </c:pt>
                <c:pt idx="88">
                  <c:v>557.1</c:v>
                </c:pt>
                <c:pt idx="89">
                  <c:v>607.9</c:v>
                </c:pt>
                <c:pt idx="90">
                  <c:v>594.79999999999995</c:v>
                </c:pt>
                <c:pt idx="91">
                  <c:v>585.6</c:v>
                </c:pt>
                <c:pt idx="92">
                  <c:v>573.20000000000005</c:v>
                </c:pt>
                <c:pt idx="93">
                  <c:v>560.20000000000005</c:v>
                </c:pt>
                <c:pt idx="94">
                  <c:v>568.1</c:v>
                </c:pt>
                <c:pt idx="95">
                  <c:v>524.79999999999995</c:v>
                </c:pt>
                <c:pt idx="96">
                  <c:v>513.1</c:v>
                </c:pt>
                <c:pt idx="97">
                  <c:v>498</c:v>
                </c:pt>
                <c:pt idx="98">
                  <c:v>498.3</c:v>
                </c:pt>
                <c:pt idx="99">
                  <c:v>568.29999999999995</c:v>
                </c:pt>
                <c:pt idx="100">
                  <c:v>601.79999999999995</c:v>
                </c:pt>
                <c:pt idx="101">
                  <c:v>629.6</c:v>
                </c:pt>
                <c:pt idx="102">
                  <c:v>612</c:v>
                </c:pt>
                <c:pt idx="103">
                  <c:v>617.5</c:v>
                </c:pt>
                <c:pt idx="104">
                  <c:v>560.6</c:v>
                </c:pt>
                <c:pt idx="105">
                  <c:v>555</c:v>
                </c:pt>
                <c:pt idx="106">
                  <c:v>570.70000000000005</c:v>
                </c:pt>
                <c:pt idx="107">
                  <c:v>530.1</c:v>
                </c:pt>
                <c:pt idx="108">
                  <c:v>509.7</c:v>
                </c:pt>
                <c:pt idx="109">
                  <c:v>489.3</c:v>
                </c:pt>
                <c:pt idx="110">
                  <c:v>488.7</c:v>
                </c:pt>
                <c:pt idx="111">
                  <c:v>568.1</c:v>
                </c:pt>
                <c:pt idx="112">
                  <c:v>609.5</c:v>
                </c:pt>
                <c:pt idx="113">
                  <c:v>639</c:v>
                </c:pt>
                <c:pt idx="114">
                  <c:v>628.1</c:v>
                </c:pt>
                <c:pt idx="115">
                  <c:v>635.5</c:v>
                </c:pt>
                <c:pt idx="116">
                  <c:v>592.4</c:v>
                </c:pt>
                <c:pt idx="117">
                  <c:v>580.9</c:v>
                </c:pt>
                <c:pt idx="118">
                  <c:v>611.5</c:v>
                </c:pt>
                <c:pt idx="119">
                  <c:v>571.79999999999995</c:v>
                </c:pt>
                <c:pt idx="120">
                  <c:v>525.20000000000005</c:v>
                </c:pt>
                <c:pt idx="121">
                  <c:v>493.6</c:v>
                </c:pt>
                <c:pt idx="122">
                  <c:v>513.9</c:v>
                </c:pt>
                <c:pt idx="123">
                  <c:v>594.20000000000005</c:v>
                </c:pt>
                <c:pt idx="124">
                  <c:v>610.70000000000005</c:v>
                </c:pt>
                <c:pt idx="125">
                  <c:v>632.29999999999995</c:v>
                </c:pt>
                <c:pt idx="126">
                  <c:v>647</c:v>
                </c:pt>
                <c:pt idx="127">
                  <c:v>656.7</c:v>
                </c:pt>
                <c:pt idx="128">
                  <c:v>635.70000000000005</c:v>
                </c:pt>
                <c:pt idx="129">
                  <c:v>643.6</c:v>
                </c:pt>
                <c:pt idx="130">
                  <c:v>645.70000000000005</c:v>
                </c:pt>
                <c:pt idx="131">
                  <c:v>622.4</c:v>
                </c:pt>
                <c:pt idx="132">
                  <c:v>570.29999999999995</c:v>
                </c:pt>
                <c:pt idx="133">
                  <c:v>580.4</c:v>
                </c:pt>
                <c:pt idx="134">
                  <c:v>585.4</c:v>
                </c:pt>
                <c:pt idx="135">
                  <c:v>648.70000000000005</c:v>
                </c:pt>
                <c:pt idx="136">
                  <c:v>689.1</c:v>
                </c:pt>
                <c:pt idx="137">
                  <c:v>708.4</c:v>
                </c:pt>
                <c:pt idx="138">
                  <c:v>642.20000000000005</c:v>
                </c:pt>
                <c:pt idx="139">
                  <c:v>647.1</c:v>
                </c:pt>
                <c:pt idx="140">
                  <c:v>647.79999999999995</c:v>
                </c:pt>
                <c:pt idx="141">
                  <c:v>650.4</c:v>
                </c:pt>
                <c:pt idx="142">
                  <c:v>644.70000000000005</c:v>
                </c:pt>
                <c:pt idx="143">
                  <c:v>575.20000000000005</c:v>
                </c:pt>
                <c:pt idx="144">
                  <c:v>567.1</c:v>
                </c:pt>
                <c:pt idx="145">
                  <c:v>574</c:v>
                </c:pt>
                <c:pt idx="146">
                  <c:v>533.1</c:v>
                </c:pt>
                <c:pt idx="147">
                  <c:v>583.70000000000005</c:v>
                </c:pt>
                <c:pt idx="148">
                  <c:v>619.9</c:v>
                </c:pt>
                <c:pt idx="149">
                  <c:v>649</c:v>
                </c:pt>
                <c:pt idx="150">
                  <c:v>698.1</c:v>
                </c:pt>
                <c:pt idx="151">
                  <c:v>630.20000000000005</c:v>
                </c:pt>
                <c:pt idx="152">
                  <c:v>613.1</c:v>
                </c:pt>
                <c:pt idx="153">
                  <c:v>622</c:v>
                </c:pt>
                <c:pt idx="154">
                  <c:v>622.1</c:v>
                </c:pt>
                <c:pt idx="155">
                  <c:v>583.1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B-4AC6-B3F4-B2C2FBE5240E}"/>
            </c:ext>
          </c:extLst>
        </c:ser>
        <c:ser>
          <c:idx val="1"/>
          <c:order val="1"/>
          <c:tx>
            <c:v>ARIMA (Households)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Pt>
            <c:idx val="144"/>
            <c:bubble3D val="0"/>
            <c:spPr>
              <a:ln w="12700">
                <a:solidFill>
                  <a:srgbClr val="006699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2-1F0B-4AC6-B3F4-B2C2FBE5240E}"/>
              </c:ext>
            </c:extLst>
          </c:dPt>
          <c:xVal>
            <c:numRef>
              <c:f>'2.4.Household Prediction'!$B$59:$B$214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'2.4.Household Prediction'!$D$59:$D$214</c:f>
              <c:numCache>
                <c:formatCode>0.000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453.97638533377949</c:v>
                </c:pt>
                <c:pt idx="14">
                  <c:v>486.1861626437414</c:v>
                </c:pt>
                <c:pt idx="15">
                  <c:v>520.6796533980845</c:v>
                </c:pt>
                <c:pt idx="16">
                  <c:v>524.03924127987875</c:v>
                </c:pt>
                <c:pt idx="17">
                  <c:v>549.42388737221938</c:v>
                </c:pt>
                <c:pt idx="18">
                  <c:v>507.48409780839421</c:v>
                </c:pt>
                <c:pt idx="19">
                  <c:v>519.59690959432908</c:v>
                </c:pt>
                <c:pt idx="20">
                  <c:v>533.63493878788586</c:v>
                </c:pt>
                <c:pt idx="21">
                  <c:v>526.10701384412698</c:v>
                </c:pt>
                <c:pt idx="22">
                  <c:v>524.60639968802832</c:v>
                </c:pt>
                <c:pt idx="23">
                  <c:v>501.69438303791736</c:v>
                </c:pt>
                <c:pt idx="24">
                  <c:v>471.89763602864946</c:v>
                </c:pt>
                <c:pt idx="25">
                  <c:v>459.97349401760204</c:v>
                </c:pt>
                <c:pt idx="26">
                  <c:v>474.90729686790621</c:v>
                </c:pt>
                <c:pt idx="27">
                  <c:v>508.7146788348773</c:v>
                </c:pt>
                <c:pt idx="28">
                  <c:v>530.45233608914918</c:v>
                </c:pt>
                <c:pt idx="29">
                  <c:v>559.27257711150207</c:v>
                </c:pt>
                <c:pt idx="30">
                  <c:v>522.087842836959</c:v>
                </c:pt>
                <c:pt idx="31">
                  <c:v>573.61174854128785</c:v>
                </c:pt>
                <c:pt idx="32">
                  <c:v>529.14417920917447</c:v>
                </c:pt>
                <c:pt idx="33">
                  <c:v>516.65806573162786</c:v>
                </c:pt>
                <c:pt idx="34">
                  <c:v>536.80516773853788</c:v>
                </c:pt>
                <c:pt idx="35">
                  <c:v>504.82119252608652</c:v>
                </c:pt>
                <c:pt idx="36">
                  <c:v>454.82295712154416</c:v>
                </c:pt>
                <c:pt idx="37">
                  <c:v>459.09571561764443</c:v>
                </c:pt>
                <c:pt idx="38">
                  <c:v>497.31882319431202</c:v>
                </c:pt>
                <c:pt idx="39">
                  <c:v>484.47841275772026</c:v>
                </c:pt>
                <c:pt idx="40">
                  <c:v>527.71613733948072</c:v>
                </c:pt>
                <c:pt idx="41">
                  <c:v>565.42134237941275</c:v>
                </c:pt>
                <c:pt idx="42">
                  <c:v>537.50409378117649</c:v>
                </c:pt>
                <c:pt idx="43">
                  <c:v>529.30633939719087</c:v>
                </c:pt>
                <c:pt idx="44">
                  <c:v>511.69645799426644</c:v>
                </c:pt>
                <c:pt idx="45">
                  <c:v>528.18639105547652</c:v>
                </c:pt>
                <c:pt idx="46">
                  <c:v>522.55514129393839</c:v>
                </c:pt>
                <c:pt idx="47">
                  <c:v>486.80588282009177</c:v>
                </c:pt>
                <c:pt idx="48">
                  <c:v>463.50022530916834</c:v>
                </c:pt>
                <c:pt idx="49">
                  <c:v>463.75539151487078</c:v>
                </c:pt>
                <c:pt idx="50">
                  <c:v>458.62550396392652</c:v>
                </c:pt>
                <c:pt idx="51">
                  <c:v>511.06848658651199</c:v>
                </c:pt>
                <c:pt idx="52">
                  <c:v>542.5845564628288</c:v>
                </c:pt>
                <c:pt idx="53">
                  <c:v>574.28037842867559</c:v>
                </c:pt>
                <c:pt idx="54">
                  <c:v>591.93464917364884</c:v>
                </c:pt>
                <c:pt idx="55">
                  <c:v>574.46064374904017</c:v>
                </c:pt>
                <c:pt idx="56">
                  <c:v>553.61582155209453</c:v>
                </c:pt>
                <c:pt idx="57">
                  <c:v>563.49597763558734</c:v>
                </c:pt>
                <c:pt idx="58">
                  <c:v>578.92320674657969</c:v>
                </c:pt>
                <c:pt idx="59">
                  <c:v>507.4866685862778</c:v>
                </c:pt>
                <c:pt idx="60">
                  <c:v>506.15263237344953</c:v>
                </c:pt>
                <c:pt idx="61">
                  <c:v>479.42590116343888</c:v>
                </c:pt>
                <c:pt idx="62">
                  <c:v>498.87418005027797</c:v>
                </c:pt>
                <c:pt idx="63">
                  <c:v>587.77553616226555</c:v>
                </c:pt>
                <c:pt idx="64">
                  <c:v>602.16317744077094</c:v>
                </c:pt>
                <c:pt idx="65">
                  <c:v>605.53548874949774</c:v>
                </c:pt>
                <c:pt idx="66">
                  <c:v>610.58352698931174</c:v>
                </c:pt>
                <c:pt idx="67">
                  <c:v>558.87955208387734</c:v>
                </c:pt>
                <c:pt idx="68">
                  <c:v>531.04623399008142</c:v>
                </c:pt>
                <c:pt idx="69">
                  <c:v>553.26935032626261</c:v>
                </c:pt>
                <c:pt idx="70">
                  <c:v>571.06097650441041</c:v>
                </c:pt>
                <c:pt idx="71">
                  <c:v>521.13334920416423</c:v>
                </c:pt>
                <c:pt idx="72">
                  <c:v>518.02118552828188</c:v>
                </c:pt>
                <c:pt idx="73">
                  <c:v>490.72861269798022</c:v>
                </c:pt>
                <c:pt idx="74">
                  <c:v>474.21952155084421</c:v>
                </c:pt>
                <c:pt idx="75">
                  <c:v>528.39774744801741</c:v>
                </c:pt>
                <c:pt idx="76">
                  <c:v>560.77792246571698</c:v>
                </c:pt>
                <c:pt idx="77">
                  <c:v>600.22740710713504</c:v>
                </c:pt>
                <c:pt idx="78">
                  <c:v>572.24875754919185</c:v>
                </c:pt>
                <c:pt idx="79">
                  <c:v>566.69876320981064</c:v>
                </c:pt>
                <c:pt idx="80">
                  <c:v>580.07246297520896</c:v>
                </c:pt>
                <c:pt idx="81">
                  <c:v>574.68532202503752</c:v>
                </c:pt>
                <c:pt idx="82">
                  <c:v>568.48761662366201</c:v>
                </c:pt>
                <c:pt idx="83">
                  <c:v>508.013984377616</c:v>
                </c:pt>
                <c:pt idx="84">
                  <c:v>498.65300450965765</c:v>
                </c:pt>
                <c:pt idx="85">
                  <c:v>492.66077276214071</c:v>
                </c:pt>
                <c:pt idx="86">
                  <c:v>518.55053231665397</c:v>
                </c:pt>
                <c:pt idx="87">
                  <c:v>549.13367549119425</c:v>
                </c:pt>
                <c:pt idx="88">
                  <c:v>566.15709405864698</c:v>
                </c:pt>
                <c:pt idx="89">
                  <c:v>603.33164734080219</c:v>
                </c:pt>
                <c:pt idx="90">
                  <c:v>584.37166017473987</c:v>
                </c:pt>
                <c:pt idx="91">
                  <c:v>566.63479313500204</c:v>
                </c:pt>
                <c:pt idx="92">
                  <c:v>574.24013028051218</c:v>
                </c:pt>
                <c:pt idx="93">
                  <c:v>570.96406062259302</c:v>
                </c:pt>
                <c:pt idx="94">
                  <c:v>572.56824907179725</c:v>
                </c:pt>
                <c:pt idx="95">
                  <c:v>534.04237430163266</c:v>
                </c:pt>
                <c:pt idx="96">
                  <c:v>499.69838377070198</c:v>
                </c:pt>
                <c:pt idx="97">
                  <c:v>498.75844602318756</c:v>
                </c:pt>
                <c:pt idx="98">
                  <c:v>505.42491962871634</c:v>
                </c:pt>
                <c:pt idx="99">
                  <c:v>544.8910421050922</c:v>
                </c:pt>
                <c:pt idx="100">
                  <c:v>598.56918797662013</c:v>
                </c:pt>
                <c:pt idx="101">
                  <c:v>629.88067948057221</c:v>
                </c:pt>
                <c:pt idx="102">
                  <c:v>602.82363547851241</c:v>
                </c:pt>
                <c:pt idx="103">
                  <c:v>608.8075707889227</c:v>
                </c:pt>
                <c:pt idx="104">
                  <c:v>610.54076212984103</c:v>
                </c:pt>
                <c:pt idx="105">
                  <c:v>539.85871235612194</c:v>
                </c:pt>
                <c:pt idx="106">
                  <c:v>581.29477538415119</c:v>
                </c:pt>
                <c:pt idx="107">
                  <c:v>529.70505469038983</c:v>
                </c:pt>
                <c:pt idx="108">
                  <c:v>507.90423721897321</c:v>
                </c:pt>
                <c:pt idx="109">
                  <c:v>497.3539584762803</c:v>
                </c:pt>
                <c:pt idx="110">
                  <c:v>495.45368305696098</c:v>
                </c:pt>
                <c:pt idx="111">
                  <c:v>540.24084344002324</c:v>
                </c:pt>
                <c:pt idx="112">
                  <c:v>598.65046957447828</c:v>
                </c:pt>
                <c:pt idx="113">
                  <c:v>636.29375677734402</c:v>
                </c:pt>
                <c:pt idx="114">
                  <c:v>615.71957873406586</c:v>
                </c:pt>
                <c:pt idx="115">
                  <c:v>632.98339926088772</c:v>
                </c:pt>
                <c:pt idx="116">
                  <c:v>613.63942309890479</c:v>
                </c:pt>
                <c:pt idx="117">
                  <c:v>571.53189577499313</c:v>
                </c:pt>
                <c:pt idx="118">
                  <c:v>595.86338900595467</c:v>
                </c:pt>
                <c:pt idx="119">
                  <c:v>571.13525402635719</c:v>
                </c:pt>
                <c:pt idx="120">
                  <c:v>546.54772903752439</c:v>
                </c:pt>
                <c:pt idx="121">
                  <c:v>511.44888480642504</c:v>
                </c:pt>
                <c:pt idx="122">
                  <c:v>512.30201525743246</c:v>
                </c:pt>
                <c:pt idx="123">
                  <c:v>587.20681456848286</c:v>
                </c:pt>
                <c:pt idx="124">
                  <c:v>615.80275765258671</c:v>
                </c:pt>
                <c:pt idx="125">
                  <c:v>634.87592127731807</c:v>
                </c:pt>
                <c:pt idx="126">
                  <c:v>624.07670686511233</c:v>
                </c:pt>
                <c:pt idx="127">
                  <c:v>657.4941839855403</c:v>
                </c:pt>
                <c:pt idx="128">
                  <c:v>600.23450143099092</c:v>
                </c:pt>
                <c:pt idx="129">
                  <c:v>624.11799444846326</c:v>
                </c:pt>
                <c:pt idx="130">
                  <c:v>650.6520944251065</c:v>
                </c:pt>
                <c:pt idx="131">
                  <c:v>595.1894061257849</c:v>
                </c:pt>
                <c:pt idx="132">
                  <c:v>607.78517989415957</c:v>
                </c:pt>
                <c:pt idx="133">
                  <c:v>538.31636446570928</c:v>
                </c:pt>
                <c:pt idx="134">
                  <c:v>601.38264122564055</c:v>
                </c:pt>
                <c:pt idx="135">
                  <c:v>646.30496720917301</c:v>
                </c:pt>
                <c:pt idx="136">
                  <c:v>681.65202194294454</c:v>
                </c:pt>
                <c:pt idx="137">
                  <c:v>724.21819624962313</c:v>
                </c:pt>
                <c:pt idx="138">
                  <c:v>697.43127812066143</c:v>
                </c:pt>
                <c:pt idx="139">
                  <c:v>650.65883139792061</c:v>
                </c:pt>
                <c:pt idx="140">
                  <c:v>635.56453892300874</c:v>
                </c:pt>
                <c:pt idx="141">
                  <c:v>645.95433468793885</c:v>
                </c:pt>
                <c:pt idx="142">
                  <c:v>649.18717177945291</c:v>
                </c:pt>
                <c:pt idx="143">
                  <c:v>602.53154252728018</c:v>
                </c:pt>
                <c:pt idx="144">
                  <c:v>546.67664693778204</c:v>
                </c:pt>
                <c:pt idx="145">
                  <c:v>544.94489251631433</c:v>
                </c:pt>
                <c:pt idx="146">
                  <c:v>551.16217126838569</c:v>
                </c:pt>
                <c:pt idx="147">
                  <c:v>618.07425228537625</c:v>
                </c:pt>
                <c:pt idx="148">
                  <c:v>648.70463917747372</c:v>
                </c:pt>
                <c:pt idx="149">
                  <c:v>677.26691719784901</c:v>
                </c:pt>
                <c:pt idx="150">
                  <c:v>667.22445668120736</c:v>
                </c:pt>
                <c:pt idx="151">
                  <c:v>672.62328978056632</c:v>
                </c:pt>
                <c:pt idx="152">
                  <c:v>650.38725776694343</c:v>
                </c:pt>
                <c:pt idx="153">
                  <c:v>653.33176680261806</c:v>
                </c:pt>
                <c:pt idx="154">
                  <c:v>661.72731358016813</c:v>
                </c:pt>
                <c:pt idx="155">
                  <c:v>623.55326073589549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0B-4AC6-B3F4-B2C2FBE5240E}"/>
            </c:ext>
          </c:extLst>
        </c:ser>
        <c:ser>
          <c:idx val="2"/>
          <c:order val="2"/>
          <c:tx>
            <c:v>Validation</c:v>
          </c:tx>
          <c:spPr>
            <a:ln w="127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'2.4.Household Prediction'!$B$203:$B$214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'2.4.Household Prediction'!$D$203:$D$214</c:f>
              <c:numCache>
                <c:formatCode>0.000</c:formatCode>
                <c:ptCount val="12"/>
                <c:pt idx="0">
                  <c:v>546.67664693778204</c:v>
                </c:pt>
                <c:pt idx="1">
                  <c:v>544.94489251631433</c:v>
                </c:pt>
                <c:pt idx="2">
                  <c:v>551.16217126838569</c:v>
                </c:pt>
                <c:pt idx="3">
                  <c:v>618.07425228537625</c:v>
                </c:pt>
                <c:pt idx="4">
                  <c:v>648.70463917747372</c:v>
                </c:pt>
                <c:pt idx="5">
                  <c:v>677.26691719784901</c:v>
                </c:pt>
                <c:pt idx="6">
                  <c:v>667.22445668120736</c:v>
                </c:pt>
                <c:pt idx="7">
                  <c:v>672.62328978056632</c:v>
                </c:pt>
                <c:pt idx="8">
                  <c:v>650.38725776694343</c:v>
                </c:pt>
                <c:pt idx="9">
                  <c:v>653.33176680261806</c:v>
                </c:pt>
                <c:pt idx="10">
                  <c:v>661.72731358016813</c:v>
                </c:pt>
                <c:pt idx="11">
                  <c:v>623.55326073589549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0B-4AC6-B3F4-B2C2FBE5240E}"/>
            </c:ext>
          </c:extLst>
        </c:ser>
        <c:ser>
          <c:idx val="3"/>
          <c:order val="3"/>
          <c:tx>
            <c:v>Lower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'2.4.Household Prediction'!$B$203:$B$214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'2.4.Household Prediction'!$H$203:$H$214</c:f>
              <c:numCache>
                <c:formatCode>0.000</c:formatCode>
                <c:ptCount val="12"/>
                <c:pt idx="0">
                  <c:v>512.31958254444737</c:v>
                </c:pt>
                <c:pt idx="1">
                  <c:v>494.9544507483497</c:v>
                </c:pt>
                <c:pt idx="2">
                  <c:v>497.85963946771989</c:v>
                </c:pt>
                <c:pt idx="3">
                  <c:v>562.28771614809466</c:v>
                </c:pt>
                <c:pt idx="4">
                  <c:v>587.30693736782359</c:v>
                </c:pt>
                <c:pt idx="5">
                  <c:v>610.102988529973</c:v>
                </c:pt>
                <c:pt idx="6">
                  <c:v>596.38354407017766</c:v>
                </c:pt>
                <c:pt idx="7">
                  <c:v>598.61136016867772</c:v>
                </c:pt>
                <c:pt idx="8">
                  <c:v>572.63585773388422</c:v>
                </c:pt>
                <c:pt idx="9">
                  <c:v>571.80269531223632</c:v>
                </c:pt>
                <c:pt idx="10">
                  <c:v>576.92794440071452</c:v>
                </c:pt>
                <c:pt idx="11">
                  <c:v>535.7201855124365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0B-4AC6-B3F4-B2C2FBE5240E}"/>
            </c:ext>
          </c:extLst>
        </c:ser>
        <c:ser>
          <c:idx val="4"/>
          <c:order val="4"/>
          <c:tx>
            <c:v>Upper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'2.4.Household Prediction'!$B$203:$B$214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'2.4.Household Prediction'!$I$203:$I$214</c:f>
              <c:numCache>
                <c:formatCode>0.000</c:formatCode>
                <c:ptCount val="12"/>
                <c:pt idx="0">
                  <c:v>581.03371133111671</c:v>
                </c:pt>
                <c:pt idx="1">
                  <c:v>594.93533428427895</c:v>
                </c:pt>
                <c:pt idx="2">
                  <c:v>604.46470306905155</c:v>
                </c:pt>
                <c:pt idx="3">
                  <c:v>673.86078842265783</c:v>
                </c:pt>
                <c:pt idx="4">
                  <c:v>710.10234098712385</c:v>
                </c:pt>
                <c:pt idx="5">
                  <c:v>744.43084586572502</c:v>
                </c:pt>
                <c:pt idx="6">
                  <c:v>738.06536929223705</c:v>
                </c:pt>
                <c:pt idx="7">
                  <c:v>746.63521939245493</c:v>
                </c:pt>
                <c:pt idx="8">
                  <c:v>728.13865780000265</c:v>
                </c:pt>
                <c:pt idx="9">
                  <c:v>734.8608382929998</c:v>
                </c:pt>
                <c:pt idx="10">
                  <c:v>746.52668275962174</c:v>
                </c:pt>
                <c:pt idx="11">
                  <c:v>711.38633595935448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F0B-4AC6-B3F4-B2C2FBE52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125696"/>
        <c:axId val="792115856"/>
      </c:scatterChart>
      <c:valAx>
        <c:axId val="792125696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15856"/>
        <c:crosses val="autoZero"/>
        <c:crossBetween val="midCat"/>
      </c:valAx>
      <c:valAx>
        <c:axId val="792115856"/>
        <c:scaling>
          <c:orientation val="minMax"/>
          <c:max val="750"/>
          <c:min val="4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Households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2569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'2.4.Household Prediction'!$B$59:$B$214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'2.4.Household Prediction'!$E$59:$E$214</c:f>
              <c:numCache>
                <c:formatCode>0.000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-1.6763853337794785</c:v>
                </c:pt>
                <c:pt idx="14">
                  <c:v>-16.186162643741397</c:v>
                </c:pt>
                <c:pt idx="15">
                  <c:v>-9.3796533980844856</c:v>
                </c:pt>
                <c:pt idx="16">
                  <c:v>-2.0392412798787518</c:v>
                </c:pt>
                <c:pt idx="17">
                  <c:v>-16.223887372219338</c:v>
                </c:pt>
                <c:pt idx="18">
                  <c:v>5.715902191605835</c:v>
                </c:pt>
                <c:pt idx="19">
                  <c:v>24.603090405670969</c:v>
                </c:pt>
                <c:pt idx="20">
                  <c:v>7.7650612121141194</c:v>
                </c:pt>
                <c:pt idx="21">
                  <c:v>-0.40701384412693642</c:v>
                </c:pt>
                <c:pt idx="22">
                  <c:v>10.593600311971727</c:v>
                </c:pt>
                <c:pt idx="23">
                  <c:v>-6.6943830379173619</c:v>
                </c:pt>
                <c:pt idx="24">
                  <c:v>1.7023639713505645</c:v>
                </c:pt>
                <c:pt idx="25">
                  <c:v>-15.573494017602059</c:v>
                </c:pt>
                <c:pt idx="26">
                  <c:v>-23.1072968679062</c:v>
                </c:pt>
                <c:pt idx="27">
                  <c:v>2.2853211651226957</c:v>
                </c:pt>
                <c:pt idx="28">
                  <c:v>12.34766391085077</c:v>
                </c:pt>
                <c:pt idx="29">
                  <c:v>-3.2725771115020734</c:v>
                </c:pt>
                <c:pt idx="30">
                  <c:v>41.012157163041024</c:v>
                </c:pt>
                <c:pt idx="31">
                  <c:v>-18.611748541287852</c:v>
                </c:pt>
                <c:pt idx="32">
                  <c:v>-15.544179209174445</c:v>
                </c:pt>
                <c:pt idx="33">
                  <c:v>-1.9580657316278121</c:v>
                </c:pt>
                <c:pt idx="34">
                  <c:v>11.094832261462102</c:v>
                </c:pt>
                <c:pt idx="35">
                  <c:v>-14.921192526086543</c:v>
                </c:pt>
                <c:pt idx="36">
                  <c:v>12.277042878455859</c:v>
                </c:pt>
                <c:pt idx="37">
                  <c:v>13.604284382355559</c:v>
                </c:pt>
                <c:pt idx="38">
                  <c:v>-47.818823194312017</c:v>
                </c:pt>
                <c:pt idx="39">
                  <c:v>7.0215872422797361</c:v>
                </c:pt>
                <c:pt idx="40">
                  <c:v>16.283862660519276</c:v>
                </c:pt>
                <c:pt idx="41">
                  <c:v>7.0786576205872507</c:v>
                </c:pt>
                <c:pt idx="42">
                  <c:v>-11.704093781176539</c:v>
                </c:pt>
                <c:pt idx="43">
                  <c:v>-19.206339397190845</c:v>
                </c:pt>
                <c:pt idx="44">
                  <c:v>7.4035420057335841</c:v>
                </c:pt>
                <c:pt idx="45">
                  <c:v>-6.0863910554764971</c:v>
                </c:pt>
                <c:pt idx="46">
                  <c:v>13.044858706061632</c:v>
                </c:pt>
                <c:pt idx="47">
                  <c:v>-2.8058828200917674</c:v>
                </c:pt>
                <c:pt idx="48">
                  <c:v>12.899774690831634</c:v>
                </c:pt>
                <c:pt idx="49">
                  <c:v>-3.2553915148707802</c:v>
                </c:pt>
                <c:pt idx="50">
                  <c:v>2.5744960360734694</c:v>
                </c:pt>
                <c:pt idx="51">
                  <c:v>-0.56848658651199457</c:v>
                </c:pt>
                <c:pt idx="52">
                  <c:v>14.015443537171222</c:v>
                </c:pt>
                <c:pt idx="53">
                  <c:v>35.21962157132441</c:v>
                </c:pt>
                <c:pt idx="54">
                  <c:v>0.76535082635120943</c:v>
                </c:pt>
                <c:pt idx="55">
                  <c:v>-2.3606437490401504</c:v>
                </c:pt>
                <c:pt idx="56">
                  <c:v>1.2841784479054468</c:v>
                </c:pt>
                <c:pt idx="57">
                  <c:v>-6.0959776355873601</c:v>
                </c:pt>
                <c:pt idx="58">
                  <c:v>-16.023206746579717</c:v>
                </c:pt>
                <c:pt idx="59">
                  <c:v>8.5133314137221987</c:v>
                </c:pt>
                <c:pt idx="60">
                  <c:v>-15.552632373449512</c:v>
                </c:pt>
                <c:pt idx="61">
                  <c:v>24.474098836561097</c:v>
                </c:pt>
                <c:pt idx="62">
                  <c:v>48.725819949722052</c:v>
                </c:pt>
                <c:pt idx="63">
                  <c:v>-2.7755361622655528</c:v>
                </c:pt>
                <c:pt idx="64">
                  <c:v>-28.663177440770937</c:v>
                </c:pt>
                <c:pt idx="65">
                  <c:v>0.46451125050225528</c:v>
                </c:pt>
                <c:pt idx="66">
                  <c:v>-35.38352698931169</c:v>
                </c:pt>
                <c:pt idx="67">
                  <c:v>-19.179552083877297</c:v>
                </c:pt>
                <c:pt idx="68">
                  <c:v>8.1537660099186269</c:v>
                </c:pt>
                <c:pt idx="69">
                  <c:v>4.5306496737373436</c:v>
                </c:pt>
                <c:pt idx="70">
                  <c:v>10.339023495589572</c:v>
                </c:pt>
                <c:pt idx="71">
                  <c:v>15.066650795835812</c:v>
                </c:pt>
                <c:pt idx="72">
                  <c:v>-18.721185528281865</c:v>
                </c:pt>
                <c:pt idx="73">
                  <c:v>-29.028612697980236</c:v>
                </c:pt>
                <c:pt idx="74">
                  <c:v>-8.5195215508442175</c:v>
                </c:pt>
                <c:pt idx="75">
                  <c:v>-3.9977474480174351</c:v>
                </c:pt>
                <c:pt idx="76">
                  <c:v>4.3220775342830393</c:v>
                </c:pt>
                <c:pt idx="77">
                  <c:v>2.5725928928649182</c:v>
                </c:pt>
                <c:pt idx="78">
                  <c:v>13.751242450808149</c:v>
                </c:pt>
                <c:pt idx="79">
                  <c:v>23.901236790189387</c:v>
                </c:pt>
                <c:pt idx="80">
                  <c:v>2.5275370247910587</c:v>
                </c:pt>
                <c:pt idx="81">
                  <c:v>-16.985322025037476</c:v>
                </c:pt>
                <c:pt idx="82">
                  <c:v>-27.387616623661984</c:v>
                </c:pt>
                <c:pt idx="83">
                  <c:v>-2.1139843776160205</c:v>
                </c:pt>
                <c:pt idx="84">
                  <c:v>4.6469954903423627</c:v>
                </c:pt>
                <c:pt idx="85">
                  <c:v>12.339227237859291</c:v>
                </c:pt>
                <c:pt idx="86">
                  <c:v>-9.9505323166539483</c:v>
                </c:pt>
                <c:pt idx="87">
                  <c:v>-8.2336754911942762</c:v>
                </c:pt>
                <c:pt idx="88">
                  <c:v>-9.0570940586469533</c:v>
                </c:pt>
                <c:pt idx="89">
                  <c:v>4.5683526591977852</c:v>
                </c:pt>
                <c:pt idx="90">
                  <c:v>10.428339825260082</c:v>
                </c:pt>
                <c:pt idx="91">
                  <c:v>18.965206864997981</c:v>
                </c:pt>
                <c:pt idx="92">
                  <c:v>-1.0401302805121304</c:v>
                </c:pt>
                <c:pt idx="93">
                  <c:v>-10.764060622592979</c:v>
                </c:pt>
                <c:pt idx="94">
                  <c:v>-4.4682490717972314</c:v>
                </c:pt>
                <c:pt idx="95">
                  <c:v>-9.242374301632708</c:v>
                </c:pt>
                <c:pt idx="96">
                  <c:v>13.401616229298043</c:v>
                </c:pt>
                <c:pt idx="97">
                  <c:v>-0.7584460231875596</c:v>
                </c:pt>
                <c:pt idx="98">
                  <c:v>-7.1249196287163272</c:v>
                </c:pt>
                <c:pt idx="99">
                  <c:v>23.408957894907758</c:v>
                </c:pt>
                <c:pt idx="100">
                  <c:v>3.2308120233798263</c:v>
                </c:pt>
                <c:pt idx="101">
                  <c:v>-0.28067948057218928</c:v>
                </c:pt>
                <c:pt idx="102">
                  <c:v>9.1763645214875851</c:v>
                </c:pt>
                <c:pt idx="103">
                  <c:v>8.6924292110772967</c:v>
                </c:pt>
                <c:pt idx="104">
                  <c:v>-49.940762129841005</c:v>
                </c:pt>
                <c:pt idx="105">
                  <c:v>15.141287643878059</c:v>
                </c:pt>
                <c:pt idx="106">
                  <c:v>-10.594775384151149</c:v>
                </c:pt>
                <c:pt idx="107">
                  <c:v>0.39494530961019336</c:v>
                </c:pt>
                <c:pt idx="108">
                  <c:v>1.7957627810267809</c:v>
                </c:pt>
                <c:pt idx="109">
                  <c:v>-8.053958476280286</c:v>
                </c:pt>
                <c:pt idx="110">
                  <c:v>-6.7536830569609947</c:v>
                </c:pt>
                <c:pt idx="111">
                  <c:v>27.859156559976782</c:v>
                </c:pt>
                <c:pt idx="112">
                  <c:v>10.849530425521721</c:v>
                </c:pt>
                <c:pt idx="113">
                  <c:v>2.7062432226559849</c:v>
                </c:pt>
                <c:pt idx="114">
                  <c:v>12.38042126593416</c:v>
                </c:pt>
                <c:pt idx="115">
                  <c:v>2.5166007391122776</c:v>
                </c:pt>
                <c:pt idx="116">
                  <c:v>-21.239423098904808</c:v>
                </c:pt>
                <c:pt idx="117">
                  <c:v>9.3681042250068458</c:v>
                </c:pt>
                <c:pt idx="118">
                  <c:v>15.636610994045327</c:v>
                </c:pt>
                <c:pt idx="119">
                  <c:v>0.66474597364276633</c:v>
                </c:pt>
                <c:pt idx="120">
                  <c:v>-21.347729037524346</c:v>
                </c:pt>
                <c:pt idx="121">
                  <c:v>-17.848884806425019</c:v>
                </c:pt>
                <c:pt idx="122">
                  <c:v>1.5979847425675189</c:v>
                </c:pt>
                <c:pt idx="123">
                  <c:v>6.9931854315171904</c:v>
                </c:pt>
                <c:pt idx="124">
                  <c:v>-5.1027576525866607</c:v>
                </c:pt>
                <c:pt idx="125">
                  <c:v>-2.5759212773181162</c:v>
                </c:pt>
                <c:pt idx="126">
                  <c:v>22.923293134887672</c:v>
                </c:pt>
                <c:pt idx="127">
                  <c:v>-0.79418398554025771</c:v>
                </c:pt>
                <c:pt idx="128">
                  <c:v>35.465498569009128</c:v>
                </c:pt>
                <c:pt idx="129">
                  <c:v>19.482005551536759</c:v>
                </c:pt>
                <c:pt idx="130">
                  <c:v>-4.952094425106452</c:v>
                </c:pt>
                <c:pt idx="131">
                  <c:v>27.210593874215078</c:v>
                </c:pt>
                <c:pt idx="132">
                  <c:v>-37.485179894159614</c:v>
                </c:pt>
                <c:pt idx="133">
                  <c:v>42.083635534290693</c:v>
                </c:pt>
                <c:pt idx="134">
                  <c:v>-15.982641225640577</c:v>
                </c:pt>
                <c:pt idx="135">
                  <c:v>2.395032790827031</c:v>
                </c:pt>
                <c:pt idx="136">
                  <c:v>7.4479780570554794</c:v>
                </c:pt>
                <c:pt idx="137">
                  <c:v>-15.818196249623156</c:v>
                </c:pt>
                <c:pt idx="138">
                  <c:v>-55.231278120661386</c:v>
                </c:pt>
                <c:pt idx="139">
                  <c:v>-3.558831397920585</c:v>
                </c:pt>
                <c:pt idx="140">
                  <c:v>12.235461076991214</c:v>
                </c:pt>
                <c:pt idx="141">
                  <c:v>4.4456653120611236</c:v>
                </c:pt>
                <c:pt idx="142">
                  <c:v>-4.4871717794528649</c:v>
                </c:pt>
                <c:pt idx="143">
                  <c:v>-27.331542527280135</c:v>
                </c:pt>
                <c:pt idx="144">
                  <c:v>20.423353062217984</c:v>
                </c:pt>
                <c:pt idx="145">
                  <c:v>29.055107483685674</c:v>
                </c:pt>
                <c:pt idx="146">
                  <c:v>-18.062171268385669</c:v>
                </c:pt>
                <c:pt idx="147">
                  <c:v>-34.374252285376201</c:v>
                </c:pt>
                <c:pt idx="148">
                  <c:v>-28.804639177473746</c:v>
                </c:pt>
                <c:pt idx="149">
                  <c:v>-28.266917197849011</c:v>
                </c:pt>
                <c:pt idx="150">
                  <c:v>30.875543318792666</c:v>
                </c:pt>
                <c:pt idx="151">
                  <c:v>-42.423289780566279</c:v>
                </c:pt>
                <c:pt idx="152">
                  <c:v>-37.287257766943412</c:v>
                </c:pt>
                <c:pt idx="153">
                  <c:v>-31.331766802618063</c:v>
                </c:pt>
                <c:pt idx="154">
                  <c:v>-39.627313580168106</c:v>
                </c:pt>
                <c:pt idx="155">
                  <c:v>-40.453260735895469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8D-4030-9997-6B5AD1E8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180216"/>
        <c:axId val="746188088"/>
      </c:barChart>
      <c:catAx>
        <c:axId val="746180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188088"/>
        <c:crosses val="autoZero"/>
        <c:auto val="1"/>
        <c:lblAlgn val="ctr"/>
        <c:lblOffset val="100"/>
        <c:noMultiLvlLbl val="0"/>
      </c:catAx>
      <c:valAx>
        <c:axId val="7461880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18021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AutocorrelogramHouseholds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'2.4.Household Prediction'!$B$239:$B$261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Prediction'!$C$239:$C$261</c:f>
              <c:numCache>
                <c:formatCode>0.000</c:formatCode>
                <c:ptCount val="23"/>
                <c:pt idx="0">
                  <c:v>1</c:v>
                </c:pt>
                <c:pt idx="1">
                  <c:v>0.844025822436129</c:v>
                </c:pt>
                <c:pt idx="2">
                  <c:v>0.61128531725508339</c:v>
                </c:pt>
                <c:pt idx="3">
                  <c:v>0.39822857269078249</c:v>
                </c:pt>
                <c:pt idx="4">
                  <c:v>0.25669999619287914</c:v>
                </c:pt>
                <c:pt idx="5">
                  <c:v>0.20285903458719909</c:v>
                </c:pt>
                <c:pt idx="6">
                  <c:v>0.17577368965751591</c:v>
                </c:pt>
                <c:pt idx="7">
                  <c:v>0.19002708210837738</c:v>
                </c:pt>
                <c:pt idx="8">
                  <c:v>0.23179194248726187</c:v>
                </c:pt>
                <c:pt idx="9">
                  <c:v>0.34551448920014566</c:v>
                </c:pt>
                <c:pt idx="10">
                  <c:v>0.51911053194272694</c:v>
                </c:pt>
                <c:pt idx="11">
                  <c:v>0.67628708577754493</c:v>
                </c:pt>
                <c:pt idx="12">
                  <c:v>0.76427583760208873</c:v>
                </c:pt>
                <c:pt idx="13">
                  <c:v>0.67440309849227054</c:v>
                </c:pt>
                <c:pt idx="14">
                  <c:v>0.49929819595188601</c:v>
                </c:pt>
                <c:pt idx="15">
                  <c:v>0.29664746638104122</c:v>
                </c:pt>
                <c:pt idx="16">
                  <c:v>0.15678571615483741</c:v>
                </c:pt>
                <c:pt idx="17">
                  <c:v>0.1069940596807844</c:v>
                </c:pt>
                <c:pt idx="18">
                  <c:v>6.5601480509497184E-2</c:v>
                </c:pt>
                <c:pt idx="19">
                  <c:v>5.3125093542414174E-2</c:v>
                </c:pt>
                <c:pt idx="20">
                  <c:v>7.7756551612399555E-2</c:v>
                </c:pt>
                <c:pt idx="21">
                  <c:v>0.19976230902882333</c:v>
                </c:pt>
                <c:pt idx="22">
                  <c:v>0.37960930536712717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E-486A-926F-EAB58C44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198912"/>
        <c:axId val="74619005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'2.4.Household Prediction'!$B$239:$B$261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Prediction'!$E$239:$E$261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-0.2443543629481256</c:v>
                </c:pt>
                <c:pt idx="3">
                  <c:v>-0.27948540582097225</c:v>
                </c:pt>
                <c:pt idx="4">
                  <c:v>-0.29312517573783708</c:v>
                </c:pt>
                <c:pt idx="5">
                  <c:v>-0.29860953953120745</c:v>
                </c:pt>
                <c:pt idx="6">
                  <c:v>-0.3019840408500416</c:v>
                </c:pt>
                <c:pt idx="7">
                  <c:v>-0.30449300783925082</c:v>
                </c:pt>
                <c:pt idx="8">
                  <c:v>-0.30739942198500192</c:v>
                </c:pt>
                <c:pt idx="9">
                  <c:v>-0.31167363679572518</c:v>
                </c:pt>
                <c:pt idx="10">
                  <c:v>-0.32096708672939667</c:v>
                </c:pt>
                <c:pt idx="11">
                  <c:v>-0.34101526198543225</c:v>
                </c:pt>
                <c:pt idx="12">
                  <c:v>-0.37258066965274828</c:v>
                </c:pt>
                <c:pt idx="13">
                  <c:v>-0.40937004855037396</c:v>
                </c:pt>
                <c:pt idx="14">
                  <c:v>-0.43587091993059957</c:v>
                </c:pt>
                <c:pt idx="15">
                  <c:v>-0.44973468582501219</c:v>
                </c:pt>
                <c:pt idx="16">
                  <c:v>-0.45452747700397433</c:v>
                </c:pt>
                <c:pt idx="17">
                  <c:v>-0.45585728698006422</c:v>
                </c:pt>
                <c:pt idx="18">
                  <c:v>-0.45647525748155982</c:v>
                </c:pt>
                <c:pt idx="19">
                  <c:v>-0.4567073553900865</c:v>
                </c:pt>
                <c:pt idx="20">
                  <c:v>-0.45685950143226389</c:v>
                </c:pt>
                <c:pt idx="21">
                  <c:v>-0.45718526918735392</c:v>
                </c:pt>
                <c:pt idx="22">
                  <c:v>-0.45932958707754751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5E-486A-926F-EAB58C4435F7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'2.4.Household Prediction'!$B$239:$B$261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Prediction'!$F$239:$F$261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0.2443543629481256</c:v>
                </c:pt>
                <c:pt idx="3">
                  <c:v>0.27948540582097225</c:v>
                </c:pt>
                <c:pt idx="4">
                  <c:v>0.29312517573783708</c:v>
                </c:pt>
                <c:pt idx="5">
                  <c:v>0.29860953953120745</c:v>
                </c:pt>
                <c:pt idx="6">
                  <c:v>0.3019840408500416</c:v>
                </c:pt>
                <c:pt idx="7">
                  <c:v>0.30449300783925082</c:v>
                </c:pt>
                <c:pt idx="8">
                  <c:v>0.30739942198500192</c:v>
                </c:pt>
                <c:pt idx="9">
                  <c:v>0.31167363679572518</c:v>
                </c:pt>
                <c:pt idx="10">
                  <c:v>0.32096708672939667</c:v>
                </c:pt>
                <c:pt idx="11">
                  <c:v>0.34101526198543225</c:v>
                </c:pt>
                <c:pt idx="12">
                  <c:v>0.37258066965274828</c:v>
                </c:pt>
                <c:pt idx="13">
                  <c:v>0.40937004855037396</c:v>
                </c:pt>
                <c:pt idx="14">
                  <c:v>0.43587091993059957</c:v>
                </c:pt>
                <c:pt idx="15">
                  <c:v>0.44973468582501219</c:v>
                </c:pt>
                <c:pt idx="16">
                  <c:v>0.45452747700397433</c:v>
                </c:pt>
                <c:pt idx="17">
                  <c:v>0.45585728698006422</c:v>
                </c:pt>
                <c:pt idx="18">
                  <c:v>0.45647525748155982</c:v>
                </c:pt>
                <c:pt idx="19">
                  <c:v>0.4567073553900865</c:v>
                </c:pt>
                <c:pt idx="20">
                  <c:v>0.45685950143226389</c:v>
                </c:pt>
                <c:pt idx="21">
                  <c:v>0.45718526918735392</c:v>
                </c:pt>
                <c:pt idx="22">
                  <c:v>0.45932958707754751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5E-486A-926F-EAB58C44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198912"/>
        <c:axId val="746190056"/>
      </c:lineChart>
      <c:catAx>
        <c:axId val="746198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190056"/>
        <c:crosses val="autoZero"/>
        <c:auto val="1"/>
        <c:lblAlgn val="ctr"/>
        <c:lblOffset val="100"/>
        <c:noMultiLvlLbl val="0"/>
      </c:catAx>
      <c:valAx>
        <c:axId val="74619005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19891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Partial autocorrelogramHouseholds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'2.4.Household Prediction'!$B$239:$B$261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Prediction'!$G$239:$G$261</c:f>
              <c:numCache>
                <c:formatCode>0.000</c:formatCode>
                <c:ptCount val="23"/>
                <c:pt idx="0">
                  <c:v>1</c:v>
                </c:pt>
                <c:pt idx="1">
                  <c:v>0.844025822436129</c:v>
                </c:pt>
                <c:pt idx="2">
                  <c:v>-0.35148503999062269</c:v>
                </c:pt>
                <c:pt idx="3">
                  <c:v>-9.5005577720003228E-3</c:v>
                </c:pt>
                <c:pt idx="4">
                  <c:v>7.9451456243552834E-2</c:v>
                </c:pt>
                <c:pt idx="5">
                  <c:v>0.11806500284411817</c:v>
                </c:pt>
                <c:pt idx="6">
                  <c:v>-6.7946509620923995E-2</c:v>
                </c:pt>
                <c:pt idx="7">
                  <c:v>0.15357485337038024</c:v>
                </c:pt>
                <c:pt idx="8">
                  <c:v>9.6327782239726059E-2</c:v>
                </c:pt>
                <c:pt idx="9">
                  <c:v>0.33974653462180476</c:v>
                </c:pt>
                <c:pt idx="10">
                  <c:v>0.30648576843746927</c:v>
                </c:pt>
                <c:pt idx="11">
                  <c:v>0.22114019109767977</c:v>
                </c:pt>
                <c:pt idx="12">
                  <c:v>0.17968495386398589</c:v>
                </c:pt>
                <c:pt idx="13">
                  <c:v>-0.27531213916256836</c:v>
                </c:pt>
                <c:pt idx="14">
                  <c:v>-2.0973801392201407E-2</c:v>
                </c:pt>
                <c:pt idx="15">
                  <c:v>-0.20265657719363753</c:v>
                </c:pt>
                <c:pt idx="16">
                  <c:v>4.2915319852546333E-2</c:v>
                </c:pt>
                <c:pt idx="17">
                  <c:v>-9.9522024065763944E-3</c:v>
                </c:pt>
                <c:pt idx="18">
                  <c:v>-0.18290294948194319</c:v>
                </c:pt>
                <c:pt idx="19">
                  <c:v>-9.778903266764942E-2</c:v>
                </c:pt>
                <c:pt idx="20">
                  <c:v>-3.9411187618873654E-2</c:v>
                </c:pt>
                <c:pt idx="21">
                  <c:v>0.18370276262220436</c:v>
                </c:pt>
                <c:pt idx="22">
                  <c:v>3.8086576705665794E-2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97-4CFD-AFBF-E2B8708DA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212032"/>
        <c:axId val="74621334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'2.4.Household Prediction'!$B$239:$B$261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Prediction'!$I$239:$I$261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97-4CFD-AFBF-E2B8708DA0B1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'2.4.Household Prediction'!$B$239:$B$261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Prediction'!$J$239:$J$261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97-4CFD-AFBF-E2B8708DA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12032"/>
        <c:axId val="746213344"/>
      </c:lineChart>
      <c:catAx>
        <c:axId val="746212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13344"/>
        <c:crosses val="autoZero"/>
        <c:auto val="1"/>
        <c:lblAlgn val="ctr"/>
        <c:lblOffset val="100"/>
        <c:noMultiLvlLbl val="0"/>
      </c:catAx>
      <c:valAx>
        <c:axId val="74621334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1203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'2.4.Household Prediction'!$B$286:$B$308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Prediction'!$C$286:$C$308</c:f>
              <c:numCache>
                <c:formatCode>0.000</c:formatCode>
                <c:ptCount val="23"/>
                <c:pt idx="0">
                  <c:v>1</c:v>
                </c:pt>
                <c:pt idx="1">
                  <c:v>9.1219891172439851E-2</c:v>
                </c:pt>
                <c:pt idx="2">
                  <c:v>-2.3417574548050036E-2</c:v>
                </c:pt>
                <c:pt idx="3">
                  <c:v>9.136358462949714E-3</c:v>
                </c:pt>
                <c:pt idx="4">
                  <c:v>-6.1080778028779537E-2</c:v>
                </c:pt>
                <c:pt idx="5">
                  <c:v>-1.4096535323790918E-3</c:v>
                </c:pt>
                <c:pt idx="6">
                  <c:v>0.13595948477442615</c:v>
                </c:pt>
                <c:pt idx="7">
                  <c:v>-4.4206235751061765E-2</c:v>
                </c:pt>
                <c:pt idx="8">
                  <c:v>3.0547827585478324E-3</c:v>
                </c:pt>
                <c:pt idx="9">
                  <c:v>0.14230885608366595</c:v>
                </c:pt>
                <c:pt idx="10">
                  <c:v>-6.9858362105083435E-2</c:v>
                </c:pt>
                <c:pt idx="11">
                  <c:v>3.0416697941002643E-2</c:v>
                </c:pt>
                <c:pt idx="12">
                  <c:v>-3.0120967045638085E-3</c:v>
                </c:pt>
                <c:pt idx="13">
                  <c:v>-8.4277052327900365E-2</c:v>
                </c:pt>
                <c:pt idx="14">
                  <c:v>2.1936014260052192E-2</c:v>
                </c:pt>
                <c:pt idx="15">
                  <c:v>2.993349971293852E-2</c:v>
                </c:pt>
                <c:pt idx="16">
                  <c:v>0.12078757661230996</c:v>
                </c:pt>
                <c:pt idx="17">
                  <c:v>0.18621375760954462</c:v>
                </c:pt>
                <c:pt idx="18">
                  <c:v>-1.2314863629289142E-2</c:v>
                </c:pt>
                <c:pt idx="19">
                  <c:v>-0.10611766389247837</c:v>
                </c:pt>
                <c:pt idx="20">
                  <c:v>-0.1336436185377316</c:v>
                </c:pt>
                <c:pt idx="21">
                  <c:v>-4.7266599880777818E-2</c:v>
                </c:pt>
                <c:pt idx="22">
                  <c:v>9.1994769934622009E-2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D4-4F0C-985D-E7C38F7F8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216624"/>
        <c:axId val="74621924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'2.4.Household Prediction'!$B$286:$B$308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Prediction'!$E$286:$E$308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-0.15822308384977701</c:v>
                </c:pt>
                <c:pt idx="3">
                  <c:v>-0.15830840731372367</c:v>
                </c:pt>
                <c:pt idx="4">
                  <c:v>-0.1583213909415048</c:v>
                </c:pt>
                <c:pt idx="5">
                  <c:v>-0.15890061606592054</c:v>
                </c:pt>
                <c:pt idx="6">
                  <c:v>-0.15890092400893005</c:v>
                </c:pt>
                <c:pt idx="7">
                  <c:v>-0.16174015961045435</c:v>
                </c:pt>
                <c:pt idx="8">
                  <c:v>-0.16203740963007374</c:v>
                </c:pt>
                <c:pt idx="9">
                  <c:v>-0.16203882775683603</c:v>
                </c:pt>
                <c:pt idx="10">
                  <c:v>-0.16508777264587038</c:v>
                </c:pt>
                <c:pt idx="11">
                  <c:v>-0.16581411126759024</c:v>
                </c:pt>
                <c:pt idx="12">
                  <c:v>-0.16595145043376477</c:v>
                </c:pt>
                <c:pt idx="13">
                  <c:v>-0.16595279668647769</c:v>
                </c:pt>
                <c:pt idx="14">
                  <c:v>-0.16700338646146923</c:v>
                </c:pt>
                <c:pt idx="15">
                  <c:v>-0.16707432292276334</c:v>
                </c:pt>
                <c:pt idx="16">
                  <c:v>-0.16720633246533323</c:v>
                </c:pt>
                <c:pt idx="17">
                  <c:v>-0.1693413405469916</c:v>
                </c:pt>
                <c:pt idx="18">
                  <c:v>-0.17431076505813536</c:v>
                </c:pt>
                <c:pt idx="19">
                  <c:v>-0.174332188039094</c:v>
                </c:pt>
                <c:pt idx="20">
                  <c:v>-0.17591562765128899</c:v>
                </c:pt>
                <c:pt idx="21">
                  <c:v>-0.17839824550378069</c:v>
                </c:pt>
                <c:pt idx="22">
                  <c:v>-0.17870636192916162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4-4F0C-985D-E7C38F7F8D68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'2.4.Household Prediction'!$B$286:$B$308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Prediction'!$F$286:$F$308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0.15822308384977701</c:v>
                </c:pt>
                <c:pt idx="3">
                  <c:v>0.15830840731372367</c:v>
                </c:pt>
                <c:pt idx="4">
                  <c:v>0.1583213909415048</c:v>
                </c:pt>
                <c:pt idx="5">
                  <c:v>0.15890061606592054</c:v>
                </c:pt>
                <c:pt idx="6">
                  <c:v>0.15890092400893005</c:v>
                </c:pt>
                <c:pt idx="7">
                  <c:v>0.16174015961045435</c:v>
                </c:pt>
                <c:pt idx="8">
                  <c:v>0.16203740963007374</c:v>
                </c:pt>
                <c:pt idx="9">
                  <c:v>0.16203882775683603</c:v>
                </c:pt>
                <c:pt idx="10">
                  <c:v>0.16508777264587038</c:v>
                </c:pt>
                <c:pt idx="11">
                  <c:v>0.16581411126759024</c:v>
                </c:pt>
                <c:pt idx="12">
                  <c:v>0.16595145043376477</c:v>
                </c:pt>
                <c:pt idx="13">
                  <c:v>0.16595279668647769</c:v>
                </c:pt>
                <c:pt idx="14">
                  <c:v>0.16700338646146923</c:v>
                </c:pt>
                <c:pt idx="15">
                  <c:v>0.16707432292276334</c:v>
                </c:pt>
                <c:pt idx="16">
                  <c:v>0.16720633246533323</c:v>
                </c:pt>
                <c:pt idx="17">
                  <c:v>0.1693413405469916</c:v>
                </c:pt>
                <c:pt idx="18">
                  <c:v>0.17431076505813536</c:v>
                </c:pt>
                <c:pt idx="19">
                  <c:v>0.174332188039094</c:v>
                </c:pt>
                <c:pt idx="20">
                  <c:v>0.17591562765128899</c:v>
                </c:pt>
                <c:pt idx="21">
                  <c:v>0.17839824550378069</c:v>
                </c:pt>
                <c:pt idx="22">
                  <c:v>0.17870636192916162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D4-4F0C-985D-E7C38F7F8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16624"/>
        <c:axId val="746219248"/>
      </c:lineChart>
      <c:catAx>
        <c:axId val="74621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19248"/>
        <c:crosses val="autoZero"/>
        <c:auto val="1"/>
        <c:lblAlgn val="ctr"/>
        <c:lblOffset val="100"/>
        <c:noMultiLvlLbl val="0"/>
      </c:catAx>
      <c:valAx>
        <c:axId val="74621924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1662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'2.4.Household Prediction'!$B$286:$B$308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Prediction'!$G$286:$G$308</c:f>
              <c:numCache>
                <c:formatCode>0.000</c:formatCode>
                <c:ptCount val="23"/>
                <c:pt idx="0">
                  <c:v>1</c:v>
                </c:pt>
                <c:pt idx="1">
                  <c:v>9.1219891172439851E-2</c:v>
                </c:pt>
                <c:pt idx="2">
                  <c:v>-3.2004958547431246E-2</c:v>
                </c:pt>
                <c:pt idx="3">
                  <c:v>1.4394765191212059E-2</c:v>
                </c:pt>
                <c:pt idx="4">
                  <c:v>-6.4656338860655305E-2</c:v>
                </c:pt>
                <c:pt idx="5">
                  <c:v>1.1282582240762862E-2</c:v>
                </c:pt>
                <c:pt idx="6">
                  <c:v>0.13298838213019076</c:v>
                </c:pt>
                <c:pt idx="7">
                  <c:v>-6.9811579835991663E-2</c:v>
                </c:pt>
                <c:pt idx="8">
                  <c:v>1.802958551637189E-2</c:v>
                </c:pt>
                <c:pt idx="9">
                  <c:v>0.13891397982605874</c:v>
                </c:pt>
                <c:pt idx="10">
                  <c:v>-8.4960715456092573E-2</c:v>
                </c:pt>
                <c:pt idx="11">
                  <c:v>4.8732471373934855E-2</c:v>
                </c:pt>
                <c:pt idx="12">
                  <c:v>-3.4999493253392334E-2</c:v>
                </c:pt>
                <c:pt idx="13">
                  <c:v>-5.1290957806592971E-2</c:v>
                </c:pt>
                <c:pt idx="14">
                  <c:v>2.7144654154504049E-2</c:v>
                </c:pt>
                <c:pt idx="15">
                  <c:v>-1.4910440085283494E-2</c:v>
                </c:pt>
                <c:pt idx="16">
                  <c:v>0.16571538450670378</c:v>
                </c:pt>
                <c:pt idx="17">
                  <c:v>0.14130094316672481</c:v>
                </c:pt>
                <c:pt idx="18">
                  <c:v>-5.9267954174444137E-2</c:v>
                </c:pt>
                <c:pt idx="19">
                  <c:v>-5.4489674020035274E-2</c:v>
                </c:pt>
                <c:pt idx="20">
                  <c:v>-0.15651201430613731</c:v>
                </c:pt>
                <c:pt idx="21">
                  <c:v>7.7514298956684637E-4</c:v>
                </c:pt>
                <c:pt idx="22">
                  <c:v>8.8183461558637752E-2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2-4CE4-B062-768B41DF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222200"/>
        <c:axId val="746223512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'2.4.Household Prediction'!$B$286:$B$308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Prediction'!$I$286:$I$308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2-4CE4-B062-768B41DF41BB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'2.4.Household Prediction'!$B$286:$B$308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'2.4.Household Prediction'!$J$286:$J$308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B2-4CE4-B062-768B41DF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22200"/>
        <c:axId val="746223512"/>
      </c:lineChart>
      <c:catAx>
        <c:axId val="746222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23512"/>
        <c:crosses val="autoZero"/>
        <c:auto val="1"/>
        <c:lblAlgn val="ctr"/>
        <c:lblOffset val="100"/>
        <c:noMultiLvlLbl val="0"/>
      </c:catAx>
      <c:valAx>
        <c:axId val="746223512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22200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ARIMA (Others)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'2.5.Others Prediction'!$B$56:$B$211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'2.5.Others Prediction'!$C$56:$C$211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65-4CB5-B0E2-1887388687B0}"/>
            </c:ext>
          </c:extLst>
        </c:ser>
        <c:ser>
          <c:idx val="1"/>
          <c:order val="1"/>
          <c:tx>
            <c:v>ARIMA (Others)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Pt>
            <c:idx val="144"/>
            <c:bubble3D val="0"/>
            <c:spPr>
              <a:ln w="12700">
                <a:solidFill>
                  <a:srgbClr val="006699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2-DD65-4CB5-B0E2-1887388687B0}"/>
              </c:ext>
            </c:extLst>
          </c:dPt>
          <c:xVal>
            <c:numRef>
              <c:f>'2.5.Others Prediction'!$B$56:$B$211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'2.5.Others Prediction'!$D$56:$D$211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43.922022958254956</c:v>
                </c:pt>
                <c:pt idx="14">
                  <c:v>43.60938049255622</c:v>
                </c:pt>
                <c:pt idx="15">
                  <c:v>46.079843963039636</c:v>
                </c:pt>
                <c:pt idx="16">
                  <c:v>47.988065905450661</c:v>
                </c:pt>
                <c:pt idx="17">
                  <c:v>47.827860450776328</c:v>
                </c:pt>
                <c:pt idx="18">
                  <c:v>43.49352493332092</c:v>
                </c:pt>
                <c:pt idx="19">
                  <c:v>46.43135846679715</c:v>
                </c:pt>
                <c:pt idx="20">
                  <c:v>45.145268228006572</c:v>
                </c:pt>
                <c:pt idx="21">
                  <c:v>43.651544318449325</c:v>
                </c:pt>
                <c:pt idx="22">
                  <c:v>46.614313134630684</c:v>
                </c:pt>
                <c:pt idx="23">
                  <c:v>40.97391610981996</c:v>
                </c:pt>
                <c:pt idx="24">
                  <c:v>42.543478484694717</c:v>
                </c:pt>
                <c:pt idx="25">
                  <c:v>42.414797905995087</c:v>
                </c:pt>
                <c:pt idx="26">
                  <c:v>41.080038347821578</c:v>
                </c:pt>
                <c:pt idx="27">
                  <c:v>41.002363352202735</c:v>
                </c:pt>
                <c:pt idx="28">
                  <c:v>43.594973445250062</c:v>
                </c:pt>
                <c:pt idx="29">
                  <c:v>43.14291982656875</c:v>
                </c:pt>
                <c:pt idx="30">
                  <c:v>39.138633810450983</c:v>
                </c:pt>
                <c:pt idx="31">
                  <c:v>45.825415632965715</c:v>
                </c:pt>
                <c:pt idx="32">
                  <c:v>43.507737163641309</c:v>
                </c:pt>
                <c:pt idx="33">
                  <c:v>40.222774567881068</c:v>
                </c:pt>
                <c:pt idx="34">
                  <c:v>42.684934200986746</c:v>
                </c:pt>
                <c:pt idx="35">
                  <c:v>37.556550155113946</c:v>
                </c:pt>
                <c:pt idx="36">
                  <c:v>39.701815209142062</c:v>
                </c:pt>
                <c:pt idx="37">
                  <c:v>35.688414611801122</c:v>
                </c:pt>
                <c:pt idx="38">
                  <c:v>37.374704704163676</c:v>
                </c:pt>
                <c:pt idx="39">
                  <c:v>34.777873118374913</c:v>
                </c:pt>
                <c:pt idx="40">
                  <c:v>38.994340036168424</c:v>
                </c:pt>
                <c:pt idx="41">
                  <c:v>36.21693130238635</c:v>
                </c:pt>
                <c:pt idx="42">
                  <c:v>37.413068306957832</c:v>
                </c:pt>
                <c:pt idx="43">
                  <c:v>40.422534600941844</c:v>
                </c:pt>
                <c:pt idx="44">
                  <c:v>35.218449719109231</c:v>
                </c:pt>
                <c:pt idx="45">
                  <c:v>39.062658599559825</c:v>
                </c:pt>
                <c:pt idx="46">
                  <c:v>43.972593363087007</c:v>
                </c:pt>
                <c:pt idx="47">
                  <c:v>37.213555244211435</c:v>
                </c:pt>
                <c:pt idx="48">
                  <c:v>37.217511618760476</c:v>
                </c:pt>
                <c:pt idx="49">
                  <c:v>32.021541511714503</c:v>
                </c:pt>
                <c:pt idx="50">
                  <c:v>30.008122696272412</c:v>
                </c:pt>
                <c:pt idx="51">
                  <c:v>35.303197600192739</c:v>
                </c:pt>
                <c:pt idx="52">
                  <c:v>36.176875497964296</c:v>
                </c:pt>
                <c:pt idx="53">
                  <c:v>34.980170281832422</c:v>
                </c:pt>
                <c:pt idx="54">
                  <c:v>36.376907765702995</c:v>
                </c:pt>
                <c:pt idx="55">
                  <c:v>37.340204853272112</c:v>
                </c:pt>
                <c:pt idx="56">
                  <c:v>37.111488696528937</c:v>
                </c:pt>
                <c:pt idx="57">
                  <c:v>38.431242196187704</c:v>
                </c:pt>
                <c:pt idx="58">
                  <c:v>31.680523757145703</c:v>
                </c:pt>
                <c:pt idx="59">
                  <c:v>29.854575318419791</c:v>
                </c:pt>
                <c:pt idx="60">
                  <c:v>30.485671813045748</c:v>
                </c:pt>
                <c:pt idx="61">
                  <c:v>30.969803124881391</c:v>
                </c:pt>
                <c:pt idx="62">
                  <c:v>29.109456056557853</c:v>
                </c:pt>
                <c:pt idx="63">
                  <c:v>33.58929733899118</c:v>
                </c:pt>
                <c:pt idx="64">
                  <c:v>34.238863669751929</c:v>
                </c:pt>
                <c:pt idx="65">
                  <c:v>34.412684987439995</c:v>
                </c:pt>
                <c:pt idx="66">
                  <c:v>33.38922676044951</c:v>
                </c:pt>
                <c:pt idx="67">
                  <c:v>32.609366665204099</c:v>
                </c:pt>
                <c:pt idx="68">
                  <c:v>33.236890528272312</c:v>
                </c:pt>
                <c:pt idx="69">
                  <c:v>33.746814434271229</c:v>
                </c:pt>
                <c:pt idx="70">
                  <c:v>27.974669945552932</c:v>
                </c:pt>
                <c:pt idx="71">
                  <c:v>29.684760309555429</c:v>
                </c:pt>
                <c:pt idx="72">
                  <c:v>29.16490941197463</c:v>
                </c:pt>
                <c:pt idx="73">
                  <c:v>29.546220174790843</c:v>
                </c:pt>
                <c:pt idx="74">
                  <c:v>30.116621269287215</c:v>
                </c:pt>
                <c:pt idx="75">
                  <c:v>28.569670373642662</c:v>
                </c:pt>
                <c:pt idx="76">
                  <c:v>28.248248539767037</c:v>
                </c:pt>
                <c:pt idx="77">
                  <c:v>32.191107424997355</c:v>
                </c:pt>
                <c:pt idx="78">
                  <c:v>29.707346645313741</c:v>
                </c:pt>
                <c:pt idx="79">
                  <c:v>29.29415525353739</c:v>
                </c:pt>
                <c:pt idx="80">
                  <c:v>29.869405956682535</c:v>
                </c:pt>
                <c:pt idx="81">
                  <c:v>29.801830637041995</c:v>
                </c:pt>
                <c:pt idx="82">
                  <c:v>27.87523344365869</c:v>
                </c:pt>
                <c:pt idx="83">
                  <c:v>28.033685297521103</c:v>
                </c:pt>
                <c:pt idx="84">
                  <c:v>24.805632472435935</c:v>
                </c:pt>
                <c:pt idx="85">
                  <c:v>23.378632140644338</c:v>
                </c:pt>
                <c:pt idx="86">
                  <c:v>25.738064903175296</c:v>
                </c:pt>
                <c:pt idx="87">
                  <c:v>25.611728352037943</c:v>
                </c:pt>
                <c:pt idx="88">
                  <c:v>26.370445568185058</c:v>
                </c:pt>
                <c:pt idx="89">
                  <c:v>28.056561235164146</c:v>
                </c:pt>
                <c:pt idx="90">
                  <c:v>24.803805357740519</c:v>
                </c:pt>
                <c:pt idx="91">
                  <c:v>26.568567300084002</c:v>
                </c:pt>
                <c:pt idx="92">
                  <c:v>25.621275237776679</c:v>
                </c:pt>
                <c:pt idx="93">
                  <c:v>24.144768223377909</c:v>
                </c:pt>
                <c:pt idx="94">
                  <c:v>25.224242169715868</c:v>
                </c:pt>
                <c:pt idx="95">
                  <c:v>23.508394918849277</c:v>
                </c:pt>
                <c:pt idx="96">
                  <c:v>22.006066000034838</c:v>
                </c:pt>
                <c:pt idx="97">
                  <c:v>22.413934532826705</c:v>
                </c:pt>
                <c:pt idx="98">
                  <c:v>21.002139219018911</c:v>
                </c:pt>
                <c:pt idx="99">
                  <c:v>21.72941024545791</c:v>
                </c:pt>
                <c:pt idx="100">
                  <c:v>23.15231501464303</c:v>
                </c:pt>
                <c:pt idx="101">
                  <c:v>23.717106361664168</c:v>
                </c:pt>
                <c:pt idx="102">
                  <c:v>22.535662192144493</c:v>
                </c:pt>
                <c:pt idx="103">
                  <c:v>23.73900107369149</c:v>
                </c:pt>
                <c:pt idx="104">
                  <c:v>21.990148393148505</c:v>
                </c:pt>
                <c:pt idx="105">
                  <c:v>20.762104379763425</c:v>
                </c:pt>
                <c:pt idx="106">
                  <c:v>21.219351670483793</c:v>
                </c:pt>
                <c:pt idx="107">
                  <c:v>19.294186259004345</c:v>
                </c:pt>
                <c:pt idx="108">
                  <c:v>19.922310257337145</c:v>
                </c:pt>
                <c:pt idx="109">
                  <c:v>18.515187703260512</c:v>
                </c:pt>
                <c:pt idx="110">
                  <c:v>17.880569684714935</c:v>
                </c:pt>
                <c:pt idx="111">
                  <c:v>19.755501064350522</c:v>
                </c:pt>
                <c:pt idx="112">
                  <c:v>20.390351021696656</c:v>
                </c:pt>
                <c:pt idx="113">
                  <c:v>21.021110825606257</c:v>
                </c:pt>
                <c:pt idx="114">
                  <c:v>20.668783999835114</c:v>
                </c:pt>
                <c:pt idx="115">
                  <c:v>20.324914017697182</c:v>
                </c:pt>
                <c:pt idx="116">
                  <c:v>19.654519594642487</c:v>
                </c:pt>
                <c:pt idx="117">
                  <c:v>19.593258455144376</c:v>
                </c:pt>
                <c:pt idx="118">
                  <c:v>19.773279187846029</c:v>
                </c:pt>
                <c:pt idx="119">
                  <c:v>18.658219028799913</c:v>
                </c:pt>
                <c:pt idx="120">
                  <c:v>18.663444523533798</c:v>
                </c:pt>
                <c:pt idx="121">
                  <c:v>19.619455333992043</c:v>
                </c:pt>
                <c:pt idx="122">
                  <c:v>21.274776438450793</c:v>
                </c:pt>
                <c:pt idx="123">
                  <c:v>23.814946986431302</c:v>
                </c:pt>
                <c:pt idx="124">
                  <c:v>24.601816343317118</c:v>
                </c:pt>
                <c:pt idx="125">
                  <c:v>24.12255201391616</c:v>
                </c:pt>
                <c:pt idx="126">
                  <c:v>23.643287684515208</c:v>
                </c:pt>
                <c:pt idx="127">
                  <c:v>24.301042094099294</c:v>
                </c:pt>
                <c:pt idx="128">
                  <c:v>23.062072334546659</c:v>
                </c:pt>
                <c:pt idx="129">
                  <c:v>23.260550027113979</c:v>
                </c:pt>
                <c:pt idx="130">
                  <c:v>23.465558599574827</c:v>
                </c:pt>
                <c:pt idx="131">
                  <c:v>22.754461135900822</c:v>
                </c:pt>
                <c:pt idx="132">
                  <c:v>25.297764089311144</c:v>
                </c:pt>
                <c:pt idx="133">
                  <c:v>23.076810773636424</c:v>
                </c:pt>
                <c:pt idx="134">
                  <c:v>22.773818668873684</c:v>
                </c:pt>
                <c:pt idx="135">
                  <c:v>23.432893074289467</c:v>
                </c:pt>
                <c:pt idx="136">
                  <c:v>23.292307990903296</c:v>
                </c:pt>
                <c:pt idx="137">
                  <c:v>24.50547423142649</c:v>
                </c:pt>
                <c:pt idx="138">
                  <c:v>24.015656828268423</c:v>
                </c:pt>
                <c:pt idx="139">
                  <c:v>24.403537504583774</c:v>
                </c:pt>
                <c:pt idx="140">
                  <c:v>23.558150029477154</c:v>
                </c:pt>
                <c:pt idx="141">
                  <c:v>23.525808419643397</c:v>
                </c:pt>
                <c:pt idx="142">
                  <c:v>23.113162774480923</c:v>
                </c:pt>
                <c:pt idx="143">
                  <c:v>23.572295321691193</c:v>
                </c:pt>
                <c:pt idx="144">
                  <c:v>24.461060985114052</c:v>
                </c:pt>
                <c:pt idx="145">
                  <c:v>23.061660500465347</c:v>
                </c:pt>
                <c:pt idx="146">
                  <c:v>22.77818466563696</c:v>
                </c:pt>
                <c:pt idx="147">
                  <c:v>23.981951917940744</c:v>
                </c:pt>
                <c:pt idx="148">
                  <c:v>24.913769740495365</c:v>
                </c:pt>
                <c:pt idx="149">
                  <c:v>25.347747492266922</c:v>
                </c:pt>
                <c:pt idx="150">
                  <c:v>24.315941071227783</c:v>
                </c:pt>
                <c:pt idx="151">
                  <c:v>25.841426586427406</c:v>
                </c:pt>
                <c:pt idx="152">
                  <c:v>24.171084499997573</c:v>
                </c:pt>
                <c:pt idx="153">
                  <c:v>24.800986657630251</c:v>
                </c:pt>
                <c:pt idx="154">
                  <c:v>24.460009780618623</c:v>
                </c:pt>
                <c:pt idx="155">
                  <c:v>23.614456577551493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65-4CB5-B0E2-1887388687B0}"/>
            </c:ext>
          </c:extLst>
        </c:ser>
        <c:ser>
          <c:idx val="2"/>
          <c:order val="2"/>
          <c:tx>
            <c:v>Validation</c:v>
          </c:tx>
          <c:spPr>
            <a:ln w="127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'2.5.Others Prediction'!$B$200:$B$211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'2.5.Others Prediction'!$D$200:$D$211</c:f>
              <c:numCache>
                <c:formatCode>0.000</c:formatCode>
                <c:ptCount val="12"/>
                <c:pt idx="0">
                  <c:v>24.461060985114052</c:v>
                </c:pt>
                <c:pt idx="1">
                  <c:v>23.061660500465347</c:v>
                </c:pt>
                <c:pt idx="2">
                  <c:v>22.77818466563696</c:v>
                </c:pt>
                <c:pt idx="3">
                  <c:v>23.981951917940744</c:v>
                </c:pt>
                <c:pt idx="4">
                  <c:v>24.913769740495365</c:v>
                </c:pt>
                <c:pt idx="5">
                  <c:v>25.347747492266922</c:v>
                </c:pt>
                <c:pt idx="6">
                  <c:v>24.315941071227783</c:v>
                </c:pt>
                <c:pt idx="7">
                  <c:v>25.841426586427406</c:v>
                </c:pt>
                <c:pt idx="8">
                  <c:v>24.171084499997573</c:v>
                </c:pt>
                <c:pt idx="9">
                  <c:v>24.800986657630251</c:v>
                </c:pt>
                <c:pt idx="10">
                  <c:v>24.460009780618623</c:v>
                </c:pt>
                <c:pt idx="11">
                  <c:v>23.614456577551493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65-4CB5-B0E2-1887388687B0}"/>
            </c:ext>
          </c:extLst>
        </c:ser>
        <c:ser>
          <c:idx val="3"/>
          <c:order val="3"/>
          <c:tx>
            <c:v>Lower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'2.5.Others Prediction'!$B$200:$B$211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'2.5.Others Prediction'!$H$200:$H$211</c:f>
              <c:numCache>
                <c:formatCode>0.000</c:formatCode>
                <c:ptCount val="12"/>
                <c:pt idx="0">
                  <c:v>20.88303648342438</c:v>
                </c:pt>
                <c:pt idx="1">
                  <c:v>19.088011865144136</c:v>
                </c:pt>
                <c:pt idx="2">
                  <c:v>17.982702142636661</c:v>
                </c:pt>
                <c:pt idx="3">
                  <c:v>18.709930548861653</c:v>
                </c:pt>
                <c:pt idx="4">
                  <c:v>19.102045083697597</c:v>
                </c:pt>
                <c:pt idx="5">
                  <c:v>19.092385558384997</c:v>
                </c:pt>
                <c:pt idx="6">
                  <c:v>17.62239909005098</c:v>
                </c:pt>
                <c:pt idx="7">
                  <c:v>18.748430203308239</c:v>
                </c:pt>
                <c:pt idx="8">
                  <c:v>16.694211338237551</c:v>
                </c:pt>
                <c:pt idx="9">
                  <c:v>16.961843901972081</c:v>
                </c:pt>
                <c:pt idx="10">
                  <c:v>16.273211217630809</c:v>
                </c:pt>
                <c:pt idx="11">
                  <c:v>15.094873541355948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65-4CB5-B0E2-1887388687B0}"/>
            </c:ext>
          </c:extLst>
        </c:ser>
        <c:ser>
          <c:idx val="4"/>
          <c:order val="4"/>
          <c:tx>
            <c:v>Upper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'2.5.Others Prediction'!$B$200:$B$211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'2.5.Others Prediction'!$I$200:$I$211</c:f>
              <c:numCache>
                <c:formatCode>0.000</c:formatCode>
                <c:ptCount val="12"/>
                <c:pt idx="0">
                  <c:v>28.039085486803724</c:v>
                </c:pt>
                <c:pt idx="1">
                  <c:v>27.035309135786559</c:v>
                </c:pt>
                <c:pt idx="2">
                  <c:v>27.573667188637259</c:v>
                </c:pt>
                <c:pt idx="3">
                  <c:v>29.253973287019836</c:v>
                </c:pt>
                <c:pt idx="4">
                  <c:v>30.725494397293133</c:v>
                </c:pt>
                <c:pt idx="5">
                  <c:v>31.603109426148848</c:v>
                </c:pt>
                <c:pt idx="6">
                  <c:v>31.009483052404587</c:v>
                </c:pt>
                <c:pt idx="7">
                  <c:v>32.934422969546574</c:v>
                </c:pt>
                <c:pt idx="8">
                  <c:v>31.647957661757594</c:v>
                </c:pt>
                <c:pt idx="9">
                  <c:v>32.64012941328842</c:v>
                </c:pt>
                <c:pt idx="10">
                  <c:v>32.646808343606438</c:v>
                </c:pt>
                <c:pt idx="11">
                  <c:v>32.134039613747035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65-4CB5-B0E2-188738868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19328"/>
        <c:axId val="359380368"/>
      </c:scatterChart>
      <c:valAx>
        <c:axId val="464319328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59380368"/>
        <c:crosses val="autoZero"/>
        <c:crossBetween val="midCat"/>
      </c:valAx>
      <c:valAx>
        <c:axId val="359380368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6431932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'2.5.Others Prediction'!$B$56:$B$211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'2.5.Others Prediction'!$E$56:$E$211</c:f>
              <c:numCache>
                <c:formatCode>0.000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0.77797704174504645</c:v>
                </c:pt>
                <c:pt idx="14">
                  <c:v>1.0906195074437832</c:v>
                </c:pt>
                <c:pt idx="15">
                  <c:v>-0.87984396303963308</c:v>
                </c:pt>
                <c:pt idx="16">
                  <c:v>-0.28806590545065802</c:v>
                </c:pt>
                <c:pt idx="17">
                  <c:v>-1.0278604507763305</c:v>
                </c:pt>
                <c:pt idx="18">
                  <c:v>-0.1935249333209228</c:v>
                </c:pt>
                <c:pt idx="19">
                  <c:v>2.6686415332028517</c:v>
                </c:pt>
                <c:pt idx="20">
                  <c:v>5.4731771993431266E-2</c:v>
                </c:pt>
                <c:pt idx="21">
                  <c:v>1.5484556815506778</c:v>
                </c:pt>
                <c:pt idx="22">
                  <c:v>-0.11431313463068449</c:v>
                </c:pt>
                <c:pt idx="23">
                  <c:v>0.7260838901800426</c:v>
                </c:pt>
                <c:pt idx="24">
                  <c:v>2.1565215153052861</c:v>
                </c:pt>
                <c:pt idx="25">
                  <c:v>-3.3147979059950856</c:v>
                </c:pt>
                <c:pt idx="26">
                  <c:v>0.21996165217841934</c:v>
                </c:pt>
                <c:pt idx="27">
                  <c:v>-1.0023633522027353</c:v>
                </c:pt>
                <c:pt idx="28">
                  <c:v>1.3050265547499365</c:v>
                </c:pt>
                <c:pt idx="29">
                  <c:v>-2.2429198265687518</c:v>
                </c:pt>
                <c:pt idx="30">
                  <c:v>5.1613661895490139</c:v>
                </c:pt>
                <c:pt idx="31">
                  <c:v>-1.4254156329657164</c:v>
                </c:pt>
                <c:pt idx="32">
                  <c:v>-2.8077371636413062</c:v>
                </c:pt>
                <c:pt idx="33">
                  <c:v>1.6772254321189308</c:v>
                </c:pt>
                <c:pt idx="34">
                  <c:v>-0.98493420098674278</c:v>
                </c:pt>
                <c:pt idx="35">
                  <c:v>0.14344984488605661</c:v>
                </c:pt>
                <c:pt idx="36">
                  <c:v>-1.8152091420589045E-3</c:v>
                </c:pt>
                <c:pt idx="37">
                  <c:v>0.4115853881988798</c:v>
                </c:pt>
                <c:pt idx="38">
                  <c:v>-4.2747047041636748</c:v>
                </c:pt>
                <c:pt idx="39">
                  <c:v>2.4221268816250898</c:v>
                </c:pt>
                <c:pt idx="40">
                  <c:v>-2.0943400361684255</c:v>
                </c:pt>
                <c:pt idx="41">
                  <c:v>1.8830686976136519</c:v>
                </c:pt>
                <c:pt idx="42">
                  <c:v>0.18693169304216894</c:v>
                </c:pt>
                <c:pt idx="43">
                  <c:v>-2.0225346009418459</c:v>
                </c:pt>
                <c:pt idx="44">
                  <c:v>6.5815502808907667</c:v>
                </c:pt>
                <c:pt idx="45">
                  <c:v>5.6373414004401781</c:v>
                </c:pt>
                <c:pt idx="46">
                  <c:v>-6.4725933630870074</c:v>
                </c:pt>
                <c:pt idx="47">
                  <c:v>-0.71355524421143457</c:v>
                </c:pt>
                <c:pt idx="48">
                  <c:v>-4.0175116187604729</c:v>
                </c:pt>
                <c:pt idx="49">
                  <c:v>1.9784584882854972</c:v>
                </c:pt>
                <c:pt idx="50">
                  <c:v>2.7918773037275848</c:v>
                </c:pt>
                <c:pt idx="51">
                  <c:v>-0.90319760019274042</c:v>
                </c:pt>
                <c:pt idx="52">
                  <c:v>-1.4768754979642935</c:v>
                </c:pt>
                <c:pt idx="53">
                  <c:v>2.0198297181675784</c:v>
                </c:pt>
                <c:pt idx="54">
                  <c:v>-0.77690776570299391</c:v>
                </c:pt>
                <c:pt idx="55">
                  <c:v>-2.3402048532721125</c:v>
                </c:pt>
                <c:pt idx="56">
                  <c:v>-1.7114886965289386</c:v>
                </c:pt>
                <c:pt idx="57">
                  <c:v>-2.7312421961877007</c:v>
                </c:pt>
                <c:pt idx="58">
                  <c:v>1.1194762428542937</c:v>
                </c:pt>
                <c:pt idx="59">
                  <c:v>3.6454246815802094</c:v>
                </c:pt>
                <c:pt idx="60">
                  <c:v>0.41432818695425055</c:v>
                </c:pt>
                <c:pt idx="61">
                  <c:v>3.0196875118608801E-2</c:v>
                </c:pt>
                <c:pt idx="62">
                  <c:v>4.0905439434421496</c:v>
                </c:pt>
                <c:pt idx="63">
                  <c:v>-1.1892973389911816</c:v>
                </c:pt>
                <c:pt idx="64">
                  <c:v>-2.1388636697519274</c:v>
                </c:pt>
                <c:pt idx="65">
                  <c:v>0.387315012560002</c:v>
                </c:pt>
                <c:pt idx="66">
                  <c:v>-1.689226760449511</c:v>
                </c:pt>
                <c:pt idx="67">
                  <c:v>-0.30936666520410228</c:v>
                </c:pt>
                <c:pt idx="68">
                  <c:v>-1.6368905282723105</c:v>
                </c:pt>
                <c:pt idx="69">
                  <c:v>-2.4468144342712286</c:v>
                </c:pt>
                <c:pt idx="70">
                  <c:v>3.7253300544470669</c:v>
                </c:pt>
                <c:pt idx="71">
                  <c:v>2.1152396904445716</c:v>
                </c:pt>
                <c:pt idx="72">
                  <c:v>0.13509058802537055</c:v>
                </c:pt>
                <c:pt idx="73">
                  <c:v>-1.6462201747908445</c:v>
                </c:pt>
                <c:pt idx="74">
                  <c:v>-2.1166212692872151</c:v>
                </c:pt>
                <c:pt idx="75">
                  <c:v>0.13032962635733725</c:v>
                </c:pt>
                <c:pt idx="76">
                  <c:v>2.2517514602329634</c:v>
                </c:pt>
                <c:pt idx="77">
                  <c:v>-0.89110742499735451</c:v>
                </c:pt>
                <c:pt idx="78">
                  <c:v>-0.50734664531374207</c:v>
                </c:pt>
                <c:pt idx="79">
                  <c:v>1.6058447464626084</c:v>
                </c:pt>
                <c:pt idx="80">
                  <c:v>-0.76940595668253309</c:v>
                </c:pt>
                <c:pt idx="81">
                  <c:v>-2.2018306370419936</c:v>
                </c:pt>
                <c:pt idx="82">
                  <c:v>0.42476655634131077</c:v>
                </c:pt>
                <c:pt idx="83">
                  <c:v>-2.2336852975211023</c:v>
                </c:pt>
                <c:pt idx="84">
                  <c:v>0.49436752756406577</c:v>
                </c:pt>
                <c:pt idx="85">
                  <c:v>2.2213678593556629</c:v>
                </c:pt>
                <c:pt idx="86">
                  <c:v>-1.6380649031752945</c:v>
                </c:pt>
                <c:pt idx="87">
                  <c:v>0.18827164796205764</c:v>
                </c:pt>
                <c:pt idx="88">
                  <c:v>-0.17044556818505896</c:v>
                </c:pt>
                <c:pt idx="89">
                  <c:v>-1.4565612351641448</c:v>
                </c:pt>
                <c:pt idx="90">
                  <c:v>1.1961946422594814</c:v>
                </c:pt>
                <c:pt idx="91">
                  <c:v>3.1432699915999507E-2</c:v>
                </c:pt>
                <c:pt idx="92">
                  <c:v>-0.32127523777667832</c:v>
                </c:pt>
                <c:pt idx="93">
                  <c:v>0.75523177662208951</c:v>
                </c:pt>
                <c:pt idx="94">
                  <c:v>-0.42424216971586759</c:v>
                </c:pt>
                <c:pt idx="95">
                  <c:v>-0.6083949188492781</c:v>
                </c:pt>
                <c:pt idx="96">
                  <c:v>1.1939339999651608</c:v>
                </c:pt>
                <c:pt idx="97">
                  <c:v>-1.6139345328267041</c:v>
                </c:pt>
                <c:pt idx="98">
                  <c:v>-0.30213921901891183</c:v>
                </c:pt>
                <c:pt idx="99">
                  <c:v>0.67058975454208891</c:v>
                </c:pt>
                <c:pt idx="100">
                  <c:v>-0.15231501464302966</c:v>
                </c:pt>
                <c:pt idx="101">
                  <c:v>-0.31710636166416961</c:v>
                </c:pt>
                <c:pt idx="102">
                  <c:v>0.5643378078555088</c:v>
                </c:pt>
                <c:pt idx="103">
                  <c:v>-1.1390010736914888</c:v>
                </c:pt>
                <c:pt idx="104">
                  <c:v>-0.39014839314850391</c:v>
                </c:pt>
                <c:pt idx="105">
                  <c:v>0.33789562023657638</c:v>
                </c:pt>
                <c:pt idx="106">
                  <c:v>8.064832951620815E-2</c:v>
                </c:pt>
                <c:pt idx="107">
                  <c:v>1.0058137409956558</c:v>
                </c:pt>
                <c:pt idx="108">
                  <c:v>-0.2223102573371456</c:v>
                </c:pt>
                <c:pt idx="109">
                  <c:v>-1.5187703260512109E-2</c:v>
                </c:pt>
                <c:pt idx="110">
                  <c:v>1.9430315285063671E-2</c:v>
                </c:pt>
                <c:pt idx="111">
                  <c:v>0.14449893564947658</c:v>
                </c:pt>
                <c:pt idx="112">
                  <c:v>0.2096489783033455</c:v>
                </c:pt>
                <c:pt idx="113">
                  <c:v>-0.12111082560625874</c:v>
                </c:pt>
                <c:pt idx="114">
                  <c:v>-0.36878399983511301</c:v>
                </c:pt>
                <c:pt idx="115">
                  <c:v>0.8750859823028172</c:v>
                </c:pt>
                <c:pt idx="116">
                  <c:v>0.14548040535751383</c:v>
                </c:pt>
                <c:pt idx="117">
                  <c:v>0.20674154485562468</c:v>
                </c:pt>
                <c:pt idx="118">
                  <c:v>-7.3279187846029714E-2</c:v>
                </c:pt>
                <c:pt idx="119">
                  <c:v>0.74178097120008601</c:v>
                </c:pt>
                <c:pt idx="120">
                  <c:v>4.5365554764662015</c:v>
                </c:pt>
                <c:pt idx="121">
                  <c:v>1.9805446660079582</c:v>
                </c:pt>
                <c:pt idx="122">
                  <c:v>1.2252235615492069</c:v>
                </c:pt>
                <c:pt idx="123">
                  <c:v>-0.61494698643130263</c:v>
                </c:pt>
                <c:pt idx="124">
                  <c:v>-1.1018163433171182</c:v>
                </c:pt>
                <c:pt idx="125">
                  <c:v>0.17744798608384116</c:v>
                </c:pt>
                <c:pt idx="126">
                  <c:v>-4.3287684515206593E-2</c:v>
                </c:pt>
                <c:pt idx="127">
                  <c:v>9.8957905900704191E-2</c:v>
                </c:pt>
                <c:pt idx="128">
                  <c:v>0.43792766545334061</c:v>
                </c:pt>
                <c:pt idx="129">
                  <c:v>0.13944997288601968</c:v>
                </c:pt>
                <c:pt idx="130">
                  <c:v>-0.56555859957482824</c:v>
                </c:pt>
                <c:pt idx="131">
                  <c:v>0.14553886409917638</c:v>
                </c:pt>
                <c:pt idx="132">
                  <c:v>-1.8977640893111456</c:v>
                </c:pt>
                <c:pt idx="133">
                  <c:v>-0.5768107736364243</c:v>
                </c:pt>
                <c:pt idx="134">
                  <c:v>-1.2738186688736839</c:v>
                </c:pt>
                <c:pt idx="135">
                  <c:v>-0.43289307428946699</c:v>
                </c:pt>
                <c:pt idx="136">
                  <c:v>0.80769200909670502</c:v>
                </c:pt>
                <c:pt idx="137">
                  <c:v>-0.10547423142649137</c:v>
                </c:pt>
                <c:pt idx="138">
                  <c:v>-0.81565682826842334</c:v>
                </c:pt>
                <c:pt idx="139">
                  <c:v>0.59646249541622609</c:v>
                </c:pt>
                <c:pt idx="140">
                  <c:v>-0.55815002947715442</c:v>
                </c:pt>
                <c:pt idx="141">
                  <c:v>0.37419158035660161</c:v>
                </c:pt>
                <c:pt idx="142">
                  <c:v>0.48683722551907849</c:v>
                </c:pt>
                <c:pt idx="143">
                  <c:v>-1.1722953216911947</c:v>
                </c:pt>
                <c:pt idx="144">
                  <c:v>-1.9610609851140524</c:v>
                </c:pt>
                <c:pt idx="145">
                  <c:v>-1.0616605004653472</c:v>
                </c:pt>
                <c:pt idx="146">
                  <c:v>2.1815334363040506E-2</c:v>
                </c:pt>
                <c:pt idx="147">
                  <c:v>-3.5819519179407457</c:v>
                </c:pt>
                <c:pt idx="148">
                  <c:v>0.58623025950463514</c:v>
                </c:pt>
                <c:pt idx="149">
                  <c:v>-3.8477474922669224</c:v>
                </c:pt>
                <c:pt idx="150">
                  <c:v>0.38405892877221603</c:v>
                </c:pt>
                <c:pt idx="151">
                  <c:v>0.35857341357259287</c:v>
                </c:pt>
                <c:pt idx="152">
                  <c:v>-2.9710844999975734</c:v>
                </c:pt>
                <c:pt idx="153">
                  <c:v>-1.1009866576302514</c:v>
                </c:pt>
                <c:pt idx="154">
                  <c:v>-0.96000978061862341</c:v>
                </c:pt>
                <c:pt idx="155">
                  <c:v>-1.2144565775514948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5-440B-A659-D2D7AFCF1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382032"/>
        <c:axId val="359382448"/>
      </c:barChart>
      <c:catAx>
        <c:axId val="359382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59382448"/>
        <c:crosses val="autoZero"/>
        <c:auto val="1"/>
        <c:lblAlgn val="ctr"/>
        <c:lblOffset val="100"/>
        <c:noMultiLvlLbl val="0"/>
      </c:catAx>
      <c:valAx>
        <c:axId val="3593824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5938203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AutocorrelogramOthers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'2.5.Others Prediction'!$B$236:$B$258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Prediction'!$C$236:$C$258</c:f>
              <c:numCache>
                <c:formatCode>0.000</c:formatCode>
                <c:ptCount val="23"/>
                <c:pt idx="0">
                  <c:v>1</c:v>
                </c:pt>
                <c:pt idx="1">
                  <c:v>0.9582727848457645</c:v>
                </c:pt>
                <c:pt idx="2">
                  <c:v>0.94077604242618829</c:v>
                </c:pt>
                <c:pt idx="3">
                  <c:v>0.91855056953419079</c:v>
                </c:pt>
                <c:pt idx="4">
                  <c:v>0.8878045436182862</c:v>
                </c:pt>
                <c:pt idx="5">
                  <c:v>0.86674574296078621</c:v>
                </c:pt>
                <c:pt idx="6">
                  <c:v>0.84240096697095035</c:v>
                </c:pt>
                <c:pt idx="7">
                  <c:v>0.82178437406869476</c:v>
                </c:pt>
                <c:pt idx="8">
                  <c:v>0.80466796449893851</c:v>
                </c:pt>
                <c:pt idx="9">
                  <c:v>0.79223216379824668</c:v>
                </c:pt>
                <c:pt idx="10">
                  <c:v>0.77454311013933386</c:v>
                </c:pt>
                <c:pt idx="11">
                  <c:v>0.75953196837779324</c:v>
                </c:pt>
                <c:pt idx="12">
                  <c:v>0.75188158619296841</c:v>
                </c:pt>
                <c:pt idx="13">
                  <c:v>0.7260540299205237</c:v>
                </c:pt>
                <c:pt idx="14">
                  <c:v>0.71296536821662027</c:v>
                </c:pt>
                <c:pt idx="15">
                  <c:v>0.69010359468140536</c:v>
                </c:pt>
                <c:pt idx="16">
                  <c:v>0.66627713317864246</c:v>
                </c:pt>
                <c:pt idx="17">
                  <c:v>0.64841884853443954</c:v>
                </c:pt>
                <c:pt idx="18">
                  <c:v>0.62420588463597593</c:v>
                </c:pt>
                <c:pt idx="19">
                  <c:v>0.61043001926280616</c:v>
                </c:pt>
                <c:pt idx="20">
                  <c:v>0.59225027307950318</c:v>
                </c:pt>
                <c:pt idx="21">
                  <c:v>0.57831690911230837</c:v>
                </c:pt>
                <c:pt idx="22">
                  <c:v>0.56011511235678546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16-45F3-952B-BA049BDD3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477344"/>
        <c:axId val="320479840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'2.5.Others Prediction'!$B$236:$B$258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Prediction'!$E$236:$E$258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-0.26429126487860183</c:v>
                </c:pt>
                <c:pt idx="3">
                  <c:v>-0.33680645608657522</c:v>
                </c:pt>
                <c:pt idx="4">
                  <c:v>-0.39369035992541412</c:v>
                </c:pt>
                <c:pt idx="5">
                  <c:v>-0.44023900449685405</c:v>
                </c:pt>
                <c:pt idx="6">
                  <c:v>-0.48042580850364208</c:v>
                </c:pt>
                <c:pt idx="7">
                  <c:v>-0.51551752903786108</c:v>
                </c:pt>
                <c:pt idx="8">
                  <c:v>-0.54682533492607477</c:v>
                </c:pt>
                <c:pt idx="9">
                  <c:v>-0.57524474255372759</c:v>
                </c:pt>
                <c:pt idx="10">
                  <c:v>-0.60151230137104428</c:v>
                </c:pt>
                <c:pt idx="11">
                  <c:v>-0.62558983821807668</c:v>
                </c:pt>
                <c:pt idx="12">
                  <c:v>-0.64789977238790297</c:v>
                </c:pt>
                <c:pt idx="13">
                  <c:v>-0.66904119316025179</c:v>
                </c:pt>
                <c:pt idx="14">
                  <c:v>-0.68817018005496644</c:v>
                </c:pt>
                <c:pt idx="15">
                  <c:v>-0.70612510892640312</c:v>
                </c:pt>
                <c:pt idx="16">
                  <c:v>-0.72254230628369598</c:v>
                </c:pt>
                <c:pt idx="17">
                  <c:v>-0.73751641812243951</c:v>
                </c:pt>
                <c:pt idx="18">
                  <c:v>-0.75142348907511769</c:v>
                </c:pt>
                <c:pt idx="19">
                  <c:v>-0.76408538712106888</c:v>
                </c:pt>
                <c:pt idx="20">
                  <c:v>-0.77600132338999683</c:v>
                </c:pt>
                <c:pt idx="21">
                  <c:v>-0.78705324961613432</c:v>
                </c:pt>
                <c:pt idx="22">
                  <c:v>-0.79744863514482556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16-45F3-952B-BA049BDD3B6F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'2.5.Others Prediction'!$B$236:$B$258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Prediction'!$F$236:$F$258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0.26429126487860183</c:v>
                </c:pt>
                <c:pt idx="3">
                  <c:v>0.33680645608657522</c:v>
                </c:pt>
                <c:pt idx="4">
                  <c:v>0.39369035992541412</c:v>
                </c:pt>
                <c:pt idx="5">
                  <c:v>0.44023900449685405</c:v>
                </c:pt>
                <c:pt idx="6">
                  <c:v>0.48042580850364208</c:v>
                </c:pt>
                <c:pt idx="7">
                  <c:v>0.51551752903786108</c:v>
                </c:pt>
                <c:pt idx="8">
                  <c:v>0.54682533492607477</c:v>
                </c:pt>
                <c:pt idx="9">
                  <c:v>0.57524474255372759</c:v>
                </c:pt>
                <c:pt idx="10">
                  <c:v>0.60151230137104428</c:v>
                </c:pt>
                <c:pt idx="11">
                  <c:v>0.62558983821807668</c:v>
                </c:pt>
                <c:pt idx="12">
                  <c:v>0.64789977238790297</c:v>
                </c:pt>
                <c:pt idx="13">
                  <c:v>0.66904119316025179</c:v>
                </c:pt>
                <c:pt idx="14">
                  <c:v>0.68817018005496644</c:v>
                </c:pt>
                <c:pt idx="15">
                  <c:v>0.70612510892640312</c:v>
                </c:pt>
                <c:pt idx="16">
                  <c:v>0.72254230628369598</c:v>
                </c:pt>
                <c:pt idx="17">
                  <c:v>0.73751641812243951</c:v>
                </c:pt>
                <c:pt idx="18">
                  <c:v>0.75142348907511769</c:v>
                </c:pt>
                <c:pt idx="19">
                  <c:v>0.76408538712106888</c:v>
                </c:pt>
                <c:pt idx="20">
                  <c:v>0.77600132338999683</c:v>
                </c:pt>
                <c:pt idx="21">
                  <c:v>0.78705324961613432</c:v>
                </c:pt>
                <c:pt idx="22">
                  <c:v>0.79744863514482556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16-45F3-952B-BA049BDD3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77344"/>
        <c:axId val="320479840"/>
      </c:lineChart>
      <c:catAx>
        <c:axId val="320477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20479840"/>
        <c:crosses val="autoZero"/>
        <c:auto val="1"/>
        <c:lblAlgn val="ctr"/>
        <c:lblOffset val="100"/>
        <c:noMultiLvlLbl val="0"/>
      </c:catAx>
      <c:valAx>
        <c:axId val="320479840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2047734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Partial autocorrelogramOthers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'2.5.Others Prediction'!$B$236:$B$258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Prediction'!$G$236:$G$258</c:f>
              <c:numCache>
                <c:formatCode>0.000</c:formatCode>
                <c:ptCount val="23"/>
                <c:pt idx="0">
                  <c:v>1</c:v>
                </c:pt>
                <c:pt idx="1">
                  <c:v>0.9582727848457645</c:v>
                </c:pt>
                <c:pt idx="2">
                  <c:v>0.27522227783304026</c:v>
                </c:pt>
                <c:pt idx="3">
                  <c:v>1.8681314977779185E-2</c:v>
                </c:pt>
                <c:pt idx="4">
                  <c:v>-0.13319592097576061</c:v>
                </c:pt>
                <c:pt idx="5">
                  <c:v>4.307451325376202E-2</c:v>
                </c:pt>
                <c:pt idx="6">
                  <c:v>6.1321174927925588E-3</c:v>
                </c:pt>
                <c:pt idx="7">
                  <c:v>3.7789757452864371E-2</c:v>
                </c:pt>
                <c:pt idx="8">
                  <c:v>4.3279093950655496E-2</c:v>
                </c:pt>
                <c:pt idx="9">
                  <c:v>8.8396447691656277E-2</c:v>
                </c:pt>
                <c:pt idx="10">
                  <c:v>-4.6852975040952531E-2</c:v>
                </c:pt>
                <c:pt idx="11">
                  <c:v>-1.5644252198243443E-2</c:v>
                </c:pt>
                <c:pt idx="12">
                  <c:v>9.7448898943108764E-2</c:v>
                </c:pt>
                <c:pt idx="13">
                  <c:v>-0.16844218769024802</c:v>
                </c:pt>
                <c:pt idx="14">
                  <c:v>2.9703408512951439E-2</c:v>
                </c:pt>
                <c:pt idx="15">
                  <c:v>-7.4191701032560634E-2</c:v>
                </c:pt>
                <c:pt idx="16">
                  <c:v>-2.6784052749701713E-2</c:v>
                </c:pt>
                <c:pt idx="17">
                  <c:v>1.3559503785061046E-2</c:v>
                </c:pt>
                <c:pt idx="18">
                  <c:v>-2.8081560517912118E-2</c:v>
                </c:pt>
                <c:pt idx="19">
                  <c:v>8.8729904869582155E-2</c:v>
                </c:pt>
                <c:pt idx="20">
                  <c:v>-2.5191439346306289E-2</c:v>
                </c:pt>
                <c:pt idx="21">
                  <c:v>1.1743884458194787E-2</c:v>
                </c:pt>
                <c:pt idx="22">
                  <c:v>-5.7385414050551253E-2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1-4A83-A922-87189410D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481088"/>
        <c:axId val="32048150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'2.5.Others Prediction'!$B$236:$B$258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Prediction'!$I$236:$I$258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51-4A83-A922-87189410D38B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'2.5.Others Prediction'!$B$236:$B$258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Prediction'!$J$236:$J$258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51-4A83-A922-87189410D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81088"/>
        <c:axId val="320481504"/>
      </c:lineChart>
      <c:catAx>
        <c:axId val="32048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20481504"/>
        <c:crosses val="autoZero"/>
        <c:auto val="1"/>
        <c:lblAlgn val="ctr"/>
        <c:lblOffset val="100"/>
        <c:noMultiLvlLbl val="0"/>
      </c:catAx>
      <c:valAx>
        <c:axId val="32048150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2048108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'2.5.Others Prediction'!$B$283:$B$305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Prediction'!$C$283:$C$305</c:f>
              <c:numCache>
                <c:formatCode>0.000</c:formatCode>
                <c:ptCount val="23"/>
                <c:pt idx="0">
                  <c:v>1</c:v>
                </c:pt>
                <c:pt idx="1">
                  <c:v>-9.5693823675778972E-2</c:v>
                </c:pt>
                <c:pt idx="2">
                  <c:v>-0.10428602197056343</c:v>
                </c:pt>
                <c:pt idx="3">
                  <c:v>4.3279953671498589E-2</c:v>
                </c:pt>
                <c:pt idx="4">
                  <c:v>-0.1636183512169366</c:v>
                </c:pt>
                <c:pt idx="5">
                  <c:v>6.649652528351005E-2</c:v>
                </c:pt>
                <c:pt idx="6">
                  <c:v>0.11378067000096309</c:v>
                </c:pt>
                <c:pt idx="7">
                  <c:v>-0.23881264015059137</c:v>
                </c:pt>
                <c:pt idx="8">
                  <c:v>0.10827324722528904</c:v>
                </c:pt>
                <c:pt idx="9">
                  <c:v>0.28484397295154112</c:v>
                </c:pt>
                <c:pt idx="10">
                  <c:v>-0.12426830477211208</c:v>
                </c:pt>
                <c:pt idx="11">
                  <c:v>5.5743318760060612E-2</c:v>
                </c:pt>
                <c:pt idx="12">
                  <c:v>-6.0657209169259915E-2</c:v>
                </c:pt>
                <c:pt idx="13">
                  <c:v>-0.19773639944016036</c:v>
                </c:pt>
                <c:pt idx="14">
                  <c:v>0.17627007981870962</c:v>
                </c:pt>
                <c:pt idx="15">
                  <c:v>5.758512881269999E-2</c:v>
                </c:pt>
                <c:pt idx="16">
                  <c:v>-0.16978934219026454</c:v>
                </c:pt>
                <c:pt idx="17">
                  <c:v>0.22918708318889408</c:v>
                </c:pt>
                <c:pt idx="18">
                  <c:v>-1.0075876543228418E-2</c:v>
                </c:pt>
                <c:pt idx="19">
                  <c:v>-0.15435034359470678</c:v>
                </c:pt>
                <c:pt idx="20">
                  <c:v>0.13905266868555449</c:v>
                </c:pt>
                <c:pt idx="21">
                  <c:v>5.9403219545432859E-2</c:v>
                </c:pt>
                <c:pt idx="22">
                  <c:v>-9.1222367514055158E-2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D4-430C-8116-11F066EFC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727904"/>
        <c:axId val="41572540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'2.5.Others Prediction'!$B$283:$B$305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Prediction'!$E$283:$E$305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-0.15835317682051836</c:v>
                </c:pt>
                <c:pt idx="3">
                  <c:v>-0.16003544890317267</c:v>
                </c:pt>
                <c:pt idx="4">
                  <c:v>-0.16032341304508582</c:v>
                </c:pt>
                <c:pt idx="5">
                  <c:v>-0.16438385765054028</c:v>
                </c:pt>
                <c:pt idx="6">
                  <c:v>-0.16504491320385534</c:v>
                </c:pt>
                <c:pt idx="7">
                  <c:v>-0.16696529295749363</c:v>
                </c:pt>
                <c:pt idx="8">
                  <c:v>-0.17517471047544791</c:v>
                </c:pt>
                <c:pt idx="9">
                  <c:v>-0.17681497527713733</c:v>
                </c:pt>
                <c:pt idx="10">
                  <c:v>-0.18777498509367105</c:v>
                </c:pt>
                <c:pt idx="11">
                  <c:v>-0.18978931870373356</c:v>
                </c:pt>
                <c:pt idx="12">
                  <c:v>-0.19019205883706125</c:v>
                </c:pt>
                <c:pt idx="13">
                  <c:v>-0.19066783336649834</c:v>
                </c:pt>
                <c:pt idx="14">
                  <c:v>-0.19565239957338915</c:v>
                </c:pt>
                <c:pt idx="15">
                  <c:v>-0.1995246820604353</c:v>
                </c:pt>
                <c:pt idx="16">
                  <c:v>-0.19993351974685983</c:v>
                </c:pt>
                <c:pt idx="17">
                  <c:v>-0.20345318090220624</c:v>
                </c:pt>
                <c:pt idx="18">
                  <c:v>-0.20971435335709729</c:v>
                </c:pt>
                <c:pt idx="19">
                  <c:v>-0.20972627391990473</c:v>
                </c:pt>
                <c:pt idx="20">
                  <c:v>-0.21250513123601966</c:v>
                </c:pt>
                <c:pt idx="21">
                  <c:v>-0.2147340240704963</c:v>
                </c:pt>
                <c:pt idx="22">
                  <c:v>-0.21513830388448657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D4-430C-8116-11F066EFC142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'2.5.Others Prediction'!$B$283:$B$305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Prediction'!$F$283:$F$305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0.15835317682051836</c:v>
                </c:pt>
                <c:pt idx="3">
                  <c:v>0.16003544890317267</c:v>
                </c:pt>
                <c:pt idx="4">
                  <c:v>0.16032341304508582</c:v>
                </c:pt>
                <c:pt idx="5">
                  <c:v>0.16438385765054028</c:v>
                </c:pt>
                <c:pt idx="6">
                  <c:v>0.16504491320385534</c:v>
                </c:pt>
                <c:pt idx="7">
                  <c:v>0.16696529295749363</c:v>
                </c:pt>
                <c:pt idx="8">
                  <c:v>0.17517471047544791</c:v>
                </c:pt>
                <c:pt idx="9">
                  <c:v>0.17681497527713733</c:v>
                </c:pt>
                <c:pt idx="10">
                  <c:v>0.18777498509367105</c:v>
                </c:pt>
                <c:pt idx="11">
                  <c:v>0.18978931870373356</c:v>
                </c:pt>
                <c:pt idx="12">
                  <c:v>0.19019205883706125</c:v>
                </c:pt>
                <c:pt idx="13">
                  <c:v>0.19066783336649834</c:v>
                </c:pt>
                <c:pt idx="14">
                  <c:v>0.19565239957338915</c:v>
                </c:pt>
                <c:pt idx="15">
                  <c:v>0.1995246820604353</c:v>
                </c:pt>
                <c:pt idx="16">
                  <c:v>0.19993351974685983</c:v>
                </c:pt>
                <c:pt idx="17">
                  <c:v>0.20345318090220624</c:v>
                </c:pt>
                <c:pt idx="18">
                  <c:v>0.20971435335709729</c:v>
                </c:pt>
                <c:pt idx="19">
                  <c:v>0.20972627391990473</c:v>
                </c:pt>
                <c:pt idx="20">
                  <c:v>0.21250513123601966</c:v>
                </c:pt>
                <c:pt idx="21">
                  <c:v>0.2147340240704963</c:v>
                </c:pt>
                <c:pt idx="22">
                  <c:v>0.21513830388448657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D4-430C-8116-11F066EFC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27904"/>
        <c:axId val="415725408"/>
      </c:lineChart>
      <c:catAx>
        <c:axId val="41572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725408"/>
        <c:crosses val="autoZero"/>
        <c:auto val="1"/>
        <c:lblAlgn val="ctr"/>
        <c:lblOffset val="100"/>
        <c:noMultiLvlLbl val="0"/>
      </c:catAx>
      <c:valAx>
        <c:axId val="41572540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72790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'2.5.Others Prediction'!$B$283:$B$305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Prediction'!$G$283:$G$305</c:f>
              <c:numCache>
                <c:formatCode>0.000</c:formatCode>
                <c:ptCount val="23"/>
                <c:pt idx="0">
                  <c:v>1</c:v>
                </c:pt>
                <c:pt idx="1">
                  <c:v>-9.5693823675778972E-2</c:v>
                </c:pt>
                <c:pt idx="2">
                  <c:v>-0.11449176621431351</c:v>
                </c:pt>
                <c:pt idx="3">
                  <c:v>2.1681855229346056E-2</c:v>
                </c:pt>
                <c:pt idx="4">
                  <c:v>-0.1726364089002897</c:v>
                </c:pt>
                <c:pt idx="5">
                  <c:v>4.1785796798805029E-2</c:v>
                </c:pt>
                <c:pt idx="6">
                  <c:v>8.9229003489042766E-2</c:v>
                </c:pt>
                <c:pt idx="7">
                  <c:v>-0.21096257335986257</c:v>
                </c:pt>
                <c:pt idx="8">
                  <c:v>7.117659435183496E-2</c:v>
                </c:pt>
                <c:pt idx="9">
                  <c:v>0.29605351170007832</c:v>
                </c:pt>
                <c:pt idx="10">
                  <c:v>-4.2966333212773884E-2</c:v>
                </c:pt>
                <c:pt idx="11">
                  <c:v>1.3915255745993926E-2</c:v>
                </c:pt>
                <c:pt idx="12">
                  <c:v>-1.4866549091293509E-2</c:v>
                </c:pt>
                <c:pt idx="13">
                  <c:v>-0.11097722614385572</c:v>
                </c:pt>
                <c:pt idx="14">
                  <c:v>3.7686114473796738E-2</c:v>
                </c:pt>
                <c:pt idx="15">
                  <c:v>7.5924872215966638E-2</c:v>
                </c:pt>
                <c:pt idx="16">
                  <c:v>-7.3479917478478887E-2</c:v>
                </c:pt>
                <c:pt idx="17">
                  <c:v>0.13033115587654001</c:v>
                </c:pt>
                <c:pt idx="18">
                  <c:v>1.1844632894563001E-2</c:v>
                </c:pt>
                <c:pt idx="19">
                  <c:v>-0.13641503985589198</c:v>
                </c:pt>
                <c:pt idx="20">
                  <c:v>3.1054253133557214E-2</c:v>
                </c:pt>
                <c:pt idx="21">
                  <c:v>0.26079541798517458</c:v>
                </c:pt>
                <c:pt idx="22">
                  <c:v>-4.0240002883519442E-2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F4-4ACF-92CC-6822CA08C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664944"/>
        <c:axId val="76195545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'2.5.Others Prediction'!$B$283:$B$305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Prediction'!$I$283:$I$305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F4-4ACF-92CC-6822CA08CB35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'2.5.Others Prediction'!$B$283:$B$305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'2.5.Others Prediction'!$J$283:$J$305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F4-4ACF-92CC-6822CA08C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64944"/>
        <c:axId val="761955456"/>
      </c:lineChart>
      <c:catAx>
        <c:axId val="409664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1955456"/>
        <c:crosses val="autoZero"/>
        <c:auto val="1"/>
        <c:lblAlgn val="ctr"/>
        <c:lblOffset val="100"/>
        <c:noMultiLvlLbl val="0"/>
      </c:catAx>
      <c:valAx>
        <c:axId val="76195545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0966494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5" sel="1" val="0">
  <itemLst>
    <item val="Summary statistics"/>
    <item val="Results of ARIMA modeling of the Industry related series"/>
    <item val="Results after optimization (Industry related)"/>
    <item val="Goodness of fit statistics"/>
    <item val="Model parameters"/>
    <item val="Predictions and residuals"/>
    <item val="Descriptive analysis (Industry related)"/>
    <item val="Descriptive analysis (Residuals)"/>
  </itemLst>
</formControlPr>
</file>

<file path=xl/ctrlProps/ctrlProp2.xml><?xml version="1.0" encoding="utf-8"?>
<formControlPr xmlns="http://schemas.microsoft.com/office/spreadsheetml/2009/9/main" objectType="Drop" dropStyle="combo" dx="15" sel="1" val="0">
  <itemLst>
    <item val="Summary statistics"/>
    <item val="Results of ARIMA modeling of the Transport related series"/>
    <item val="Results after optimization (Transport related)"/>
    <item val="Goodness of fit statistics"/>
    <item val="Model parameters"/>
    <item val="Predictions and residuals"/>
    <item val="Descriptive analysis (Transport related)"/>
    <item val="Descriptive analysis (Residuals)"/>
  </itemLst>
</formControlPr>
</file>

<file path=xl/ctrlProps/ctrlProp3.xml><?xml version="1.0" encoding="utf-8"?>
<formControlPr xmlns="http://schemas.microsoft.com/office/spreadsheetml/2009/9/main" objectType="Drop" dropStyle="combo" dx="22" sel="1" val="0">
  <itemLst>
    <item val="Summary statistics"/>
    <item val="Results of ARIMA modeling of the Households series"/>
    <item val="Results after optimization (Households)"/>
    <item val="Goodness of fit statistics"/>
    <item val="Model parameters"/>
    <item val="Predictions and residuals"/>
    <item val="Descriptive analysis (Households)"/>
    <item val="Descriptive analysis (Residuals)"/>
  </itemLst>
</formControlPr>
</file>

<file path=xl/ctrlProps/ctrlProp4.xml><?xml version="1.0" encoding="utf-8"?>
<formControlPr xmlns="http://schemas.microsoft.com/office/spreadsheetml/2009/9/main" objectType="Drop" dropStyle="combo" dx="16" sel="1" val="0">
  <itemLst>
    <item val="Summary statistics"/>
    <item val="Results of ARIMA modeling of the Others series"/>
    <item val="Results after optimization (Others)"/>
    <item val="Goodness of fit statistics"/>
    <item val="Model parameters"/>
    <item val="Predictions and residuals"/>
    <item val="Descriptive analysis (Others)"/>
    <item val="Descriptive analysis (Residuals)"/>
  </itemLst>
</formControlPr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3.png"/><Relationship Id="rId7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image" Target="../media/image3.png"/><Relationship Id="rId7" Type="http://schemas.openxmlformats.org/officeDocument/2006/relationships/chart" Target="../charts/chart1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image" Target="../media/image3.png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image" Target="../media/image3.png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194</xdr:row>
      <xdr:rowOff>0</xdr:rowOff>
    </xdr:from>
    <xdr:to>
      <xdr:col>7</xdr:col>
      <xdr:colOff>0</xdr:colOff>
      <xdr:row>212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207</xdr:row>
      <xdr:rowOff>0</xdr:rowOff>
    </xdr:from>
    <xdr:to>
      <xdr:col>13</xdr:col>
      <xdr:colOff>311150</xdr:colOff>
      <xdr:row>225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2" name="TX686533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98575" y="180022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RunProcARI
Form48.txt
OptionButton_R,OptionButton,False,True,000000000003_General,True,Range,False,
OptionButton_S,OptionButton,True,True,000000000203_General,True,Sheet,False,
OptionButton_W,OptionButton,False,True,000000000303_General,True,Workbook,False,
RefEdit_R,RefEdit,,True,000000000103_General,True,Range:,False,
RefEditT,RefEdit0,'Sheet1'!$B$1:$B$157,True,000000000002_General,True,,False,
CheckBoxVarLabels,CheckBox,True,True,000000000004_General,True,Series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CheckBoxDate,CheckBox,True,True,000000000502_General,True,Date data,False,
RefEditDate,RefEdit0,'Sheet1'!$A$1:$A$157,True,000000000602_General,True,Date data:,False,
CheckBoxCheckInt,CheckBox,False,True,000000000702_General,True,Check intervals,False,
CheckBoxCenter,CheckBox,True,True,000000000202_General,True,Center,False,
CheckBoxVar,CheckBox,False,True,000000000302_General,True,Variance,False,
TextBoxVar,TextBox,1,True,000000000402_General,True,Variance:,False,
TextBox_GQ,TextBox,1,True,000000001106_General,True,Q:,False,
TextBox_p,TextBox,3,True,000000000006_General,True,p:,False,
TextBox_d,TextBox,1,True,000000000306_General,True,d:,False,
TextBox_q,TextBox,1,True,000000000506_General,True,q:,False,
TextBox_Gd,TextBox,1,True,000000000906_General,True,D:,False,
TextBox_s,TextBox,12,True,000000001306_General,True,s:,False,
TextBox_GP,TextBox,3,True,000000000706_General,True,P:,False,
OptionButtonHR,OptionButton,False,True,100000000400_Options,True,Hannan-Rissanen,False,
OptionButtonInnov,OptionButton,False,True,100000000300_Options,True,Innovations,False,
CheckBoxPre,CheckBox,True,True,100000000000_Options,True,Preliminary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OptionButtonLike,OptionButton,True,True,100000000102_Options,True,Likelihood,False,
OptionButtonLeast,OptionButton,False,True,100000000202_Options,True,Least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TextBoxTestNumber,TextBox,1,True,200000000000_Validation,True,,False,
CheckBox_Validation,CheckBox,False,True,200000000001_Validation,True,Validation,False,
CheckBox_Prediction,CheckBox,False,True,300000000001_Prediction,True,Prediction,False,
TextboxPredNumber,TextBox,1,True,300000000000_Prediction,True,,False,
CheckBoxTrans,CheckBox,False,False,06,False,Trans,False,
CheckBox_X,CheckBox,False,True,000000000802_General,True,X / Explanatory variables,False,
RefEdit_X,RefEdit,,True,000000000902_General,True,X / Explanatory variables:,False,
RefEdit_XPred,RefEdit,,True,300000000002_Prediction,True,X / Explanatory variables:,False,
CheckBox_XPred,CheckBox,False,True,300000000003_Prediction,True,X / Explanatory variables,False,
ComboBoxMode,ComboBox,0,True,000000000008_General,True,Mode:,False,
TextBox_Conf,TextBox,95,True,500000000101_Outputs,True,Confidence intervals (%):,False,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</a:t>
          </a:r>
        </a:p>
      </xdr:txBody>
    </xdr:sp>
    <xdr:clientData/>
  </xdr:twoCellAnchor>
  <xdr:twoCellAnchor>
    <xdr:from>
      <xdr:col>1</xdr:col>
      <xdr:colOff>49784</xdr:colOff>
      <xdr:row>9</xdr:row>
      <xdr:rowOff>43434</xdr:rowOff>
    </xdr:from>
    <xdr:to>
      <xdr:col>1</xdr:col>
      <xdr:colOff>392684</xdr:colOff>
      <xdr:row>9</xdr:row>
      <xdr:rowOff>386334</xdr:rowOff>
    </xdr:to>
    <xdr:pic macro="[2]!RelaunchCall">
      <xdr:nvPicPr>
        <xdr:cNvPr id="4" name="BT68653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459" y="1843659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9</xdr:row>
      <xdr:rowOff>43434</xdr:rowOff>
    </xdr:from>
    <xdr:to>
      <xdr:col>2</xdr:col>
      <xdr:colOff>44958</xdr:colOff>
      <xdr:row>9</xdr:row>
      <xdr:rowOff>386334</xdr:rowOff>
    </xdr:to>
    <xdr:pic macro="[2]!AddRemovGrid">
      <xdr:nvPicPr>
        <xdr:cNvPr id="5" name="RM68653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233" y="1843659"/>
          <a:ext cx="3556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9</xdr:row>
      <xdr:rowOff>43434</xdr:rowOff>
    </xdr:from>
    <xdr:to>
      <xdr:col>2</xdr:col>
      <xdr:colOff>44958</xdr:colOff>
      <xdr:row>9</xdr:row>
      <xdr:rowOff>386334</xdr:rowOff>
    </xdr:to>
    <xdr:pic macro="AddRemovGrid">
      <xdr:nvPicPr>
        <xdr:cNvPr id="6" name="AD686533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233" y="1843659"/>
          <a:ext cx="3556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219</xdr:row>
      <xdr:rowOff>0</xdr:rowOff>
    </xdr:from>
    <xdr:to>
      <xdr:col>6</xdr:col>
      <xdr:colOff>0</xdr:colOff>
      <xdr:row>235</xdr:row>
      <xdr:rowOff>0</xdr:rowOff>
    </xdr:to>
    <xdr:graphicFrame macro="">
      <xdr:nvGraphicFramePr>
        <xdr:cNvPr id="7" name="Chart 6-XLSTAT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219</xdr:row>
      <xdr:rowOff>0</xdr:rowOff>
    </xdr:from>
    <xdr:to>
      <xdr:col>11</xdr:col>
      <xdr:colOff>127000</xdr:colOff>
      <xdr:row>235</xdr:row>
      <xdr:rowOff>0</xdr:rowOff>
    </xdr:to>
    <xdr:graphicFrame macro="">
      <xdr:nvGraphicFramePr>
        <xdr:cNvPr id="8" name="Chart 7-XLSTA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265</xdr:row>
      <xdr:rowOff>0</xdr:rowOff>
    </xdr:from>
    <xdr:to>
      <xdr:col>6</xdr:col>
      <xdr:colOff>0</xdr:colOff>
      <xdr:row>281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127000</xdr:colOff>
      <xdr:row>265</xdr:row>
      <xdr:rowOff>0</xdr:rowOff>
    </xdr:from>
    <xdr:to>
      <xdr:col>11</xdr:col>
      <xdr:colOff>127000</xdr:colOff>
      <xdr:row>281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3</xdr:col>
          <xdr:colOff>1409700</xdr:colOff>
          <xdr:row>13</xdr:row>
          <xdr:rowOff>63500</xdr:rowOff>
        </xdr:to>
        <xdr:sp macro="" textlink="">
          <xdr:nvSpPr>
            <xdr:cNvPr id="3073" name="DD283996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800100</xdr:colOff>
      <xdr:row>288</xdr:row>
      <xdr:rowOff>38100</xdr:rowOff>
    </xdr:from>
    <xdr:to>
      <xdr:col>15</xdr:col>
      <xdr:colOff>800100</xdr:colOff>
      <xdr:row>304</xdr:row>
      <xdr:rowOff>38100</xdr:rowOff>
    </xdr:to>
    <xdr:graphicFrame macro="">
      <xdr:nvGraphicFramePr>
        <xdr:cNvPr id="12" name="Chart 10-XLSTAT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101600</xdr:colOff>
      <xdr:row>288</xdr:row>
      <xdr:rowOff>38100</xdr:rowOff>
    </xdr:from>
    <xdr:to>
      <xdr:col>21</xdr:col>
      <xdr:colOff>101600</xdr:colOff>
      <xdr:row>304</xdr:row>
      <xdr:rowOff>38100</xdr:rowOff>
    </xdr:to>
    <xdr:graphicFrame macro="">
      <xdr:nvGraphicFramePr>
        <xdr:cNvPr id="13" name="Chart 11-XLSTAT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21</xdr:row>
      <xdr:rowOff>57150</xdr:rowOff>
    </xdr:from>
    <xdr:to>
      <xdr:col>16</xdr:col>
      <xdr:colOff>600075</xdr:colOff>
      <xdr:row>43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10</xdr:row>
      <xdr:rowOff>0</xdr:rowOff>
    </xdr:from>
    <xdr:to>
      <xdr:col>2</xdr:col>
      <xdr:colOff>38100</xdr:colOff>
      <xdr:row>10</xdr:row>
      <xdr:rowOff>25400</xdr:rowOff>
    </xdr:to>
    <xdr:sp macro="" textlink="">
      <xdr:nvSpPr>
        <xdr:cNvPr id="2" name="TX703446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98575" y="20002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RunProcARI
Form48.txt
OptionButton_R,OptionButton,False,True,000000000003_General,True,Range,False,
OptionButton_S,OptionButton,True,True,000000000203_General,True,Sheet,False,
OptionButton_W,OptionButton,False,True,000000000303_General,True,Workbook,False,
RefEdit_R,RefEdit,,True,000000000103_General,True,Range:,False,
RefEditT,RefEdit0,'Sheet1'!$D:$D,True,000000000002_General,True,,False,
CheckBoxVarLabels,CheckBox,True,True,000000000004_General,True,Series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CheckBoxDate,CheckBox,True,True,000000000502_General,True,Date data,False,
RefEditDate,RefEdit0,'Sheet1'!$C:$C,True,000000000602_General,True,Date data:,False,
CheckBoxCheckInt,CheckBox,False,True,000000000702_General,True,Check intervals,False,
CheckBoxCenter,CheckBox,True,True,000000000202_General,True,Center,False,
CheckBoxVar,CheckBox,False,True,000000000302_General,True,Variance,False,
TextBoxVar,TextBox,1,True,000000000402_General,True,Variance:,False,
TextBox_GQ,TextBox,2,True,000000001106_General,True,Q:,False,
TextBox_p,TextBox,2,True,000000000006_General,True,p:,False,
TextBox_d,TextBox,1,True,000000000306_General,True,d:,False,
TextBox_q,TextBox,2,True,000000000506_General,True,q:,False,
TextBox_Gd,TextBox,1,True,000000000906_General,True,D:,False,
TextBox_s,TextBox,12,True,000000001306_General,True,s:,False,
TextBox_GP,TextBox,2,True,000000000706_General,True,P:,False,
OptionButtonHR,OptionButton,False,True,100000000400_Options,True,Hannan-Rissanen,False,
OptionButtonInnov,OptionButton,False,True,100000000300_Options,True,Innovations,False,
CheckBoxPre,CheckBox,True,True,100000000000_Options,True,Preliminary estimation,False,
TextBox_m,TextBox,,True,100000000700_Options,True,m:,False,
CheckBoxAuto,CheckBox,True,True,100000000500_Options,True,Automatic,False,
OptionButtonYW,OptionButton,False,True,100000000100_Options,True,Yule-Walker,False,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OptionButtonLike,OptionButton,True,True,100000000102_Options,True,Likelihood,False,
OptionButtonLeast,OptionButton,False,True,100000000202_Options,True,Least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TextBoxTestNumber,TextBox,1,True,200000000000_Validation,True,,False,
CheckBox_Validation,CheckBox,False,True,200000000001_Validation,True,Validation,False,
CheckBox_Prediction,CheckBox,True,True,300000000001_Prediction,True,Prediction,False,
TextboxPredNumber,TextBox,6,True,300000000000_Prediction,True,,False,
CheckBoxTrans,CheckBox,False,False,06,False,Trans,False,
CheckBox_X,CheckBox,False,True,000000000802_General,True,X / Explanatory variables,False,
RefEdit_X,RefEdit,,True,000000000902_General,True,X / Explanatory variables:,False,
RefEdit_XPred,RefEdit,,True,300000000002_Prediction,True,X / Explanatory variables:,False,
CheckBox_XPred,CheckBox,False,True,300000000003_Prediction,True,X / Explanatory variables,False,
ComboBoxMode,ComboBox,0,True,000000000008_General,True,Mode:,False,
TextBox_Conf,TextBox,95,True,500000000101_Outputs,True,Confidence intervals (%):,False,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</a:t>
          </a:r>
        </a:p>
      </xdr:txBody>
    </xdr:sp>
    <xdr:clientData/>
  </xdr:twoCellAnchor>
  <xdr:twoCellAnchor>
    <xdr:from>
      <xdr:col>1</xdr:col>
      <xdr:colOff>49784</xdr:colOff>
      <xdr:row>10</xdr:row>
      <xdr:rowOff>43434</xdr:rowOff>
    </xdr:from>
    <xdr:to>
      <xdr:col>1</xdr:col>
      <xdr:colOff>392684</xdr:colOff>
      <xdr:row>10</xdr:row>
      <xdr:rowOff>386334</xdr:rowOff>
    </xdr:to>
    <xdr:pic macro="[2]!RelaunchCall">
      <xdr:nvPicPr>
        <xdr:cNvPr id="4" name="BT70344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459" y="20436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10</xdr:row>
      <xdr:rowOff>43434</xdr:rowOff>
    </xdr:from>
    <xdr:to>
      <xdr:col>2</xdr:col>
      <xdr:colOff>44958</xdr:colOff>
      <xdr:row>10</xdr:row>
      <xdr:rowOff>386334</xdr:rowOff>
    </xdr:to>
    <xdr:pic macro="[2]!AddRemovGrid">
      <xdr:nvPicPr>
        <xdr:cNvPr id="5" name="RM70344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233" y="2043684"/>
          <a:ext cx="3556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10</xdr:row>
      <xdr:rowOff>43434</xdr:rowOff>
    </xdr:from>
    <xdr:to>
      <xdr:col>2</xdr:col>
      <xdr:colOff>44958</xdr:colOff>
      <xdr:row>10</xdr:row>
      <xdr:rowOff>386334</xdr:rowOff>
    </xdr:to>
    <xdr:pic macro="AddRemovGrid">
      <xdr:nvPicPr>
        <xdr:cNvPr id="6" name="AD703446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233" y="2043684"/>
          <a:ext cx="3556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226</xdr:row>
      <xdr:rowOff>0</xdr:rowOff>
    </xdr:from>
    <xdr:to>
      <xdr:col>6</xdr:col>
      <xdr:colOff>0</xdr:colOff>
      <xdr:row>242</xdr:row>
      <xdr:rowOff>0</xdr:rowOff>
    </xdr:to>
    <xdr:graphicFrame macro="">
      <xdr:nvGraphicFramePr>
        <xdr:cNvPr id="7" name="Chart 6-XLSTAT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226</xdr:row>
      <xdr:rowOff>0</xdr:rowOff>
    </xdr:from>
    <xdr:to>
      <xdr:col>11</xdr:col>
      <xdr:colOff>127000</xdr:colOff>
      <xdr:row>242</xdr:row>
      <xdr:rowOff>0</xdr:rowOff>
    </xdr:to>
    <xdr:graphicFrame macro="">
      <xdr:nvGraphicFramePr>
        <xdr:cNvPr id="8" name="Chart 7-XLSTAT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6</xdr:col>
      <xdr:colOff>0</xdr:colOff>
      <xdr:row>288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127000</xdr:colOff>
      <xdr:row>272</xdr:row>
      <xdr:rowOff>0</xdr:rowOff>
    </xdr:from>
    <xdr:to>
      <xdr:col>11</xdr:col>
      <xdr:colOff>127000</xdr:colOff>
      <xdr:row>288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318</xdr:row>
      <xdr:rowOff>0</xdr:rowOff>
    </xdr:from>
    <xdr:to>
      <xdr:col>6</xdr:col>
      <xdr:colOff>0</xdr:colOff>
      <xdr:row>334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127000</xdr:colOff>
      <xdr:row>318</xdr:row>
      <xdr:rowOff>0</xdr:rowOff>
    </xdr:from>
    <xdr:to>
      <xdr:col>11</xdr:col>
      <xdr:colOff>127000</xdr:colOff>
      <xdr:row>334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4</xdr:col>
          <xdr:colOff>0</xdr:colOff>
          <xdr:row>12</xdr:row>
          <xdr:rowOff>266700</xdr:rowOff>
        </xdr:to>
        <xdr:sp macro="" textlink="">
          <xdr:nvSpPr>
            <xdr:cNvPr id="10241" name="DD72625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10</xdr:row>
      <xdr:rowOff>0</xdr:rowOff>
    </xdr:from>
    <xdr:to>
      <xdr:col>2</xdr:col>
      <xdr:colOff>38100</xdr:colOff>
      <xdr:row>10</xdr:row>
      <xdr:rowOff>25400</xdr:rowOff>
    </xdr:to>
    <xdr:sp macro="" textlink="">
      <xdr:nvSpPr>
        <xdr:cNvPr id="2" name="TX586073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1900" y="1905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RunProcARI
Form48.txt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CheckBoxVarLabels,CheckBox,True,True,000000000006_General,True,Series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CheckBoxDate,CheckBox,True,True,000000000302_General,True,Date data,False,
RefEditDate,RefEdit0,'Sheet674173X765'!$A$1:$A$157,True,000000000402_General,True,Date data:,False,
CheckBoxCheckInt,CheckBox,False,True,000000000502_General,True,Check intervals,False,
CheckBoxCenter,CheckBox,True,True,000000000002_General,True,Center,False,
CheckBoxVar,CheckBox,False,True,000000000102_General,True,Variance,False,
TextBoxVar,TextBox,1,True,000000000202_General,True,Variance:,False,
TextBox_GQ,TextBox,0,True,000000001108_General,True,Q:,False,
TextBox_p,TextBox,2,True,000000000008_General,True,p:,False,
TextBox_d,TextBox,1,True,000000000308_General,True,d:,False,
TextBox_q,TextBox,0,True,000000000508_General,True,q:,False,
TextBox_Gd,TextBox,1,True,000000000908_General,True,D:,False,
TextBox_s,TextBox,12,True,000000001308_General,True,s:,False,
TextBox_GP,TextBox,2,True,000000000708_General,True,P:,False,
OptionButtonHR,OptionButton,False,True,100000000400_Options,True,Hannan-Rissanen,False,
OptionButtonInnov,OptionButton,False,True,100000000300_Options,True,Innovations,False,
CheckBoxPre,CheckBox,False,True,100000000000_Options,True,Preliminary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OptionButtonLike,OptionButton,False,True,100000000102_Options,True,Likelihood,False,
OptionButtonLeast,OptionButton,True,True,100000000202_Options,True,Least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TextBoxTestNumber,TextBox,12,True,200000000000_Validation,True,,False,
CheckBox_Validation,CheckBox,True,True,200000000001_Validation,True,Validation,False,
CheckBox_Prediction,CheckBox,False,True,300000000001_Prediction,True,Prediction,False,
TextboxPredNumber,TextBox,1,True,300000000000_Prediction,True,,False,
CheckBoxTrans,CheckBox,False,False,04,False,Trans,False,
RefEdit_XPred,RefEdit,,True,300000000002_Prediction,True,X / Explanatory variables:,False,
CheckBox_XPred,CheckBox,False,True,300000000003_Prediction,True,X / Explanatory variables,True,
RefEdit_X,RefEdit,,True,000000000004_General,True,X / Explanatory variables:,False,
CheckBox_X,CheckBox,False,True,000000000003_General,True,X / Explanatory variables,False,
ComboBoxMode,ComboBox,0,True,000000000009_General,True,Mode:,False,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TextBox_Conf,TextBox,95,True,500000010400_Outputs,True,Confidence intervals (%):,False,
RefEditT,RefEdit0,'Sheet674173X765'!$B$1:$B$157,True,000000000001_General,True,,False,
</a:t>
          </a:r>
        </a:p>
      </xdr:txBody>
    </xdr:sp>
    <xdr:clientData/>
  </xdr:twoCellAnchor>
  <xdr:absoluteAnchor>
    <xdr:pos x="860932" y="1948434"/>
    <xdr:ext cx="342900" cy="342900"/>
    <xdr:pic macro="AddRemovGrid">
      <xdr:nvPicPr>
        <xdr:cNvPr id="6" name="AD586073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absoluteAnchor>
  <xdr:twoCellAnchor>
    <xdr:from>
      <xdr:col>1</xdr:col>
      <xdr:colOff>0</xdr:colOff>
      <xdr:row>216</xdr:row>
      <xdr:rowOff>0</xdr:rowOff>
    </xdr:from>
    <xdr:to>
      <xdr:col>7</xdr:col>
      <xdr:colOff>0</xdr:colOff>
      <xdr:row>233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127000</xdr:colOff>
      <xdr:row>216</xdr:row>
      <xdr:rowOff>0</xdr:rowOff>
    </xdr:from>
    <xdr:to>
      <xdr:col>13</xdr:col>
      <xdr:colOff>127000</xdr:colOff>
      <xdr:row>233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263</xdr:row>
      <xdr:rowOff>0</xdr:rowOff>
    </xdr:from>
    <xdr:to>
      <xdr:col>7</xdr:col>
      <xdr:colOff>0</xdr:colOff>
      <xdr:row>280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127000</xdr:colOff>
      <xdr:row>263</xdr:row>
      <xdr:rowOff>0</xdr:rowOff>
    </xdr:from>
    <xdr:to>
      <xdr:col>13</xdr:col>
      <xdr:colOff>127000</xdr:colOff>
      <xdr:row>280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310</xdr:row>
      <xdr:rowOff>0</xdr:rowOff>
    </xdr:from>
    <xdr:to>
      <xdr:col>7</xdr:col>
      <xdr:colOff>0</xdr:colOff>
      <xdr:row>327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310</xdr:row>
      <xdr:rowOff>0</xdr:rowOff>
    </xdr:from>
    <xdr:to>
      <xdr:col>13</xdr:col>
      <xdr:colOff>127000</xdr:colOff>
      <xdr:row>327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11</xdr:row>
          <xdr:rowOff>0</xdr:rowOff>
        </xdr:from>
        <xdr:to>
          <xdr:col>3</xdr:col>
          <xdr:colOff>673100</xdr:colOff>
          <xdr:row>12</xdr:row>
          <xdr:rowOff>0</xdr:rowOff>
        </xdr:to>
        <xdr:sp macro="" textlink="">
          <xdr:nvSpPr>
            <xdr:cNvPr id="6145" name="DD85800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2" name="TX431927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955675" y="1714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RunProcARI
Form48.txt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CheckBoxVarLabels,CheckBox,True,True,000000000006_General,True,Series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CheckBoxDate,CheckBox,False,True,000000000302_General,True,Date data,False,
RefEditDate,RefEdit0,'Total Data'!$A:$A,True,000000000402_General,True,Date data:,False,
CheckBoxCheckInt,CheckBox,False,True,000000000502_General,True,Check intervals,False,
CheckBoxCenter,CheckBox,True,True,000000000002_General,True,Center,False,
CheckBoxVar,CheckBox,False,True,000000000102_General,True,Variance,False,
TextBoxVar,TextBox,1,True,000000000202_General,True,Variance:,False,
TextBox_GQ,TextBox,0,True,000000001108_General,True,Q:,False,
TextBox_p,TextBox,1,True,000000000008_General,True,p:,False,
TextBox_d,TextBox,1,True,000000000308_General,True,d:,False,
TextBox_q,TextBox,0,True,000000000508_General,True,q:,False,
TextBox_Gd,TextBox,1,True,000000000908_General,True,D:,False,
TextBox_s,TextBox,12,True,000000001308_General,True,s:,False,
TextBox_GP,TextBox,1,True,000000000708_General,True,P:,False,
OptionButtonHR,OptionButton,False,True,100000000400_Options,True,Hannan-Rissanen,False,
OptionButtonInnov,OptionButton,False,True,100000000300_Options,True,Innovations,False,
CheckBoxPre,CheckBox,False,True,100000000000_Options,True,Preliminary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OptionButtonLike,OptionButton,True,True,100000000102_Options,True,Likelihood,False,
OptionButtonLeast,OptionButton,False,True,100000000202_Options,True,Least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TextBoxTestNumber,TextBox,12,True,200000000000_Validation,True,,False,
CheckBox_Validation,CheckBox,True,True,200000000001_Validation,True,Validation,False,
CheckBox_Prediction,CheckBox,False,True,300000000001_Prediction,True,Prediction,False,
TextboxPredNumber,TextBox,1,True,300000000000_Prediction,True,,False,
CheckBoxTrans,CheckBox,False,False,04,False,Trans,False,
RefEdit_XPred,RefEdit,,True,300000000002_Prediction,True,X / Explanatory variables:,False,
CheckBox_XPred,CheckBox,False,True,300000000003_Prediction,True,X / Explanatory variables,True,
RefEdit_X,RefEdit,,True,000000000004_General,True,X / Explanatory variables:,False,
CheckBox_X,CheckBox,False,True,000000000003_General,True,X / Explanatory variables,False,
ComboBoxMode,ComboBox,0,True,000000000009_General,True,Mode:,False,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TextBox_Conf,TextBox,95,True,500000010400_Outputs,True,Confidence intervals (%):,False,
RefEditT,RefEdit0,'Total Data'!$G$1:$G$157,True,000000000001_General,True,,False,
</a:t>
          </a:r>
        </a:p>
      </xdr:txBody>
    </xdr:sp>
    <xdr:clientData/>
  </xdr:twoCellAnchor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3" name="L1431927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55675" y="1714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1
ListBox
0
ListBoxMV
1
6
#N/A,0
N/A,0
NA,0
NULL,0
-,0
*,0
</a:t>
          </a:r>
        </a:p>
      </xdr:txBody>
    </xdr:sp>
    <xdr:clientData/>
  </xdr:twoCellAnchor>
  <xdr:twoCellAnchor editAs="absolute">
    <xdr:from>
      <xdr:col>1</xdr:col>
      <xdr:colOff>527557</xdr:colOff>
      <xdr:row>18</xdr:row>
      <xdr:rowOff>148209</xdr:rowOff>
    </xdr:from>
    <xdr:to>
      <xdr:col>2</xdr:col>
      <xdr:colOff>260857</xdr:colOff>
      <xdr:row>20</xdr:row>
      <xdr:rowOff>110109</xdr:rowOff>
    </xdr:to>
    <xdr:pic macro="AddRemovGrid">
      <xdr:nvPicPr>
        <xdr:cNvPr id="7" name="AD431927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213</xdr:row>
      <xdr:rowOff>0</xdr:rowOff>
    </xdr:from>
    <xdr:to>
      <xdr:col>7</xdr:col>
      <xdr:colOff>0</xdr:colOff>
      <xdr:row>230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127000</xdr:colOff>
      <xdr:row>213</xdr:row>
      <xdr:rowOff>0</xdr:rowOff>
    </xdr:from>
    <xdr:to>
      <xdr:col>13</xdr:col>
      <xdr:colOff>127000</xdr:colOff>
      <xdr:row>230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260</xdr:row>
      <xdr:rowOff>0</xdr:rowOff>
    </xdr:from>
    <xdr:to>
      <xdr:col>7</xdr:col>
      <xdr:colOff>0</xdr:colOff>
      <xdr:row>277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127000</xdr:colOff>
      <xdr:row>260</xdr:row>
      <xdr:rowOff>0</xdr:rowOff>
    </xdr:from>
    <xdr:to>
      <xdr:col>13</xdr:col>
      <xdr:colOff>127000</xdr:colOff>
      <xdr:row>277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307</xdr:row>
      <xdr:rowOff>0</xdr:rowOff>
    </xdr:from>
    <xdr:to>
      <xdr:col>7</xdr:col>
      <xdr:colOff>0</xdr:colOff>
      <xdr:row>324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307</xdr:row>
      <xdr:rowOff>0</xdr:rowOff>
    </xdr:from>
    <xdr:to>
      <xdr:col>13</xdr:col>
      <xdr:colOff>127000</xdr:colOff>
      <xdr:row>324</xdr:row>
      <xdr:rowOff>0</xdr:rowOff>
    </xdr:to>
    <xdr:graphicFrame macro="">
      <xdr:nvGraphicFramePr>
        <xdr:cNvPr id="15" name="Chart 14-XLSTAT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10</xdr:row>
          <xdr:rowOff>0</xdr:rowOff>
        </xdr:from>
        <xdr:to>
          <xdr:col>3</xdr:col>
          <xdr:colOff>1206500</xdr:colOff>
          <xdr:row>11</xdr:row>
          <xdr:rowOff>203200</xdr:rowOff>
        </xdr:to>
        <xdr:sp macro="" textlink="">
          <xdr:nvSpPr>
            <xdr:cNvPr id="7169" name="DD241933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3</xdr:row>
      <xdr:rowOff>142875</xdr:rowOff>
    </xdr:from>
    <xdr:to>
      <xdr:col>15</xdr:col>
      <xdr:colOff>228600</xdr:colOff>
      <xdr:row>18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686675" y="733425"/>
          <a:ext cx="3543300" cy="300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2</a:t>
          </a:r>
          <a:r>
            <a:rPr lang="en-US" sz="1100" b="1" baseline="0"/>
            <a:t> Models made:-</a:t>
          </a:r>
        </a:p>
        <a:p>
          <a:endParaRPr lang="en-US" sz="1100" baseline="0"/>
        </a:p>
        <a:p>
          <a:r>
            <a:rPr lang="en-US" sz="1100" i="1" baseline="0"/>
            <a:t>1)</a:t>
          </a:r>
          <a:r>
            <a:rPr lang="en-US" sz="1100" baseline="0"/>
            <a:t> Predicting the total consumption</a:t>
          </a:r>
        </a:p>
        <a:p>
          <a:endParaRPr lang="en-US" sz="1100" baseline="0"/>
        </a:p>
        <a:p>
          <a:r>
            <a:rPr lang="en-US" sz="1100" i="1" baseline="0"/>
            <a:t>2) </a:t>
          </a:r>
          <a:r>
            <a:rPr lang="en-US" sz="1100" baseline="0"/>
            <a:t>Predicting the individual components of total    consumption, then summing up to get the total consumption.</a:t>
          </a:r>
        </a:p>
        <a:p>
          <a:endParaRPr lang="en-US" sz="1100" baseline="0"/>
        </a:p>
        <a:p>
          <a:r>
            <a:rPr lang="en-US" sz="1100" b="1" baseline="0"/>
            <a:t>Reason</a:t>
          </a:r>
          <a:r>
            <a:rPr lang="en-US" sz="1100" baseline="0"/>
            <a:t>: </a:t>
          </a:r>
        </a:p>
        <a:p>
          <a:r>
            <a:rPr lang="en-US" sz="1100" baseline="0"/>
            <a:t>Individual components were observed to have unique trends, hence making models for individual components would result in better capturing of trends.</a:t>
          </a:r>
        </a:p>
        <a:p>
          <a:endParaRPr lang="en-US" sz="1100" baseline="0"/>
        </a:p>
        <a:p>
          <a:r>
            <a:rPr lang="en-US" sz="1100" b="1" baseline="0"/>
            <a:t>Result:</a:t>
          </a:r>
        </a:p>
        <a:p>
          <a:r>
            <a:rPr lang="en-US" sz="1100" baseline="0"/>
            <a:t> Finally Model 2 selected as it gave better prediction.</a:t>
          </a:r>
        </a:p>
        <a:p>
          <a:r>
            <a:rPr lang="en-US" sz="1100" baseline="0"/>
            <a:t> 	</a:t>
          </a:r>
          <a:r>
            <a:rPr lang="en-US" sz="1100" b="1" baseline="0"/>
            <a:t>RMSE - 74.32</a:t>
          </a:r>
          <a:endParaRPr lang="en-US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Electricity%20Consump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XLSTAT.app/Contents/Library/XLSTAT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0267516/Downloads/Transport_Comple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lt Winter's Smoothing"/>
      <sheetName val="Full-Data"/>
      <sheetName val="Decomposition-Household"/>
      <sheetName val="Time Series Trend"/>
      <sheetName val="Decomp-Regression"/>
      <sheetName val="Decomposition"/>
      <sheetName val="Simple Exponential Smoothing"/>
      <sheetName val="Holt-Winters"/>
      <sheetName val="Data"/>
      <sheetName val="Holt-Winters1"/>
      <sheetName val="ARIMA3"/>
      <sheetName val="Descriptive analysis"/>
      <sheetName val="ARIMA2"/>
      <sheetName val="ARIMA1"/>
      <sheetName val="ARIMA"/>
      <sheetName val="Sheet3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>
        <row r="49">
          <cell r="B49">
            <v>1</v>
          </cell>
          <cell r="C49">
            <v>2796.8</v>
          </cell>
        </row>
        <row r="50">
          <cell r="B50">
            <v>2</v>
          </cell>
          <cell r="C50">
            <v>2791</v>
          </cell>
        </row>
        <row r="51">
          <cell r="B51">
            <v>3</v>
          </cell>
          <cell r="C51">
            <v>2754.2</v>
          </cell>
        </row>
        <row r="52">
          <cell r="B52">
            <v>4</v>
          </cell>
          <cell r="C52">
            <v>2968.7</v>
          </cell>
        </row>
        <row r="53">
          <cell r="B53">
            <v>5</v>
          </cell>
          <cell r="C53">
            <v>2957.3</v>
          </cell>
        </row>
        <row r="54">
          <cell r="B54">
            <v>6</v>
          </cell>
          <cell r="C54">
            <v>3097.4</v>
          </cell>
        </row>
        <row r="55">
          <cell r="B55">
            <v>7</v>
          </cell>
          <cell r="C55">
            <v>2994.9</v>
          </cell>
        </row>
        <row r="56">
          <cell r="B56">
            <v>8</v>
          </cell>
          <cell r="C56">
            <v>3116.5</v>
          </cell>
        </row>
        <row r="57">
          <cell r="B57">
            <v>9</v>
          </cell>
          <cell r="C57">
            <v>3037.8</v>
          </cell>
        </row>
        <row r="58">
          <cell r="B58">
            <v>10</v>
          </cell>
          <cell r="C58">
            <v>2916.7</v>
          </cell>
        </row>
        <row r="59">
          <cell r="B59">
            <v>11</v>
          </cell>
          <cell r="C59">
            <v>3156.6</v>
          </cell>
        </row>
        <row r="60">
          <cell r="B60">
            <v>12</v>
          </cell>
          <cell r="C60">
            <v>2901.3</v>
          </cell>
        </row>
        <row r="61">
          <cell r="B61">
            <v>13</v>
          </cell>
          <cell r="C61">
            <v>2975.3</v>
          </cell>
          <cell r="D61">
            <v>2796.8</v>
          </cell>
          <cell r="E61">
            <v>178.5</v>
          </cell>
        </row>
        <row r="62">
          <cell r="B62">
            <v>14</v>
          </cell>
          <cell r="C62">
            <v>2887.4</v>
          </cell>
          <cell r="D62">
            <v>2835.4844032558153</v>
          </cell>
          <cell r="E62">
            <v>51.915596744184768</v>
          </cell>
        </row>
        <row r="63">
          <cell r="B63">
            <v>15</v>
          </cell>
          <cell r="C63">
            <v>2893.8</v>
          </cell>
          <cell r="D63">
            <v>2812.5150422963352</v>
          </cell>
          <cell r="E63">
            <v>81.284957703664986</v>
          </cell>
        </row>
        <row r="64">
          <cell r="B64">
            <v>16</v>
          </cell>
          <cell r="C64">
            <v>3023.6</v>
          </cell>
          <cell r="D64">
            <v>3048.4245048370208</v>
          </cell>
          <cell r="E64">
            <v>-24.824504837020868</v>
          </cell>
        </row>
        <row r="65">
          <cell r="B65">
            <v>17</v>
          </cell>
          <cell r="C65">
            <v>3092.5</v>
          </cell>
          <cell r="D65">
            <v>3032.3966642692985</v>
          </cell>
          <cell r="E65">
            <v>60.103335730701474</v>
          </cell>
        </row>
        <row r="66">
          <cell r="B66">
            <v>18</v>
          </cell>
          <cell r="C66">
            <v>3182.1</v>
          </cell>
          <cell r="D66">
            <v>3188.9097490335353</v>
          </cell>
          <cell r="E66">
            <v>-6.8097490335353541</v>
          </cell>
        </row>
        <row r="67">
          <cell r="B67">
            <v>19</v>
          </cell>
          <cell r="C67">
            <v>3007.5</v>
          </cell>
          <cell r="D67">
            <v>3086.4478281211277</v>
          </cell>
          <cell r="E67">
            <v>-78.947828121127714</v>
          </cell>
        </row>
        <row r="68">
          <cell r="B68">
            <v>20</v>
          </cell>
          <cell r="C68">
            <v>3264</v>
          </cell>
          <cell r="D68">
            <v>3190.0741537245563</v>
          </cell>
          <cell r="E68">
            <v>73.925846275443746</v>
          </cell>
        </row>
        <row r="69">
          <cell r="B69">
            <v>21</v>
          </cell>
          <cell r="C69">
            <v>3114</v>
          </cell>
          <cell r="D69">
            <v>3131.1036886195302</v>
          </cell>
          <cell r="E69">
            <v>-17.103688619530203</v>
          </cell>
        </row>
        <row r="70">
          <cell r="B70">
            <v>22</v>
          </cell>
          <cell r="C70">
            <v>3107.1</v>
          </cell>
          <cell r="D70">
            <v>3007.417223529766</v>
          </cell>
          <cell r="E70">
            <v>99.682776470233875</v>
          </cell>
        </row>
        <row r="71">
          <cell r="B71">
            <v>23</v>
          </cell>
          <cell r="C71">
            <v>3215</v>
          </cell>
          <cell r="D71">
            <v>3273.7498560094873</v>
          </cell>
          <cell r="E71">
            <v>-58.749856009487303</v>
          </cell>
        </row>
        <row r="72">
          <cell r="B72">
            <v>24</v>
          </cell>
          <cell r="C72">
            <v>3039.4</v>
          </cell>
          <cell r="D72">
            <v>3005.8976082486006</v>
          </cell>
          <cell r="E72">
            <v>33.5023917513995</v>
          </cell>
        </row>
        <row r="73">
          <cell r="B73">
            <v>25</v>
          </cell>
          <cell r="C73">
            <v>3166.4</v>
          </cell>
          <cell r="D73">
            <v>2942.9110353639626</v>
          </cell>
          <cell r="E73">
            <v>223.48896463603751</v>
          </cell>
        </row>
        <row r="74">
          <cell r="B74">
            <v>26</v>
          </cell>
          <cell r="C74">
            <v>2938.6</v>
          </cell>
          <cell r="D74">
            <v>2972.5243562168221</v>
          </cell>
          <cell r="E74">
            <v>-33.924356216822162</v>
          </cell>
        </row>
        <row r="75">
          <cell r="B75">
            <v>27</v>
          </cell>
          <cell r="C75">
            <v>3018.8</v>
          </cell>
          <cell r="D75">
            <v>2935.5115687170546</v>
          </cell>
          <cell r="E75">
            <v>83.288431282945567</v>
          </cell>
        </row>
        <row r="76">
          <cell r="B76">
            <v>28</v>
          </cell>
          <cell r="C76">
            <v>3150</v>
          </cell>
          <cell r="D76">
            <v>3155.0313551393124</v>
          </cell>
          <cell r="E76">
            <v>-5.0313551393123817</v>
          </cell>
        </row>
        <row r="77">
          <cell r="B77">
            <v>29</v>
          </cell>
          <cell r="C77">
            <v>3271.1</v>
          </cell>
          <cell r="D77">
            <v>3160.629601814418</v>
          </cell>
          <cell r="E77">
            <v>110.47039818558187</v>
          </cell>
        </row>
        <row r="78">
          <cell r="B78">
            <v>30</v>
          </cell>
          <cell r="C78">
            <v>3222.5</v>
          </cell>
          <cell r="D78">
            <v>3319.8030698871075</v>
          </cell>
          <cell r="E78">
            <v>-97.30306988710754</v>
          </cell>
        </row>
        <row r="79">
          <cell r="B79">
            <v>31</v>
          </cell>
          <cell r="C79">
            <v>3288.9</v>
          </cell>
          <cell r="D79">
            <v>3184.2310332839115</v>
          </cell>
          <cell r="E79">
            <v>104.66896671608856</v>
          </cell>
        </row>
        <row r="80">
          <cell r="B80">
            <v>32</v>
          </cell>
          <cell r="C80">
            <v>3277.4</v>
          </cell>
          <cell r="D80">
            <v>3362.1492424500098</v>
          </cell>
          <cell r="E80">
            <v>-84.74924245000966</v>
          </cell>
        </row>
        <row r="81">
          <cell r="B81">
            <v>33</v>
          </cell>
          <cell r="C81">
            <v>3205.8</v>
          </cell>
          <cell r="D81">
            <v>3250.222680246382</v>
          </cell>
          <cell r="E81">
            <v>-44.422680246381788</v>
          </cell>
        </row>
        <row r="82">
          <cell r="B82">
            <v>34</v>
          </cell>
          <cell r="C82">
            <v>3268.2</v>
          </cell>
          <cell r="D82">
            <v>3142.0431632687737</v>
          </cell>
          <cell r="E82">
            <v>126.15683673122612</v>
          </cell>
        </row>
        <row r="83">
          <cell r="B83">
            <v>35</v>
          </cell>
          <cell r="C83">
            <v>3378.1</v>
          </cell>
          <cell r="D83">
            <v>3388.7858209602186</v>
          </cell>
          <cell r="E83">
            <v>-10.685820960218734</v>
          </cell>
        </row>
        <row r="84">
          <cell r="B84">
            <v>36</v>
          </cell>
          <cell r="C84">
            <v>3119.2</v>
          </cell>
          <cell r="D84">
            <v>3150.9111050538781</v>
          </cell>
          <cell r="E84">
            <v>-31.711105053878327</v>
          </cell>
        </row>
        <row r="85">
          <cell r="B85">
            <v>37</v>
          </cell>
          <cell r="C85">
            <v>3149.8</v>
          </cell>
          <cell r="D85">
            <v>3107.0878052983917</v>
          </cell>
          <cell r="E85">
            <v>42.712194701608496</v>
          </cell>
        </row>
        <row r="86">
          <cell r="B86">
            <v>38</v>
          </cell>
          <cell r="C86">
            <v>3166.2</v>
          </cell>
          <cell r="D86">
            <v>3048.1137391475081</v>
          </cell>
          <cell r="E86">
            <v>118.08626085249171</v>
          </cell>
        </row>
        <row r="87">
          <cell r="B87">
            <v>39</v>
          </cell>
          <cell r="C87">
            <v>2987.2</v>
          </cell>
          <cell r="D87">
            <v>3070.3799701168296</v>
          </cell>
          <cell r="E87">
            <v>-83.179970116829736</v>
          </cell>
        </row>
        <row r="88">
          <cell r="B88">
            <v>40</v>
          </cell>
          <cell r="C88">
            <v>3289</v>
          </cell>
          <cell r="D88">
            <v>3234.4503434594585</v>
          </cell>
          <cell r="E88">
            <v>54.549656540541491</v>
          </cell>
        </row>
        <row r="89">
          <cell r="B89">
            <v>41</v>
          </cell>
          <cell r="C89">
            <v>3279.6</v>
          </cell>
          <cell r="D89">
            <v>3275.9200183431899</v>
          </cell>
          <cell r="E89">
            <v>3.6799816568100141</v>
          </cell>
        </row>
        <row r="90">
          <cell r="B90">
            <v>42</v>
          </cell>
          <cell r="C90">
            <v>3396.1</v>
          </cell>
          <cell r="D90">
            <v>3372.9896069713977</v>
          </cell>
          <cell r="E90">
            <v>23.110393028602175</v>
          </cell>
        </row>
        <row r="91">
          <cell r="B91">
            <v>43</v>
          </cell>
          <cell r="C91">
            <v>3368.5</v>
          </cell>
          <cell r="D91">
            <v>3303.4091494915538</v>
          </cell>
          <cell r="E91">
            <v>65.090850508446238</v>
          </cell>
        </row>
        <row r="92">
          <cell r="B92">
            <v>44</v>
          </cell>
          <cell r="C92">
            <v>3176.1</v>
          </cell>
          <cell r="D92">
            <v>3439.2674389225608</v>
          </cell>
          <cell r="E92">
            <v>-263.1674389225609</v>
          </cell>
        </row>
        <row r="93">
          <cell r="B93">
            <v>45</v>
          </cell>
          <cell r="C93">
            <v>3381.5</v>
          </cell>
          <cell r="D93">
            <v>3290.8570505696912</v>
          </cell>
          <cell r="E93">
            <v>90.642949430308818</v>
          </cell>
        </row>
        <row r="94">
          <cell r="B94">
            <v>46</v>
          </cell>
          <cell r="C94">
            <v>3364.9</v>
          </cell>
          <cell r="D94">
            <v>3246.3157976685129</v>
          </cell>
          <cell r="E94">
            <v>118.58420233148718</v>
          </cell>
        </row>
        <row r="95">
          <cell r="B95">
            <v>47</v>
          </cell>
          <cell r="C95">
            <v>3249</v>
          </cell>
          <cell r="D95">
            <v>3467.799456065703</v>
          </cell>
          <cell r="E95">
            <v>-218.799456065703</v>
          </cell>
        </row>
        <row r="96">
          <cell r="B96">
            <v>48</v>
          </cell>
          <cell r="C96">
            <v>3179.2</v>
          </cell>
          <cell r="D96">
            <v>3175.003986370752</v>
          </cell>
          <cell r="E96">
            <v>4.1960136292477728</v>
          </cell>
        </row>
        <row r="97">
          <cell r="B97">
            <v>49</v>
          </cell>
          <cell r="C97">
            <v>3005.9</v>
          </cell>
          <cell r="D97">
            <v>3152.8060504648879</v>
          </cell>
          <cell r="E97">
            <v>-146.90605046488781</v>
          </cell>
        </row>
        <row r="98">
          <cell r="B98">
            <v>50</v>
          </cell>
          <cell r="C98">
            <v>3004.8</v>
          </cell>
          <cell r="D98">
            <v>3059.6002907554666</v>
          </cell>
          <cell r="E98">
            <v>-54.800290755466449</v>
          </cell>
        </row>
        <row r="99">
          <cell r="B99">
            <v>51</v>
          </cell>
          <cell r="C99">
            <v>2931.1</v>
          </cell>
          <cell r="D99">
            <v>3002.240383998736</v>
          </cell>
          <cell r="E99">
            <v>-71.14038399873607</v>
          </cell>
        </row>
        <row r="100">
          <cell r="B100">
            <v>52</v>
          </cell>
          <cell r="C100">
            <v>3103.5</v>
          </cell>
          <cell r="D100">
            <v>3191.4800774070513</v>
          </cell>
          <cell r="E100">
            <v>-87.98007740705134</v>
          </cell>
        </row>
        <row r="101">
          <cell r="B101">
            <v>53</v>
          </cell>
          <cell r="C101">
            <v>3054.9</v>
          </cell>
          <cell r="D101">
            <v>3186.5148063496636</v>
          </cell>
          <cell r="E101">
            <v>-131.61480634966347</v>
          </cell>
        </row>
        <row r="102">
          <cell r="B102">
            <v>54</v>
          </cell>
          <cell r="C102">
            <v>3425.6</v>
          </cell>
          <cell r="D102">
            <v>3250.5940649927943</v>
          </cell>
          <cell r="E102">
            <v>175.00593500720561</v>
          </cell>
        </row>
        <row r="103">
          <cell r="B103">
            <v>55</v>
          </cell>
          <cell r="C103">
            <v>3414.1</v>
          </cell>
          <cell r="D103">
            <v>3222.8809582029239</v>
          </cell>
          <cell r="E103">
            <v>191.21904179707599</v>
          </cell>
        </row>
        <row r="104">
          <cell r="B104">
            <v>56</v>
          </cell>
          <cell r="C104">
            <v>3342.7</v>
          </cell>
          <cell r="D104">
            <v>3329.8799701645553</v>
          </cell>
          <cell r="E104">
            <v>12.820029835444529</v>
          </cell>
        </row>
        <row r="105">
          <cell r="B105">
            <v>57</v>
          </cell>
          <cell r="C105">
            <v>3395.7</v>
          </cell>
          <cell r="D105">
            <v>3310.4525771002054</v>
          </cell>
          <cell r="E105">
            <v>85.247422899794401</v>
          </cell>
        </row>
        <row r="106">
          <cell r="B106">
            <v>58</v>
          </cell>
          <cell r="C106">
            <v>3419.5</v>
          </cell>
          <cell r="D106">
            <v>3268.8830545773631</v>
          </cell>
          <cell r="E106">
            <v>150.61694542263695</v>
          </cell>
        </row>
        <row r="107">
          <cell r="B107">
            <v>59</v>
          </cell>
          <cell r="C107">
            <v>3379.9</v>
          </cell>
          <cell r="D107">
            <v>3438.4379156837344</v>
          </cell>
          <cell r="E107">
            <v>-58.537915683734354</v>
          </cell>
        </row>
        <row r="108">
          <cell r="B108">
            <v>60</v>
          </cell>
          <cell r="C108">
            <v>3345.1</v>
          </cell>
          <cell r="D108">
            <v>3224.3094262110671</v>
          </cell>
          <cell r="E108">
            <v>120.79057378893276</v>
          </cell>
        </row>
        <row r="109">
          <cell r="B109">
            <v>61</v>
          </cell>
          <cell r="C109">
            <v>3242.9</v>
          </cell>
          <cell r="D109">
            <v>3204.954737972223</v>
          </cell>
          <cell r="E109">
            <v>37.945262027777062</v>
          </cell>
        </row>
        <row r="110">
          <cell r="B110">
            <v>62</v>
          </cell>
          <cell r="C110">
            <v>3287.1</v>
          </cell>
          <cell r="D110">
            <v>3174.9263423995808</v>
          </cell>
          <cell r="E110">
            <v>112.17365760041912</v>
          </cell>
        </row>
        <row r="111">
          <cell r="B111">
            <v>63</v>
          </cell>
          <cell r="C111">
            <v>3420.6</v>
          </cell>
          <cell r="D111">
            <v>3158.1549753063141</v>
          </cell>
          <cell r="E111">
            <v>262.44502469368581</v>
          </cell>
        </row>
        <row r="112">
          <cell r="B112">
            <v>64</v>
          </cell>
          <cell r="C112">
            <v>3588.8</v>
          </cell>
          <cell r="D112">
            <v>3430.252035311365</v>
          </cell>
          <cell r="E112">
            <v>158.54796468863515</v>
          </cell>
        </row>
        <row r="113">
          <cell r="B113">
            <v>65</v>
          </cell>
          <cell r="C113">
            <v>3479.4</v>
          </cell>
          <cell r="D113">
            <v>3483.4076520997278</v>
          </cell>
          <cell r="E113">
            <v>-4.007652099727693</v>
          </cell>
        </row>
        <row r="114">
          <cell r="B114">
            <v>66</v>
          </cell>
          <cell r="C114">
            <v>3718.7</v>
          </cell>
          <cell r="D114">
            <v>3638.7569406321109</v>
          </cell>
          <cell r="E114">
            <v>79.943059367888964</v>
          </cell>
        </row>
        <row r="115">
          <cell r="B115">
            <v>67</v>
          </cell>
          <cell r="C115">
            <v>3571.7</v>
          </cell>
          <cell r="D115">
            <v>3596.4244841813784</v>
          </cell>
          <cell r="E115">
            <v>-24.724484181378557</v>
          </cell>
        </row>
        <row r="116">
          <cell r="B116">
            <v>68</v>
          </cell>
          <cell r="C116">
            <v>3601.5</v>
          </cell>
          <cell r="D116">
            <v>3624.0032466345469</v>
          </cell>
          <cell r="E116">
            <v>-22.50324663454694</v>
          </cell>
        </row>
        <row r="117">
          <cell r="B117">
            <v>69</v>
          </cell>
          <cell r="C117">
            <v>3555.8</v>
          </cell>
          <cell r="D117">
            <v>3613.1680226968065</v>
          </cell>
          <cell r="E117">
            <v>-57.368022696806293</v>
          </cell>
        </row>
        <row r="118">
          <cell r="B118">
            <v>70</v>
          </cell>
          <cell r="C118">
            <v>3514.9</v>
          </cell>
          <cell r="D118">
            <v>3552.0351644646007</v>
          </cell>
          <cell r="E118">
            <v>-37.135164464600621</v>
          </cell>
        </row>
        <row r="119">
          <cell r="B119">
            <v>71</v>
          </cell>
          <cell r="C119">
            <v>3614.4</v>
          </cell>
          <cell r="D119">
            <v>3641.8207803551222</v>
          </cell>
          <cell r="E119">
            <v>-27.420780355122133</v>
          </cell>
        </row>
        <row r="120">
          <cell r="B120">
            <v>72</v>
          </cell>
          <cell r="C120">
            <v>3656</v>
          </cell>
          <cell r="D120">
            <v>3469.7999935285848</v>
          </cell>
          <cell r="E120">
            <v>186.20000647141524</v>
          </cell>
        </row>
        <row r="121">
          <cell r="B121">
            <v>73</v>
          </cell>
          <cell r="C121">
            <v>3470.4</v>
          </cell>
          <cell r="D121">
            <v>3455.181022272272</v>
          </cell>
          <cell r="E121">
            <v>15.218977727728088</v>
          </cell>
        </row>
        <row r="122">
          <cell r="B122">
            <v>74</v>
          </cell>
          <cell r="C122">
            <v>3426.5</v>
          </cell>
          <cell r="D122">
            <v>3435.8546050269761</v>
          </cell>
          <cell r="E122">
            <v>-9.3546050269760599</v>
          </cell>
        </row>
        <row r="123">
          <cell r="B123">
            <v>75</v>
          </cell>
          <cell r="C123">
            <v>3308</v>
          </cell>
          <cell r="D123">
            <v>3418.4124652658847</v>
          </cell>
          <cell r="E123">
            <v>-110.41246526588475</v>
          </cell>
        </row>
        <row r="124">
          <cell r="B124">
            <v>76</v>
          </cell>
          <cell r="C124">
            <v>3489.2</v>
          </cell>
          <cell r="D124">
            <v>3581.9298591129404</v>
          </cell>
          <cell r="E124">
            <v>-92.72985911294063</v>
          </cell>
        </row>
        <row r="125">
          <cell r="B125">
            <v>77</v>
          </cell>
          <cell r="C125">
            <v>3552</v>
          </cell>
          <cell r="D125">
            <v>3544.631917602866</v>
          </cell>
          <cell r="E125">
            <v>7.3680823971340033</v>
          </cell>
        </row>
        <row r="126">
          <cell r="B126">
            <v>78</v>
          </cell>
          <cell r="C126">
            <v>3859.7</v>
          </cell>
          <cell r="D126">
            <v>3717.0478843749465</v>
          </cell>
          <cell r="E126">
            <v>142.65211562505328</v>
          </cell>
        </row>
        <row r="127">
          <cell r="B127">
            <v>79</v>
          </cell>
          <cell r="C127">
            <v>3639.9</v>
          </cell>
          <cell r="D127">
            <v>3671.4846694156781</v>
          </cell>
          <cell r="E127">
            <v>-31.584669415678036</v>
          </cell>
        </row>
        <row r="128">
          <cell r="B128">
            <v>80</v>
          </cell>
          <cell r="C128">
            <v>3854.2</v>
          </cell>
          <cell r="D128">
            <v>3697.5930733428913</v>
          </cell>
          <cell r="E128">
            <v>156.60692665710849</v>
          </cell>
        </row>
        <row r="129">
          <cell r="B129">
            <v>81</v>
          </cell>
          <cell r="C129">
            <v>3697.8</v>
          </cell>
          <cell r="D129">
            <v>3725.0819059993228</v>
          </cell>
          <cell r="E129">
            <v>-27.281905999322589</v>
          </cell>
        </row>
        <row r="130">
          <cell r="B130">
            <v>82</v>
          </cell>
          <cell r="C130">
            <v>3582</v>
          </cell>
          <cell r="D130">
            <v>3675.7128501899115</v>
          </cell>
          <cell r="E130">
            <v>-93.712850189911478</v>
          </cell>
        </row>
        <row r="131">
          <cell r="B131">
            <v>83</v>
          </cell>
          <cell r="C131">
            <v>3652.8</v>
          </cell>
          <cell r="D131">
            <v>3753.9665460671508</v>
          </cell>
          <cell r="E131">
            <v>-101.16654606715065</v>
          </cell>
        </row>
        <row r="132">
          <cell r="B132">
            <v>84</v>
          </cell>
          <cell r="C132">
            <v>3474.7</v>
          </cell>
          <cell r="D132">
            <v>3601.686327291116</v>
          </cell>
          <cell r="E132">
            <v>-126.98632729111614</v>
          </cell>
        </row>
        <row r="133">
          <cell r="B133">
            <v>85</v>
          </cell>
          <cell r="C133">
            <v>3413.9</v>
          </cell>
          <cell r="D133">
            <v>3479.1787962181306</v>
          </cell>
          <cell r="E133">
            <v>-65.278796218130537</v>
          </cell>
        </row>
        <row r="134">
          <cell r="B134">
            <v>86</v>
          </cell>
          <cell r="C134">
            <v>3520.9</v>
          </cell>
          <cell r="D134">
            <v>3434.1157348513384</v>
          </cell>
          <cell r="E134">
            <v>86.784265148661689</v>
          </cell>
        </row>
        <row r="135">
          <cell r="B135">
            <v>87</v>
          </cell>
          <cell r="C135">
            <v>3464.8</v>
          </cell>
          <cell r="D135">
            <v>3421.113311232772</v>
          </cell>
          <cell r="E135">
            <v>43.686688767228134</v>
          </cell>
        </row>
        <row r="136">
          <cell r="B136">
            <v>88</v>
          </cell>
          <cell r="C136">
            <v>3713.5</v>
          </cell>
          <cell r="D136">
            <v>3624.8627072993249</v>
          </cell>
          <cell r="E136">
            <v>88.637292700675061</v>
          </cell>
        </row>
        <row r="137">
          <cell r="B137">
            <v>89</v>
          </cell>
          <cell r="C137">
            <v>3689.9</v>
          </cell>
          <cell r="D137">
            <v>3649.8463292569631</v>
          </cell>
          <cell r="E137">
            <v>40.053670743036946</v>
          </cell>
        </row>
        <row r="138">
          <cell r="B138">
            <v>90</v>
          </cell>
          <cell r="C138">
            <v>3820</v>
          </cell>
          <cell r="D138">
            <v>3854.5810490628346</v>
          </cell>
          <cell r="E138">
            <v>-34.581049062834609</v>
          </cell>
        </row>
        <row r="139">
          <cell r="B139">
            <v>91</v>
          </cell>
          <cell r="C139">
            <v>3736</v>
          </cell>
          <cell r="D139">
            <v>3734.7914103217026</v>
          </cell>
          <cell r="E139">
            <v>1.2085896782973578</v>
          </cell>
        </row>
        <row r="140">
          <cell r="B140">
            <v>92</v>
          </cell>
          <cell r="C140">
            <v>3869.3</v>
          </cell>
          <cell r="D140">
            <v>3801.8203763262773</v>
          </cell>
          <cell r="E140">
            <v>67.479623673722926</v>
          </cell>
        </row>
        <row r="141">
          <cell r="B141">
            <v>93</v>
          </cell>
          <cell r="C141">
            <v>3833.2</v>
          </cell>
          <cell r="D141">
            <v>3774.6213248284885</v>
          </cell>
          <cell r="E141">
            <v>58.57867517151135</v>
          </cell>
        </row>
        <row r="142">
          <cell r="B142">
            <v>94</v>
          </cell>
          <cell r="C142">
            <v>3716.3</v>
          </cell>
          <cell r="D142">
            <v>3734.369529548555</v>
          </cell>
          <cell r="E142">
            <v>-18.069529548554783</v>
          </cell>
        </row>
        <row r="143">
          <cell r="B143">
            <v>95</v>
          </cell>
          <cell r="C143">
            <v>3772.2</v>
          </cell>
          <cell r="D143">
            <v>3829.9880740426388</v>
          </cell>
          <cell r="E143">
            <v>-57.788074042638982</v>
          </cell>
        </row>
        <row r="144">
          <cell r="B144">
            <v>96</v>
          </cell>
          <cell r="C144">
            <v>3650.8</v>
          </cell>
          <cell r="D144">
            <v>3684.182575505753</v>
          </cell>
          <cell r="E144">
            <v>-33.382575505752811</v>
          </cell>
        </row>
        <row r="145">
          <cell r="B145">
            <v>97</v>
          </cell>
          <cell r="C145">
            <v>3711</v>
          </cell>
          <cell r="D145">
            <v>3596.2652428558254</v>
          </cell>
          <cell r="E145">
            <v>114.73475714417464</v>
          </cell>
        </row>
        <row r="146">
          <cell r="B146">
            <v>98</v>
          </cell>
          <cell r="C146">
            <v>3470.8</v>
          </cell>
          <cell r="D146">
            <v>3623.6736737417082</v>
          </cell>
          <cell r="E146">
            <v>-152.87367374170799</v>
          </cell>
        </row>
        <row r="147">
          <cell r="B147">
            <v>99</v>
          </cell>
          <cell r="C147">
            <v>3397.3</v>
          </cell>
          <cell r="D147">
            <v>3545.1586664077372</v>
          </cell>
          <cell r="E147">
            <v>-147.85866640773702</v>
          </cell>
        </row>
        <row r="148">
          <cell r="B148">
            <v>100</v>
          </cell>
          <cell r="C148">
            <v>3772</v>
          </cell>
          <cell r="D148">
            <v>3709.6605922232452</v>
          </cell>
          <cell r="E148">
            <v>62.339407776754797</v>
          </cell>
        </row>
        <row r="149">
          <cell r="B149">
            <v>101</v>
          </cell>
          <cell r="C149">
            <v>3793.3</v>
          </cell>
          <cell r="D149">
            <v>3719.1831536227583</v>
          </cell>
          <cell r="E149">
            <v>74.116846377241927</v>
          </cell>
        </row>
        <row r="150">
          <cell r="B150">
            <v>102</v>
          </cell>
          <cell r="C150">
            <v>3853.7</v>
          </cell>
          <cell r="D150">
            <v>3918.7898815628378</v>
          </cell>
          <cell r="E150">
            <v>-65.089881562837945</v>
          </cell>
        </row>
        <row r="151">
          <cell r="B151">
            <v>103</v>
          </cell>
          <cell r="C151">
            <v>3904.5</v>
          </cell>
          <cell r="D151">
            <v>3797.3561047159642</v>
          </cell>
          <cell r="E151">
            <v>107.14389528403581</v>
          </cell>
        </row>
        <row r="152">
          <cell r="B152">
            <v>104</v>
          </cell>
          <cell r="C152">
            <v>3911.2</v>
          </cell>
          <cell r="D152">
            <v>3901.9486407096706</v>
          </cell>
          <cell r="E152">
            <v>9.2513592903292192</v>
          </cell>
        </row>
        <row r="153">
          <cell r="B153">
            <v>105</v>
          </cell>
          <cell r="C153">
            <v>3832.5</v>
          </cell>
          <cell r="D153">
            <v>3858.7208212137398</v>
          </cell>
          <cell r="E153">
            <v>-26.220821213739782</v>
          </cell>
        </row>
        <row r="154">
          <cell r="B154">
            <v>106</v>
          </cell>
          <cell r="C154">
            <v>3717.4</v>
          </cell>
          <cell r="D154">
            <v>3783.6214897950404</v>
          </cell>
          <cell r="E154">
            <v>-66.22148979504027</v>
          </cell>
        </row>
        <row r="155">
          <cell r="B155">
            <v>107</v>
          </cell>
          <cell r="C155">
            <v>3884.6</v>
          </cell>
          <cell r="D155">
            <v>3859.5913671561993</v>
          </cell>
          <cell r="E155">
            <v>25.008632843800569</v>
          </cell>
        </row>
        <row r="156">
          <cell r="B156">
            <v>108</v>
          </cell>
          <cell r="C156">
            <v>3700.4</v>
          </cell>
          <cell r="D156">
            <v>3737.7994023975807</v>
          </cell>
          <cell r="E156">
            <v>-37.399402397580616</v>
          </cell>
        </row>
        <row r="157">
          <cell r="B157">
            <v>109</v>
          </cell>
          <cell r="C157">
            <v>3726.7</v>
          </cell>
          <cell r="D157">
            <v>3674.4154002749974</v>
          </cell>
          <cell r="E157">
            <v>52.284599725002408</v>
          </cell>
        </row>
        <row r="158">
          <cell r="B158">
            <v>110</v>
          </cell>
          <cell r="C158">
            <v>3680.6</v>
          </cell>
          <cell r="D158">
            <v>3638.7163359836727</v>
          </cell>
          <cell r="E158">
            <v>41.883664016327202</v>
          </cell>
        </row>
        <row r="159">
          <cell r="B159">
            <v>111</v>
          </cell>
          <cell r="C159">
            <v>3491.4</v>
          </cell>
          <cell r="D159">
            <v>3608.790865949476</v>
          </cell>
          <cell r="E159">
            <v>-117.39086594947594</v>
          </cell>
        </row>
        <row r="160">
          <cell r="B160">
            <v>112</v>
          </cell>
          <cell r="C160">
            <v>3874.3</v>
          </cell>
          <cell r="D160">
            <v>3817.9715515620037</v>
          </cell>
          <cell r="E160">
            <v>56.328448437996485</v>
          </cell>
        </row>
        <row r="161">
          <cell r="B161">
            <v>113</v>
          </cell>
          <cell r="C161">
            <v>3931.1</v>
          </cell>
          <cell r="D161">
            <v>3828.3644140756055</v>
          </cell>
          <cell r="E161">
            <v>102.7355859243944</v>
          </cell>
        </row>
        <row r="162">
          <cell r="B162">
            <v>114</v>
          </cell>
          <cell r="C162">
            <v>3973</v>
          </cell>
          <cell r="D162">
            <v>4010.9080158883289</v>
          </cell>
          <cell r="E162">
            <v>-37.908015888328919</v>
          </cell>
        </row>
        <row r="163">
          <cell r="B163">
            <v>115</v>
          </cell>
          <cell r="C163">
            <v>3971.4</v>
          </cell>
          <cell r="D163">
            <v>3926.9277856197291</v>
          </cell>
          <cell r="E163">
            <v>44.472214380270998</v>
          </cell>
        </row>
        <row r="164">
          <cell r="B164">
            <v>116</v>
          </cell>
          <cell r="C164">
            <v>4103.6000000000004</v>
          </cell>
          <cell r="D164">
            <v>3999.2459754577058</v>
          </cell>
          <cell r="E164">
            <v>104.35402454229461</v>
          </cell>
        </row>
        <row r="165">
          <cell r="B165">
            <v>117</v>
          </cell>
          <cell r="C165">
            <v>3945.7</v>
          </cell>
          <cell r="D165">
            <v>3973.7192906691866</v>
          </cell>
          <cell r="E165">
            <v>-28.01929066918683</v>
          </cell>
        </row>
        <row r="166">
          <cell r="B166">
            <v>118</v>
          </cell>
          <cell r="C166">
            <v>3977.8</v>
          </cell>
          <cell r="D166">
            <v>3891.8518952574714</v>
          </cell>
          <cell r="E166">
            <v>85.948104742528812</v>
          </cell>
        </row>
        <row r="167">
          <cell r="B167">
            <v>119</v>
          </cell>
          <cell r="C167">
            <v>3931.2</v>
          </cell>
          <cell r="D167">
            <v>4022.4775728911341</v>
          </cell>
          <cell r="E167">
            <v>-91.277572891134241</v>
          </cell>
        </row>
        <row r="168">
          <cell r="B168">
            <v>120</v>
          </cell>
          <cell r="C168">
            <v>3796.3</v>
          </cell>
          <cell r="D168">
            <v>3862.199948377232</v>
          </cell>
          <cell r="E168">
            <v>-65.899948377231794</v>
          </cell>
        </row>
        <row r="169">
          <cell r="B169">
            <v>121</v>
          </cell>
          <cell r="C169">
            <v>3897.3</v>
          </cell>
          <cell r="D169">
            <v>3808.3542501494821</v>
          </cell>
          <cell r="E169">
            <v>88.945749850518041</v>
          </cell>
        </row>
        <row r="170">
          <cell r="B170">
            <v>122</v>
          </cell>
          <cell r="C170">
            <v>3685.9</v>
          </cell>
          <cell r="D170">
            <v>3780.7014303572223</v>
          </cell>
          <cell r="E170">
            <v>-94.801430357222216</v>
          </cell>
        </row>
        <row r="171">
          <cell r="B171">
            <v>123</v>
          </cell>
          <cell r="C171">
            <v>3687</v>
          </cell>
          <cell r="D171">
            <v>3689.6429032055712</v>
          </cell>
          <cell r="E171">
            <v>-2.6429032055712014</v>
          </cell>
        </row>
        <row r="172">
          <cell r="B172">
            <v>124</v>
          </cell>
          <cell r="C172">
            <v>3973.2</v>
          </cell>
          <cell r="D172">
            <v>3958.186592390975</v>
          </cell>
          <cell r="E172">
            <v>15.013407609024853</v>
          </cell>
        </row>
        <row r="173">
          <cell r="B173">
            <v>125</v>
          </cell>
          <cell r="C173">
            <v>3981.6</v>
          </cell>
          <cell r="D173">
            <v>3967.2499859389723</v>
          </cell>
          <cell r="E173">
            <v>14.35001406102765</v>
          </cell>
        </row>
        <row r="174">
          <cell r="B174">
            <v>126</v>
          </cell>
          <cell r="C174">
            <v>4030.6</v>
          </cell>
          <cell r="D174">
            <v>4103.6552052374773</v>
          </cell>
          <cell r="E174">
            <v>-73.055205237477367</v>
          </cell>
        </row>
        <row r="175">
          <cell r="B175">
            <v>127</v>
          </cell>
          <cell r="C175">
            <v>4030.6</v>
          </cell>
          <cell r="D175">
            <v>4025.5558183404446</v>
          </cell>
          <cell r="E175">
            <v>5.0441816595553064</v>
          </cell>
        </row>
        <row r="176">
          <cell r="B176">
            <v>128</v>
          </cell>
          <cell r="C176">
            <v>4148.3</v>
          </cell>
          <cell r="D176">
            <v>4098.5584440635548</v>
          </cell>
          <cell r="E176">
            <v>49.741555936445366</v>
          </cell>
        </row>
        <row r="177">
          <cell r="B177">
            <v>129</v>
          </cell>
          <cell r="C177">
            <v>4068.8</v>
          </cell>
          <cell r="D177">
            <v>4035.948522922014</v>
          </cell>
          <cell r="E177">
            <v>32.851477077986146</v>
          </cell>
        </row>
        <row r="178">
          <cell r="B178">
            <v>130</v>
          </cell>
          <cell r="C178">
            <v>4045.7</v>
          </cell>
          <cell r="D178">
            <v>3988.7958334493801</v>
          </cell>
          <cell r="E178">
            <v>56.904166550619721</v>
          </cell>
        </row>
        <row r="179">
          <cell r="B179">
            <v>131</v>
          </cell>
          <cell r="C179">
            <v>4043.5</v>
          </cell>
          <cell r="D179">
            <v>4080.8593410502608</v>
          </cell>
          <cell r="E179">
            <v>-37.359341050260809</v>
          </cell>
        </row>
        <row r="180">
          <cell r="B180">
            <v>132</v>
          </cell>
          <cell r="C180">
            <v>3921.4</v>
          </cell>
          <cell r="D180">
            <v>3938.1544147351278</v>
          </cell>
          <cell r="E180">
            <v>-16.754414735127739</v>
          </cell>
        </row>
        <row r="181">
          <cell r="B181">
            <v>133</v>
          </cell>
          <cell r="C181">
            <v>3876.3</v>
          </cell>
          <cell r="D181">
            <v>3923.7139714051336</v>
          </cell>
          <cell r="E181">
            <v>-47.413971405133452</v>
          </cell>
        </row>
        <row r="182">
          <cell r="B182">
            <v>134</v>
          </cell>
          <cell r="C182">
            <v>3928.4</v>
          </cell>
          <cell r="D182">
            <v>3829.9786476883887</v>
          </cell>
          <cell r="E182">
            <v>98.421352311611372</v>
          </cell>
        </row>
        <row r="183">
          <cell r="B183">
            <v>135</v>
          </cell>
          <cell r="C183">
            <v>3727.7</v>
          </cell>
          <cell r="D183">
            <v>3802.7786087175759</v>
          </cell>
          <cell r="E183">
            <v>-75.078608717576117</v>
          </cell>
        </row>
        <row r="184">
          <cell r="B184">
            <v>136</v>
          </cell>
          <cell r="C184">
            <v>4044.9</v>
          </cell>
          <cell r="D184">
            <v>4056.8488661665374</v>
          </cell>
          <cell r="E184">
            <v>-11.9488661665373</v>
          </cell>
        </row>
        <row r="185">
          <cell r="B185">
            <v>137</v>
          </cell>
          <cell r="C185">
            <v>4068.6</v>
          </cell>
          <cell r="D185">
            <v>4059.1896852161876</v>
          </cell>
          <cell r="E185">
            <v>9.4103147838122823</v>
          </cell>
        </row>
        <row r="186">
          <cell r="B186">
            <v>138</v>
          </cell>
          <cell r="C186">
            <v>4240.1000000000004</v>
          </cell>
          <cell r="D186">
            <v>4178.9820410803322</v>
          </cell>
          <cell r="E186">
            <v>61.117958919668126</v>
          </cell>
        </row>
        <row r="187">
          <cell r="B187">
            <v>139</v>
          </cell>
          <cell r="C187">
            <v>4052.5</v>
          </cell>
          <cell r="D187">
            <v>4147.9990273446183</v>
          </cell>
          <cell r="E187">
            <v>-95.499027344618298</v>
          </cell>
        </row>
        <row r="188">
          <cell r="B188">
            <v>140</v>
          </cell>
          <cell r="C188">
            <v>4230.7</v>
          </cell>
          <cell r="D188">
            <v>4204.4248014463919</v>
          </cell>
          <cell r="E188">
            <v>26.275198553607879</v>
          </cell>
        </row>
        <row r="189">
          <cell r="B189">
            <v>141</v>
          </cell>
          <cell r="C189">
            <v>4093</v>
          </cell>
          <cell r="D189">
            <v>4133.1205422261037</v>
          </cell>
          <cell r="E189">
            <v>-40.12054222610368</v>
          </cell>
        </row>
        <row r="190">
          <cell r="B190">
            <v>142</v>
          </cell>
          <cell r="C190">
            <v>4174.1000000000004</v>
          </cell>
          <cell r="D190">
            <v>4072.0139061056743</v>
          </cell>
          <cell r="E190">
            <v>102.08609389432604</v>
          </cell>
        </row>
        <row r="191">
          <cell r="B191">
            <v>143</v>
          </cell>
          <cell r="C191">
            <v>4192.3</v>
          </cell>
          <cell r="D191">
            <v>4158.411432207311</v>
          </cell>
          <cell r="E191">
            <v>33.888567792689173</v>
          </cell>
        </row>
        <row r="192">
          <cell r="B192">
            <v>144</v>
          </cell>
          <cell r="C192">
            <v>3998.1</v>
          </cell>
          <cell r="D192">
            <v>4036.9490747058594</v>
          </cell>
          <cell r="E192">
            <v>-38.849074705859493</v>
          </cell>
        </row>
        <row r="193">
          <cell r="B193">
            <v>145</v>
          </cell>
          <cell r="C193">
            <v>4115.8</v>
          </cell>
          <cell r="D193">
            <v>4011.836301440308</v>
          </cell>
          <cell r="E193">
            <v>103.96369855969215</v>
          </cell>
        </row>
        <row r="194">
          <cell r="B194">
            <v>146</v>
          </cell>
          <cell r="C194">
            <v>4048.7</v>
          </cell>
          <cell r="D194">
            <v>3981.5662987811775</v>
          </cell>
          <cell r="E194">
            <v>67.133701218822353</v>
          </cell>
        </row>
        <row r="195">
          <cell r="B195">
            <v>147</v>
          </cell>
          <cell r="C195">
            <v>3854.8</v>
          </cell>
          <cell r="D195">
            <v>3916.9470778899827</v>
          </cell>
          <cell r="E195">
            <v>-62.147077889982484</v>
          </cell>
        </row>
        <row r="196">
          <cell r="B196">
            <v>148</v>
          </cell>
          <cell r="C196">
            <v>3930.9</v>
          </cell>
          <cell r="D196">
            <v>4186.0462709834774</v>
          </cell>
          <cell r="E196">
            <v>-255.14627098347728</v>
          </cell>
        </row>
        <row r="197">
          <cell r="B197">
            <v>149</v>
          </cell>
          <cell r="C197">
            <v>4169.3</v>
          </cell>
          <cell r="D197">
            <v>4132.3095641668433</v>
          </cell>
          <cell r="E197">
            <v>36.99043583315688</v>
          </cell>
        </row>
        <row r="198">
          <cell r="B198">
            <v>150</v>
          </cell>
          <cell r="C198">
            <v>4070.6</v>
          </cell>
          <cell r="D198">
            <v>4267.6226799133474</v>
          </cell>
          <cell r="E198">
            <v>-197.02267991334747</v>
          </cell>
        </row>
        <row r="199">
          <cell r="B199">
            <v>151</v>
          </cell>
          <cell r="C199">
            <v>4223.5</v>
          </cell>
          <cell r="D199">
            <v>4144.4828448742028</v>
          </cell>
          <cell r="E199">
            <v>79.017155125797217</v>
          </cell>
        </row>
        <row r="200">
          <cell r="B200">
            <v>152</v>
          </cell>
          <cell r="C200">
            <v>4369.3</v>
          </cell>
          <cell r="D200">
            <v>4264.2079829637778</v>
          </cell>
          <cell r="E200">
            <v>105.09201703622239</v>
          </cell>
        </row>
        <row r="201">
          <cell r="B201">
            <v>153</v>
          </cell>
          <cell r="C201">
            <v>4112.6000000000004</v>
          </cell>
          <cell r="D201">
            <v>4200.1578941794278</v>
          </cell>
          <cell r="E201">
            <v>-87.557894179427421</v>
          </cell>
        </row>
        <row r="202">
          <cell r="B202">
            <v>154</v>
          </cell>
          <cell r="C202">
            <v>4165.6000000000004</v>
          </cell>
          <cell r="D202">
            <v>4151.8946454244242</v>
          </cell>
          <cell r="E202">
            <v>13.705354575576166</v>
          </cell>
        </row>
        <row r="203">
          <cell r="B203">
            <v>155</v>
          </cell>
          <cell r="C203">
            <v>4212.6000000000004</v>
          </cell>
          <cell r="D203">
            <v>4203.7189267752101</v>
          </cell>
          <cell r="E203">
            <v>8.8810732247902706</v>
          </cell>
        </row>
        <row r="204">
          <cell r="B204">
            <v>156</v>
          </cell>
          <cell r="C204">
            <v>4163.5</v>
          </cell>
          <cell r="D204">
            <v>4062.2368837266808</v>
          </cell>
          <cell r="E204">
            <v>101.26311627331916</v>
          </cell>
        </row>
        <row r="205">
          <cell r="B205">
            <v>157</v>
          </cell>
          <cell r="D205">
            <v>4096.0094332180743</v>
          </cell>
          <cell r="F205">
            <v>3915.4970084655106</v>
          </cell>
          <cell r="G205">
            <v>4276.5218579706379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LSTAT"/>
    </sheetNames>
    <definedNames>
      <definedName name="AddRemovGrid"/>
      <definedName name="RelaunchCall"/>
    </defined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nsport Data"/>
      <sheetName val="Time series_HID"/>
      <sheetName val="Time series1_HID"/>
      <sheetName val="Dickey-Fuller_HID"/>
      <sheetName val="ARIMA2"/>
      <sheetName val="ARIMA1"/>
      <sheetName val="Exponential"/>
      <sheetName val="Holt-Winters"/>
      <sheetName val="ARIMA"/>
      <sheetName val="Dickey-Fuller"/>
      <sheetName val="Descriptive analysis"/>
      <sheetName val="Time series transformation"/>
      <sheetName val="Time series"/>
      <sheetName val="Sheet2"/>
      <sheetName val="Transport_Complete"/>
    </sheetNames>
    <definedNames>
      <definedName name="GoToResultsNew1310184575231"/>
    </definedNames>
    <sheetDataSet>
      <sheetData sheetId="0"/>
      <sheetData sheetId="1"/>
      <sheetData sheetId="2"/>
      <sheetData sheetId="3"/>
      <sheetData sheetId="4">
        <row r="63">
          <cell r="B63">
            <v>38353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8003A-F168-4C54-9F01-2B4CB56874A5}">
  <sheetPr codeName="Sheet1"/>
  <dimension ref="A1:G157"/>
  <sheetViews>
    <sheetView showGridLines="0" workbookViewId="0">
      <selection activeCell="L13" sqref="L13"/>
    </sheetView>
  </sheetViews>
  <sheetFormatPr baseColWidth="10" defaultColWidth="8.83203125" defaultRowHeight="15"/>
  <cols>
    <col min="1" max="2" width="18" bestFit="1" customWidth="1"/>
    <col min="3" max="3" width="15.33203125" bestFit="1" customWidth="1"/>
    <col min="4" max="5" width="16.5" bestFit="1" customWidth="1"/>
    <col min="6" max="6" width="11.5" bestFit="1" customWidth="1"/>
    <col min="7" max="7" width="18" bestFit="1" customWidth="1"/>
  </cols>
  <sheetData>
    <row r="1" spans="1:7">
      <c r="A1" s="3" t="s">
        <v>0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1</v>
      </c>
    </row>
    <row r="2" spans="1:7">
      <c r="A2" s="4" t="s">
        <v>7</v>
      </c>
      <c r="B2" s="4">
        <v>1179.4000000000001</v>
      </c>
      <c r="C2" s="4">
        <v>1023.2</v>
      </c>
      <c r="D2" s="4">
        <v>93.3</v>
      </c>
      <c r="E2" s="4">
        <v>447.8</v>
      </c>
      <c r="F2" s="4">
        <v>53.1</v>
      </c>
      <c r="G2" s="4">
        <v>2796.8</v>
      </c>
    </row>
    <row r="3" spans="1:7">
      <c r="A3" s="4" t="s">
        <v>8</v>
      </c>
      <c r="B3" s="4">
        <v>1171.2</v>
      </c>
      <c r="C3" s="4">
        <v>1036.2</v>
      </c>
      <c r="D3" s="4">
        <v>95.7</v>
      </c>
      <c r="E3" s="4">
        <v>437.1</v>
      </c>
      <c r="F3" s="4">
        <v>50.8</v>
      </c>
      <c r="G3" s="4">
        <v>2791</v>
      </c>
    </row>
    <row r="4" spans="1:7">
      <c r="A4" s="4" t="s">
        <v>9</v>
      </c>
      <c r="B4" s="4">
        <v>1108.5</v>
      </c>
      <c r="C4" s="4">
        <v>1022.1</v>
      </c>
      <c r="D4" s="4">
        <v>93.8</v>
      </c>
      <c r="E4" s="4">
        <v>479.7</v>
      </c>
      <c r="F4" s="4">
        <v>50.1</v>
      </c>
      <c r="G4" s="4">
        <v>2754.2</v>
      </c>
    </row>
    <row r="5" spans="1:7">
      <c r="A5" s="4" t="s">
        <v>10</v>
      </c>
      <c r="B5" s="4">
        <v>1233.8</v>
      </c>
      <c r="C5" s="4">
        <v>1050.0999999999999</v>
      </c>
      <c r="D5" s="4">
        <v>99.4</v>
      </c>
      <c r="E5" s="4">
        <v>533.6</v>
      </c>
      <c r="F5" s="4">
        <v>51.8</v>
      </c>
      <c r="G5" s="4">
        <v>2968.7</v>
      </c>
    </row>
    <row r="6" spans="1:7">
      <c r="A6" s="4" t="s">
        <v>11</v>
      </c>
      <c r="B6" s="4">
        <v>1163.0999999999999</v>
      </c>
      <c r="C6" s="4">
        <v>1105.3</v>
      </c>
      <c r="D6" s="4">
        <v>100</v>
      </c>
      <c r="E6" s="4">
        <v>535</v>
      </c>
      <c r="F6" s="4">
        <v>53.9</v>
      </c>
      <c r="G6" s="4">
        <v>2957.3</v>
      </c>
    </row>
    <row r="7" spans="1:7">
      <c r="A7" s="4" t="s">
        <v>12</v>
      </c>
      <c r="B7" s="4">
        <v>1220</v>
      </c>
      <c r="C7" s="4">
        <v>1157.3</v>
      </c>
      <c r="D7" s="4">
        <v>105.6</v>
      </c>
      <c r="E7" s="4">
        <v>560.20000000000005</v>
      </c>
      <c r="F7" s="4">
        <v>54.2</v>
      </c>
      <c r="G7" s="4">
        <v>3097.4</v>
      </c>
    </row>
    <row r="8" spans="1:7">
      <c r="A8" s="4" t="s">
        <v>13</v>
      </c>
      <c r="B8" s="4">
        <v>1243.0999999999999</v>
      </c>
      <c r="C8" s="4">
        <v>1064.9000000000001</v>
      </c>
      <c r="D8" s="4">
        <v>99.4</v>
      </c>
      <c r="E8" s="4">
        <v>537.4</v>
      </c>
      <c r="F8" s="4">
        <v>50.2</v>
      </c>
      <c r="G8" s="4">
        <v>2994.9</v>
      </c>
    </row>
    <row r="9" spans="1:7">
      <c r="A9" s="4" t="s">
        <v>14</v>
      </c>
      <c r="B9" s="4">
        <v>1272.0999999999999</v>
      </c>
      <c r="C9" s="4">
        <v>1155.9000000000001</v>
      </c>
      <c r="D9" s="4">
        <v>106.3</v>
      </c>
      <c r="E9" s="4">
        <v>528.79999999999995</v>
      </c>
      <c r="F9" s="4">
        <v>53.4</v>
      </c>
      <c r="G9" s="4">
        <v>3116.5</v>
      </c>
    </row>
    <row r="10" spans="1:7">
      <c r="A10" s="4" t="s">
        <v>15</v>
      </c>
      <c r="B10" s="4">
        <v>1226.3</v>
      </c>
      <c r="C10" s="4">
        <v>1140.3</v>
      </c>
      <c r="D10" s="4">
        <v>104.2</v>
      </c>
      <c r="E10" s="4">
        <v>516.29999999999995</v>
      </c>
      <c r="F10" s="4">
        <v>50.7</v>
      </c>
      <c r="G10" s="4">
        <v>3037.8</v>
      </c>
    </row>
    <row r="11" spans="1:7">
      <c r="A11" s="4" t="s">
        <v>16</v>
      </c>
      <c r="B11" s="4">
        <v>1150.0999999999999</v>
      </c>
      <c r="C11" s="4">
        <v>1098.8</v>
      </c>
      <c r="D11" s="4">
        <v>99.5</v>
      </c>
      <c r="E11" s="4">
        <v>520</v>
      </c>
      <c r="F11" s="4">
        <v>48.4</v>
      </c>
      <c r="G11" s="4">
        <v>2916.7</v>
      </c>
    </row>
    <row r="12" spans="1:7">
      <c r="A12" s="4" t="s">
        <v>17</v>
      </c>
      <c r="B12" s="4">
        <v>1318.2</v>
      </c>
      <c r="C12" s="4">
        <v>1163.2</v>
      </c>
      <c r="D12" s="4">
        <v>105.7</v>
      </c>
      <c r="E12" s="4">
        <v>518.6</v>
      </c>
      <c r="F12" s="4">
        <v>50.9</v>
      </c>
      <c r="G12" s="4">
        <v>3156.6</v>
      </c>
    </row>
    <row r="13" spans="1:7">
      <c r="A13" s="4" t="s">
        <v>18</v>
      </c>
      <c r="B13" s="4">
        <v>1223.2</v>
      </c>
      <c r="C13" s="4">
        <v>1058.3</v>
      </c>
      <c r="D13" s="4">
        <v>97.1</v>
      </c>
      <c r="E13" s="4">
        <v>478</v>
      </c>
      <c r="F13" s="4">
        <v>44.7</v>
      </c>
      <c r="G13" s="4">
        <v>2901.3</v>
      </c>
    </row>
    <row r="14" spans="1:7">
      <c r="A14" s="4" t="s">
        <v>19</v>
      </c>
      <c r="B14" s="4">
        <v>1266.3</v>
      </c>
      <c r="C14" s="4">
        <v>1096</v>
      </c>
      <c r="D14" s="4">
        <v>101.4</v>
      </c>
      <c r="E14" s="4">
        <v>465.5</v>
      </c>
      <c r="F14" s="4">
        <v>46</v>
      </c>
      <c r="G14" s="4">
        <v>2975.3</v>
      </c>
    </row>
    <row r="15" spans="1:7">
      <c r="A15" s="4" t="s">
        <v>20</v>
      </c>
      <c r="B15" s="4">
        <v>1212.9000000000001</v>
      </c>
      <c r="C15" s="4">
        <v>1079.8</v>
      </c>
      <c r="D15" s="4">
        <v>97.7</v>
      </c>
      <c r="E15" s="4">
        <v>452.3</v>
      </c>
      <c r="F15" s="4">
        <v>44.7</v>
      </c>
      <c r="G15" s="4">
        <v>2887.4</v>
      </c>
    </row>
    <row r="16" spans="1:7">
      <c r="A16" s="4" t="s">
        <v>21</v>
      </c>
      <c r="B16" s="4">
        <v>1184.4000000000001</v>
      </c>
      <c r="C16" s="4">
        <v>1098.9000000000001</v>
      </c>
      <c r="D16" s="4">
        <v>95.8</v>
      </c>
      <c r="E16" s="4">
        <v>470</v>
      </c>
      <c r="F16" s="4">
        <v>44.7</v>
      </c>
      <c r="G16" s="4">
        <v>2893.8</v>
      </c>
    </row>
    <row r="17" spans="1:7">
      <c r="A17" s="4" t="s">
        <v>22</v>
      </c>
      <c r="B17" s="4">
        <v>1262</v>
      </c>
      <c r="C17" s="4">
        <v>1102.0999999999999</v>
      </c>
      <c r="D17" s="4">
        <v>103</v>
      </c>
      <c r="E17" s="4">
        <v>511.3</v>
      </c>
      <c r="F17" s="4">
        <v>45.2</v>
      </c>
      <c r="G17" s="4">
        <v>3023.6</v>
      </c>
    </row>
    <row r="18" spans="1:7">
      <c r="A18" s="4" t="s">
        <v>23</v>
      </c>
      <c r="B18" s="4">
        <v>1243.7</v>
      </c>
      <c r="C18" s="4">
        <v>1174</v>
      </c>
      <c r="D18" s="4">
        <v>105</v>
      </c>
      <c r="E18" s="4">
        <v>522</v>
      </c>
      <c r="F18" s="4">
        <v>47.7</v>
      </c>
      <c r="G18" s="4">
        <v>3092.5</v>
      </c>
    </row>
    <row r="19" spans="1:7">
      <c r="A19" s="4" t="s">
        <v>24</v>
      </c>
      <c r="B19" s="4">
        <v>1324.6</v>
      </c>
      <c r="C19" s="4">
        <v>1171</v>
      </c>
      <c r="D19" s="4">
        <v>106.5</v>
      </c>
      <c r="E19" s="4">
        <v>533.20000000000005</v>
      </c>
      <c r="F19" s="4">
        <v>46.8</v>
      </c>
      <c r="G19" s="4">
        <v>3182.1</v>
      </c>
    </row>
    <row r="20" spans="1:7">
      <c r="A20" s="4" t="s">
        <v>25</v>
      </c>
      <c r="B20" s="4">
        <v>1230.9000000000001</v>
      </c>
      <c r="C20" s="4">
        <v>1118.0999999999999</v>
      </c>
      <c r="D20" s="4">
        <v>102</v>
      </c>
      <c r="E20" s="4">
        <v>513.20000000000005</v>
      </c>
      <c r="F20" s="4">
        <v>43.3</v>
      </c>
      <c r="G20" s="4">
        <v>3007.5</v>
      </c>
    </row>
    <row r="21" spans="1:7">
      <c r="A21" s="4" t="s">
        <v>26</v>
      </c>
      <c r="B21" s="4">
        <v>1321.1</v>
      </c>
      <c r="C21" s="4">
        <v>1239.0999999999999</v>
      </c>
      <c r="D21" s="4">
        <v>110.5</v>
      </c>
      <c r="E21" s="4">
        <v>544.20000000000005</v>
      </c>
      <c r="F21" s="4">
        <v>49.1</v>
      </c>
      <c r="G21" s="4">
        <v>3264</v>
      </c>
    </row>
    <row r="22" spans="1:7">
      <c r="A22" s="4" t="s">
        <v>27</v>
      </c>
      <c r="B22" s="4">
        <v>1257.5</v>
      </c>
      <c r="C22" s="4">
        <v>1164.4000000000001</v>
      </c>
      <c r="D22" s="4">
        <v>105.5</v>
      </c>
      <c r="E22" s="4">
        <v>541.4</v>
      </c>
      <c r="F22" s="4">
        <v>45.2</v>
      </c>
      <c r="G22" s="4">
        <v>3114</v>
      </c>
    </row>
    <row r="23" spans="1:7">
      <c r="A23" s="4" t="s">
        <v>28</v>
      </c>
      <c r="B23" s="4">
        <v>1249.8</v>
      </c>
      <c r="C23" s="4">
        <v>1180.2</v>
      </c>
      <c r="D23" s="4">
        <v>106.2</v>
      </c>
      <c r="E23" s="4">
        <v>525.70000000000005</v>
      </c>
      <c r="F23" s="4">
        <v>45.2</v>
      </c>
      <c r="G23" s="4">
        <v>3107.1</v>
      </c>
    </row>
    <row r="24" spans="1:7">
      <c r="A24" s="4" t="s">
        <v>29</v>
      </c>
      <c r="B24" s="4">
        <v>1291.8</v>
      </c>
      <c r="C24" s="4">
        <v>1231.5999999999999</v>
      </c>
      <c r="D24" s="4">
        <v>110</v>
      </c>
      <c r="E24" s="4">
        <v>535.20000000000005</v>
      </c>
      <c r="F24" s="4">
        <v>46.5</v>
      </c>
      <c r="G24" s="4">
        <v>3215</v>
      </c>
    </row>
    <row r="25" spans="1:7">
      <c r="A25" s="4" t="s">
        <v>30</v>
      </c>
      <c r="B25" s="4">
        <v>1270.3</v>
      </c>
      <c r="C25" s="4">
        <v>1130.5</v>
      </c>
      <c r="D25" s="4">
        <v>101.9</v>
      </c>
      <c r="E25" s="4">
        <v>495</v>
      </c>
      <c r="F25" s="4">
        <v>41.7</v>
      </c>
      <c r="G25" s="4">
        <v>3039.4</v>
      </c>
    </row>
    <row r="26" spans="1:7">
      <c r="A26" s="4" t="s">
        <v>31</v>
      </c>
      <c r="B26" s="4">
        <v>1338</v>
      </c>
      <c r="C26" s="4">
        <v>1202.5999999999999</v>
      </c>
      <c r="D26" s="4">
        <v>107.5</v>
      </c>
      <c r="E26" s="4">
        <v>473.6</v>
      </c>
      <c r="F26" s="4">
        <v>44.7</v>
      </c>
      <c r="G26" s="4">
        <v>3166.4</v>
      </c>
    </row>
    <row r="27" spans="1:7">
      <c r="A27" s="4" t="s">
        <v>32</v>
      </c>
      <c r="B27" s="4">
        <v>1257.2</v>
      </c>
      <c r="C27" s="4">
        <v>1098.3</v>
      </c>
      <c r="D27" s="4">
        <v>99.7</v>
      </c>
      <c r="E27" s="4">
        <v>444.4</v>
      </c>
      <c r="F27" s="4">
        <v>39.1</v>
      </c>
      <c r="G27" s="4">
        <v>2938.6</v>
      </c>
    </row>
    <row r="28" spans="1:7">
      <c r="A28" s="4" t="s">
        <v>33</v>
      </c>
      <c r="B28" s="4">
        <v>1241.4000000000001</v>
      </c>
      <c r="C28" s="4">
        <v>1182.4000000000001</v>
      </c>
      <c r="D28" s="4">
        <v>101.9</v>
      </c>
      <c r="E28" s="4">
        <v>451.8</v>
      </c>
      <c r="F28" s="4">
        <v>41.3</v>
      </c>
      <c r="G28" s="4">
        <v>3018.8</v>
      </c>
    </row>
    <row r="29" spans="1:7">
      <c r="A29" s="4" t="s">
        <v>34</v>
      </c>
      <c r="B29" s="4">
        <v>1311.7</v>
      </c>
      <c r="C29" s="4">
        <v>1180.9000000000001</v>
      </c>
      <c r="D29" s="4">
        <v>106.4</v>
      </c>
      <c r="E29" s="4">
        <v>511</v>
      </c>
      <c r="F29" s="4">
        <v>40</v>
      </c>
      <c r="G29" s="4">
        <v>3150</v>
      </c>
    </row>
    <row r="30" spans="1:7">
      <c r="A30" s="4" t="s">
        <v>35</v>
      </c>
      <c r="B30" s="4">
        <v>1323.7</v>
      </c>
      <c r="C30" s="4">
        <v>1251.2</v>
      </c>
      <c r="D30" s="4">
        <v>108.5</v>
      </c>
      <c r="E30" s="4">
        <v>542.79999999999995</v>
      </c>
      <c r="F30" s="4">
        <v>44.9</v>
      </c>
      <c r="G30" s="4">
        <v>3271.1</v>
      </c>
    </row>
    <row r="31" spans="1:7">
      <c r="A31" s="4" t="s">
        <v>36</v>
      </c>
      <c r="B31" s="4">
        <v>1304.4000000000001</v>
      </c>
      <c r="C31" s="4">
        <v>1212.5999999999999</v>
      </c>
      <c r="D31" s="4">
        <v>108.5</v>
      </c>
      <c r="E31" s="4">
        <v>556</v>
      </c>
      <c r="F31" s="4">
        <v>40.9</v>
      </c>
      <c r="G31" s="4">
        <v>3222.5</v>
      </c>
    </row>
    <row r="32" spans="1:7">
      <c r="A32" s="4" t="s">
        <v>37</v>
      </c>
      <c r="B32" s="4">
        <v>1344.6</v>
      </c>
      <c r="C32" s="4">
        <v>1225.2</v>
      </c>
      <c r="D32" s="4">
        <v>111.7</v>
      </c>
      <c r="E32" s="4">
        <v>563.1</v>
      </c>
      <c r="F32" s="4">
        <v>44.3</v>
      </c>
      <c r="G32" s="4">
        <v>3288.9</v>
      </c>
    </row>
    <row r="33" spans="1:7">
      <c r="A33" s="4" t="s">
        <v>38</v>
      </c>
      <c r="B33" s="4">
        <v>1296.5</v>
      </c>
      <c r="C33" s="4">
        <v>1268.2</v>
      </c>
      <c r="D33" s="4">
        <v>113.3</v>
      </c>
      <c r="E33" s="4">
        <v>555</v>
      </c>
      <c r="F33" s="4">
        <v>44.4</v>
      </c>
      <c r="G33" s="4">
        <v>3277.4</v>
      </c>
    </row>
    <row r="34" spans="1:7">
      <c r="A34" s="4" t="s">
        <v>39</v>
      </c>
      <c r="B34" s="4">
        <v>1359.9</v>
      </c>
      <c r="C34" s="4">
        <v>1182.2</v>
      </c>
      <c r="D34" s="4">
        <v>109.5</v>
      </c>
      <c r="E34" s="4">
        <v>513.6</v>
      </c>
      <c r="F34" s="4">
        <v>40.700000000000003</v>
      </c>
      <c r="G34" s="4">
        <v>3205.8</v>
      </c>
    </row>
    <row r="35" spans="1:7">
      <c r="A35" s="4" t="s">
        <v>40</v>
      </c>
      <c r="B35" s="4">
        <v>1345.8</v>
      </c>
      <c r="C35" s="4">
        <v>1253.5</v>
      </c>
      <c r="D35" s="4">
        <v>112.3</v>
      </c>
      <c r="E35" s="4">
        <v>514.70000000000005</v>
      </c>
      <c r="F35" s="4">
        <v>41.9</v>
      </c>
      <c r="G35" s="4">
        <v>3268.2</v>
      </c>
    </row>
    <row r="36" spans="1:7">
      <c r="A36" s="4" t="s">
        <v>41</v>
      </c>
      <c r="B36" s="4">
        <v>1403.2</v>
      </c>
      <c r="C36" s="4">
        <v>1271.4000000000001</v>
      </c>
      <c r="D36" s="4">
        <v>113.8</v>
      </c>
      <c r="E36" s="4">
        <v>547.9</v>
      </c>
      <c r="F36" s="4">
        <v>41.7</v>
      </c>
      <c r="G36" s="4">
        <v>3378.1</v>
      </c>
    </row>
    <row r="37" spans="1:7">
      <c r="A37" s="4" t="s">
        <v>42</v>
      </c>
      <c r="B37" s="4">
        <v>1292.4000000000001</v>
      </c>
      <c r="C37" s="4">
        <v>1192.0999999999999</v>
      </c>
      <c r="D37" s="4">
        <v>107.1</v>
      </c>
      <c r="E37" s="4">
        <v>489.9</v>
      </c>
      <c r="F37" s="4">
        <v>37.700000000000003</v>
      </c>
      <c r="G37" s="4">
        <v>3119.2</v>
      </c>
    </row>
    <row r="38" spans="1:7">
      <c r="A38" s="4" t="s">
        <v>43</v>
      </c>
      <c r="B38" s="4">
        <v>1280.9000000000001</v>
      </c>
      <c r="C38" s="4">
        <v>1248.7</v>
      </c>
      <c r="D38" s="4">
        <v>113.4</v>
      </c>
      <c r="E38" s="4">
        <v>467.1</v>
      </c>
      <c r="F38" s="4">
        <v>39.700000000000003</v>
      </c>
      <c r="G38" s="4">
        <v>3149.8</v>
      </c>
    </row>
    <row r="39" spans="1:7">
      <c r="A39" s="4" t="s">
        <v>44</v>
      </c>
      <c r="B39" s="4">
        <v>1329.7</v>
      </c>
      <c r="C39" s="4">
        <v>1217.0999999999999</v>
      </c>
      <c r="D39" s="4">
        <v>110.5</v>
      </c>
      <c r="E39" s="4">
        <v>472.7</v>
      </c>
      <c r="F39" s="4">
        <v>36.1</v>
      </c>
      <c r="G39" s="4">
        <v>3166.2</v>
      </c>
    </row>
    <row r="40" spans="1:7">
      <c r="A40" s="4" t="s">
        <v>45</v>
      </c>
      <c r="B40" s="4">
        <v>1236</v>
      </c>
      <c r="C40" s="4">
        <v>1163.0999999999999</v>
      </c>
      <c r="D40" s="4">
        <v>105.5</v>
      </c>
      <c r="E40" s="4">
        <v>449.5</v>
      </c>
      <c r="F40" s="4">
        <v>33.1</v>
      </c>
      <c r="G40" s="4">
        <v>2987.2</v>
      </c>
    </row>
    <row r="41" spans="1:7">
      <c r="A41" s="4" t="s">
        <v>46</v>
      </c>
      <c r="B41" s="4">
        <v>1362.3</v>
      </c>
      <c r="C41" s="4">
        <v>1281.4000000000001</v>
      </c>
      <c r="D41" s="4">
        <v>116.5</v>
      </c>
      <c r="E41" s="4">
        <v>491.5</v>
      </c>
      <c r="F41" s="4">
        <v>37.200000000000003</v>
      </c>
      <c r="G41" s="4">
        <v>3289</v>
      </c>
    </row>
    <row r="42" spans="1:7">
      <c r="A42" s="4" t="s">
        <v>47</v>
      </c>
      <c r="B42" s="4">
        <v>1335.3</v>
      </c>
      <c r="C42" s="4">
        <v>1249.0999999999999</v>
      </c>
      <c r="D42" s="4">
        <v>114.2</v>
      </c>
      <c r="E42" s="4">
        <v>544</v>
      </c>
      <c r="F42" s="4">
        <v>36.9</v>
      </c>
      <c r="G42" s="4">
        <v>3279.6</v>
      </c>
    </row>
    <row r="43" spans="1:7">
      <c r="A43" s="4" t="s">
        <v>48</v>
      </c>
      <c r="B43" s="4">
        <v>1352.4</v>
      </c>
      <c r="C43" s="4">
        <v>1311.2</v>
      </c>
      <c r="D43" s="4">
        <v>121.8</v>
      </c>
      <c r="E43" s="4">
        <v>572.5</v>
      </c>
      <c r="F43" s="4">
        <v>38.1</v>
      </c>
      <c r="G43" s="4">
        <v>3396.1</v>
      </c>
    </row>
    <row r="44" spans="1:7">
      <c r="A44" s="4" t="s">
        <v>49</v>
      </c>
      <c r="B44" s="4">
        <v>1385.2</v>
      </c>
      <c r="C44" s="4">
        <v>1298.7</v>
      </c>
      <c r="D44" s="4">
        <v>121.2</v>
      </c>
      <c r="E44" s="4">
        <v>525.79999999999995</v>
      </c>
      <c r="F44" s="4">
        <v>37.6</v>
      </c>
      <c r="G44" s="4">
        <v>3368.5</v>
      </c>
    </row>
    <row r="45" spans="1:7">
      <c r="A45" s="4" t="s">
        <v>50</v>
      </c>
      <c r="B45" s="4">
        <v>1320.1</v>
      </c>
      <c r="C45" s="4">
        <v>1190.2</v>
      </c>
      <c r="D45" s="4">
        <v>117.4</v>
      </c>
      <c r="E45" s="4">
        <v>510.1</v>
      </c>
      <c r="F45" s="4">
        <v>38.4</v>
      </c>
      <c r="G45" s="4">
        <v>3176.1</v>
      </c>
    </row>
    <row r="46" spans="1:7">
      <c r="A46" s="4" t="s">
        <v>51</v>
      </c>
      <c r="B46" s="4">
        <v>1398.4</v>
      </c>
      <c r="C46" s="4">
        <v>1298.5999999999999</v>
      </c>
      <c r="D46" s="4">
        <v>123.5</v>
      </c>
      <c r="E46" s="4">
        <v>519.1</v>
      </c>
      <c r="F46" s="4">
        <v>41.8</v>
      </c>
      <c r="G46" s="4">
        <v>3381.5</v>
      </c>
    </row>
    <row r="47" spans="1:7">
      <c r="A47" s="4" t="s">
        <v>52</v>
      </c>
      <c r="B47" s="4">
        <v>1395.4</v>
      </c>
      <c r="C47" s="4">
        <v>1282.5999999999999</v>
      </c>
      <c r="D47" s="4">
        <v>120.1</v>
      </c>
      <c r="E47" s="4">
        <v>522.1</v>
      </c>
      <c r="F47" s="4">
        <v>44.7</v>
      </c>
      <c r="G47" s="4">
        <v>3364.9</v>
      </c>
    </row>
    <row r="48" spans="1:7">
      <c r="A48" s="4" t="s">
        <v>53</v>
      </c>
      <c r="B48" s="4">
        <v>1340.1</v>
      </c>
      <c r="C48" s="4">
        <v>1218.4000000000001</v>
      </c>
      <c r="D48" s="4">
        <v>117.5</v>
      </c>
      <c r="E48" s="4">
        <v>535.6</v>
      </c>
      <c r="F48" s="4">
        <v>37.5</v>
      </c>
      <c r="G48" s="4">
        <v>3249</v>
      </c>
    </row>
    <row r="49" spans="1:7">
      <c r="A49" s="4" t="s">
        <v>54</v>
      </c>
      <c r="B49" s="4">
        <v>1294.7</v>
      </c>
      <c r="C49" s="4">
        <v>1245.8</v>
      </c>
      <c r="D49" s="4">
        <v>118.2</v>
      </c>
      <c r="E49" s="4">
        <v>484</v>
      </c>
      <c r="F49" s="4">
        <v>36.5</v>
      </c>
      <c r="G49" s="4">
        <v>3179.2</v>
      </c>
    </row>
    <row r="50" spans="1:7">
      <c r="A50" s="4" t="s">
        <v>55</v>
      </c>
      <c r="B50" s="4">
        <v>1217.9000000000001</v>
      </c>
      <c r="C50" s="4">
        <v>1169.5</v>
      </c>
      <c r="D50" s="4">
        <v>109</v>
      </c>
      <c r="E50" s="4">
        <v>476.4</v>
      </c>
      <c r="F50" s="4">
        <v>33.200000000000003</v>
      </c>
      <c r="G50" s="4">
        <v>3005.9</v>
      </c>
    </row>
    <row r="51" spans="1:7">
      <c r="A51" s="4" t="s">
        <v>56</v>
      </c>
      <c r="B51" s="4">
        <v>1210.5</v>
      </c>
      <c r="C51" s="4">
        <v>1190.2</v>
      </c>
      <c r="D51" s="4">
        <v>109.7</v>
      </c>
      <c r="E51" s="4">
        <v>460.5</v>
      </c>
      <c r="F51" s="4">
        <v>34</v>
      </c>
      <c r="G51" s="4">
        <v>3004.8</v>
      </c>
    </row>
    <row r="52" spans="1:7">
      <c r="A52" s="4" t="s">
        <v>57</v>
      </c>
      <c r="B52" s="4">
        <v>1142.4000000000001</v>
      </c>
      <c r="C52" s="4">
        <v>1188.3</v>
      </c>
      <c r="D52" s="4">
        <v>106.3</v>
      </c>
      <c r="E52" s="4">
        <v>461.2</v>
      </c>
      <c r="F52" s="4">
        <v>32.799999999999997</v>
      </c>
      <c r="G52" s="4">
        <v>2931.1</v>
      </c>
    </row>
    <row r="53" spans="1:7">
      <c r="A53" s="4" t="s">
        <v>58</v>
      </c>
      <c r="B53" s="4">
        <v>1229.2</v>
      </c>
      <c r="C53" s="4">
        <v>1211.7</v>
      </c>
      <c r="D53" s="4">
        <v>117.6</v>
      </c>
      <c r="E53" s="4">
        <v>510.5</v>
      </c>
      <c r="F53" s="4">
        <v>34.4</v>
      </c>
      <c r="G53" s="4">
        <v>3103.5</v>
      </c>
    </row>
    <row r="54" spans="1:7">
      <c r="A54" s="4" t="s">
        <v>59</v>
      </c>
      <c r="B54" s="4">
        <v>1143.9000000000001</v>
      </c>
      <c r="C54" s="4">
        <v>1207.2</v>
      </c>
      <c r="D54" s="4">
        <v>112.5</v>
      </c>
      <c r="E54" s="4">
        <v>556.6</v>
      </c>
      <c r="F54" s="4">
        <v>34.700000000000003</v>
      </c>
      <c r="G54" s="4">
        <v>3054.9</v>
      </c>
    </row>
    <row r="55" spans="1:7">
      <c r="A55" s="4" t="s">
        <v>60</v>
      </c>
      <c r="B55" s="4">
        <v>1340.6</v>
      </c>
      <c r="C55" s="4">
        <v>1315.3</v>
      </c>
      <c r="D55" s="4">
        <v>123.2</v>
      </c>
      <c r="E55" s="4">
        <v>609.5</v>
      </c>
      <c r="F55" s="4">
        <v>37</v>
      </c>
      <c r="G55" s="4">
        <v>3425.6</v>
      </c>
    </row>
    <row r="56" spans="1:7">
      <c r="A56" s="4" t="s">
        <v>61</v>
      </c>
      <c r="B56" s="4">
        <v>1361.2</v>
      </c>
      <c r="C56" s="4">
        <v>1304.7</v>
      </c>
      <c r="D56" s="4">
        <v>119.9</v>
      </c>
      <c r="E56" s="4">
        <v>592.70000000000005</v>
      </c>
      <c r="F56" s="4">
        <v>35.6</v>
      </c>
      <c r="G56" s="4">
        <v>3414.1</v>
      </c>
    </row>
    <row r="57" spans="1:7">
      <c r="A57" s="4" t="s">
        <v>62</v>
      </c>
      <c r="B57" s="4">
        <v>1365.1</v>
      </c>
      <c r="C57" s="4">
        <v>1241.4000000000001</v>
      </c>
      <c r="D57" s="4">
        <v>129.1</v>
      </c>
      <c r="E57" s="4">
        <v>572.1</v>
      </c>
      <c r="F57" s="4">
        <v>35</v>
      </c>
      <c r="G57" s="4">
        <v>3342.7</v>
      </c>
    </row>
    <row r="58" spans="1:7">
      <c r="A58" s="4" t="s">
        <v>63</v>
      </c>
      <c r="B58" s="4">
        <v>1391.5</v>
      </c>
      <c r="C58" s="4">
        <v>1241.8</v>
      </c>
      <c r="D58" s="4">
        <v>172.3</v>
      </c>
      <c r="E58" s="4">
        <v>554.9</v>
      </c>
      <c r="F58" s="4">
        <v>35.4</v>
      </c>
      <c r="G58" s="4">
        <v>3395.7</v>
      </c>
    </row>
    <row r="59" spans="1:7">
      <c r="A59" s="4" t="s">
        <v>64</v>
      </c>
      <c r="B59" s="4">
        <v>1377.1</v>
      </c>
      <c r="C59" s="4">
        <v>1277.5</v>
      </c>
      <c r="D59" s="4">
        <v>171.8</v>
      </c>
      <c r="E59" s="4">
        <v>557.4</v>
      </c>
      <c r="F59" s="4">
        <v>35.700000000000003</v>
      </c>
      <c r="G59" s="4">
        <v>3419.5</v>
      </c>
    </row>
    <row r="60" spans="1:7">
      <c r="A60" s="4" t="s">
        <v>65</v>
      </c>
      <c r="B60" s="4">
        <v>1394.2</v>
      </c>
      <c r="C60" s="4">
        <v>1222.7</v>
      </c>
      <c r="D60" s="4">
        <v>167.3</v>
      </c>
      <c r="E60" s="4">
        <v>562.9</v>
      </c>
      <c r="F60" s="4">
        <v>32.799999999999997</v>
      </c>
      <c r="G60" s="4">
        <v>3379.9</v>
      </c>
    </row>
    <row r="61" spans="1:7">
      <c r="A61" s="4" t="s">
        <v>66</v>
      </c>
      <c r="B61" s="4">
        <v>1396.8</v>
      </c>
      <c r="C61" s="4">
        <v>1229.7</v>
      </c>
      <c r="D61" s="4">
        <v>169.1</v>
      </c>
      <c r="E61" s="4">
        <v>516</v>
      </c>
      <c r="F61" s="4">
        <v>33.5</v>
      </c>
      <c r="G61" s="4">
        <v>3345.1</v>
      </c>
    </row>
    <row r="62" spans="1:7">
      <c r="A62" s="4" t="s">
        <v>67</v>
      </c>
      <c r="B62" s="4">
        <v>1395.9</v>
      </c>
      <c r="C62" s="4">
        <v>1161.7</v>
      </c>
      <c r="D62" s="4">
        <v>163.80000000000001</v>
      </c>
      <c r="E62" s="4">
        <v>490.6</v>
      </c>
      <c r="F62" s="4">
        <v>30.9</v>
      </c>
      <c r="G62" s="4">
        <v>3242.9</v>
      </c>
    </row>
    <row r="63" spans="1:7">
      <c r="A63" s="4" t="s">
        <v>68</v>
      </c>
      <c r="B63" s="4">
        <v>1405.9</v>
      </c>
      <c r="C63" s="4">
        <v>1180</v>
      </c>
      <c r="D63" s="4">
        <v>166.3</v>
      </c>
      <c r="E63" s="4">
        <v>503.9</v>
      </c>
      <c r="F63" s="4">
        <v>31</v>
      </c>
      <c r="G63" s="4">
        <v>3287.1</v>
      </c>
    </row>
    <row r="64" spans="1:7">
      <c r="A64" s="4" t="s">
        <v>69</v>
      </c>
      <c r="B64" s="4">
        <v>1329.3</v>
      </c>
      <c r="C64" s="4">
        <v>1345.4</v>
      </c>
      <c r="D64" s="4">
        <v>165</v>
      </c>
      <c r="E64" s="4">
        <v>547.6</v>
      </c>
      <c r="F64" s="4">
        <v>33.200000000000003</v>
      </c>
      <c r="G64" s="4">
        <v>3420.6</v>
      </c>
    </row>
    <row r="65" spans="1:7">
      <c r="A65" s="4" t="s">
        <v>70</v>
      </c>
      <c r="B65" s="4">
        <v>1488.9</v>
      </c>
      <c r="C65" s="4">
        <v>1308.8</v>
      </c>
      <c r="D65" s="4">
        <v>173.6</v>
      </c>
      <c r="E65" s="4">
        <v>585</v>
      </c>
      <c r="F65" s="4">
        <v>32.4</v>
      </c>
      <c r="G65" s="4">
        <v>3588.8</v>
      </c>
    </row>
    <row r="66" spans="1:7">
      <c r="A66" s="4" t="s">
        <v>71</v>
      </c>
      <c r="B66" s="4">
        <v>1471.5</v>
      </c>
      <c r="C66" s="4">
        <v>1235</v>
      </c>
      <c r="D66" s="4">
        <v>167.3</v>
      </c>
      <c r="E66" s="4">
        <v>573.5</v>
      </c>
      <c r="F66" s="4">
        <v>32.1</v>
      </c>
      <c r="G66" s="4">
        <v>3479.4</v>
      </c>
    </row>
    <row r="67" spans="1:7">
      <c r="A67" s="4" t="s">
        <v>72</v>
      </c>
      <c r="B67" s="4">
        <v>1523.8</v>
      </c>
      <c r="C67" s="4">
        <v>1373.2</v>
      </c>
      <c r="D67" s="4">
        <v>181</v>
      </c>
      <c r="E67" s="4">
        <v>606</v>
      </c>
      <c r="F67" s="4">
        <v>34.799999999999997</v>
      </c>
      <c r="G67" s="4">
        <v>3718.7</v>
      </c>
    </row>
    <row r="68" spans="1:7">
      <c r="A68" s="4" t="s">
        <v>73</v>
      </c>
      <c r="B68" s="4">
        <v>1474.1</v>
      </c>
      <c r="C68" s="4">
        <v>1317.3</v>
      </c>
      <c r="D68" s="4">
        <v>173.4</v>
      </c>
      <c r="E68" s="4">
        <v>575.20000000000005</v>
      </c>
      <c r="F68" s="4">
        <v>31.7</v>
      </c>
      <c r="G68" s="4">
        <v>3571.7</v>
      </c>
    </row>
    <row r="69" spans="1:7">
      <c r="A69" s="4" t="s">
        <v>74</v>
      </c>
      <c r="B69" s="4">
        <v>1538.4</v>
      </c>
      <c r="C69" s="4">
        <v>1308.3</v>
      </c>
      <c r="D69" s="4">
        <v>182.8</v>
      </c>
      <c r="E69" s="4">
        <v>539.70000000000005</v>
      </c>
      <c r="F69" s="4">
        <v>32.299999999999997</v>
      </c>
      <c r="G69" s="4">
        <v>3601.5</v>
      </c>
    </row>
    <row r="70" spans="1:7">
      <c r="A70" s="4" t="s">
        <v>75</v>
      </c>
      <c r="B70" s="4">
        <v>1516.6</v>
      </c>
      <c r="C70" s="4">
        <v>1287.3</v>
      </c>
      <c r="D70" s="4">
        <v>181.1</v>
      </c>
      <c r="E70" s="4">
        <v>539.20000000000005</v>
      </c>
      <c r="F70" s="4">
        <v>31.6</v>
      </c>
      <c r="G70" s="4">
        <v>3555.8</v>
      </c>
    </row>
    <row r="71" spans="1:7">
      <c r="A71" s="4" t="s">
        <v>76</v>
      </c>
      <c r="B71" s="4">
        <v>1472.5</v>
      </c>
      <c r="C71" s="4">
        <v>1278.3</v>
      </c>
      <c r="D71" s="4">
        <v>174.9</v>
      </c>
      <c r="E71" s="4">
        <v>557.79999999999995</v>
      </c>
      <c r="F71" s="4">
        <v>31.3</v>
      </c>
      <c r="G71" s="4">
        <v>3514.9</v>
      </c>
    </row>
    <row r="72" spans="1:7">
      <c r="A72" s="4" t="s">
        <v>77</v>
      </c>
      <c r="B72" s="4">
        <v>1516.5</v>
      </c>
      <c r="C72" s="4">
        <v>1299.2</v>
      </c>
      <c r="D72" s="4">
        <v>185.5</v>
      </c>
      <c r="E72" s="4">
        <v>581.4</v>
      </c>
      <c r="F72" s="4">
        <v>31.7</v>
      </c>
      <c r="G72" s="4">
        <v>3614.4</v>
      </c>
    </row>
    <row r="73" spans="1:7">
      <c r="A73" s="4" t="s">
        <v>78</v>
      </c>
      <c r="B73" s="4">
        <v>1529</v>
      </c>
      <c r="C73" s="4">
        <v>1375.3</v>
      </c>
      <c r="D73" s="4">
        <v>183.7</v>
      </c>
      <c r="E73" s="4">
        <v>536.20000000000005</v>
      </c>
      <c r="F73" s="4">
        <v>31.8</v>
      </c>
      <c r="G73" s="4">
        <v>3656</v>
      </c>
    </row>
    <row r="74" spans="1:7">
      <c r="A74" s="4" t="s">
        <v>79</v>
      </c>
      <c r="B74" s="4">
        <v>1498.5</v>
      </c>
      <c r="C74" s="4">
        <v>1266.4000000000001</v>
      </c>
      <c r="D74" s="4">
        <v>176.9</v>
      </c>
      <c r="E74" s="4">
        <v>499.3</v>
      </c>
      <c r="F74" s="4">
        <v>29.3</v>
      </c>
      <c r="G74" s="4">
        <v>3470.4</v>
      </c>
    </row>
    <row r="75" spans="1:7">
      <c r="A75" s="4" t="s">
        <v>80</v>
      </c>
      <c r="B75" s="4">
        <v>1506.3</v>
      </c>
      <c r="C75" s="4">
        <v>1253.8</v>
      </c>
      <c r="D75" s="4">
        <v>176.7</v>
      </c>
      <c r="E75" s="4">
        <v>461.7</v>
      </c>
      <c r="F75" s="4">
        <v>27.9</v>
      </c>
      <c r="G75" s="4">
        <v>3426.5</v>
      </c>
    </row>
    <row r="76" spans="1:7">
      <c r="A76" s="4" t="s">
        <v>81</v>
      </c>
      <c r="B76" s="4">
        <v>1386.5</v>
      </c>
      <c r="C76" s="4">
        <v>1261.5</v>
      </c>
      <c r="D76" s="4">
        <v>166.3</v>
      </c>
      <c r="E76" s="4">
        <v>465.7</v>
      </c>
      <c r="F76" s="4">
        <v>28</v>
      </c>
      <c r="G76" s="4">
        <v>3308</v>
      </c>
    </row>
    <row r="77" spans="1:7">
      <c r="A77" s="4" t="s">
        <v>82</v>
      </c>
      <c r="B77" s="4">
        <v>1472.5</v>
      </c>
      <c r="C77" s="4">
        <v>1283.4000000000001</v>
      </c>
      <c r="D77" s="4">
        <v>180.2</v>
      </c>
      <c r="E77" s="4">
        <v>524.4</v>
      </c>
      <c r="F77" s="4">
        <v>28.7</v>
      </c>
      <c r="G77" s="4">
        <v>3489.2</v>
      </c>
    </row>
    <row r="78" spans="1:7">
      <c r="A78" s="4" t="s">
        <v>83</v>
      </c>
      <c r="B78" s="4">
        <v>1458.2</v>
      </c>
      <c r="C78" s="4">
        <v>1314.3</v>
      </c>
      <c r="D78" s="4">
        <v>184</v>
      </c>
      <c r="E78" s="4">
        <v>565.1</v>
      </c>
      <c r="F78" s="4">
        <v>30.5</v>
      </c>
      <c r="G78" s="4">
        <v>3552</v>
      </c>
    </row>
    <row r="79" spans="1:7">
      <c r="A79" s="4" t="s">
        <v>84</v>
      </c>
      <c r="B79" s="4">
        <v>1624.4</v>
      </c>
      <c r="C79" s="4">
        <v>1405.6</v>
      </c>
      <c r="D79" s="4">
        <v>195.6</v>
      </c>
      <c r="E79" s="4">
        <v>602.79999999999995</v>
      </c>
      <c r="F79" s="4">
        <v>31.3</v>
      </c>
      <c r="G79" s="4">
        <v>3859.7</v>
      </c>
    </row>
    <row r="80" spans="1:7">
      <c r="A80" s="4" t="s">
        <v>85</v>
      </c>
      <c r="B80" s="4">
        <v>1537.9</v>
      </c>
      <c r="C80" s="4">
        <v>1300.5999999999999</v>
      </c>
      <c r="D80" s="4">
        <v>186.2</v>
      </c>
      <c r="E80" s="4">
        <v>586</v>
      </c>
      <c r="F80" s="4">
        <v>29.2</v>
      </c>
      <c r="G80" s="4">
        <v>3639.9</v>
      </c>
    </row>
    <row r="81" spans="1:7">
      <c r="A81" s="4" t="s">
        <v>86</v>
      </c>
      <c r="B81" s="4">
        <v>1591.2</v>
      </c>
      <c r="C81" s="4">
        <v>1440.5</v>
      </c>
      <c r="D81" s="4">
        <v>201</v>
      </c>
      <c r="E81" s="4">
        <v>590.6</v>
      </c>
      <c r="F81" s="4">
        <v>30.9</v>
      </c>
      <c r="G81" s="4">
        <v>3854.2</v>
      </c>
    </row>
    <row r="82" spans="1:7">
      <c r="A82" s="4" t="s">
        <v>87</v>
      </c>
      <c r="B82" s="4">
        <v>1530.2</v>
      </c>
      <c r="C82" s="4">
        <v>1361.9</v>
      </c>
      <c r="D82" s="4">
        <v>194.1</v>
      </c>
      <c r="E82" s="4">
        <v>582.6</v>
      </c>
      <c r="F82" s="4">
        <v>29.1</v>
      </c>
      <c r="G82" s="4">
        <v>3697.8</v>
      </c>
    </row>
    <row r="83" spans="1:7">
      <c r="A83" s="4" t="s">
        <v>88</v>
      </c>
      <c r="B83" s="4">
        <v>1513.1</v>
      </c>
      <c r="C83" s="4">
        <v>1299.7</v>
      </c>
      <c r="D83" s="4">
        <v>183.9</v>
      </c>
      <c r="E83" s="4">
        <v>557.70000000000005</v>
      </c>
      <c r="F83" s="4">
        <v>27.6</v>
      </c>
      <c r="G83" s="4">
        <v>3582</v>
      </c>
    </row>
    <row r="84" spans="1:7">
      <c r="A84" s="4" t="s">
        <v>89</v>
      </c>
      <c r="B84" s="4">
        <v>1500.8</v>
      </c>
      <c r="C84" s="4">
        <v>1386.2</v>
      </c>
      <c r="D84" s="4">
        <v>196.5</v>
      </c>
      <c r="E84" s="4">
        <v>541.1</v>
      </c>
      <c r="F84" s="4">
        <v>28.3</v>
      </c>
      <c r="G84" s="4">
        <v>3652.8</v>
      </c>
    </row>
    <row r="85" spans="1:7">
      <c r="A85" s="4" t="s">
        <v>90</v>
      </c>
      <c r="B85" s="4">
        <v>1457.9</v>
      </c>
      <c r="C85" s="4">
        <v>1302.5</v>
      </c>
      <c r="D85" s="4">
        <v>182.8</v>
      </c>
      <c r="E85" s="4">
        <v>505.9</v>
      </c>
      <c r="F85" s="4">
        <v>25.8</v>
      </c>
      <c r="G85" s="4">
        <v>3474.7</v>
      </c>
    </row>
    <row r="86" spans="1:7">
      <c r="A86" s="4" t="s">
        <v>91</v>
      </c>
      <c r="B86" s="4">
        <v>1494.9</v>
      </c>
      <c r="C86" s="4">
        <v>1202.5999999999999</v>
      </c>
      <c r="D86" s="4">
        <v>187.8</v>
      </c>
      <c r="E86" s="4">
        <v>503.3</v>
      </c>
      <c r="F86" s="4">
        <v>25.3</v>
      </c>
      <c r="G86" s="4">
        <v>3413.9</v>
      </c>
    </row>
    <row r="87" spans="1:7">
      <c r="A87" s="4" t="s">
        <v>92</v>
      </c>
      <c r="B87" s="4">
        <v>1456</v>
      </c>
      <c r="C87" s="4">
        <v>1344.4</v>
      </c>
      <c r="D87" s="4">
        <v>189.8</v>
      </c>
      <c r="E87" s="4">
        <v>505</v>
      </c>
      <c r="F87" s="4">
        <v>25.6</v>
      </c>
      <c r="G87" s="4">
        <v>3520.9</v>
      </c>
    </row>
    <row r="88" spans="1:7">
      <c r="A88" s="4" t="s">
        <v>93</v>
      </c>
      <c r="B88" s="4">
        <v>1459.3</v>
      </c>
      <c r="C88" s="4">
        <v>1291.5</v>
      </c>
      <c r="D88" s="4">
        <v>181.3</v>
      </c>
      <c r="E88" s="4">
        <v>508.6</v>
      </c>
      <c r="F88" s="4">
        <v>24.1</v>
      </c>
      <c r="G88" s="4">
        <v>3464.8</v>
      </c>
    </row>
    <row r="89" spans="1:7">
      <c r="A89" s="4" t="s">
        <v>94</v>
      </c>
      <c r="B89" s="4">
        <v>1560.6</v>
      </c>
      <c r="C89" s="4">
        <v>1391.3</v>
      </c>
      <c r="D89" s="4">
        <v>194.9</v>
      </c>
      <c r="E89" s="4">
        <v>540.9</v>
      </c>
      <c r="F89" s="4">
        <v>25.8</v>
      </c>
      <c r="G89" s="4">
        <v>3713.5</v>
      </c>
    </row>
    <row r="90" spans="1:7">
      <c r="A90" s="4" t="s">
        <v>95</v>
      </c>
      <c r="B90" s="4">
        <v>1522.4</v>
      </c>
      <c r="C90" s="4">
        <v>1388.1</v>
      </c>
      <c r="D90" s="4">
        <v>196</v>
      </c>
      <c r="E90" s="4">
        <v>557.1</v>
      </c>
      <c r="F90" s="4">
        <v>26.2</v>
      </c>
      <c r="G90" s="4">
        <v>3689.9</v>
      </c>
    </row>
    <row r="91" spans="1:7">
      <c r="A91" s="4" t="s">
        <v>96</v>
      </c>
      <c r="B91" s="4">
        <v>1595</v>
      </c>
      <c r="C91" s="4">
        <v>1391.2</v>
      </c>
      <c r="D91" s="4">
        <v>199.2</v>
      </c>
      <c r="E91" s="4">
        <v>607.9</v>
      </c>
      <c r="F91" s="4">
        <v>26.6</v>
      </c>
      <c r="G91" s="4">
        <v>3820</v>
      </c>
    </row>
    <row r="92" spans="1:7">
      <c r="A92" s="4" t="s">
        <v>97</v>
      </c>
      <c r="B92" s="4">
        <v>1540.3</v>
      </c>
      <c r="C92" s="4">
        <v>1375.8</v>
      </c>
      <c r="D92" s="4">
        <v>199.1</v>
      </c>
      <c r="E92" s="4">
        <v>594.79999999999995</v>
      </c>
      <c r="F92" s="4">
        <v>26</v>
      </c>
      <c r="G92" s="4">
        <v>3736</v>
      </c>
    </row>
    <row r="93" spans="1:7">
      <c r="A93" s="4" t="s">
        <v>98</v>
      </c>
      <c r="B93" s="4">
        <v>1613.8</v>
      </c>
      <c r="C93" s="4">
        <v>1443.2</v>
      </c>
      <c r="D93" s="4">
        <v>200.1</v>
      </c>
      <c r="E93" s="4">
        <v>585.6</v>
      </c>
      <c r="F93" s="4">
        <v>26.6</v>
      </c>
      <c r="G93" s="4">
        <v>3869.3</v>
      </c>
    </row>
    <row r="94" spans="1:7">
      <c r="A94" s="4" t="s">
        <v>99</v>
      </c>
      <c r="B94" s="4">
        <v>1634.4</v>
      </c>
      <c r="C94" s="4">
        <v>1401.3</v>
      </c>
      <c r="D94" s="4">
        <v>198.9</v>
      </c>
      <c r="E94" s="4">
        <v>573.20000000000005</v>
      </c>
      <c r="F94" s="4">
        <v>25.3</v>
      </c>
      <c r="G94" s="4">
        <v>3833.2</v>
      </c>
    </row>
    <row r="95" spans="1:7">
      <c r="A95" s="4" t="s">
        <v>100</v>
      </c>
      <c r="B95" s="4">
        <v>1558.8</v>
      </c>
      <c r="C95" s="4">
        <v>1378.7</v>
      </c>
      <c r="D95" s="4">
        <v>193.6</v>
      </c>
      <c r="E95" s="4">
        <v>560.20000000000005</v>
      </c>
      <c r="F95" s="4">
        <v>24.9</v>
      </c>
      <c r="G95" s="4">
        <v>3716.3</v>
      </c>
    </row>
    <row r="96" spans="1:7">
      <c r="A96" s="4" t="s">
        <v>101</v>
      </c>
      <c r="B96" s="4">
        <v>1602</v>
      </c>
      <c r="C96" s="4">
        <v>1378.8</v>
      </c>
      <c r="D96" s="4">
        <v>198.5</v>
      </c>
      <c r="E96" s="4">
        <v>568.1</v>
      </c>
      <c r="F96" s="4">
        <v>24.8</v>
      </c>
      <c r="G96" s="4">
        <v>3772.2</v>
      </c>
    </row>
    <row r="97" spans="1:7">
      <c r="A97" s="4" t="s">
        <v>102</v>
      </c>
      <c r="B97" s="4">
        <v>1534.9</v>
      </c>
      <c r="C97" s="4">
        <v>1378.9</v>
      </c>
      <c r="D97" s="4">
        <v>189.3</v>
      </c>
      <c r="E97" s="4">
        <v>524.79999999999995</v>
      </c>
      <c r="F97" s="4">
        <v>22.9</v>
      </c>
      <c r="G97" s="4">
        <v>3650.8</v>
      </c>
    </row>
    <row r="98" spans="1:7">
      <c r="A98" s="4" t="s">
        <v>103</v>
      </c>
      <c r="B98" s="4">
        <v>1594.3</v>
      </c>
      <c r="C98" s="4">
        <v>1383.3</v>
      </c>
      <c r="D98" s="4">
        <v>197.2</v>
      </c>
      <c r="E98" s="4">
        <v>513.1</v>
      </c>
      <c r="F98" s="4">
        <v>23.2</v>
      </c>
      <c r="G98" s="4">
        <v>3711</v>
      </c>
    </row>
    <row r="99" spans="1:7">
      <c r="A99" s="4" t="s">
        <v>104</v>
      </c>
      <c r="B99" s="4">
        <v>1479.1</v>
      </c>
      <c r="C99" s="4">
        <v>1283.3</v>
      </c>
      <c r="D99" s="4">
        <v>189.6</v>
      </c>
      <c r="E99" s="4">
        <v>498</v>
      </c>
      <c r="F99" s="4">
        <v>20.8</v>
      </c>
      <c r="G99" s="4">
        <v>3470.8</v>
      </c>
    </row>
    <row r="100" spans="1:7">
      <c r="A100" s="4" t="s">
        <v>105</v>
      </c>
      <c r="B100" s="4">
        <v>1410.8</v>
      </c>
      <c r="C100" s="4">
        <v>1291.0999999999999</v>
      </c>
      <c r="D100" s="4">
        <v>176.4</v>
      </c>
      <c r="E100" s="4">
        <v>498.3</v>
      </c>
      <c r="F100" s="4">
        <v>20.7</v>
      </c>
      <c r="G100" s="4">
        <v>3397.3</v>
      </c>
    </row>
    <row r="101" spans="1:7">
      <c r="A101" s="4" t="s">
        <v>106</v>
      </c>
      <c r="B101" s="4">
        <v>1576.8</v>
      </c>
      <c r="C101" s="4">
        <v>1406.5</v>
      </c>
      <c r="D101" s="4">
        <v>198.1</v>
      </c>
      <c r="E101" s="4">
        <v>568.29999999999995</v>
      </c>
      <c r="F101" s="4">
        <v>22.4</v>
      </c>
      <c r="G101" s="4">
        <v>3772</v>
      </c>
    </row>
    <row r="102" spans="1:7">
      <c r="A102" s="4" t="s">
        <v>107</v>
      </c>
      <c r="B102" s="4">
        <v>1567.9</v>
      </c>
      <c r="C102" s="4">
        <v>1400.9</v>
      </c>
      <c r="D102" s="4">
        <v>199.8</v>
      </c>
      <c r="E102" s="4">
        <v>601.79999999999995</v>
      </c>
      <c r="F102" s="4">
        <v>23</v>
      </c>
      <c r="G102" s="4">
        <v>3793.3</v>
      </c>
    </row>
    <row r="103" spans="1:7">
      <c r="A103" s="4" t="s">
        <v>108</v>
      </c>
      <c r="B103" s="4">
        <v>1586</v>
      </c>
      <c r="C103" s="4">
        <v>1412.7</v>
      </c>
      <c r="D103" s="4">
        <v>202.1</v>
      </c>
      <c r="E103" s="4">
        <v>629.6</v>
      </c>
      <c r="F103" s="4">
        <v>23.4</v>
      </c>
      <c r="G103" s="4">
        <v>3853.7</v>
      </c>
    </row>
    <row r="104" spans="1:7">
      <c r="A104" s="4" t="s">
        <v>109</v>
      </c>
      <c r="B104" s="4">
        <v>1598.4</v>
      </c>
      <c r="C104" s="4">
        <v>1466.6</v>
      </c>
      <c r="D104" s="4">
        <v>204.5</v>
      </c>
      <c r="E104" s="4">
        <v>612</v>
      </c>
      <c r="F104" s="4">
        <v>23.1</v>
      </c>
      <c r="G104" s="4">
        <v>3904.5</v>
      </c>
    </row>
    <row r="105" spans="1:7">
      <c r="A105" s="4" t="s">
        <v>110</v>
      </c>
      <c r="B105" s="4">
        <v>1644.9</v>
      </c>
      <c r="C105" s="4">
        <v>1423.7</v>
      </c>
      <c r="D105" s="4">
        <v>202.5</v>
      </c>
      <c r="E105" s="4">
        <v>617.5</v>
      </c>
      <c r="F105" s="4">
        <v>22.6</v>
      </c>
      <c r="G105" s="4">
        <v>3911.2</v>
      </c>
    </row>
    <row r="106" spans="1:7">
      <c r="A106" s="4" t="s">
        <v>111</v>
      </c>
      <c r="B106" s="4">
        <v>1636.3</v>
      </c>
      <c r="C106" s="4">
        <v>1411.2</v>
      </c>
      <c r="D106" s="4">
        <v>202.7</v>
      </c>
      <c r="E106" s="4">
        <v>560.6</v>
      </c>
      <c r="F106" s="4">
        <v>21.6</v>
      </c>
      <c r="G106" s="4">
        <v>3832.5</v>
      </c>
    </row>
    <row r="107" spans="1:7">
      <c r="A107" s="4" t="s">
        <v>112</v>
      </c>
      <c r="B107" s="4">
        <v>1534.1</v>
      </c>
      <c r="C107" s="4">
        <v>1411</v>
      </c>
      <c r="D107" s="4">
        <v>196.2</v>
      </c>
      <c r="E107" s="4">
        <v>555</v>
      </c>
      <c r="F107" s="4">
        <v>21.1</v>
      </c>
      <c r="G107" s="4">
        <v>3717.4</v>
      </c>
    </row>
    <row r="108" spans="1:7">
      <c r="A108" s="4" t="s">
        <v>113</v>
      </c>
      <c r="B108" s="4">
        <v>1641.7</v>
      </c>
      <c r="C108" s="4">
        <v>1447.4</v>
      </c>
      <c r="D108" s="4">
        <v>203.5</v>
      </c>
      <c r="E108" s="4">
        <v>570.70000000000005</v>
      </c>
      <c r="F108" s="4">
        <v>21.3</v>
      </c>
      <c r="G108" s="4">
        <v>3884.6</v>
      </c>
    </row>
    <row r="109" spans="1:7">
      <c r="A109" s="4" t="s">
        <v>114</v>
      </c>
      <c r="B109" s="4">
        <v>1572.5</v>
      </c>
      <c r="C109" s="4">
        <v>1381.1</v>
      </c>
      <c r="D109" s="4">
        <v>196.4</v>
      </c>
      <c r="E109" s="4">
        <v>530.1</v>
      </c>
      <c r="F109" s="4">
        <v>20.3</v>
      </c>
      <c r="G109" s="4">
        <v>3700.4</v>
      </c>
    </row>
    <row r="110" spans="1:7">
      <c r="A110" s="4" t="s">
        <v>115</v>
      </c>
      <c r="B110" s="4">
        <v>1645.6</v>
      </c>
      <c r="C110" s="4">
        <v>1354</v>
      </c>
      <c r="D110" s="4">
        <v>197.7</v>
      </c>
      <c r="E110" s="4">
        <v>509.7</v>
      </c>
      <c r="F110" s="4">
        <v>19.7</v>
      </c>
      <c r="G110" s="4">
        <v>3726.7</v>
      </c>
    </row>
    <row r="111" spans="1:7">
      <c r="A111" s="4" t="s">
        <v>116</v>
      </c>
      <c r="B111" s="4">
        <v>1609.5</v>
      </c>
      <c r="C111" s="4">
        <v>1370.3</v>
      </c>
      <c r="D111" s="4">
        <v>193</v>
      </c>
      <c r="E111" s="4">
        <v>489.3</v>
      </c>
      <c r="F111" s="4">
        <v>18.5</v>
      </c>
      <c r="G111" s="4">
        <v>3680.6</v>
      </c>
    </row>
    <row r="112" spans="1:7">
      <c r="A112" s="4" t="s">
        <v>117</v>
      </c>
      <c r="B112" s="4">
        <v>1488.1</v>
      </c>
      <c r="C112" s="4">
        <v>1316.5</v>
      </c>
      <c r="D112" s="4">
        <v>180.1</v>
      </c>
      <c r="E112" s="4">
        <v>488.7</v>
      </c>
      <c r="F112" s="4">
        <v>17.899999999999999</v>
      </c>
      <c r="G112" s="4">
        <v>3491.4</v>
      </c>
    </row>
    <row r="113" spans="1:7">
      <c r="A113" s="4" t="s">
        <v>118</v>
      </c>
      <c r="B113" s="4">
        <v>1666.3</v>
      </c>
      <c r="C113" s="4">
        <v>1416.3</v>
      </c>
      <c r="D113" s="4">
        <v>203.7</v>
      </c>
      <c r="E113" s="4">
        <v>568.1</v>
      </c>
      <c r="F113" s="4">
        <v>19.899999999999999</v>
      </c>
      <c r="G113" s="4">
        <v>3874.3</v>
      </c>
    </row>
    <row r="114" spans="1:7">
      <c r="A114" s="4" t="s">
        <v>119</v>
      </c>
      <c r="B114" s="4">
        <v>1681.2</v>
      </c>
      <c r="C114" s="4">
        <v>1416.9</v>
      </c>
      <c r="D114" s="4">
        <v>202.8</v>
      </c>
      <c r="E114" s="4">
        <v>609.5</v>
      </c>
      <c r="F114" s="4">
        <v>20.6</v>
      </c>
      <c r="G114" s="4">
        <v>3931.1</v>
      </c>
    </row>
    <row r="115" spans="1:7">
      <c r="A115" s="4" t="s">
        <v>120</v>
      </c>
      <c r="B115" s="4">
        <v>1656.8</v>
      </c>
      <c r="C115" s="4">
        <v>1447.2</v>
      </c>
      <c r="D115" s="4">
        <v>209.1</v>
      </c>
      <c r="E115" s="4">
        <v>639</v>
      </c>
      <c r="F115" s="4">
        <v>20.9</v>
      </c>
      <c r="G115" s="4">
        <v>3973</v>
      </c>
    </row>
    <row r="116" spans="1:7">
      <c r="A116" s="4" t="s">
        <v>121</v>
      </c>
      <c r="B116" s="4">
        <v>1663.1</v>
      </c>
      <c r="C116" s="4">
        <v>1451.6</v>
      </c>
      <c r="D116" s="4">
        <v>208.2</v>
      </c>
      <c r="E116" s="4">
        <v>628.1</v>
      </c>
      <c r="F116" s="4">
        <v>20.3</v>
      </c>
      <c r="G116" s="4">
        <v>3971.4</v>
      </c>
    </row>
    <row r="117" spans="1:7">
      <c r="A117" s="4" t="s">
        <v>122</v>
      </c>
      <c r="B117" s="4">
        <v>1746.1</v>
      </c>
      <c r="C117" s="4">
        <v>1486.1</v>
      </c>
      <c r="D117" s="4">
        <v>214.7</v>
      </c>
      <c r="E117" s="4">
        <v>635.5</v>
      </c>
      <c r="F117" s="4">
        <v>21.2</v>
      </c>
      <c r="G117" s="4">
        <v>4103.6000000000004</v>
      </c>
    </row>
    <row r="118" spans="1:7">
      <c r="A118" s="4" t="s">
        <v>123</v>
      </c>
      <c r="B118" s="4">
        <v>1676.4</v>
      </c>
      <c r="C118" s="4">
        <v>1447.1</v>
      </c>
      <c r="D118" s="4">
        <v>210.1</v>
      </c>
      <c r="E118" s="4">
        <v>592.4</v>
      </c>
      <c r="F118" s="4">
        <v>19.8</v>
      </c>
      <c r="G118" s="4">
        <v>3945.7</v>
      </c>
    </row>
    <row r="119" spans="1:7">
      <c r="A119" s="4" t="s">
        <v>124</v>
      </c>
      <c r="B119" s="4">
        <v>1712.3</v>
      </c>
      <c r="C119" s="4">
        <v>1458</v>
      </c>
      <c r="D119" s="4">
        <v>206.9</v>
      </c>
      <c r="E119" s="4">
        <v>580.9</v>
      </c>
      <c r="F119" s="4">
        <v>19.8</v>
      </c>
      <c r="G119" s="4">
        <v>3977.8</v>
      </c>
    </row>
    <row r="120" spans="1:7">
      <c r="A120" s="4" t="s">
        <v>125</v>
      </c>
      <c r="B120" s="4">
        <v>1632.2</v>
      </c>
      <c r="C120" s="4">
        <v>1457.4</v>
      </c>
      <c r="D120" s="4">
        <v>210.4</v>
      </c>
      <c r="E120" s="4">
        <v>611.5</v>
      </c>
      <c r="F120" s="4">
        <v>19.7</v>
      </c>
      <c r="G120" s="4">
        <v>3931.2</v>
      </c>
    </row>
    <row r="121" spans="1:7">
      <c r="A121" s="4" t="s">
        <v>126</v>
      </c>
      <c r="B121" s="4">
        <v>1575.6</v>
      </c>
      <c r="C121" s="4">
        <v>1425.1</v>
      </c>
      <c r="D121" s="4">
        <v>204.4</v>
      </c>
      <c r="E121" s="4">
        <v>571.79999999999995</v>
      </c>
      <c r="F121" s="4">
        <v>19.399999999999999</v>
      </c>
      <c r="G121" s="4">
        <v>3796.3</v>
      </c>
    </row>
    <row r="122" spans="1:7">
      <c r="A122" s="4" t="s">
        <v>127</v>
      </c>
      <c r="B122" s="4">
        <v>1732.8</v>
      </c>
      <c r="C122" s="4">
        <v>1412.2</v>
      </c>
      <c r="D122" s="4">
        <v>203.9</v>
      </c>
      <c r="E122" s="4">
        <v>525.20000000000005</v>
      </c>
      <c r="F122" s="4">
        <v>23.2</v>
      </c>
      <c r="G122" s="4">
        <v>3897.3</v>
      </c>
    </row>
    <row r="123" spans="1:7">
      <c r="A123" s="4" t="s">
        <v>128</v>
      </c>
      <c r="B123" s="4">
        <v>1636.4</v>
      </c>
      <c r="C123" s="4">
        <v>1335.3</v>
      </c>
      <c r="D123" s="4">
        <v>199.1</v>
      </c>
      <c r="E123" s="4">
        <v>493.6</v>
      </c>
      <c r="F123" s="4">
        <v>21.6</v>
      </c>
      <c r="G123" s="4">
        <v>3685.9</v>
      </c>
    </row>
    <row r="124" spans="1:7">
      <c r="A124" s="4" t="s">
        <v>129</v>
      </c>
      <c r="B124" s="4">
        <v>1581.1</v>
      </c>
      <c r="C124" s="4">
        <v>1386.4</v>
      </c>
      <c r="D124" s="4">
        <v>183.1</v>
      </c>
      <c r="E124" s="4">
        <v>513.9</v>
      </c>
      <c r="F124" s="4">
        <v>22.5</v>
      </c>
      <c r="G124" s="4">
        <v>3687</v>
      </c>
    </row>
    <row r="125" spans="1:7">
      <c r="A125" s="4" t="s">
        <v>130</v>
      </c>
      <c r="B125" s="4">
        <v>1693.7</v>
      </c>
      <c r="C125" s="4">
        <v>1455.8</v>
      </c>
      <c r="D125" s="4">
        <v>206.2</v>
      </c>
      <c r="E125" s="4">
        <v>594.20000000000005</v>
      </c>
      <c r="F125" s="4">
        <v>23.2</v>
      </c>
      <c r="G125" s="4">
        <v>3973.2</v>
      </c>
    </row>
    <row r="126" spans="1:7">
      <c r="A126" s="4" t="s">
        <v>131</v>
      </c>
      <c r="B126" s="4">
        <v>1675.9</v>
      </c>
      <c r="C126" s="4">
        <v>1467.5</v>
      </c>
      <c r="D126" s="4">
        <v>204</v>
      </c>
      <c r="E126" s="4">
        <v>610.70000000000005</v>
      </c>
      <c r="F126" s="4">
        <v>23.5</v>
      </c>
      <c r="G126" s="4">
        <v>3981.6</v>
      </c>
    </row>
    <row r="127" spans="1:7">
      <c r="A127" s="4" t="s">
        <v>132</v>
      </c>
      <c r="B127" s="4">
        <v>1674.8</v>
      </c>
      <c r="C127" s="4">
        <v>1491.5</v>
      </c>
      <c r="D127" s="4">
        <v>207.7</v>
      </c>
      <c r="E127" s="4">
        <v>632.29999999999995</v>
      </c>
      <c r="F127" s="4">
        <v>24.3</v>
      </c>
      <c r="G127" s="4">
        <v>4030.6</v>
      </c>
    </row>
    <row r="128" spans="1:7">
      <c r="A128" s="4" t="s">
        <v>133</v>
      </c>
      <c r="B128" s="4">
        <v>1679.7</v>
      </c>
      <c r="C128" s="4">
        <v>1475.4</v>
      </c>
      <c r="D128" s="4">
        <v>204.9</v>
      </c>
      <c r="E128" s="4">
        <v>647</v>
      </c>
      <c r="F128" s="4">
        <v>23.6</v>
      </c>
      <c r="G128" s="4">
        <v>4030.6</v>
      </c>
    </row>
    <row r="129" spans="1:7">
      <c r="A129" s="4" t="s">
        <v>134</v>
      </c>
      <c r="B129" s="4">
        <v>1736.7</v>
      </c>
      <c r="C129" s="4">
        <v>1520.4</v>
      </c>
      <c r="D129" s="4">
        <v>210</v>
      </c>
      <c r="E129" s="4">
        <v>656.7</v>
      </c>
      <c r="F129" s="4">
        <v>24.4</v>
      </c>
      <c r="G129" s="4">
        <v>4148.3</v>
      </c>
    </row>
    <row r="130" spans="1:7">
      <c r="A130" s="4" t="s">
        <v>135</v>
      </c>
      <c r="B130" s="4">
        <v>1717</v>
      </c>
      <c r="C130" s="4">
        <v>1486</v>
      </c>
      <c r="D130" s="4">
        <v>206.7</v>
      </c>
      <c r="E130" s="4">
        <v>635.70000000000005</v>
      </c>
      <c r="F130" s="4">
        <v>23.5</v>
      </c>
      <c r="G130" s="4">
        <v>4068.8</v>
      </c>
    </row>
    <row r="131" spans="1:7">
      <c r="A131" s="4" t="s">
        <v>136</v>
      </c>
      <c r="B131" s="4">
        <v>1676.6</v>
      </c>
      <c r="C131" s="4">
        <v>1499.6</v>
      </c>
      <c r="D131" s="4">
        <v>202.5</v>
      </c>
      <c r="E131" s="4">
        <v>643.6</v>
      </c>
      <c r="F131" s="4">
        <v>23.4</v>
      </c>
      <c r="G131" s="4">
        <v>4045.7</v>
      </c>
    </row>
    <row r="132" spans="1:7">
      <c r="A132" s="4" t="s">
        <v>137</v>
      </c>
      <c r="B132" s="4">
        <v>1657.7</v>
      </c>
      <c r="C132" s="4">
        <v>1506.2</v>
      </c>
      <c r="D132" s="4">
        <v>211.1</v>
      </c>
      <c r="E132" s="4">
        <v>645.70000000000005</v>
      </c>
      <c r="F132" s="4">
        <v>22.9</v>
      </c>
      <c r="G132" s="4">
        <v>4043.5</v>
      </c>
    </row>
    <row r="133" spans="1:7">
      <c r="A133" s="4" t="s">
        <v>138</v>
      </c>
      <c r="B133" s="4">
        <v>1625.7</v>
      </c>
      <c r="C133" s="4">
        <v>1444.7</v>
      </c>
      <c r="D133" s="4">
        <v>205.6</v>
      </c>
      <c r="E133" s="4">
        <v>622.4</v>
      </c>
      <c r="F133" s="4">
        <v>22.9</v>
      </c>
      <c r="G133" s="4">
        <v>3921.4</v>
      </c>
    </row>
    <row r="134" spans="1:7">
      <c r="A134" s="4" t="s">
        <v>139</v>
      </c>
      <c r="B134" s="4">
        <v>1649.1</v>
      </c>
      <c r="C134" s="4">
        <v>1419.1</v>
      </c>
      <c r="D134" s="4">
        <v>214.4</v>
      </c>
      <c r="E134" s="4">
        <v>570.29999999999995</v>
      </c>
      <c r="F134" s="4">
        <v>23.4</v>
      </c>
      <c r="G134" s="4">
        <v>3876.3</v>
      </c>
    </row>
    <row r="135" spans="1:7">
      <c r="A135" s="4" t="s">
        <v>140</v>
      </c>
      <c r="B135" s="4">
        <v>1661.6</v>
      </c>
      <c r="C135" s="4">
        <v>1449</v>
      </c>
      <c r="D135" s="4">
        <v>214.9</v>
      </c>
      <c r="E135" s="4">
        <v>580.4</v>
      </c>
      <c r="F135" s="4">
        <v>22.5</v>
      </c>
      <c r="G135" s="4">
        <v>3928.4</v>
      </c>
    </row>
    <row r="136" spans="1:7">
      <c r="A136" s="4" t="s">
        <v>141</v>
      </c>
      <c r="B136" s="4">
        <v>1533.8</v>
      </c>
      <c r="C136" s="4">
        <v>1383.4</v>
      </c>
      <c r="D136" s="4">
        <v>203.6</v>
      </c>
      <c r="E136" s="4">
        <v>585.4</v>
      </c>
      <c r="F136" s="4">
        <v>21.5</v>
      </c>
      <c r="G136" s="4">
        <v>3727.7</v>
      </c>
    </row>
    <row r="137" spans="1:7">
      <c r="A137" s="4" t="s">
        <v>142</v>
      </c>
      <c r="B137" s="4">
        <v>1647.1</v>
      </c>
      <c r="C137" s="4">
        <v>1504.2</v>
      </c>
      <c r="D137" s="4">
        <v>221.9</v>
      </c>
      <c r="E137" s="4">
        <v>648.70000000000005</v>
      </c>
      <c r="F137" s="4">
        <v>23</v>
      </c>
      <c r="G137" s="4">
        <v>4044.9</v>
      </c>
    </row>
    <row r="138" spans="1:7">
      <c r="A138" s="4" t="s">
        <v>143</v>
      </c>
      <c r="B138" s="4">
        <v>1644.8</v>
      </c>
      <c r="C138" s="4">
        <v>1490.3</v>
      </c>
      <c r="D138" s="4">
        <v>220.3</v>
      </c>
      <c r="E138" s="4">
        <v>689.1</v>
      </c>
      <c r="F138" s="4">
        <v>24.1</v>
      </c>
      <c r="G138" s="4">
        <v>4068.6</v>
      </c>
    </row>
    <row r="139" spans="1:7">
      <c r="A139" s="4" t="s">
        <v>144</v>
      </c>
      <c r="B139" s="4">
        <v>1742.5</v>
      </c>
      <c r="C139" s="4">
        <v>1536.4</v>
      </c>
      <c r="D139" s="4">
        <v>228.4</v>
      </c>
      <c r="E139" s="4">
        <v>708.4</v>
      </c>
      <c r="F139" s="4">
        <v>24.4</v>
      </c>
      <c r="G139" s="4">
        <v>4240.1000000000004</v>
      </c>
    </row>
    <row r="140" spans="1:7">
      <c r="A140" s="4" t="s">
        <v>145</v>
      </c>
      <c r="B140" s="4">
        <v>1719.7</v>
      </c>
      <c r="C140" s="4">
        <v>1449.7</v>
      </c>
      <c r="D140" s="4">
        <v>217.7</v>
      </c>
      <c r="E140" s="4">
        <v>642.20000000000005</v>
      </c>
      <c r="F140" s="4">
        <v>23.2</v>
      </c>
      <c r="G140" s="4">
        <v>4052.5</v>
      </c>
    </row>
    <row r="141" spans="1:7">
      <c r="A141" s="4" t="s">
        <v>146</v>
      </c>
      <c r="B141" s="4">
        <v>1798.7</v>
      </c>
      <c r="C141" s="4">
        <v>1533.2</v>
      </c>
      <c r="D141" s="4">
        <v>226.7</v>
      </c>
      <c r="E141" s="4">
        <v>647.1</v>
      </c>
      <c r="F141" s="4">
        <v>25</v>
      </c>
      <c r="G141" s="4">
        <v>4230.7</v>
      </c>
    </row>
    <row r="142" spans="1:7">
      <c r="A142" s="4" t="s">
        <v>147</v>
      </c>
      <c r="B142" s="4">
        <v>1739.3</v>
      </c>
      <c r="C142" s="4">
        <v>1464.3</v>
      </c>
      <c r="D142" s="4">
        <v>218.6</v>
      </c>
      <c r="E142" s="4">
        <v>647.79999999999995</v>
      </c>
      <c r="F142" s="4">
        <v>23</v>
      </c>
      <c r="G142" s="4">
        <v>4093</v>
      </c>
    </row>
    <row r="143" spans="1:7">
      <c r="A143" s="4" t="s">
        <v>148</v>
      </c>
      <c r="B143" s="4">
        <v>1786.2</v>
      </c>
      <c r="C143" s="4">
        <v>1493.2</v>
      </c>
      <c r="D143" s="4">
        <v>220.4</v>
      </c>
      <c r="E143" s="4">
        <v>650.4</v>
      </c>
      <c r="F143" s="4">
        <v>23.9</v>
      </c>
      <c r="G143" s="4">
        <v>4174.1000000000004</v>
      </c>
    </row>
    <row r="144" spans="1:7">
      <c r="A144" s="4" t="s">
        <v>149</v>
      </c>
      <c r="B144" s="4">
        <v>1785.8</v>
      </c>
      <c r="C144" s="4">
        <v>1504.4</v>
      </c>
      <c r="D144" s="4">
        <v>233.8</v>
      </c>
      <c r="E144" s="4">
        <v>644.70000000000005</v>
      </c>
      <c r="F144" s="4">
        <v>23.6</v>
      </c>
      <c r="G144" s="4">
        <v>4192.3</v>
      </c>
    </row>
    <row r="145" spans="1:7">
      <c r="A145" s="4" t="s">
        <v>150</v>
      </c>
      <c r="B145" s="4">
        <v>1712.4</v>
      </c>
      <c r="C145" s="4">
        <v>1471</v>
      </c>
      <c r="D145" s="4">
        <v>217.1</v>
      </c>
      <c r="E145" s="4">
        <v>575.20000000000005</v>
      </c>
      <c r="F145" s="4">
        <v>22.4</v>
      </c>
      <c r="G145" s="4">
        <v>3998.1</v>
      </c>
    </row>
    <row r="146" spans="1:7">
      <c r="A146" s="4" t="s">
        <v>151</v>
      </c>
      <c r="B146" s="4">
        <v>1841.1</v>
      </c>
      <c r="C146" s="4">
        <v>1459</v>
      </c>
      <c r="D146" s="4">
        <v>226.1</v>
      </c>
      <c r="E146" s="4">
        <v>567.1</v>
      </c>
      <c r="F146" s="4">
        <v>22.5</v>
      </c>
      <c r="G146" s="4">
        <v>4115.8</v>
      </c>
    </row>
    <row r="147" spans="1:7">
      <c r="A147" s="4" t="s">
        <v>152</v>
      </c>
      <c r="B147" s="4">
        <v>1775.8</v>
      </c>
      <c r="C147" s="4">
        <v>1454.4</v>
      </c>
      <c r="D147" s="4">
        <v>222.6</v>
      </c>
      <c r="E147" s="4">
        <v>574</v>
      </c>
      <c r="F147" s="4">
        <v>22</v>
      </c>
      <c r="G147" s="4">
        <v>4048.7</v>
      </c>
    </row>
    <row r="148" spans="1:7">
      <c r="A148" s="4" t="s">
        <v>153</v>
      </c>
      <c r="B148" s="4">
        <v>1647.4</v>
      </c>
      <c r="C148" s="4">
        <v>1441.8</v>
      </c>
      <c r="D148" s="4">
        <v>209.7</v>
      </c>
      <c r="E148" s="4">
        <v>533.1</v>
      </c>
      <c r="F148" s="4">
        <v>22.8</v>
      </c>
      <c r="G148" s="4">
        <v>3854.8</v>
      </c>
    </row>
    <row r="149" spans="1:7">
      <c r="A149" s="4" t="s">
        <v>154</v>
      </c>
      <c r="B149" s="4">
        <v>1663.6</v>
      </c>
      <c r="C149" s="4">
        <v>1442.2</v>
      </c>
      <c r="D149" s="4">
        <v>220.9</v>
      </c>
      <c r="E149" s="4">
        <v>583.70000000000005</v>
      </c>
      <c r="F149" s="4">
        <v>20.399999999999999</v>
      </c>
      <c r="G149" s="4">
        <v>3930.9</v>
      </c>
    </row>
    <row r="150" spans="1:7">
      <c r="A150" s="4" t="s">
        <v>155</v>
      </c>
      <c r="B150" s="4">
        <v>1770.3</v>
      </c>
      <c r="C150" s="4">
        <v>1523.6</v>
      </c>
      <c r="D150" s="4">
        <v>230</v>
      </c>
      <c r="E150" s="4">
        <v>619.9</v>
      </c>
      <c r="F150" s="4">
        <v>25.5</v>
      </c>
      <c r="G150" s="4">
        <v>4169.3</v>
      </c>
    </row>
    <row r="151" spans="1:7">
      <c r="A151" s="4" t="s">
        <v>156</v>
      </c>
      <c r="B151" s="4">
        <v>1707</v>
      </c>
      <c r="C151" s="4">
        <v>1464.2</v>
      </c>
      <c r="D151" s="4">
        <v>228.9</v>
      </c>
      <c r="E151" s="4">
        <v>649</v>
      </c>
      <c r="F151" s="4">
        <v>21.5</v>
      </c>
      <c r="G151" s="4">
        <v>4070.6</v>
      </c>
    </row>
    <row r="152" spans="1:7">
      <c r="A152" s="4" t="s">
        <v>157</v>
      </c>
      <c r="B152" s="4">
        <v>1761.3</v>
      </c>
      <c r="C152" s="4">
        <v>1507.1</v>
      </c>
      <c r="D152" s="4">
        <v>232.2</v>
      </c>
      <c r="E152" s="4">
        <v>698.1</v>
      </c>
      <c r="F152" s="4">
        <v>24.7</v>
      </c>
      <c r="G152" s="4">
        <v>4223.5</v>
      </c>
    </row>
    <row r="153" spans="1:7">
      <c r="A153" s="4" t="s">
        <v>158</v>
      </c>
      <c r="B153" s="4">
        <v>1826.5</v>
      </c>
      <c r="C153" s="4">
        <v>1644.4</v>
      </c>
      <c r="D153" s="4">
        <v>242.1</v>
      </c>
      <c r="E153" s="4">
        <v>630.20000000000005</v>
      </c>
      <c r="F153" s="4">
        <v>26.2</v>
      </c>
      <c r="G153" s="4">
        <v>4369.3</v>
      </c>
    </row>
    <row r="154" spans="1:7">
      <c r="A154" s="4" t="s">
        <v>159</v>
      </c>
      <c r="B154" s="4">
        <v>1719.3</v>
      </c>
      <c r="C154" s="4">
        <v>1527.1</v>
      </c>
      <c r="D154" s="4">
        <v>231.9</v>
      </c>
      <c r="E154" s="4">
        <v>613.1</v>
      </c>
      <c r="F154" s="4">
        <v>21.2</v>
      </c>
      <c r="G154" s="4">
        <v>4112.6000000000004</v>
      </c>
    </row>
    <row r="155" spans="1:7">
      <c r="A155" s="4" t="s">
        <v>160</v>
      </c>
      <c r="B155" s="4">
        <v>1760.9</v>
      </c>
      <c r="C155" s="4">
        <v>1524</v>
      </c>
      <c r="D155" s="4">
        <v>235</v>
      </c>
      <c r="E155" s="4">
        <v>622</v>
      </c>
      <c r="F155" s="4">
        <v>23.7</v>
      </c>
      <c r="G155" s="4">
        <v>4165.6000000000004</v>
      </c>
    </row>
    <row r="156" spans="1:7">
      <c r="A156" s="4" t="s">
        <v>161</v>
      </c>
      <c r="B156" s="4">
        <v>1758.4</v>
      </c>
      <c r="C156" s="4">
        <v>1561.6</v>
      </c>
      <c r="D156" s="4">
        <v>247</v>
      </c>
      <c r="E156" s="4">
        <v>622.1</v>
      </c>
      <c r="F156" s="4">
        <v>23.5</v>
      </c>
      <c r="G156" s="4">
        <v>4212.6000000000004</v>
      </c>
    </row>
    <row r="157" spans="1:7">
      <c r="A157" s="4" t="s">
        <v>162</v>
      </c>
      <c r="B157" s="4">
        <v>1802.7</v>
      </c>
      <c r="C157" s="4">
        <v>1513.7</v>
      </c>
      <c r="D157" s="4">
        <v>241.5</v>
      </c>
      <c r="E157" s="4">
        <v>583.1</v>
      </c>
      <c r="F157" s="4">
        <v>22.4</v>
      </c>
      <c r="G157" s="4">
        <v>4163.5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80145-9EEC-4E5C-8463-4BEC3A65E7B0}">
  <sheetPr codeName="Sheet2"/>
  <dimension ref="B1:I212"/>
  <sheetViews>
    <sheetView showGridLines="0" workbookViewId="0">
      <selection activeCell="C14" sqref="C14"/>
    </sheetView>
  </sheetViews>
  <sheetFormatPr baseColWidth="10" defaultColWidth="8.83203125" defaultRowHeight="15"/>
  <cols>
    <col min="1" max="1" width="4.5" customWidth="1"/>
    <col min="2" max="2" width="16.6640625" customWidth="1"/>
    <col min="3" max="3" width="16.6640625" bestFit="1" customWidth="1"/>
    <col min="4" max="4" width="31.33203125" bestFit="1" customWidth="1"/>
    <col min="5" max="5" width="18" bestFit="1" customWidth="1"/>
    <col min="6" max="6" width="17.1640625" bestFit="1" customWidth="1"/>
    <col min="7" max="7" width="17.33203125" bestFit="1" customWidth="1"/>
    <col min="8" max="8" width="8.5" bestFit="1" customWidth="1"/>
    <col min="9" max="9" width="12.1640625" bestFit="1" customWidth="1"/>
  </cols>
  <sheetData>
    <row r="1" spans="2:9" s="124" customFormat="1" ht="30" customHeight="1">
      <c r="B1" s="123" t="s">
        <v>163</v>
      </c>
      <c r="D1" s="125" t="s">
        <v>251</v>
      </c>
      <c r="E1" s="125" t="s">
        <v>281</v>
      </c>
    </row>
    <row r="2" spans="2:9" ht="16" thickBot="1"/>
    <row r="3" spans="2:9">
      <c r="B3" s="55" t="s">
        <v>164</v>
      </c>
      <c r="C3" s="49" t="s">
        <v>165</v>
      </c>
      <c r="D3" s="49" t="s">
        <v>166</v>
      </c>
      <c r="E3" s="49" t="s">
        <v>167</v>
      </c>
      <c r="F3" s="49" t="s">
        <v>168</v>
      </c>
      <c r="G3" s="49" t="s">
        <v>169</v>
      </c>
      <c r="H3" s="49" t="s">
        <v>170</v>
      </c>
      <c r="I3" s="49" t="s">
        <v>171</v>
      </c>
    </row>
    <row r="4" spans="2:9" ht="16" thickBot="1">
      <c r="B4" s="59" t="s">
        <v>1</v>
      </c>
      <c r="C4" s="58">
        <v>156</v>
      </c>
      <c r="D4" s="58">
        <v>0</v>
      </c>
      <c r="E4" s="58">
        <v>156</v>
      </c>
      <c r="F4" s="57">
        <v>2754.2</v>
      </c>
      <c r="G4" s="57">
        <v>4369.3</v>
      </c>
      <c r="H4" s="57">
        <v>3556.3794871794889</v>
      </c>
      <c r="I4" s="57">
        <v>400.10739989092474</v>
      </c>
    </row>
    <row r="7" spans="2:9">
      <c r="B7" s="51" t="s">
        <v>250</v>
      </c>
    </row>
    <row r="8" spans="2:9" ht="16" thickBot="1"/>
    <row r="9" spans="2:9">
      <c r="B9" s="55" t="s">
        <v>243</v>
      </c>
      <c r="C9" s="49" t="s">
        <v>190</v>
      </c>
    </row>
    <row r="10" spans="2:9" ht="34.25" customHeight="1">
      <c r="B10" s="54" t="s">
        <v>165</v>
      </c>
      <c r="C10" s="47">
        <v>156</v>
      </c>
    </row>
    <row r="11" spans="2:9">
      <c r="B11" s="53" t="s">
        <v>175</v>
      </c>
      <c r="C11" s="45">
        <v>140</v>
      </c>
    </row>
    <row r="12" spans="2:9">
      <c r="B12" s="53" t="s">
        <v>176</v>
      </c>
      <c r="C12" s="44">
        <v>1187534.0024555312</v>
      </c>
    </row>
    <row r="13" spans="2:9">
      <c r="B13" s="53" t="s">
        <v>177</v>
      </c>
      <c r="C13" s="44">
        <v>8482.385731825223</v>
      </c>
    </row>
    <row r="14" spans="2:9">
      <c r="B14" s="110" t="s">
        <v>178</v>
      </c>
      <c r="C14" s="111">
        <v>92.099868250857028</v>
      </c>
    </row>
    <row r="15" spans="2:9">
      <c r="B15" s="61" t="s">
        <v>181</v>
      </c>
      <c r="C15" s="62">
        <v>2.0562391360055243</v>
      </c>
    </row>
    <row r="16" spans="2:9">
      <c r="B16" s="53" t="s">
        <v>249</v>
      </c>
      <c r="C16" s="44">
        <v>0.22763872639498176</v>
      </c>
    </row>
    <row r="17" spans="2:4">
      <c r="B17" s="53" t="s">
        <v>248</v>
      </c>
      <c r="C17" s="44">
        <v>72.716812270359469</v>
      </c>
    </row>
    <row r="18" spans="2:4">
      <c r="B18" s="53" t="s">
        <v>247</v>
      </c>
      <c r="C18" s="44">
        <v>0.93927720726232344</v>
      </c>
    </row>
    <row r="19" spans="2:4">
      <c r="B19" s="53" t="s">
        <v>187</v>
      </c>
      <c r="C19" s="45">
        <v>14</v>
      </c>
    </row>
    <row r="20" spans="2:4" ht="16" thickBot="1">
      <c r="B20" s="52" t="s">
        <v>246</v>
      </c>
      <c r="C20" s="56" t="s">
        <v>245</v>
      </c>
    </row>
    <row r="23" spans="2:4">
      <c r="B23" s="51" t="s">
        <v>244</v>
      </c>
    </row>
    <row r="24" spans="2:4" ht="16" thickBot="1"/>
    <row r="25" spans="2:4">
      <c r="B25" s="55" t="s">
        <v>243</v>
      </c>
      <c r="C25" s="49" t="s">
        <v>189</v>
      </c>
      <c r="D25" s="49" t="s">
        <v>212</v>
      </c>
    </row>
    <row r="26" spans="2:4">
      <c r="B26" s="54" t="s">
        <v>242</v>
      </c>
      <c r="C26" s="47">
        <v>0.24421160631357949</v>
      </c>
      <c r="D26" s="47">
        <v>4.2622986396968554E-4</v>
      </c>
    </row>
    <row r="27" spans="2:4">
      <c r="B27" s="53" t="s">
        <v>241</v>
      </c>
      <c r="C27" s="45">
        <v>2.0477064672483808E-2</v>
      </c>
      <c r="D27" s="45">
        <v>1.1390239815335974E-4</v>
      </c>
    </row>
    <row r="28" spans="2:4">
      <c r="B28" s="53" t="s">
        <v>240</v>
      </c>
      <c r="C28" s="44">
        <v>0.23252153720257929</v>
      </c>
      <c r="D28" s="44">
        <v>6.3822141623772681E-4</v>
      </c>
    </row>
    <row r="29" spans="2:4">
      <c r="B29" s="53" t="s">
        <v>239</v>
      </c>
      <c r="C29" s="44">
        <v>2957.4333333333334</v>
      </c>
      <c r="D29" s="44"/>
    </row>
    <row r="30" spans="2:4" ht="16" thickBot="1">
      <c r="B30" s="52" t="s">
        <v>238</v>
      </c>
      <c r="C30" s="41">
        <v>0</v>
      </c>
      <c r="D30" s="41"/>
    </row>
    <row r="33" spans="2:9">
      <c r="B33" s="51" t="s">
        <v>237</v>
      </c>
    </row>
    <row r="34" spans="2:9" ht="16" thickBot="1"/>
    <row r="35" spans="2:9">
      <c r="B35" s="50"/>
      <c r="C35" s="49" t="s">
        <v>1</v>
      </c>
      <c r="D35" s="64" t="s">
        <v>236</v>
      </c>
      <c r="E35" s="67" t="s">
        <v>206</v>
      </c>
      <c r="F35" s="49" t="s">
        <v>192</v>
      </c>
      <c r="G35" s="49" t="s">
        <v>193</v>
      </c>
      <c r="I35" s="48"/>
    </row>
    <row r="36" spans="2:9">
      <c r="B36" s="47">
        <v>1</v>
      </c>
      <c r="C36" s="46">
        <v>2796.8</v>
      </c>
      <c r="D36" s="65"/>
      <c r="E36" s="68"/>
      <c r="F36" s="46"/>
      <c r="G36" s="46"/>
    </row>
    <row r="37" spans="2:9">
      <c r="B37" s="45">
        <v>2</v>
      </c>
      <c r="C37" s="44">
        <v>2791</v>
      </c>
      <c r="D37" s="62"/>
      <c r="E37" s="60"/>
      <c r="F37" s="44"/>
      <c r="G37" s="44"/>
    </row>
    <row r="38" spans="2:9">
      <c r="B38" s="45">
        <v>3</v>
      </c>
      <c r="C38" s="44">
        <v>2754.2</v>
      </c>
      <c r="D38" s="62"/>
      <c r="E38" s="60"/>
      <c r="F38" s="44"/>
      <c r="G38" s="44"/>
    </row>
    <row r="39" spans="2:9">
      <c r="B39" s="45">
        <v>4</v>
      </c>
      <c r="C39" s="44">
        <v>2968.7</v>
      </c>
      <c r="D39" s="62"/>
      <c r="E39" s="60"/>
      <c r="F39" s="44"/>
      <c r="G39" s="44"/>
    </row>
    <row r="40" spans="2:9">
      <c r="B40" s="45">
        <v>5</v>
      </c>
      <c r="C40" s="44">
        <v>2957.3</v>
      </c>
      <c r="D40" s="62"/>
      <c r="E40" s="60"/>
      <c r="F40" s="44"/>
      <c r="G40" s="44"/>
    </row>
    <row r="41" spans="2:9">
      <c r="B41" s="45">
        <v>6</v>
      </c>
      <c r="C41" s="44">
        <v>3097.4</v>
      </c>
      <c r="D41" s="62"/>
      <c r="E41" s="60"/>
      <c r="F41" s="44"/>
      <c r="G41" s="44"/>
    </row>
    <row r="42" spans="2:9">
      <c r="B42" s="45">
        <v>7</v>
      </c>
      <c r="C42" s="44">
        <v>2994.9</v>
      </c>
      <c r="D42" s="62"/>
      <c r="E42" s="60"/>
      <c r="F42" s="44"/>
      <c r="G42" s="44"/>
    </row>
    <row r="43" spans="2:9">
      <c r="B43" s="45">
        <v>8</v>
      </c>
      <c r="C43" s="44">
        <v>3116.5</v>
      </c>
      <c r="D43" s="62"/>
      <c r="E43" s="60"/>
      <c r="F43" s="44"/>
      <c r="G43" s="44"/>
    </row>
    <row r="44" spans="2:9">
      <c r="B44" s="45">
        <v>9</v>
      </c>
      <c r="C44" s="44">
        <v>3037.8</v>
      </c>
      <c r="D44" s="62"/>
      <c r="E44" s="60"/>
      <c r="F44" s="44"/>
      <c r="G44" s="44"/>
    </row>
    <row r="45" spans="2:9">
      <c r="B45" s="45">
        <v>10</v>
      </c>
      <c r="C45" s="44">
        <v>2916.7</v>
      </c>
      <c r="D45" s="62"/>
      <c r="E45" s="60"/>
      <c r="F45" s="44"/>
      <c r="G45" s="44"/>
    </row>
    <row r="46" spans="2:9">
      <c r="B46" s="45">
        <v>11</v>
      </c>
      <c r="C46" s="44">
        <v>3156.6</v>
      </c>
      <c r="D46" s="62"/>
      <c r="E46" s="60"/>
      <c r="F46" s="44"/>
      <c r="G46" s="44"/>
    </row>
    <row r="47" spans="2:9">
      <c r="B47" s="45">
        <v>12</v>
      </c>
      <c r="C47" s="44">
        <v>2901.3</v>
      </c>
      <c r="D47" s="62"/>
      <c r="E47" s="60"/>
      <c r="F47" s="44"/>
      <c r="G47" s="44"/>
    </row>
    <row r="48" spans="2:9">
      <c r="B48" s="45">
        <v>13</v>
      </c>
      <c r="C48" s="44">
        <v>2975.3</v>
      </c>
      <c r="D48" s="62">
        <v>2796.8</v>
      </c>
      <c r="E48" s="60">
        <v>178.5</v>
      </c>
      <c r="F48" s="44"/>
      <c r="G48" s="44"/>
    </row>
    <row r="49" spans="2:7">
      <c r="B49" s="45">
        <v>14</v>
      </c>
      <c r="C49" s="44">
        <v>2887.4</v>
      </c>
      <c r="D49" s="62">
        <v>2835.4844032558153</v>
      </c>
      <c r="E49" s="60">
        <v>51.915596744184768</v>
      </c>
      <c r="F49" s="44"/>
      <c r="G49" s="44"/>
    </row>
    <row r="50" spans="2:7">
      <c r="B50" s="45">
        <v>15</v>
      </c>
      <c r="C50" s="44">
        <v>2893.8</v>
      </c>
      <c r="D50" s="62">
        <v>2812.5150422963352</v>
      </c>
      <c r="E50" s="60">
        <v>81.284957703664986</v>
      </c>
      <c r="F50" s="44"/>
      <c r="G50" s="44"/>
    </row>
    <row r="51" spans="2:7">
      <c r="B51" s="45">
        <v>16</v>
      </c>
      <c r="C51" s="44">
        <v>3023.6</v>
      </c>
      <c r="D51" s="62">
        <v>3048.4245048370208</v>
      </c>
      <c r="E51" s="60">
        <v>-24.824504837020868</v>
      </c>
      <c r="F51" s="44"/>
      <c r="G51" s="44"/>
    </row>
    <row r="52" spans="2:7">
      <c r="B52" s="45">
        <v>17</v>
      </c>
      <c r="C52" s="44">
        <v>3092.5</v>
      </c>
      <c r="D52" s="62">
        <v>3032.3966642692985</v>
      </c>
      <c r="E52" s="60">
        <v>60.103335730701474</v>
      </c>
      <c r="F52" s="44"/>
      <c r="G52" s="44"/>
    </row>
    <row r="53" spans="2:7">
      <c r="B53" s="45">
        <v>18</v>
      </c>
      <c r="C53" s="44">
        <v>3182.1</v>
      </c>
      <c r="D53" s="62">
        <v>3188.9097490335353</v>
      </c>
      <c r="E53" s="60">
        <v>-6.8097490335353541</v>
      </c>
      <c r="F53" s="44"/>
      <c r="G53" s="44"/>
    </row>
    <row r="54" spans="2:7">
      <c r="B54" s="45">
        <v>19</v>
      </c>
      <c r="C54" s="44">
        <v>3007.5</v>
      </c>
      <c r="D54" s="62">
        <v>3086.4478281211277</v>
      </c>
      <c r="E54" s="60">
        <v>-78.947828121127714</v>
      </c>
      <c r="F54" s="44"/>
      <c r="G54" s="44"/>
    </row>
    <row r="55" spans="2:7">
      <c r="B55" s="45">
        <v>20</v>
      </c>
      <c r="C55" s="44">
        <v>3264</v>
      </c>
      <c r="D55" s="62">
        <v>3190.0741537245563</v>
      </c>
      <c r="E55" s="60">
        <v>73.925846275443746</v>
      </c>
      <c r="F55" s="44"/>
      <c r="G55" s="44"/>
    </row>
    <row r="56" spans="2:7">
      <c r="B56" s="45">
        <v>21</v>
      </c>
      <c r="C56" s="44">
        <v>3114</v>
      </c>
      <c r="D56" s="62">
        <v>3131.1036886195302</v>
      </c>
      <c r="E56" s="60">
        <v>-17.103688619530203</v>
      </c>
      <c r="F56" s="44"/>
      <c r="G56" s="44"/>
    </row>
    <row r="57" spans="2:7">
      <c r="B57" s="45">
        <v>22</v>
      </c>
      <c r="C57" s="44">
        <v>3107.1</v>
      </c>
      <c r="D57" s="62">
        <v>3007.417223529766</v>
      </c>
      <c r="E57" s="60">
        <v>99.682776470233875</v>
      </c>
      <c r="F57" s="44"/>
      <c r="G57" s="44"/>
    </row>
    <row r="58" spans="2:7">
      <c r="B58" s="45">
        <v>23</v>
      </c>
      <c r="C58" s="44">
        <v>3215</v>
      </c>
      <c r="D58" s="62">
        <v>3273.7498560094873</v>
      </c>
      <c r="E58" s="60">
        <v>-58.749856009487303</v>
      </c>
      <c r="F58" s="44"/>
      <c r="G58" s="44"/>
    </row>
    <row r="59" spans="2:7">
      <c r="B59" s="45">
        <v>24</v>
      </c>
      <c r="C59" s="44">
        <v>3039.4</v>
      </c>
      <c r="D59" s="62">
        <v>3005.8976082486006</v>
      </c>
      <c r="E59" s="60">
        <v>33.5023917513995</v>
      </c>
      <c r="F59" s="44"/>
      <c r="G59" s="44"/>
    </row>
    <row r="60" spans="2:7">
      <c r="B60" s="45">
        <v>25</v>
      </c>
      <c r="C60" s="44">
        <v>3166.4</v>
      </c>
      <c r="D60" s="62">
        <v>2942.9110353639626</v>
      </c>
      <c r="E60" s="60">
        <v>223.48896463603751</v>
      </c>
      <c r="F60" s="44"/>
      <c r="G60" s="44"/>
    </row>
    <row r="61" spans="2:7">
      <c r="B61" s="45">
        <v>26</v>
      </c>
      <c r="C61" s="44">
        <v>2938.6</v>
      </c>
      <c r="D61" s="62">
        <v>2972.5243562168221</v>
      </c>
      <c r="E61" s="60">
        <v>-33.924356216822162</v>
      </c>
      <c r="F61" s="44"/>
      <c r="G61" s="44"/>
    </row>
    <row r="62" spans="2:7">
      <c r="B62" s="45">
        <v>27</v>
      </c>
      <c r="C62" s="44">
        <v>3018.8</v>
      </c>
      <c r="D62" s="62">
        <v>2935.5115687170546</v>
      </c>
      <c r="E62" s="60">
        <v>83.288431282945567</v>
      </c>
      <c r="F62" s="44"/>
      <c r="G62" s="44"/>
    </row>
    <row r="63" spans="2:7">
      <c r="B63" s="45">
        <v>28</v>
      </c>
      <c r="C63" s="44">
        <v>3150</v>
      </c>
      <c r="D63" s="62">
        <v>3155.0313551393124</v>
      </c>
      <c r="E63" s="60">
        <v>-5.0313551393123817</v>
      </c>
      <c r="F63" s="44"/>
      <c r="G63" s="44"/>
    </row>
    <row r="64" spans="2:7">
      <c r="B64" s="45">
        <v>29</v>
      </c>
      <c r="C64" s="44">
        <v>3271.1</v>
      </c>
      <c r="D64" s="62">
        <v>3160.629601814418</v>
      </c>
      <c r="E64" s="60">
        <v>110.47039818558187</v>
      </c>
      <c r="F64" s="44"/>
      <c r="G64" s="44"/>
    </row>
    <row r="65" spans="2:7">
      <c r="B65" s="45">
        <v>30</v>
      </c>
      <c r="C65" s="44">
        <v>3222.5</v>
      </c>
      <c r="D65" s="62">
        <v>3319.8030698871075</v>
      </c>
      <c r="E65" s="60">
        <v>-97.30306988710754</v>
      </c>
      <c r="F65" s="44"/>
      <c r="G65" s="44"/>
    </row>
    <row r="66" spans="2:7">
      <c r="B66" s="45">
        <v>31</v>
      </c>
      <c r="C66" s="44">
        <v>3288.9</v>
      </c>
      <c r="D66" s="62">
        <v>3184.2310332839115</v>
      </c>
      <c r="E66" s="60">
        <v>104.66896671608856</v>
      </c>
      <c r="F66" s="44"/>
      <c r="G66" s="44"/>
    </row>
    <row r="67" spans="2:7">
      <c r="B67" s="45">
        <v>32</v>
      </c>
      <c r="C67" s="44">
        <v>3277.4</v>
      </c>
      <c r="D67" s="62">
        <v>3362.1492424500098</v>
      </c>
      <c r="E67" s="60">
        <v>-84.74924245000966</v>
      </c>
      <c r="F67" s="44"/>
      <c r="G67" s="44"/>
    </row>
    <row r="68" spans="2:7">
      <c r="B68" s="45">
        <v>33</v>
      </c>
      <c r="C68" s="44">
        <v>3205.8</v>
      </c>
      <c r="D68" s="62">
        <v>3250.222680246382</v>
      </c>
      <c r="E68" s="60">
        <v>-44.422680246381788</v>
      </c>
      <c r="F68" s="44"/>
      <c r="G68" s="44"/>
    </row>
    <row r="69" spans="2:7">
      <c r="B69" s="45">
        <v>34</v>
      </c>
      <c r="C69" s="44">
        <v>3268.2</v>
      </c>
      <c r="D69" s="62">
        <v>3142.0431632687737</v>
      </c>
      <c r="E69" s="60">
        <v>126.15683673122612</v>
      </c>
      <c r="F69" s="44"/>
      <c r="G69" s="44"/>
    </row>
    <row r="70" spans="2:7">
      <c r="B70" s="45">
        <v>35</v>
      </c>
      <c r="C70" s="44">
        <v>3378.1</v>
      </c>
      <c r="D70" s="62">
        <v>3388.7858209602186</v>
      </c>
      <c r="E70" s="60">
        <v>-10.685820960218734</v>
      </c>
      <c r="F70" s="44"/>
      <c r="G70" s="44"/>
    </row>
    <row r="71" spans="2:7">
      <c r="B71" s="45">
        <v>36</v>
      </c>
      <c r="C71" s="44">
        <v>3119.2</v>
      </c>
      <c r="D71" s="62">
        <v>3150.9111050538781</v>
      </c>
      <c r="E71" s="60">
        <v>-31.711105053878327</v>
      </c>
      <c r="F71" s="44"/>
      <c r="G71" s="44"/>
    </row>
    <row r="72" spans="2:7">
      <c r="B72" s="45">
        <v>37</v>
      </c>
      <c r="C72" s="44">
        <v>3149.8</v>
      </c>
      <c r="D72" s="62">
        <v>3107.0878052983917</v>
      </c>
      <c r="E72" s="60">
        <v>42.712194701608496</v>
      </c>
      <c r="F72" s="44"/>
      <c r="G72" s="44"/>
    </row>
    <row r="73" spans="2:7">
      <c r="B73" s="45">
        <v>38</v>
      </c>
      <c r="C73" s="44">
        <v>3166.2</v>
      </c>
      <c r="D73" s="62">
        <v>3048.1137391475081</v>
      </c>
      <c r="E73" s="60">
        <v>118.08626085249171</v>
      </c>
      <c r="F73" s="44"/>
      <c r="G73" s="44"/>
    </row>
    <row r="74" spans="2:7">
      <c r="B74" s="45">
        <v>39</v>
      </c>
      <c r="C74" s="44">
        <v>2987.2</v>
      </c>
      <c r="D74" s="62">
        <v>3070.3799701168296</v>
      </c>
      <c r="E74" s="60">
        <v>-83.179970116829736</v>
      </c>
      <c r="F74" s="44"/>
      <c r="G74" s="44"/>
    </row>
    <row r="75" spans="2:7">
      <c r="B75" s="45">
        <v>40</v>
      </c>
      <c r="C75" s="44">
        <v>3289</v>
      </c>
      <c r="D75" s="62">
        <v>3234.4503434594585</v>
      </c>
      <c r="E75" s="60">
        <v>54.549656540541491</v>
      </c>
      <c r="F75" s="44"/>
      <c r="G75" s="44"/>
    </row>
    <row r="76" spans="2:7">
      <c r="B76" s="45">
        <v>41</v>
      </c>
      <c r="C76" s="44">
        <v>3279.6</v>
      </c>
      <c r="D76" s="62">
        <v>3275.9200183431899</v>
      </c>
      <c r="E76" s="60">
        <v>3.6799816568100141</v>
      </c>
      <c r="F76" s="44"/>
      <c r="G76" s="44"/>
    </row>
    <row r="77" spans="2:7">
      <c r="B77" s="45">
        <v>42</v>
      </c>
      <c r="C77" s="44">
        <v>3396.1</v>
      </c>
      <c r="D77" s="62">
        <v>3372.9896069713977</v>
      </c>
      <c r="E77" s="60">
        <v>23.110393028602175</v>
      </c>
      <c r="F77" s="44"/>
      <c r="G77" s="44"/>
    </row>
    <row r="78" spans="2:7">
      <c r="B78" s="45">
        <v>43</v>
      </c>
      <c r="C78" s="44">
        <v>3368.5</v>
      </c>
      <c r="D78" s="62">
        <v>3303.4091494915538</v>
      </c>
      <c r="E78" s="60">
        <v>65.090850508446238</v>
      </c>
      <c r="F78" s="44"/>
      <c r="G78" s="44"/>
    </row>
    <row r="79" spans="2:7">
      <c r="B79" s="45">
        <v>44</v>
      </c>
      <c r="C79" s="44">
        <v>3176.1</v>
      </c>
      <c r="D79" s="62">
        <v>3439.2674389225608</v>
      </c>
      <c r="E79" s="60">
        <v>-263.1674389225609</v>
      </c>
      <c r="F79" s="44"/>
      <c r="G79" s="44"/>
    </row>
    <row r="80" spans="2:7">
      <c r="B80" s="45">
        <v>45</v>
      </c>
      <c r="C80" s="44">
        <v>3381.5</v>
      </c>
      <c r="D80" s="62">
        <v>3290.8570505696912</v>
      </c>
      <c r="E80" s="60">
        <v>90.642949430308818</v>
      </c>
      <c r="F80" s="44"/>
      <c r="G80" s="44"/>
    </row>
    <row r="81" spans="2:7">
      <c r="B81" s="45">
        <v>46</v>
      </c>
      <c r="C81" s="44">
        <v>3364.9</v>
      </c>
      <c r="D81" s="62">
        <v>3246.3157976685129</v>
      </c>
      <c r="E81" s="60">
        <v>118.58420233148718</v>
      </c>
      <c r="F81" s="44"/>
      <c r="G81" s="44"/>
    </row>
    <row r="82" spans="2:7">
      <c r="B82" s="45">
        <v>47</v>
      </c>
      <c r="C82" s="44">
        <v>3249</v>
      </c>
      <c r="D82" s="62">
        <v>3467.799456065703</v>
      </c>
      <c r="E82" s="60">
        <v>-218.799456065703</v>
      </c>
      <c r="F82" s="44"/>
      <c r="G82" s="44"/>
    </row>
    <row r="83" spans="2:7">
      <c r="B83" s="45">
        <v>48</v>
      </c>
      <c r="C83" s="44">
        <v>3179.2</v>
      </c>
      <c r="D83" s="62">
        <v>3175.003986370752</v>
      </c>
      <c r="E83" s="60">
        <v>4.1960136292477728</v>
      </c>
      <c r="F83" s="44"/>
      <c r="G83" s="44"/>
    </row>
    <row r="84" spans="2:7">
      <c r="B84" s="45">
        <v>49</v>
      </c>
      <c r="C84" s="44">
        <v>3005.9</v>
      </c>
      <c r="D84" s="62">
        <v>3152.8060504648879</v>
      </c>
      <c r="E84" s="60">
        <v>-146.90605046488781</v>
      </c>
      <c r="F84" s="44"/>
      <c r="G84" s="44"/>
    </row>
    <row r="85" spans="2:7">
      <c r="B85" s="45">
        <v>50</v>
      </c>
      <c r="C85" s="44">
        <v>3004.8</v>
      </c>
      <c r="D85" s="62">
        <v>3059.6002907554666</v>
      </c>
      <c r="E85" s="60">
        <v>-54.800290755466449</v>
      </c>
      <c r="F85" s="44"/>
      <c r="G85" s="44"/>
    </row>
    <row r="86" spans="2:7">
      <c r="B86" s="45">
        <v>51</v>
      </c>
      <c r="C86" s="44">
        <v>2931.1</v>
      </c>
      <c r="D86" s="62">
        <v>3002.240383998736</v>
      </c>
      <c r="E86" s="60">
        <v>-71.14038399873607</v>
      </c>
      <c r="F86" s="44"/>
      <c r="G86" s="44"/>
    </row>
    <row r="87" spans="2:7">
      <c r="B87" s="45">
        <v>52</v>
      </c>
      <c r="C87" s="44">
        <v>3103.5</v>
      </c>
      <c r="D87" s="62">
        <v>3191.4800774070513</v>
      </c>
      <c r="E87" s="60">
        <v>-87.98007740705134</v>
      </c>
      <c r="F87" s="44"/>
      <c r="G87" s="44"/>
    </row>
    <row r="88" spans="2:7">
      <c r="B88" s="45">
        <v>53</v>
      </c>
      <c r="C88" s="44">
        <v>3054.9</v>
      </c>
      <c r="D88" s="62">
        <v>3186.5148063496636</v>
      </c>
      <c r="E88" s="60">
        <v>-131.61480634966347</v>
      </c>
      <c r="F88" s="44"/>
      <c r="G88" s="44"/>
    </row>
    <row r="89" spans="2:7">
      <c r="B89" s="45">
        <v>54</v>
      </c>
      <c r="C89" s="44">
        <v>3425.6</v>
      </c>
      <c r="D89" s="62">
        <v>3250.5940649927943</v>
      </c>
      <c r="E89" s="60">
        <v>175.00593500720561</v>
      </c>
      <c r="F89" s="44"/>
      <c r="G89" s="44"/>
    </row>
    <row r="90" spans="2:7">
      <c r="B90" s="45">
        <v>55</v>
      </c>
      <c r="C90" s="44">
        <v>3414.1</v>
      </c>
      <c r="D90" s="62">
        <v>3222.8809582029239</v>
      </c>
      <c r="E90" s="60">
        <v>191.21904179707599</v>
      </c>
      <c r="F90" s="44"/>
      <c r="G90" s="44"/>
    </row>
    <row r="91" spans="2:7">
      <c r="B91" s="45">
        <v>56</v>
      </c>
      <c r="C91" s="44">
        <v>3342.7</v>
      </c>
      <c r="D91" s="62">
        <v>3329.8799701645553</v>
      </c>
      <c r="E91" s="60">
        <v>12.820029835444529</v>
      </c>
      <c r="F91" s="44"/>
      <c r="G91" s="44"/>
    </row>
    <row r="92" spans="2:7">
      <c r="B92" s="45">
        <v>57</v>
      </c>
      <c r="C92" s="44">
        <v>3395.7</v>
      </c>
      <c r="D92" s="62">
        <v>3310.4525771002054</v>
      </c>
      <c r="E92" s="60">
        <v>85.247422899794401</v>
      </c>
      <c r="F92" s="44"/>
      <c r="G92" s="44"/>
    </row>
    <row r="93" spans="2:7">
      <c r="B93" s="45">
        <v>58</v>
      </c>
      <c r="C93" s="44">
        <v>3419.5</v>
      </c>
      <c r="D93" s="62">
        <v>3268.8830545773631</v>
      </c>
      <c r="E93" s="60">
        <v>150.61694542263695</v>
      </c>
      <c r="F93" s="44"/>
      <c r="G93" s="44"/>
    </row>
    <row r="94" spans="2:7">
      <c r="B94" s="45">
        <v>59</v>
      </c>
      <c r="C94" s="44">
        <v>3379.9</v>
      </c>
      <c r="D94" s="62">
        <v>3438.4379156837344</v>
      </c>
      <c r="E94" s="60">
        <v>-58.537915683734354</v>
      </c>
      <c r="F94" s="44"/>
      <c r="G94" s="44"/>
    </row>
    <row r="95" spans="2:7">
      <c r="B95" s="45">
        <v>60</v>
      </c>
      <c r="C95" s="44">
        <v>3345.1</v>
      </c>
      <c r="D95" s="62">
        <v>3224.3094262110671</v>
      </c>
      <c r="E95" s="60">
        <v>120.79057378893276</v>
      </c>
      <c r="F95" s="44"/>
      <c r="G95" s="44"/>
    </row>
    <row r="96" spans="2:7">
      <c r="B96" s="45">
        <v>61</v>
      </c>
      <c r="C96" s="44">
        <v>3242.9</v>
      </c>
      <c r="D96" s="62">
        <v>3204.954737972223</v>
      </c>
      <c r="E96" s="60">
        <v>37.945262027777062</v>
      </c>
      <c r="F96" s="44"/>
      <c r="G96" s="44"/>
    </row>
    <row r="97" spans="2:7">
      <c r="B97" s="45">
        <v>62</v>
      </c>
      <c r="C97" s="44">
        <v>3287.1</v>
      </c>
      <c r="D97" s="62">
        <v>3174.9263423995808</v>
      </c>
      <c r="E97" s="60">
        <v>112.17365760041912</v>
      </c>
      <c r="F97" s="44"/>
      <c r="G97" s="44"/>
    </row>
    <row r="98" spans="2:7">
      <c r="B98" s="45">
        <v>63</v>
      </c>
      <c r="C98" s="44">
        <v>3420.6</v>
      </c>
      <c r="D98" s="62">
        <v>3158.1549753063141</v>
      </c>
      <c r="E98" s="60">
        <v>262.44502469368581</v>
      </c>
      <c r="F98" s="44"/>
      <c r="G98" s="44"/>
    </row>
    <row r="99" spans="2:7">
      <c r="B99" s="45">
        <v>64</v>
      </c>
      <c r="C99" s="44">
        <v>3588.8</v>
      </c>
      <c r="D99" s="62">
        <v>3430.252035311365</v>
      </c>
      <c r="E99" s="60">
        <v>158.54796468863515</v>
      </c>
      <c r="F99" s="44"/>
      <c r="G99" s="44"/>
    </row>
    <row r="100" spans="2:7">
      <c r="B100" s="45">
        <v>65</v>
      </c>
      <c r="C100" s="44">
        <v>3479.4</v>
      </c>
      <c r="D100" s="62">
        <v>3483.4076520997278</v>
      </c>
      <c r="E100" s="60">
        <v>-4.007652099727693</v>
      </c>
      <c r="F100" s="44"/>
      <c r="G100" s="44"/>
    </row>
    <row r="101" spans="2:7">
      <c r="B101" s="45">
        <v>66</v>
      </c>
      <c r="C101" s="44">
        <v>3718.7</v>
      </c>
      <c r="D101" s="62">
        <v>3638.7569406321109</v>
      </c>
      <c r="E101" s="60">
        <v>79.943059367888964</v>
      </c>
      <c r="F101" s="44"/>
      <c r="G101" s="44"/>
    </row>
    <row r="102" spans="2:7">
      <c r="B102" s="45">
        <v>67</v>
      </c>
      <c r="C102" s="44">
        <v>3571.7</v>
      </c>
      <c r="D102" s="62">
        <v>3596.4244841813784</v>
      </c>
      <c r="E102" s="60">
        <v>-24.724484181378557</v>
      </c>
      <c r="F102" s="44"/>
      <c r="G102" s="44"/>
    </row>
    <row r="103" spans="2:7">
      <c r="B103" s="45">
        <v>68</v>
      </c>
      <c r="C103" s="44">
        <v>3601.5</v>
      </c>
      <c r="D103" s="62">
        <v>3624.0032466345469</v>
      </c>
      <c r="E103" s="60">
        <v>-22.50324663454694</v>
      </c>
      <c r="F103" s="44"/>
      <c r="G103" s="44"/>
    </row>
    <row r="104" spans="2:7">
      <c r="B104" s="45">
        <v>69</v>
      </c>
      <c r="C104" s="44">
        <v>3555.8</v>
      </c>
      <c r="D104" s="62">
        <v>3613.1680226968065</v>
      </c>
      <c r="E104" s="60">
        <v>-57.368022696806293</v>
      </c>
      <c r="F104" s="44"/>
      <c r="G104" s="44"/>
    </row>
    <row r="105" spans="2:7">
      <c r="B105" s="45">
        <v>70</v>
      </c>
      <c r="C105" s="44">
        <v>3514.9</v>
      </c>
      <c r="D105" s="62">
        <v>3552.0351644646007</v>
      </c>
      <c r="E105" s="60">
        <v>-37.135164464600621</v>
      </c>
      <c r="F105" s="44"/>
      <c r="G105" s="44"/>
    </row>
    <row r="106" spans="2:7">
      <c r="B106" s="45">
        <v>71</v>
      </c>
      <c r="C106" s="44">
        <v>3614.4</v>
      </c>
      <c r="D106" s="62">
        <v>3641.8207803551222</v>
      </c>
      <c r="E106" s="60">
        <v>-27.420780355122133</v>
      </c>
      <c r="F106" s="44"/>
      <c r="G106" s="44"/>
    </row>
    <row r="107" spans="2:7">
      <c r="B107" s="45">
        <v>72</v>
      </c>
      <c r="C107" s="44">
        <v>3656</v>
      </c>
      <c r="D107" s="62">
        <v>3469.7999935285848</v>
      </c>
      <c r="E107" s="60">
        <v>186.20000647141524</v>
      </c>
      <c r="F107" s="44"/>
      <c r="G107" s="44"/>
    </row>
    <row r="108" spans="2:7">
      <c r="B108" s="45">
        <v>73</v>
      </c>
      <c r="C108" s="44">
        <v>3470.4</v>
      </c>
      <c r="D108" s="62">
        <v>3455.181022272272</v>
      </c>
      <c r="E108" s="60">
        <v>15.218977727728088</v>
      </c>
      <c r="F108" s="44"/>
      <c r="G108" s="44"/>
    </row>
    <row r="109" spans="2:7">
      <c r="B109" s="45">
        <v>74</v>
      </c>
      <c r="C109" s="44">
        <v>3426.5</v>
      </c>
      <c r="D109" s="62">
        <v>3435.8546050269761</v>
      </c>
      <c r="E109" s="60">
        <v>-9.3546050269760599</v>
      </c>
      <c r="F109" s="44"/>
      <c r="G109" s="44"/>
    </row>
    <row r="110" spans="2:7">
      <c r="B110" s="45">
        <v>75</v>
      </c>
      <c r="C110" s="44">
        <v>3308</v>
      </c>
      <c r="D110" s="62">
        <v>3418.4124652658847</v>
      </c>
      <c r="E110" s="60">
        <v>-110.41246526588475</v>
      </c>
      <c r="F110" s="44"/>
      <c r="G110" s="44"/>
    </row>
    <row r="111" spans="2:7">
      <c r="B111" s="45">
        <v>76</v>
      </c>
      <c r="C111" s="44">
        <v>3489.2</v>
      </c>
      <c r="D111" s="62">
        <v>3581.9298591129404</v>
      </c>
      <c r="E111" s="60">
        <v>-92.72985911294063</v>
      </c>
      <c r="F111" s="44"/>
      <c r="G111" s="44"/>
    </row>
    <row r="112" spans="2:7">
      <c r="B112" s="45">
        <v>77</v>
      </c>
      <c r="C112" s="44">
        <v>3552</v>
      </c>
      <c r="D112" s="62">
        <v>3544.631917602866</v>
      </c>
      <c r="E112" s="60">
        <v>7.3680823971340033</v>
      </c>
      <c r="F112" s="44"/>
      <c r="G112" s="44"/>
    </row>
    <row r="113" spans="2:7">
      <c r="B113" s="45">
        <v>78</v>
      </c>
      <c r="C113" s="44">
        <v>3859.7</v>
      </c>
      <c r="D113" s="62">
        <v>3717.0478843749465</v>
      </c>
      <c r="E113" s="60">
        <v>142.65211562505328</v>
      </c>
      <c r="F113" s="44"/>
      <c r="G113" s="44"/>
    </row>
    <row r="114" spans="2:7">
      <c r="B114" s="45">
        <v>79</v>
      </c>
      <c r="C114" s="44">
        <v>3639.9</v>
      </c>
      <c r="D114" s="62">
        <v>3671.4846694156781</v>
      </c>
      <c r="E114" s="60">
        <v>-31.584669415678036</v>
      </c>
      <c r="F114" s="44"/>
      <c r="G114" s="44"/>
    </row>
    <row r="115" spans="2:7">
      <c r="B115" s="45">
        <v>80</v>
      </c>
      <c r="C115" s="44">
        <v>3854.2</v>
      </c>
      <c r="D115" s="62">
        <v>3697.5930733428913</v>
      </c>
      <c r="E115" s="60">
        <v>156.60692665710849</v>
      </c>
      <c r="F115" s="44"/>
      <c r="G115" s="44"/>
    </row>
    <row r="116" spans="2:7">
      <c r="B116" s="45">
        <v>81</v>
      </c>
      <c r="C116" s="44">
        <v>3697.8</v>
      </c>
      <c r="D116" s="62">
        <v>3725.0819059993228</v>
      </c>
      <c r="E116" s="60">
        <v>-27.281905999322589</v>
      </c>
      <c r="F116" s="44"/>
      <c r="G116" s="44"/>
    </row>
    <row r="117" spans="2:7">
      <c r="B117" s="45">
        <v>82</v>
      </c>
      <c r="C117" s="44">
        <v>3582</v>
      </c>
      <c r="D117" s="62">
        <v>3675.7128501899115</v>
      </c>
      <c r="E117" s="60">
        <v>-93.712850189911478</v>
      </c>
      <c r="F117" s="44"/>
      <c r="G117" s="44"/>
    </row>
    <row r="118" spans="2:7">
      <c r="B118" s="45">
        <v>83</v>
      </c>
      <c r="C118" s="44">
        <v>3652.8</v>
      </c>
      <c r="D118" s="62">
        <v>3753.9665460671508</v>
      </c>
      <c r="E118" s="60">
        <v>-101.16654606715065</v>
      </c>
      <c r="F118" s="44"/>
      <c r="G118" s="44"/>
    </row>
    <row r="119" spans="2:7">
      <c r="B119" s="45">
        <v>84</v>
      </c>
      <c r="C119" s="44">
        <v>3474.7</v>
      </c>
      <c r="D119" s="62">
        <v>3601.686327291116</v>
      </c>
      <c r="E119" s="60">
        <v>-126.98632729111614</v>
      </c>
      <c r="F119" s="44"/>
      <c r="G119" s="44"/>
    </row>
    <row r="120" spans="2:7">
      <c r="B120" s="45">
        <v>85</v>
      </c>
      <c r="C120" s="44">
        <v>3413.9</v>
      </c>
      <c r="D120" s="62">
        <v>3479.1787962181306</v>
      </c>
      <c r="E120" s="60">
        <v>-65.278796218130537</v>
      </c>
      <c r="F120" s="44"/>
      <c r="G120" s="44"/>
    </row>
    <row r="121" spans="2:7">
      <c r="B121" s="45">
        <v>86</v>
      </c>
      <c r="C121" s="44">
        <v>3520.9</v>
      </c>
      <c r="D121" s="62">
        <v>3434.1157348513384</v>
      </c>
      <c r="E121" s="60">
        <v>86.784265148661689</v>
      </c>
      <c r="F121" s="44"/>
      <c r="G121" s="44"/>
    </row>
    <row r="122" spans="2:7">
      <c r="B122" s="45">
        <v>87</v>
      </c>
      <c r="C122" s="44">
        <v>3464.8</v>
      </c>
      <c r="D122" s="62">
        <v>3421.113311232772</v>
      </c>
      <c r="E122" s="60">
        <v>43.686688767228134</v>
      </c>
      <c r="F122" s="44"/>
      <c r="G122" s="44"/>
    </row>
    <row r="123" spans="2:7">
      <c r="B123" s="45">
        <v>88</v>
      </c>
      <c r="C123" s="44">
        <v>3713.5</v>
      </c>
      <c r="D123" s="62">
        <v>3624.8627072993249</v>
      </c>
      <c r="E123" s="60">
        <v>88.637292700675061</v>
      </c>
      <c r="F123" s="44"/>
      <c r="G123" s="44"/>
    </row>
    <row r="124" spans="2:7">
      <c r="B124" s="45">
        <v>89</v>
      </c>
      <c r="C124" s="44">
        <v>3689.9</v>
      </c>
      <c r="D124" s="62">
        <v>3649.8463292569631</v>
      </c>
      <c r="E124" s="60">
        <v>40.053670743036946</v>
      </c>
      <c r="F124" s="44"/>
      <c r="G124" s="44"/>
    </row>
    <row r="125" spans="2:7">
      <c r="B125" s="45">
        <v>90</v>
      </c>
      <c r="C125" s="44">
        <v>3820</v>
      </c>
      <c r="D125" s="62">
        <v>3854.5810490628346</v>
      </c>
      <c r="E125" s="60">
        <v>-34.581049062834609</v>
      </c>
      <c r="F125" s="44"/>
      <c r="G125" s="44"/>
    </row>
    <row r="126" spans="2:7">
      <c r="B126" s="45">
        <v>91</v>
      </c>
      <c r="C126" s="44">
        <v>3736</v>
      </c>
      <c r="D126" s="62">
        <v>3734.7914103217026</v>
      </c>
      <c r="E126" s="60">
        <v>1.2085896782973578</v>
      </c>
      <c r="F126" s="44"/>
      <c r="G126" s="44"/>
    </row>
    <row r="127" spans="2:7">
      <c r="B127" s="45">
        <v>92</v>
      </c>
      <c r="C127" s="44">
        <v>3869.3</v>
      </c>
      <c r="D127" s="62">
        <v>3801.8203763262773</v>
      </c>
      <c r="E127" s="60">
        <v>67.479623673722926</v>
      </c>
      <c r="F127" s="44"/>
      <c r="G127" s="44"/>
    </row>
    <row r="128" spans="2:7">
      <c r="B128" s="45">
        <v>93</v>
      </c>
      <c r="C128" s="44">
        <v>3833.2</v>
      </c>
      <c r="D128" s="62">
        <v>3774.6213248284885</v>
      </c>
      <c r="E128" s="60">
        <v>58.57867517151135</v>
      </c>
      <c r="F128" s="44"/>
      <c r="G128" s="44"/>
    </row>
    <row r="129" spans="2:7">
      <c r="B129" s="45">
        <v>94</v>
      </c>
      <c r="C129" s="44">
        <v>3716.3</v>
      </c>
      <c r="D129" s="62">
        <v>3734.369529548555</v>
      </c>
      <c r="E129" s="60">
        <v>-18.069529548554783</v>
      </c>
      <c r="F129" s="44"/>
      <c r="G129" s="44"/>
    </row>
    <row r="130" spans="2:7">
      <c r="B130" s="45">
        <v>95</v>
      </c>
      <c r="C130" s="44">
        <v>3772.2</v>
      </c>
      <c r="D130" s="62">
        <v>3829.9880740426388</v>
      </c>
      <c r="E130" s="60">
        <v>-57.788074042638982</v>
      </c>
      <c r="F130" s="44"/>
      <c r="G130" s="44"/>
    </row>
    <row r="131" spans="2:7">
      <c r="B131" s="45">
        <v>96</v>
      </c>
      <c r="C131" s="44">
        <v>3650.8</v>
      </c>
      <c r="D131" s="62">
        <v>3684.182575505753</v>
      </c>
      <c r="E131" s="60">
        <v>-33.382575505752811</v>
      </c>
      <c r="F131" s="44"/>
      <c r="G131" s="44"/>
    </row>
    <row r="132" spans="2:7">
      <c r="B132" s="45">
        <v>97</v>
      </c>
      <c r="C132" s="44">
        <v>3711</v>
      </c>
      <c r="D132" s="62">
        <v>3596.2652428558254</v>
      </c>
      <c r="E132" s="60">
        <v>114.73475714417464</v>
      </c>
      <c r="F132" s="44"/>
      <c r="G132" s="44"/>
    </row>
    <row r="133" spans="2:7">
      <c r="B133" s="45">
        <v>98</v>
      </c>
      <c r="C133" s="44">
        <v>3470.8</v>
      </c>
      <c r="D133" s="62">
        <v>3623.6736737417082</v>
      </c>
      <c r="E133" s="60">
        <v>-152.87367374170799</v>
      </c>
      <c r="F133" s="44"/>
      <c r="G133" s="44"/>
    </row>
    <row r="134" spans="2:7">
      <c r="B134" s="45">
        <v>99</v>
      </c>
      <c r="C134" s="44">
        <v>3397.3</v>
      </c>
      <c r="D134" s="62">
        <v>3545.1586664077372</v>
      </c>
      <c r="E134" s="60">
        <v>-147.85866640773702</v>
      </c>
      <c r="F134" s="44"/>
      <c r="G134" s="44"/>
    </row>
    <row r="135" spans="2:7">
      <c r="B135" s="45">
        <v>100</v>
      </c>
      <c r="C135" s="44">
        <v>3772</v>
      </c>
      <c r="D135" s="62">
        <v>3709.6605922232452</v>
      </c>
      <c r="E135" s="60">
        <v>62.339407776754797</v>
      </c>
      <c r="F135" s="44"/>
      <c r="G135" s="44"/>
    </row>
    <row r="136" spans="2:7">
      <c r="B136" s="45">
        <v>101</v>
      </c>
      <c r="C136" s="44">
        <v>3793.3</v>
      </c>
      <c r="D136" s="62">
        <v>3719.1831536227583</v>
      </c>
      <c r="E136" s="60">
        <v>74.116846377241927</v>
      </c>
      <c r="F136" s="44"/>
      <c r="G136" s="44"/>
    </row>
    <row r="137" spans="2:7">
      <c r="B137" s="45">
        <v>102</v>
      </c>
      <c r="C137" s="44">
        <v>3853.7</v>
      </c>
      <c r="D137" s="62">
        <v>3918.7898815628378</v>
      </c>
      <c r="E137" s="60">
        <v>-65.089881562837945</v>
      </c>
      <c r="F137" s="44"/>
      <c r="G137" s="44"/>
    </row>
    <row r="138" spans="2:7">
      <c r="B138" s="45">
        <v>103</v>
      </c>
      <c r="C138" s="44">
        <v>3904.5</v>
      </c>
      <c r="D138" s="62">
        <v>3797.3561047159642</v>
      </c>
      <c r="E138" s="60">
        <v>107.14389528403581</v>
      </c>
      <c r="F138" s="44"/>
      <c r="G138" s="44"/>
    </row>
    <row r="139" spans="2:7">
      <c r="B139" s="45">
        <v>104</v>
      </c>
      <c r="C139" s="44">
        <v>3911.2</v>
      </c>
      <c r="D139" s="62">
        <v>3901.9486407096706</v>
      </c>
      <c r="E139" s="60">
        <v>9.2513592903292192</v>
      </c>
      <c r="F139" s="44"/>
      <c r="G139" s="44"/>
    </row>
    <row r="140" spans="2:7">
      <c r="B140" s="45">
        <v>105</v>
      </c>
      <c r="C140" s="44">
        <v>3832.5</v>
      </c>
      <c r="D140" s="62">
        <v>3858.7208212137398</v>
      </c>
      <c r="E140" s="60">
        <v>-26.220821213739782</v>
      </c>
      <c r="F140" s="44"/>
      <c r="G140" s="44"/>
    </row>
    <row r="141" spans="2:7">
      <c r="B141" s="45">
        <v>106</v>
      </c>
      <c r="C141" s="44">
        <v>3717.4</v>
      </c>
      <c r="D141" s="62">
        <v>3783.6214897950404</v>
      </c>
      <c r="E141" s="60">
        <v>-66.22148979504027</v>
      </c>
      <c r="F141" s="44"/>
      <c r="G141" s="44"/>
    </row>
    <row r="142" spans="2:7">
      <c r="B142" s="45">
        <v>107</v>
      </c>
      <c r="C142" s="44">
        <v>3884.6</v>
      </c>
      <c r="D142" s="62">
        <v>3859.5913671561993</v>
      </c>
      <c r="E142" s="60">
        <v>25.008632843800569</v>
      </c>
      <c r="F142" s="44"/>
      <c r="G142" s="44"/>
    </row>
    <row r="143" spans="2:7">
      <c r="B143" s="45">
        <v>108</v>
      </c>
      <c r="C143" s="44">
        <v>3700.4</v>
      </c>
      <c r="D143" s="62">
        <v>3737.7994023975807</v>
      </c>
      <c r="E143" s="60">
        <v>-37.399402397580616</v>
      </c>
      <c r="F143" s="44"/>
      <c r="G143" s="44"/>
    </row>
    <row r="144" spans="2:7">
      <c r="B144" s="45">
        <v>109</v>
      </c>
      <c r="C144" s="44">
        <v>3726.7</v>
      </c>
      <c r="D144" s="62">
        <v>3674.4154002749974</v>
      </c>
      <c r="E144" s="60">
        <v>52.284599725002408</v>
      </c>
      <c r="F144" s="44"/>
      <c r="G144" s="44"/>
    </row>
    <row r="145" spans="2:7">
      <c r="B145" s="45">
        <v>110</v>
      </c>
      <c r="C145" s="44">
        <v>3680.6</v>
      </c>
      <c r="D145" s="62">
        <v>3638.7163359836727</v>
      </c>
      <c r="E145" s="60">
        <v>41.883664016327202</v>
      </c>
      <c r="F145" s="44"/>
      <c r="G145" s="44"/>
    </row>
    <row r="146" spans="2:7">
      <c r="B146" s="45">
        <v>111</v>
      </c>
      <c r="C146" s="44">
        <v>3491.4</v>
      </c>
      <c r="D146" s="62">
        <v>3608.790865949476</v>
      </c>
      <c r="E146" s="60">
        <v>-117.39086594947594</v>
      </c>
      <c r="F146" s="44"/>
      <c r="G146" s="44"/>
    </row>
    <row r="147" spans="2:7">
      <c r="B147" s="45">
        <v>112</v>
      </c>
      <c r="C147" s="44">
        <v>3874.3</v>
      </c>
      <c r="D147" s="62">
        <v>3817.9715515620037</v>
      </c>
      <c r="E147" s="60">
        <v>56.328448437996485</v>
      </c>
      <c r="F147" s="44"/>
      <c r="G147" s="44"/>
    </row>
    <row r="148" spans="2:7">
      <c r="B148" s="45">
        <v>113</v>
      </c>
      <c r="C148" s="44">
        <v>3931.1</v>
      </c>
      <c r="D148" s="62">
        <v>3828.3644140756055</v>
      </c>
      <c r="E148" s="60">
        <v>102.7355859243944</v>
      </c>
      <c r="F148" s="44"/>
      <c r="G148" s="44"/>
    </row>
    <row r="149" spans="2:7">
      <c r="B149" s="45">
        <v>114</v>
      </c>
      <c r="C149" s="44">
        <v>3973</v>
      </c>
      <c r="D149" s="62">
        <v>4010.9080158883289</v>
      </c>
      <c r="E149" s="60">
        <v>-37.908015888328919</v>
      </c>
      <c r="F149" s="44"/>
      <c r="G149" s="44"/>
    </row>
    <row r="150" spans="2:7">
      <c r="B150" s="45">
        <v>115</v>
      </c>
      <c r="C150" s="44">
        <v>3971.4</v>
      </c>
      <c r="D150" s="62">
        <v>3926.9277856197291</v>
      </c>
      <c r="E150" s="60">
        <v>44.472214380270998</v>
      </c>
      <c r="F150" s="44"/>
      <c r="G150" s="44"/>
    </row>
    <row r="151" spans="2:7">
      <c r="B151" s="45">
        <v>116</v>
      </c>
      <c r="C151" s="44">
        <v>4103.6000000000004</v>
      </c>
      <c r="D151" s="62">
        <v>3999.2459754577058</v>
      </c>
      <c r="E151" s="60">
        <v>104.35402454229461</v>
      </c>
      <c r="F151" s="44"/>
      <c r="G151" s="44"/>
    </row>
    <row r="152" spans="2:7">
      <c r="B152" s="45">
        <v>117</v>
      </c>
      <c r="C152" s="44">
        <v>3945.7</v>
      </c>
      <c r="D152" s="62">
        <v>3973.7192906691866</v>
      </c>
      <c r="E152" s="60">
        <v>-28.01929066918683</v>
      </c>
      <c r="F152" s="44"/>
      <c r="G152" s="44"/>
    </row>
    <row r="153" spans="2:7">
      <c r="B153" s="45">
        <v>118</v>
      </c>
      <c r="C153" s="44">
        <v>3977.8</v>
      </c>
      <c r="D153" s="62">
        <v>3891.8518952574714</v>
      </c>
      <c r="E153" s="60">
        <v>85.948104742528812</v>
      </c>
      <c r="F153" s="44"/>
      <c r="G153" s="44"/>
    </row>
    <row r="154" spans="2:7">
      <c r="B154" s="45">
        <v>119</v>
      </c>
      <c r="C154" s="44">
        <v>3931.2</v>
      </c>
      <c r="D154" s="62">
        <v>4022.4775728911341</v>
      </c>
      <c r="E154" s="60">
        <v>-91.277572891134241</v>
      </c>
      <c r="F154" s="44"/>
      <c r="G154" s="44"/>
    </row>
    <row r="155" spans="2:7">
      <c r="B155" s="45">
        <v>120</v>
      </c>
      <c r="C155" s="44">
        <v>3796.3</v>
      </c>
      <c r="D155" s="62">
        <v>3862.199948377232</v>
      </c>
      <c r="E155" s="60">
        <v>-65.899948377231794</v>
      </c>
      <c r="F155" s="44"/>
      <c r="G155" s="44"/>
    </row>
    <row r="156" spans="2:7">
      <c r="B156" s="45">
        <v>121</v>
      </c>
      <c r="C156" s="44">
        <v>3897.3</v>
      </c>
      <c r="D156" s="62">
        <v>3808.3542501494821</v>
      </c>
      <c r="E156" s="60">
        <v>88.945749850518041</v>
      </c>
      <c r="F156" s="44"/>
      <c r="G156" s="44"/>
    </row>
    <row r="157" spans="2:7">
      <c r="B157" s="45">
        <v>122</v>
      </c>
      <c r="C157" s="44">
        <v>3685.9</v>
      </c>
      <c r="D157" s="62">
        <v>3780.7014303572223</v>
      </c>
      <c r="E157" s="60">
        <v>-94.801430357222216</v>
      </c>
      <c r="F157" s="44"/>
      <c r="G157" s="44"/>
    </row>
    <row r="158" spans="2:7">
      <c r="B158" s="45">
        <v>123</v>
      </c>
      <c r="C158" s="44">
        <v>3687</v>
      </c>
      <c r="D158" s="62">
        <v>3689.6429032055712</v>
      </c>
      <c r="E158" s="60">
        <v>-2.6429032055712014</v>
      </c>
      <c r="F158" s="44"/>
      <c r="G158" s="44"/>
    </row>
    <row r="159" spans="2:7">
      <c r="B159" s="45">
        <v>124</v>
      </c>
      <c r="C159" s="44">
        <v>3973.2</v>
      </c>
      <c r="D159" s="62">
        <v>3958.186592390975</v>
      </c>
      <c r="E159" s="60">
        <v>15.013407609024853</v>
      </c>
      <c r="F159" s="44"/>
      <c r="G159" s="44"/>
    </row>
    <row r="160" spans="2:7">
      <c r="B160" s="45">
        <v>125</v>
      </c>
      <c r="C160" s="44">
        <v>3981.6</v>
      </c>
      <c r="D160" s="62">
        <v>3967.2499859389723</v>
      </c>
      <c r="E160" s="60">
        <v>14.35001406102765</v>
      </c>
      <c r="F160" s="44"/>
      <c r="G160" s="44"/>
    </row>
    <row r="161" spans="2:7">
      <c r="B161" s="45">
        <v>126</v>
      </c>
      <c r="C161" s="44">
        <v>4030.6</v>
      </c>
      <c r="D161" s="62">
        <v>4103.6552052374773</v>
      </c>
      <c r="E161" s="60">
        <v>-73.055205237477367</v>
      </c>
      <c r="F161" s="44"/>
      <c r="G161" s="44"/>
    </row>
    <row r="162" spans="2:7">
      <c r="B162" s="45">
        <v>127</v>
      </c>
      <c r="C162" s="44">
        <v>4030.6</v>
      </c>
      <c r="D162" s="62">
        <v>4025.5558183404446</v>
      </c>
      <c r="E162" s="60">
        <v>5.0441816595553064</v>
      </c>
      <c r="F162" s="44"/>
      <c r="G162" s="44"/>
    </row>
    <row r="163" spans="2:7">
      <c r="B163" s="45">
        <v>128</v>
      </c>
      <c r="C163" s="44">
        <v>4148.3</v>
      </c>
      <c r="D163" s="62">
        <v>4098.5584440635548</v>
      </c>
      <c r="E163" s="60">
        <v>49.741555936445366</v>
      </c>
      <c r="F163" s="44"/>
      <c r="G163" s="44"/>
    </row>
    <row r="164" spans="2:7">
      <c r="B164" s="45">
        <v>129</v>
      </c>
      <c r="C164" s="44">
        <v>4068.8</v>
      </c>
      <c r="D164" s="62">
        <v>4035.948522922014</v>
      </c>
      <c r="E164" s="60">
        <v>32.851477077986146</v>
      </c>
      <c r="F164" s="44"/>
      <c r="G164" s="44"/>
    </row>
    <row r="165" spans="2:7">
      <c r="B165" s="45">
        <v>130</v>
      </c>
      <c r="C165" s="44">
        <v>4045.7</v>
      </c>
      <c r="D165" s="62">
        <v>3988.7958334493801</v>
      </c>
      <c r="E165" s="60">
        <v>56.904166550619721</v>
      </c>
      <c r="F165" s="44"/>
      <c r="G165" s="44"/>
    </row>
    <row r="166" spans="2:7">
      <c r="B166" s="45">
        <v>131</v>
      </c>
      <c r="C166" s="44">
        <v>4043.5</v>
      </c>
      <c r="D166" s="62">
        <v>4080.8593410502608</v>
      </c>
      <c r="E166" s="60">
        <v>-37.359341050260809</v>
      </c>
      <c r="F166" s="44"/>
      <c r="G166" s="44"/>
    </row>
    <row r="167" spans="2:7">
      <c r="B167" s="45">
        <v>132</v>
      </c>
      <c r="C167" s="44">
        <v>3921.4</v>
      </c>
      <c r="D167" s="62">
        <v>3938.1544147351278</v>
      </c>
      <c r="E167" s="60">
        <v>-16.754414735127739</v>
      </c>
      <c r="F167" s="44"/>
      <c r="G167" s="44"/>
    </row>
    <row r="168" spans="2:7">
      <c r="B168" s="45">
        <v>133</v>
      </c>
      <c r="C168" s="44">
        <v>3876.3</v>
      </c>
      <c r="D168" s="62">
        <v>3923.7139714051336</v>
      </c>
      <c r="E168" s="60">
        <v>-47.413971405133452</v>
      </c>
      <c r="F168" s="44"/>
      <c r="G168" s="44"/>
    </row>
    <row r="169" spans="2:7">
      <c r="B169" s="45">
        <v>134</v>
      </c>
      <c r="C169" s="44">
        <v>3928.4</v>
      </c>
      <c r="D169" s="62">
        <v>3829.9786476883887</v>
      </c>
      <c r="E169" s="60">
        <v>98.421352311611372</v>
      </c>
      <c r="F169" s="44"/>
      <c r="G169" s="44"/>
    </row>
    <row r="170" spans="2:7">
      <c r="B170" s="45">
        <v>135</v>
      </c>
      <c r="C170" s="44">
        <v>3727.7</v>
      </c>
      <c r="D170" s="62">
        <v>3802.7786087175759</v>
      </c>
      <c r="E170" s="60">
        <v>-75.078608717576117</v>
      </c>
      <c r="F170" s="44"/>
      <c r="G170" s="44"/>
    </row>
    <row r="171" spans="2:7">
      <c r="B171" s="45">
        <v>136</v>
      </c>
      <c r="C171" s="44">
        <v>4044.9</v>
      </c>
      <c r="D171" s="62">
        <v>4056.8488661665374</v>
      </c>
      <c r="E171" s="60">
        <v>-11.9488661665373</v>
      </c>
      <c r="F171" s="44"/>
      <c r="G171" s="44"/>
    </row>
    <row r="172" spans="2:7">
      <c r="B172" s="45">
        <v>137</v>
      </c>
      <c r="C172" s="44">
        <v>4068.6</v>
      </c>
      <c r="D172" s="62">
        <v>4059.1896852161876</v>
      </c>
      <c r="E172" s="60">
        <v>9.4103147838122823</v>
      </c>
      <c r="F172" s="44"/>
      <c r="G172" s="44"/>
    </row>
    <row r="173" spans="2:7">
      <c r="B173" s="45">
        <v>138</v>
      </c>
      <c r="C173" s="44">
        <v>4240.1000000000004</v>
      </c>
      <c r="D173" s="62">
        <v>4178.9820410803322</v>
      </c>
      <c r="E173" s="60">
        <v>61.117958919668126</v>
      </c>
      <c r="F173" s="44"/>
      <c r="G173" s="44"/>
    </row>
    <row r="174" spans="2:7">
      <c r="B174" s="45">
        <v>139</v>
      </c>
      <c r="C174" s="44">
        <v>4052.5</v>
      </c>
      <c r="D174" s="62">
        <v>4147.9990273446183</v>
      </c>
      <c r="E174" s="60">
        <v>-95.499027344618298</v>
      </c>
      <c r="F174" s="44"/>
      <c r="G174" s="44"/>
    </row>
    <row r="175" spans="2:7">
      <c r="B175" s="45">
        <v>140</v>
      </c>
      <c r="C175" s="44">
        <v>4230.7</v>
      </c>
      <c r="D175" s="62">
        <v>4204.4248014463919</v>
      </c>
      <c r="E175" s="60">
        <v>26.275198553607879</v>
      </c>
      <c r="F175" s="44"/>
      <c r="G175" s="44"/>
    </row>
    <row r="176" spans="2:7">
      <c r="B176" s="45">
        <v>141</v>
      </c>
      <c r="C176" s="44">
        <v>4093</v>
      </c>
      <c r="D176" s="62">
        <v>4133.1205422261037</v>
      </c>
      <c r="E176" s="60">
        <v>-40.12054222610368</v>
      </c>
      <c r="F176" s="44"/>
      <c r="G176" s="44"/>
    </row>
    <row r="177" spans="2:8">
      <c r="B177" s="45">
        <v>142</v>
      </c>
      <c r="C177" s="44">
        <v>4174.1000000000004</v>
      </c>
      <c r="D177" s="62">
        <v>4072.0139061056743</v>
      </c>
      <c r="E177" s="60">
        <v>102.08609389432604</v>
      </c>
      <c r="F177" s="44"/>
      <c r="G177" s="44"/>
    </row>
    <row r="178" spans="2:8">
      <c r="B178" s="45">
        <v>143</v>
      </c>
      <c r="C178" s="44">
        <v>4192.3</v>
      </c>
      <c r="D178" s="62">
        <v>4158.411432207311</v>
      </c>
      <c r="E178" s="60">
        <v>33.888567792689173</v>
      </c>
      <c r="F178" s="44"/>
      <c r="G178" s="44"/>
    </row>
    <row r="179" spans="2:8">
      <c r="B179" s="45">
        <v>144</v>
      </c>
      <c r="C179" s="44">
        <v>3998.1</v>
      </c>
      <c r="D179" s="62">
        <v>4036.9490747058594</v>
      </c>
      <c r="E179" s="60">
        <v>-38.849074705859493</v>
      </c>
      <c r="F179" s="44"/>
      <c r="G179" s="44"/>
    </row>
    <row r="180" spans="2:8">
      <c r="B180" s="45">
        <v>145</v>
      </c>
      <c r="C180" s="44">
        <v>4115.8</v>
      </c>
      <c r="D180" s="62">
        <v>4011.836301440308</v>
      </c>
      <c r="E180" s="60">
        <v>103.96369855969215</v>
      </c>
      <c r="F180" s="44"/>
      <c r="G180" s="44"/>
    </row>
    <row r="181" spans="2:8">
      <c r="B181" s="45">
        <v>146</v>
      </c>
      <c r="C181" s="44">
        <v>4048.7</v>
      </c>
      <c r="D181" s="62">
        <v>3981.5662987811775</v>
      </c>
      <c r="E181" s="60">
        <v>67.133701218822353</v>
      </c>
      <c r="F181" s="44"/>
      <c r="G181" s="44"/>
    </row>
    <row r="182" spans="2:8">
      <c r="B182" s="45">
        <v>147</v>
      </c>
      <c r="C182" s="44">
        <v>3854.8</v>
      </c>
      <c r="D182" s="62">
        <v>3916.9470778899827</v>
      </c>
      <c r="E182" s="60">
        <v>-62.147077889982484</v>
      </c>
      <c r="F182" s="44"/>
      <c r="G182" s="44"/>
    </row>
    <row r="183" spans="2:8">
      <c r="B183" s="45">
        <v>148</v>
      </c>
      <c r="C183" s="44">
        <v>3930.9</v>
      </c>
      <c r="D183" s="62">
        <v>4186.0462709834774</v>
      </c>
      <c r="E183" s="60">
        <v>-255.14627098347728</v>
      </c>
      <c r="F183" s="44"/>
      <c r="G183" s="44"/>
    </row>
    <row r="184" spans="2:8">
      <c r="B184" s="45">
        <v>149</v>
      </c>
      <c r="C184" s="44">
        <v>4169.3</v>
      </c>
      <c r="D184" s="62">
        <v>4132.3095641668433</v>
      </c>
      <c r="E184" s="60">
        <v>36.99043583315688</v>
      </c>
      <c r="F184" s="44"/>
      <c r="G184" s="44"/>
    </row>
    <row r="185" spans="2:8">
      <c r="B185" s="45">
        <v>150</v>
      </c>
      <c r="C185" s="44">
        <v>4070.6</v>
      </c>
      <c r="D185" s="62">
        <v>4267.6226799133474</v>
      </c>
      <c r="E185" s="60">
        <v>-197.02267991334747</v>
      </c>
      <c r="F185" s="44"/>
      <c r="G185" s="44"/>
    </row>
    <row r="186" spans="2:8">
      <c r="B186" s="45">
        <v>151</v>
      </c>
      <c r="C186" s="44">
        <v>4223.5</v>
      </c>
      <c r="D186" s="62">
        <v>4144.4828448742028</v>
      </c>
      <c r="E186" s="60">
        <v>79.017155125797217</v>
      </c>
      <c r="F186" s="44"/>
      <c r="G186" s="44"/>
    </row>
    <row r="187" spans="2:8">
      <c r="B187" s="45">
        <v>152</v>
      </c>
      <c r="C187" s="44">
        <v>4369.3</v>
      </c>
      <c r="D187" s="62">
        <v>4264.2079829637778</v>
      </c>
      <c r="E187" s="60">
        <v>105.09201703622239</v>
      </c>
      <c r="F187" s="44"/>
      <c r="G187" s="44"/>
    </row>
    <row r="188" spans="2:8">
      <c r="B188" s="45">
        <v>153</v>
      </c>
      <c r="C188" s="44">
        <v>4112.6000000000004</v>
      </c>
      <c r="D188" s="62">
        <v>4200.1578941794278</v>
      </c>
      <c r="E188" s="60">
        <v>-87.557894179427421</v>
      </c>
      <c r="F188" s="44"/>
      <c r="G188" s="44"/>
    </row>
    <row r="189" spans="2:8">
      <c r="B189" s="45">
        <v>154</v>
      </c>
      <c r="C189" s="44">
        <v>4165.6000000000004</v>
      </c>
      <c r="D189" s="62">
        <v>4151.8946454244242</v>
      </c>
      <c r="E189" s="60">
        <v>13.705354575576166</v>
      </c>
      <c r="F189" s="44"/>
      <c r="G189" s="44"/>
    </row>
    <row r="190" spans="2:8">
      <c r="B190" s="45">
        <v>155</v>
      </c>
      <c r="C190" s="44">
        <v>4212.6000000000004</v>
      </c>
      <c r="D190" s="62">
        <v>4203.7189267752101</v>
      </c>
      <c r="E190" s="60">
        <v>8.8810732247902706</v>
      </c>
      <c r="F190" s="44"/>
      <c r="G190" s="44"/>
    </row>
    <row r="191" spans="2:8">
      <c r="B191" s="45">
        <v>156</v>
      </c>
      <c r="C191" s="44">
        <v>4163.5</v>
      </c>
      <c r="D191" s="62">
        <v>4062.2368837266808</v>
      </c>
      <c r="E191" s="60">
        <v>101.26311627331916</v>
      </c>
      <c r="F191" s="44"/>
      <c r="G191" s="44"/>
      <c r="H191" s="43">
        <v>0</v>
      </c>
    </row>
    <row r="192" spans="2:8" ht="16" thickBot="1">
      <c r="B192" s="42">
        <v>157</v>
      </c>
      <c r="C192" s="41"/>
      <c r="D192" s="66">
        <v>4096.0094332180743</v>
      </c>
      <c r="E192" s="41"/>
      <c r="F192" s="41">
        <v>3915.4970084655106</v>
      </c>
      <c r="G192" s="41">
        <v>4276.5218579706379</v>
      </c>
    </row>
    <row r="212" spans="7:7">
      <c r="G212" t="s">
        <v>208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D10BA-CA6D-4FC6-A2DC-143A64591EFB}">
  <sheetPr codeName="Sheet3">
    <tabColor rgb="FF007800"/>
  </sheetPr>
  <dimension ref="B1:J327"/>
  <sheetViews>
    <sheetView showGridLines="0" topLeftCell="A13" zoomScaleNormal="100" workbookViewId="0">
      <selection activeCell="G28" sqref="G28"/>
    </sheetView>
  </sheetViews>
  <sheetFormatPr baseColWidth="10" defaultColWidth="12.5" defaultRowHeight="16"/>
  <cols>
    <col min="1" max="1" width="6.6640625" style="5" customWidth="1"/>
    <col min="2" max="2" width="12.5" style="5"/>
    <col min="3" max="3" width="16" style="5" bestFit="1" customWidth="1"/>
    <col min="4" max="4" width="24.1640625" style="5" bestFit="1" customWidth="1"/>
    <col min="5" max="5" width="12.6640625" style="5" customWidth="1"/>
    <col min="6" max="6" width="21.6640625" style="5" customWidth="1"/>
    <col min="7" max="16384" width="12.5" style="5"/>
  </cols>
  <sheetData>
    <row r="1" spans="2:9" hidden="1"/>
    <row r="2" spans="2:9" hidden="1"/>
    <row r="3" spans="2:9" hidden="1"/>
    <row r="4" spans="2:9" hidden="1"/>
    <row r="5" spans="2:9" hidden="1"/>
    <row r="6" spans="2:9" hidden="1"/>
    <row r="7" spans="2:9" hidden="1"/>
    <row r="8" spans="2:9" hidden="1"/>
    <row r="9" spans="2:9" hidden="1"/>
    <row r="10" spans="2:9" ht="34.25" hidden="1" customHeight="1"/>
    <row r="11" spans="2:9" ht="21" hidden="1" customHeight="1"/>
    <row r="12" spans="2:9" hidden="1"/>
    <row r="14" spans="2:9" s="126" customFormat="1" ht="38.25" customHeight="1">
      <c r="B14" s="126" t="s">
        <v>163</v>
      </c>
      <c r="F14" s="127" t="s">
        <v>276</v>
      </c>
      <c r="G14" s="127" t="s">
        <v>280</v>
      </c>
    </row>
    <row r="15" spans="2:9" ht="17" thickBot="1"/>
    <row r="16" spans="2:9">
      <c r="B16" s="6" t="s">
        <v>164</v>
      </c>
      <c r="C16" s="7" t="s">
        <v>165</v>
      </c>
      <c r="D16" s="7" t="s">
        <v>166</v>
      </c>
      <c r="E16" s="7" t="s">
        <v>167</v>
      </c>
      <c r="F16" s="7" t="s">
        <v>168</v>
      </c>
      <c r="G16" s="7" t="s">
        <v>169</v>
      </c>
      <c r="H16" s="7" t="s">
        <v>170</v>
      </c>
      <c r="I16" s="7" t="s">
        <v>171</v>
      </c>
    </row>
    <row r="17" spans="2:9" ht="17" thickBot="1">
      <c r="B17" s="8" t="s">
        <v>2</v>
      </c>
      <c r="C17" s="9">
        <v>156</v>
      </c>
      <c r="D17" s="9">
        <v>0</v>
      </c>
      <c r="E17" s="9">
        <v>156</v>
      </c>
      <c r="F17" s="10">
        <v>1108.5</v>
      </c>
      <c r="G17" s="10">
        <v>1841.1</v>
      </c>
      <c r="H17" s="10">
        <v>1483.9467948717945</v>
      </c>
      <c r="I17" s="10">
        <v>186.97252564080003</v>
      </c>
    </row>
    <row r="20" spans="2:9">
      <c r="B20" s="11" t="s">
        <v>172</v>
      </c>
    </row>
    <row r="22" spans="2:9">
      <c r="B22" s="5" t="s">
        <v>173</v>
      </c>
    </row>
    <row r="24" spans="2:9">
      <c r="B24" s="5" t="s">
        <v>174</v>
      </c>
    </row>
    <row r="25" spans="2:9" ht="17" thickBot="1"/>
    <row r="26" spans="2:9">
      <c r="B26" s="12" t="s">
        <v>165</v>
      </c>
      <c r="C26" s="12">
        <v>143</v>
      </c>
    </row>
    <row r="27" spans="2:9">
      <c r="B27" s="13" t="s">
        <v>175</v>
      </c>
      <c r="C27" s="13">
        <v>132</v>
      </c>
    </row>
    <row r="28" spans="2:9">
      <c r="B28" s="13" t="s">
        <v>176</v>
      </c>
      <c r="C28" s="13">
        <v>299964.98046099552</v>
      </c>
    </row>
    <row r="29" spans="2:9">
      <c r="B29" s="13" t="s">
        <v>177</v>
      </c>
      <c r="C29" s="13">
        <v>2097.6572060209478</v>
      </c>
    </row>
    <row r="30" spans="2:9">
      <c r="B30" s="26" t="s">
        <v>178</v>
      </c>
      <c r="C30" s="26">
        <v>45.800187838271448</v>
      </c>
    </row>
    <row r="31" spans="2:9">
      <c r="B31" s="13" t="s">
        <v>179</v>
      </c>
      <c r="C31" s="13">
        <v>2097.6572060209478</v>
      </c>
    </row>
    <row r="32" spans="2:9">
      <c r="B32" s="13" t="s">
        <v>180</v>
      </c>
      <c r="C32" s="13">
        <v>207.29926871721528</v>
      </c>
    </row>
    <row r="33" spans="2:9">
      <c r="B33" s="39" t="s">
        <v>181</v>
      </c>
      <c r="C33" s="39">
        <v>2.3294007090179094</v>
      </c>
    </row>
    <row r="34" spans="2:9">
      <c r="B34" s="13" t="s">
        <v>182</v>
      </c>
      <c r="C34" s="13">
        <v>1515.9500659019789</v>
      </c>
    </row>
    <row r="35" spans="2:9">
      <c r="B35" s="13" t="s">
        <v>183</v>
      </c>
      <c r="C35" s="13">
        <v>3670.9001105366583</v>
      </c>
    </row>
    <row r="36" spans="2:9">
      <c r="B36" s="13" t="s">
        <v>184</v>
      </c>
      <c r="C36" s="13">
        <v>1537.9500659019789</v>
      </c>
    </row>
    <row r="37" spans="2:9">
      <c r="B37" s="13" t="s">
        <v>185</v>
      </c>
      <c r="C37" s="13">
        <v>1539.9653330775513</v>
      </c>
    </row>
    <row r="38" spans="2:9">
      <c r="B38" s="13" t="s">
        <v>186</v>
      </c>
      <c r="C38" s="13">
        <v>1570.5413568348379</v>
      </c>
    </row>
    <row r="39" spans="2:9" ht="17" thickBot="1">
      <c r="B39" s="14" t="s">
        <v>187</v>
      </c>
      <c r="C39" s="14">
        <v>284</v>
      </c>
    </row>
    <row r="42" spans="2:9">
      <c r="B42" s="5" t="s">
        <v>188</v>
      </c>
    </row>
    <row r="43" spans="2:9" ht="17" thickBot="1"/>
    <row r="44" spans="2:9">
      <c r="B44" s="6" t="s">
        <v>189</v>
      </c>
      <c r="C44" s="7" t="s">
        <v>190</v>
      </c>
      <c r="D44" s="7" t="s">
        <v>191</v>
      </c>
      <c r="E44" s="7" t="s">
        <v>192</v>
      </c>
      <c r="F44" s="7" t="s">
        <v>193</v>
      </c>
    </row>
    <row r="45" spans="2:9" ht="17" thickBot="1">
      <c r="B45" s="8" t="s">
        <v>194</v>
      </c>
      <c r="C45" s="10">
        <v>-1.2699560597647677E-2</v>
      </c>
      <c r="D45" s="10">
        <v>0.16060029192635236</v>
      </c>
      <c r="E45" s="10">
        <v>-0.32747034867991703</v>
      </c>
      <c r="F45" s="10">
        <v>0.30207122748462173</v>
      </c>
    </row>
    <row r="47" spans="2:9" ht="17" thickBot="1"/>
    <row r="48" spans="2:9">
      <c r="B48" s="6" t="s">
        <v>189</v>
      </c>
      <c r="C48" s="7" t="s">
        <v>190</v>
      </c>
      <c r="D48" s="7" t="s">
        <v>191</v>
      </c>
      <c r="E48" s="7" t="s">
        <v>192</v>
      </c>
      <c r="F48" s="7" t="s">
        <v>193</v>
      </c>
      <c r="G48" s="7" t="s">
        <v>195</v>
      </c>
      <c r="H48" s="7" t="s">
        <v>192</v>
      </c>
      <c r="I48" s="7" t="s">
        <v>193</v>
      </c>
    </row>
    <row r="49" spans="2:9">
      <c r="B49" s="15" t="s">
        <v>196</v>
      </c>
      <c r="C49" s="16">
        <v>0.31530882982546121</v>
      </c>
      <c r="D49" s="16">
        <v>7.6502153466242798E-2</v>
      </c>
      <c r="E49" s="16">
        <v>0.1653673642918693</v>
      </c>
      <c r="F49" s="16">
        <v>0.46525029535905316</v>
      </c>
      <c r="G49" s="16">
        <v>0.11779842971753475</v>
      </c>
      <c r="H49" s="16">
        <v>8.4428150143720349E-2</v>
      </c>
      <c r="I49" s="16">
        <v>0.54618950950720202</v>
      </c>
    </row>
    <row r="50" spans="2:9">
      <c r="B50" s="13" t="s">
        <v>197</v>
      </c>
      <c r="C50" s="17">
        <v>0.29587592422664472</v>
      </c>
      <c r="D50" s="17">
        <v>8.0839414340107385E-2</v>
      </c>
      <c r="E50" s="17">
        <v>0.13743358358872348</v>
      </c>
      <c r="F50" s="17">
        <v>0.45431826486456595</v>
      </c>
      <c r="G50" s="17">
        <v>9.1215697022905773E-2</v>
      </c>
      <c r="H50" s="17">
        <v>0.117096443237032</v>
      </c>
      <c r="I50" s="17">
        <v>0.47465540521625743</v>
      </c>
    </row>
    <row r="51" spans="2:9">
      <c r="B51" s="13" t="s">
        <v>198</v>
      </c>
      <c r="C51" s="17">
        <v>0.1070216909418361</v>
      </c>
      <c r="D51" s="17">
        <v>7.7774454541082269E-2</v>
      </c>
      <c r="E51" s="17">
        <v>-4.5413438875932785E-2</v>
      </c>
      <c r="F51" s="17">
        <v>0.25945682075960497</v>
      </c>
      <c r="G51" s="17">
        <v>9.2770321154030139E-2</v>
      </c>
      <c r="H51" s="17">
        <v>-7.4804797354277239E-2</v>
      </c>
      <c r="I51" s="17">
        <v>0.28884817923794942</v>
      </c>
    </row>
    <row r="52" spans="2:9">
      <c r="B52" s="13" t="s">
        <v>199</v>
      </c>
      <c r="C52" s="17">
        <v>9.6038614038750511E-2</v>
      </c>
      <c r="D52" s="17">
        <v>0.12337058240192821</v>
      </c>
      <c r="E52" s="17">
        <v>-0.14576328422075974</v>
      </c>
      <c r="F52" s="17">
        <v>0.33784051229826073</v>
      </c>
      <c r="G52" s="17">
        <v>9.3024100254920944E-2</v>
      </c>
      <c r="H52" s="17">
        <v>-8.6285272155137746E-2</v>
      </c>
      <c r="I52" s="17">
        <v>0.27836250023263875</v>
      </c>
    </row>
    <row r="53" spans="2:9">
      <c r="B53" s="13" t="s">
        <v>200</v>
      </c>
      <c r="C53" s="17">
        <v>3.9278093735936472E-2</v>
      </c>
      <c r="D53" s="17">
        <v>0.10790356730403709</v>
      </c>
      <c r="E53" s="17">
        <v>-0.17220901198336994</v>
      </c>
      <c r="F53" s="17">
        <v>0.25076519945524289</v>
      </c>
      <c r="G53" s="17">
        <v>0.11544369174581998</v>
      </c>
      <c r="H53" s="17">
        <v>-0.18698738432821455</v>
      </c>
      <c r="I53" s="17">
        <v>0.26554357180008747</v>
      </c>
    </row>
    <row r="54" spans="2:9">
      <c r="B54" s="13" t="s">
        <v>201</v>
      </c>
      <c r="C54" s="17">
        <v>-1.0433098373337248E-2</v>
      </c>
      <c r="D54" s="17">
        <v>0.102663660279891</v>
      </c>
      <c r="E54" s="17">
        <v>-0.21165017504297887</v>
      </c>
      <c r="F54" s="17">
        <v>0.19078397829630436</v>
      </c>
      <c r="G54" s="17">
        <v>0.10650971258681467</v>
      </c>
      <c r="H54" s="17">
        <v>-0.21918829904720644</v>
      </c>
      <c r="I54" s="17">
        <v>0.19832210230053193</v>
      </c>
    </row>
    <row r="55" spans="2:9">
      <c r="B55" s="13" t="s">
        <v>202</v>
      </c>
      <c r="C55" s="17">
        <v>-0.99999991917849818</v>
      </c>
      <c r="D55" s="17">
        <v>3.0335303810909823E-2</v>
      </c>
      <c r="E55" s="17">
        <v>-1.0594560221079621</v>
      </c>
      <c r="F55" s="17">
        <v>-0.94054381624903427</v>
      </c>
      <c r="G55" s="17">
        <v>6.9751821293622965E-2</v>
      </c>
      <c r="H55" s="17">
        <v>-1.1367109767700732</v>
      </c>
      <c r="I55" s="17">
        <v>-0.8632888615869232</v>
      </c>
    </row>
    <row r="56" spans="2:9" ht="17" thickBot="1">
      <c r="B56" s="14" t="s">
        <v>203</v>
      </c>
      <c r="C56" s="18">
        <v>-0.82385960726971996</v>
      </c>
      <c r="D56" s="18">
        <v>0.13222656164498084</v>
      </c>
      <c r="E56" s="18">
        <v>-1.0830189058934476</v>
      </c>
      <c r="F56" s="18">
        <v>-0.5647003086459923</v>
      </c>
      <c r="G56" s="18">
        <v>9.7313699485597704E-2</v>
      </c>
      <c r="H56" s="18">
        <v>-1.0145909534638453</v>
      </c>
      <c r="I56" s="18">
        <v>-0.6331282610755945</v>
      </c>
    </row>
    <row r="59" spans="2:9">
      <c r="B59" s="5" t="s">
        <v>204</v>
      </c>
    </row>
    <row r="61" spans="2:9">
      <c r="B61" s="19" t="s">
        <v>165</v>
      </c>
      <c r="C61" s="20" t="s">
        <v>2</v>
      </c>
      <c r="D61" s="30" t="s">
        <v>205</v>
      </c>
      <c r="E61" s="27" t="s">
        <v>206</v>
      </c>
      <c r="F61" s="20" t="s">
        <v>207</v>
      </c>
    </row>
    <row r="62" spans="2:9">
      <c r="B62" s="21">
        <v>1</v>
      </c>
      <c r="C62" s="22">
        <v>1179.4000000000001</v>
      </c>
      <c r="D62" s="29">
        <v>1179.4000000000001</v>
      </c>
      <c r="E62" s="28">
        <v>0</v>
      </c>
      <c r="F62" s="22">
        <v>0</v>
      </c>
    </row>
    <row r="63" spans="2:9">
      <c r="B63" s="21">
        <v>2</v>
      </c>
      <c r="C63" s="22">
        <v>1171.2</v>
      </c>
      <c r="D63" s="29">
        <v>1171.2</v>
      </c>
      <c r="E63" s="28">
        <v>0</v>
      </c>
      <c r="F63" s="22">
        <v>0</v>
      </c>
    </row>
    <row r="64" spans="2:9">
      <c r="B64" s="21">
        <v>3</v>
      </c>
      <c r="C64" s="22">
        <v>1108.5</v>
      </c>
      <c r="D64" s="29">
        <v>1108.5</v>
      </c>
      <c r="E64" s="28">
        <v>0</v>
      </c>
      <c r="F64" s="22">
        <v>0</v>
      </c>
    </row>
    <row r="65" spans="2:6">
      <c r="B65" s="21">
        <v>4</v>
      </c>
      <c r="C65" s="22">
        <v>1233.8</v>
      </c>
      <c r="D65" s="29">
        <v>1233.8</v>
      </c>
      <c r="E65" s="28">
        <v>0</v>
      </c>
      <c r="F65" s="22">
        <v>0</v>
      </c>
    </row>
    <row r="66" spans="2:6">
      <c r="B66" s="21">
        <v>5</v>
      </c>
      <c r="C66" s="22">
        <v>1163.0999999999999</v>
      </c>
      <c r="D66" s="29">
        <v>1163.0999999999999</v>
      </c>
      <c r="E66" s="28">
        <v>0</v>
      </c>
      <c r="F66" s="22">
        <v>0</v>
      </c>
    </row>
    <row r="67" spans="2:6">
      <c r="B67" s="21">
        <v>6</v>
      </c>
      <c r="C67" s="22">
        <v>1220</v>
      </c>
      <c r="D67" s="29">
        <v>1220</v>
      </c>
      <c r="E67" s="28">
        <v>0</v>
      </c>
      <c r="F67" s="22">
        <v>0</v>
      </c>
    </row>
    <row r="68" spans="2:6">
      <c r="B68" s="21">
        <v>7</v>
      </c>
      <c r="C68" s="22">
        <v>1243.0999999999999</v>
      </c>
      <c r="D68" s="29">
        <v>1243.0999999999999</v>
      </c>
      <c r="E68" s="28">
        <v>0</v>
      </c>
      <c r="F68" s="22">
        <v>0</v>
      </c>
    </row>
    <row r="69" spans="2:6">
      <c r="B69" s="21">
        <v>8</v>
      </c>
      <c r="C69" s="22">
        <v>1272.0999999999999</v>
      </c>
      <c r="D69" s="29">
        <v>1272.0999999999999</v>
      </c>
      <c r="E69" s="28">
        <v>0</v>
      </c>
      <c r="F69" s="22">
        <v>0</v>
      </c>
    </row>
    <row r="70" spans="2:6">
      <c r="B70" s="21">
        <v>9</v>
      </c>
      <c r="C70" s="22">
        <v>1226.3</v>
      </c>
      <c r="D70" s="29">
        <v>1226.3</v>
      </c>
      <c r="E70" s="28">
        <v>0</v>
      </c>
      <c r="F70" s="22">
        <v>0</v>
      </c>
    </row>
    <row r="71" spans="2:6">
      <c r="B71" s="21">
        <v>10</v>
      </c>
      <c r="C71" s="22">
        <v>1150.0999999999999</v>
      </c>
      <c r="D71" s="29">
        <v>1150.0999999999999</v>
      </c>
      <c r="E71" s="28">
        <v>0</v>
      </c>
      <c r="F71" s="22">
        <v>0</v>
      </c>
    </row>
    <row r="72" spans="2:6">
      <c r="B72" s="21">
        <v>11</v>
      </c>
      <c r="C72" s="22">
        <v>1318.2</v>
      </c>
      <c r="D72" s="29">
        <v>1318.2</v>
      </c>
      <c r="E72" s="28">
        <v>0</v>
      </c>
      <c r="F72" s="22">
        <v>0</v>
      </c>
    </row>
    <row r="73" spans="2:6">
      <c r="B73" s="21">
        <v>12</v>
      </c>
      <c r="C73" s="22">
        <v>1223.2</v>
      </c>
      <c r="D73" s="29">
        <v>1223.2</v>
      </c>
      <c r="E73" s="28">
        <v>0</v>
      </c>
      <c r="F73" s="22">
        <v>0</v>
      </c>
    </row>
    <row r="74" spans="2:6">
      <c r="B74" s="21">
        <v>13</v>
      </c>
      <c r="C74" s="22">
        <v>1266.3</v>
      </c>
      <c r="D74" s="29">
        <v>1266.3</v>
      </c>
      <c r="E74" s="28">
        <v>0</v>
      </c>
      <c r="F74" s="22">
        <v>0</v>
      </c>
    </row>
    <row r="75" spans="2:6">
      <c r="B75" s="21">
        <v>14</v>
      </c>
      <c r="C75" s="22">
        <v>1212.9000000000001</v>
      </c>
      <c r="D75" s="29">
        <v>1242.7535392026186</v>
      </c>
      <c r="E75" s="28">
        <v>-29.853539202618549</v>
      </c>
      <c r="F75" s="22">
        <v>-0.65182132676042004</v>
      </c>
    </row>
    <row r="76" spans="2:6">
      <c r="B76" s="21">
        <v>15</v>
      </c>
      <c r="C76" s="22">
        <v>1184.4000000000001</v>
      </c>
      <c r="D76" s="29">
        <v>1175.1725659609799</v>
      </c>
      <c r="E76" s="28">
        <v>9.2274340390201814</v>
      </c>
      <c r="F76" s="22">
        <v>0.2014715326409551</v>
      </c>
    </row>
    <row r="77" spans="2:6">
      <c r="B77" s="21">
        <v>16</v>
      </c>
      <c r="C77" s="22">
        <v>1262</v>
      </c>
      <c r="D77" s="29">
        <v>1290.1294830230781</v>
      </c>
      <c r="E77" s="28">
        <v>-28.129483023078137</v>
      </c>
      <c r="F77" s="22">
        <v>-0.61417833311968739</v>
      </c>
    </row>
    <row r="78" spans="2:6">
      <c r="B78" s="21">
        <v>17</v>
      </c>
      <c r="C78" s="22">
        <v>1243.7</v>
      </c>
      <c r="D78" s="29">
        <v>1221.2680554689498</v>
      </c>
      <c r="E78" s="28">
        <v>22.431944531050249</v>
      </c>
      <c r="F78" s="22">
        <v>0.48977843956145783</v>
      </c>
    </row>
    <row r="79" spans="2:6">
      <c r="B79" s="21">
        <v>18</v>
      </c>
      <c r="C79" s="22">
        <v>1324.6</v>
      </c>
      <c r="D79" s="29">
        <v>1290.1372977126964</v>
      </c>
      <c r="E79" s="28">
        <v>34.4627022873035</v>
      </c>
      <c r="F79" s="22">
        <v>0.75245766259731051</v>
      </c>
    </row>
    <row r="80" spans="2:6">
      <c r="B80" s="21">
        <v>19</v>
      </c>
      <c r="C80" s="22">
        <v>1230.9000000000001</v>
      </c>
      <c r="D80" s="29">
        <v>1303.6673639689759</v>
      </c>
      <c r="E80" s="28">
        <v>-72.767363968975815</v>
      </c>
      <c r="F80" s="22">
        <v>-1.5888005574547037</v>
      </c>
    </row>
    <row r="81" spans="2:6">
      <c r="B81" s="21">
        <v>20</v>
      </c>
      <c r="C81" s="22">
        <v>1321.1</v>
      </c>
      <c r="D81" s="29">
        <v>1321.733745599536</v>
      </c>
      <c r="E81" s="28">
        <v>-0.63374559953604148</v>
      </c>
      <c r="F81" s="22">
        <v>-1.383718341448531E-2</v>
      </c>
    </row>
    <row r="82" spans="2:6">
      <c r="B82" s="21">
        <v>21</v>
      </c>
      <c r="C82" s="22">
        <v>1257.5</v>
      </c>
      <c r="D82" s="29">
        <v>1261.9789391004315</v>
      </c>
      <c r="E82" s="28">
        <v>-4.4789391004314894</v>
      </c>
      <c r="F82" s="22">
        <v>-9.7793029064584064E-2</v>
      </c>
    </row>
    <row r="83" spans="2:6">
      <c r="B83" s="21">
        <v>22</v>
      </c>
      <c r="C83" s="22">
        <v>1249.8</v>
      </c>
      <c r="D83" s="29">
        <v>1200.2309407915625</v>
      </c>
      <c r="E83" s="28">
        <v>49.569059208437466</v>
      </c>
      <c r="F83" s="22">
        <v>1.0822894304161932</v>
      </c>
    </row>
    <row r="84" spans="2:6">
      <c r="B84" s="21">
        <v>23</v>
      </c>
      <c r="C84" s="22">
        <v>1291.8</v>
      </c>
      <c r="D84" s="29">
        <v>1361.734928053834</v>
      </c>
      <c r="E84" s="28">
        <v>-69.934928053834028</v>
      </c>
      <c r="F84" s="22">
        <v>-1.526957232157794</v>
      </c>
    </row>
    <row r="85" spans="2:6">
      <c r="B85" s="21">
        <v>24</v>
      </c>
      <c r="C85" s="22">
        <v>1270.3</v>
      </c>
      <c r="D85" s="29">
        <v>1262.2866987129348</v>
      </c>
      <c r="E85" s="28">
        <v>8.0133012870651328</v>
      </c>
      <c r="F85" s="22">
        <v>0.17496219263033408</v>
      </c>
    </row>
    <row r="86" spans="2:6">
      <c r="B86" s="21">
        <v>25</v>
      </c>
      <c r="C86" s="22">
        <v>1338</v>
      </c>
      <c r="D86" s="29">
        <v>1297.0443445242042</v>
      </c>
      <c r="E86" s="28">
        <v>40.955655475795766</v>
      </c>
      <c r="F86" s="22">
        <v>0.89422461803906605</v>
      </c>
    </row>
    <row r="87" spans="2:6">
      <c r="B87" s="21">
        <v>26</v>
      </c>
      <c r="C87" s="22">
        <v>1257.2</v>
      </c>
      <c r="D87" s="29">
        <v>1277.8211767766404</v>
      </c>
      <c r="E87" s="28">
        <v>-20.621176776640368</v>
      </c>
      <c r="F87" s="22">
        <v>-0.45024218785864778</v>
      </c>
    </row>
    <row r="88" spans="2:6">
      <c r="B88" s="21">
        <v>27</v>
      </c>
      <c r="C88" s="22">
        <v>1241.4000000000001</v>
      </c>
      <c r="D88" s="29">
        <v>1235.4871293333858</v>
      </c>
      <c r="E88" s="28">
        <v>5.9128706666142534</v>
      </c>
      <c r="F88" s="22">
        <v>0.12910145014019689</v>
      </c>
    </row>
    <row r="89" spans="2:6">
      <c r="B89" s="21">
        <v>28</v>
      </c>
      <c r="C89" s="22">
        <v>1311.7</v>
      </c>
      <c r="D89" s="29">
        <v>1330.2552123217415</v>
      </c>
      <c r="E89" s="28">
        <v>-18.555212321741465</v>
      </c>
      <c r="F89" s="22">
        <v>-0.40513397864793038</v>
      </c>
    </row>
    <row r="90" spans="2:6">
      <c r="B90" s="21">
        <v>29</v>
      </c>
      <c r="C90" s="22">
        <v>1323.7</v>
      </c>
      <c r="D90" s="29">
        <v>1287.8414633177749</v>
      </c>
      <c r="E90" s="28">
        <v>35.858536682225122</v>
      </c>
      <c r="F90" s="22">
        <v>0.78293427111801261</v>
      </c>
    </row>
    <row r="91" spans="2:6">
      <c r="B91" s="21">
        <v>30</v>
      </c>
      <c r="C91" s="22">
        <v>1304.4000000000001</v>
      </c>
      <c r="D91" s="29">
        <v>1359.4846851885313</v>
      </c>
      <c r="E91" s="28">
        <v>-55.084685188531239</v>
      </c>
      <c r="F91" s="22">
        <v>-1.2027174513572956</v>
      </c>
    </row>
    <row r="92" spans="2:6">
      <c r="B92" s="21">
        <v>31</v>
      </c>
      <c r="C92" s="22">
        <v>1344.6</v>
      </c>
      <c r="D92" s="29">
        <v>1312.1172730379838</v>
      </c>
      <c r="E92" s="28">
        <v>32.482726962016159</v>
      </c>
      <c r="F92" s="22">
        <v>0.70922693759943523</v>
      </c>
    </row>
    <row r="93" spans="2:6">
      <c r="B93" s="21">
        <v>32</v>
      </c>
      <c r="C93" s="22">
        <v>1296.5</v>
      </c>
      <c r="D93" s="29">
        <v>1367.2145229404077</v>
      </c>
      <c r="E93" s="28">
        <v>-70.714522940407733</v>
      </c>
      <c r="F93" s="22">
        <v>-1.5439788847616347</v>
      </c>
    </row>
    <row r="94" spans="2:6">
      <c r="B94" s="21">
        <v>33</v>
      </c>
      <c r="C94" s="22">
        <v>1359.9</v>
      </c>
      <c r="D94" s="29">
        <v>1303.3325970780836</v>
      </c>
      <c r="E94" s="28">
        <v>56.567402921916482</v>
      </c>
      <c r="F94" s="22">
        <v>1.2350910682215097</v>
      </c>
    </row>
    <row r="95" spans="2:6">
      <c r="B95" s="21">
        <v>34</v>
      </c>
      <c r="C95" s="22">
        <v>1345.8</v>
      </c>
      <c r="D95" s="29">
        <v>1281.7176385685234</v>
      </c>
      <c r="E95" s="28">
        <v>64.082361431476556</v>
      </c>
      <c r="F95" s="22">
        <v>1.3991724588065597</v>
      </c>
    </row>
    <row r="96" spans="2:6">
      <c r="B96" s="21">
        <v>35</v>
      </c>
      <c r="C96" s="22">
        <v>1403.2</v>
      </c>
      <c r="D96" s="29">
        <v>1408.0088430437831</v>
      </c>
      <c r="E96" s="28">
        <v>-4.8088430437830993</v>
      </c>
      <c r="F96" s="22">
        <v>-0.10499614239059397</v>
      </c>
    </row>
    <row r="97" spans="2:6">
      <c r="B97" s="21">
        <v>36</v>
      </c>
      <c r="C97" s="22">
        <v>1292.4000000000001</v>
      </c>
      <c r="D97" s="29">
        <v>1353.1601283938317</v>
      </c>
      <c r="E97" s="28">
        <v>-60.760128393831565</v>
      </c>
      <c r="F97" s="22">
        <v>-1.3266349170528799</v>
      </c>
    </row>
    <row r="98" spans="2:6">
      <c r="B98" s="21">
        <v>37</v>
      </c>
      <c r="C98" s="22">
        <v>1280.9000000000001</v>
      </c>
      <c r="D98" s="29">
        <v>1367.4707936235516</v>
      </c>
      <c r="E98" s="28">
        <v>-86.570793623551481</v>
      </c>
      <c r="F98" s="22">
        <v>-1.8901842483539204</v>
      </c>
    </row>
    <row r="99" spans="2:6">
      <c r="B99" s="21">
        <v>38</v>
      </c>
      <c r="C99" s="22">
        <v>1329.7</v>
      </c>
      <c r="D99" s="29">
        <v>1281.8816969943043</v>
      </c>
      <c r="E99" s="28">
        <v>47.818303005695725</v>
      </c>
      <c r="F99" s="22">
        <v>1.0440634692274757</v>
      </c>
    </row>
    <row r="100" spans="2:6">
      <c r="B100" s="21">
        <v>39</v>
      </c>
      <c r="C100" s="22">
        <v>1236</v>
      </c>
      <c r="D100" s="29">
        <v>1255.6818789908996</v>
      </c>
      <c r="E100" s="28">
        <v>-19.681878990899577</v>
      </c>
      <c r="F100" s="22">
        <v>-0.42973358669182249</v>
      </c>
    </row>
    <row r="101" spans="2:6">
      <c r="B101" s="21">
        <v>40</v>
      </c>
      <c r="C101" s="22">
        <v>1362.3</v>
      </c>
      <c r="D101" s="29">
        <v>1349.0858626241641</v>
      </c>
      <c r="E101" s="28">
        <v>13.21413737583589</v>
      </c>
      <c r="F101" s="22">
        <v>0.28851710002800302</v>
      </c>
    </row>
    <row r="102" spans="2:6">
      <c r="B102" s="21">
        <v>41</v>
      </c>
      <c r="C102" s="22">
        <v>1335.3</v>
      </c>
      <c r="D102" s="29">
        <v>1334.0074432031367</v>
      </c>
      <c r="E102" s="28">
        <v>1.2925567968632095</v>
      </c>
      <c r="F102" s="22">
        <v>2.8221648378986039E-2</v>
      </c>
    </row>
    <row r="103" spans="2:6">
      <c r="B103" s="21">
        <v>42</v>
      </c>
      <c r="C103" s="22">
        <v>1352.4</v>
      </c>
      <c r="D103" s="29">
        <v>1367.9082657278591</v>
      </c>
      <c r="E103" s="28">
        <v>-15.508265727858998</v>
      </c>
      <c r="F103" s="22">
        <v>-0.338607033286008</v>
      </c>
    </row>
    <row r="104" spans="2:6">
      <c r="B104" s="21">
        <v>43</v>
      </c>
      <c r="C104" s="22">
        <v>1385.2</v>
      </c>
      <c r="D104" s="29">
        <v>1360.9523296766911</v>
      </c>
      <c r="E104" s="28">
        <v>24.247670323308967</v>
      </c>
      <c r="F104" s="22">
        <v>0.5294229449217932</v>
      </c>
    </row>
    <row r="105" spans="2:6">
      <c r="B105" s="21">
        <v>44</v>
      </c>
      <c r="C105" s="22">
        <v>1320.1</v>
      </c>
      <c r="D105" s="29">
        <v>1378.2446272379655</v>
      </c>
      <c r="E105" s="28">
        <v>-58.144627237965551</v>
      </c>
      <c r="F105" s="22">
        <v>-1.2695281391265141</v>
      </c>
    </row>
    <row r="106" spans="2:6">
      <c r="B106" s="21">
        <v>45</v>
      </c>
      <c r="C106" s="22">
        <v>1398.4</v>
      </c>
      <c r="D106" s="29">
        <v>1361.7585411778514</v>
      </c>
      <c r="E106" s="28">
        <v>36.641458822148707</v>
      </c>
      <c r="F106" s="22">
        <v>0.80002857087696166</v>
      </c>
    </row>
    <row r="107" spans="2:6">
      <c r="B107" s="21">
        <v>46</v>
      </c>
      <c r="C107" s="22">
        <v>1395.4</v>
      </c>
      <c r="D107" s="29">
        <v>1342.6137877426802</v>
      </c>
      <c r="E107" s="28">
        <v>52.786212257319903</v>
      </c>
      <c r="F107" s="22">
        <v>1.1525326586807316</v>
      </c>
    </row>
    <row r="108" spans="2:6">
      <c r="B108" s="21">
        <v>47</v>
      </c>
      <c r="C108" s="22">
        <v>1340.1</v>
      </c>
      <c r="D108" s="29">
        <v>1438.9495567458025</v>
      </c>
      <c r="E108" s="28">
        <v>-98.849556745802602</v>
      </c>
      <c r="F108" s="22">
        <v>-2.1582784135047186</v>
      </c>
    </row>
    <row r="109" spans="2:6">
      <c r="B109" s="21">
        <v>48</v>
      </c>
      <c r="C109" s="22">
        <v>1294.7</v>
      </c>
      <c r="D109" s="29">
        <v>1334.2687446547836</v>
      </c>
      <c r="E109" s="28">
        <v>-39.568744654783586</v>
      </c>
      <c r="F109" s="22">
        <v>-0.86394284657756892</v>
      </c>
    </row>
    <row r="110" spans="2:6">
      <c r="B110" s="21">
        <v>49</v>
      </c>
      <c r="C110" s="22">
        <v>1217.9000000000001</v>
      </c>
      <c r="D110" s="29">
        <v>1324.6236687034432</v>
      </c>
      <c r="E110" s="28">
        <v>-106.72366870344308</v>
      </c>
      <c r="F110" s="22">
        <v>-2.3302015502709992</v>
      </c>
    </row>
    <row r="111" spans="2:6">
      <c r="B111" s="21">
        <v>50</v>
      </c>
      <c r="C111" s="22">
        <v>1210.5</v>
      </c>
      <c r="D111" s="29">
        <v>1270.7357098518887</v>
      </c>
      <c r="E111" s="28">
        <v>-60.235709851888714</v>
      </c>
      <c r="F111" s="22">
        <v>-1.3151847775077177</v>
      </c>
    </row>
    <row r="112" spans="2:6">
      <c r="B112" s="21">
        <v>51</v>
      </c>
      <c r="C112" s="22">
        <v>1142.4000000000001</v>
      </c>
      <c r="D112" s="29">
        <v>1189.1105785682248</v>
      </c>
      <c r="E112" s="28">
        <v>-46.710578568224719</v>
      </c>
      <c r="F112" s="22">
        <v>-1.0198774453320589</v>
      </c>
    </row>
    <row r="113" spans="2:6">
      <c r="B113" s="21">
        <v>52</v>
      </c>
      <c r="C113" s="22">
        <v>1229.2</v>
      </c>
      <c r="D113" s="29">
        <v>1277.9193450248908</v>
      </c>
      <c r="E113" s="28">
        <v>-48.719345024890799</v>
      </c>
      <c r="F113" s="22">
        <v>-1.0637367950744527</v>
      </c>
    </row>
    <row r="114" spans="2:6">
      <c r="B114" s="21">
        <v>53</v>
      </c>
      <c r="C114" s="22">
        <v>1143.9000000000001</v>
      </c>
      <c r="D114" s="29">
        <v>1240.2218892658482</v>
      </c>
      <c r="E114" s="28">
        <v>-96.321889265848085</v>
      </c>
      <c r="F114" s="22">
        <v>-2.1030893935627009</v>
      </c>
    </row>
    <row r="115" spans="2:6">
      <c r="B115" s="21">
        <v>54</v>
      </c>
      <c r="C115" s="22">
        <v>1340.6</v>
      </c>
      <c r="D115" s="29">
        <v>1249.3029923712202</v>
      </c>
      <c r="E115" s="28">
        <v>91.297007628779738</v>
      </c>
      <c r="F115" s="22">
        <v>1.9933762706643388</v>
      </c>
    </row>
    <row r="116" spans="2:6">
      <c r="B116" s="21">
        <v>55</v>
      </c>
      <c r="C116" s="22">
        <v>1361.2</v>
      </c>
      <c r="D116" s="29">
        <v>1294.6380257727549</v>
      </c>
      <c r="E116" s="28">
        <v>66.561974227245173</v>
      </c>
      <c r="F116" s="22">
        <v>1.4533122541393773</v>
      </c>
    </row>
    <row r="117" spans="2:6">
      <c r="B117" s="21">
        <v>56</v>
      </c>
      <c r="C117" s="22">
        <v>1365.1</v>
      </c>
      <c r="D117" s="29">
        <v>1329.1194535952729</v>
      </c>
      <c r="E117" s="28">
        <v>35.980546404726965</v>
      </c>
      <c r="F117" s="22">
        <v>0.78559822793261525</v>
      </c>
    </row>
    <row r="118" spans="2:6">
      <c r="B118" s="21">
        <v>57</v>
      </c>
      <c r="C118" s="22">
        <v>1391.5</v>
      </c>
      <c r="D118" s="29">
        <v>1378.8715268327849</v>
      </c>
      <c r="E118" s="28">
        <v>12.628473167215134</v>
      </c>
      <c r="F118" s="22">
        <v>0.27572972433668835</v>
      </c>
    </row>
    <row r="119" spans="2:6">
      <c r="B119" s="21">
        <v>58</v>
      </c>
      <c r="C119" s="22">
        <v>1377.1</v>
      </c>
      <c r="D119" s="29">
        <v>1364.5168939167027</v>
      </c>
      <c r="E119" s="28">
        <v>12.583106083297253</v>
      </c>
      <c r="F119" s="22">
        <v>0.27473918071538095</v>
      </c>
    </row>
    <row r="120" spans="2:6">
      <c r="B120" s="21">
        <v>59</v>
      </c>
      <c r="C120" s="22">
        <v>1394.2</v>
      </c>
      <c r="D120" s="29">
        <v>1405.3551482117477</v>
      </c>
      <c r="E120" s="28">
        <v>-11.155148211747701</v>
      </c>
      <c r="F120" s="22">
        <v>-0.24356118911866692</v>
      </c>
    </row>
    <row r="121" spans="2:6">
      <c r="B121" s="21">
        <v>60</v>
      </c>
      <c r="C121" s="22">
        <v>1396.8</v>
      </c>
      <c r="D121" s="29">
        <v>1337.7017665456797</v>
      </c>
      <c r="E121" s="28">
        <v>59.09823345432028</v>
      </c>
      <c r="F121" s="22">
        <v>1.2903491501608373</v>
      </c>
    </row>
    <row r="122" spans="2:6">
      <c r="B122" s="21">
        <v>61</v>
      </c>
      <c r="C122" s="22">
        <v>1395.9</v>
      </c>
      <c r="D122" s="29">
        <v>1344.5137750973227</v>
      </c>
      <c r="E122" s="28">
        <v>51.386224902677441</v>
      </c>
      <c r="F122" s="22">
        <v>1.1219653745554772</v>
      </c>
    </row>
    <row r="123" spans="2:6">
      <c r="B123" s="21">
        <v>62</v>
      </c>
      <c r="C123" s="22">
        <v>1405.9</v>
      </c>
      <c r="D123" s="29">
        <v>1356.3966985471279</v>
      </c>
      <c r="E123" s="28">
        <v>49.503301452872165</v>
      </c>
      <c r="F123" s="22">
        <v>1.0808536774494695</v>
      </c>
    </row>
    <row r="124" spans="2:6">
      <c r="B124" s="21">
        <v>63</v>
      </c>
      <c r="C124" s="22">
        <v>1329.3</v>
      </c>
      <c r="D124" s="29">
        <v>1314.902091691873</v>
      </c>
      <c r="E124" s="28">
        <v>14.397908308126944</v>
      </c>
      <c r="F124" s="22">
        <v>0.31436352093071102</v>
      </c>
    </row>
    <row r="125" spans="2:6">
      <c r="B125" s="21">
        <v>64</v>
      </c>
      <c r="C125" s="22">
        <v>1488.9</v>
      </c>
      <c r="D125" s="29">
        <v>1417.9763208993456</v>
      </c>
      <c r="E125" s="28">
        <v>70.923679100654454</v>
      </c>
      <c r="F125" s="22">
        <v>1.5485455944219813</v>
      </c>
    </row>
    <row r="126" spans="2:6">
      <c r="B126" s="21">
        <v>65</v>
      </c>
      <c r="C126" s="22">
        <v>1471.5</v>
      </c>
      <c r="D126" s="29">
        <v>1391.2820696640315</v>
      </c>
      <c r="E126" s="28">
        <v>80.217930335968504</v>
      </c>
      <c r="F126" s="22">
        <v>1.7514760118284272</v>
      </c>
    </row>
    <row r="127" spans="2:6">
      <c r="B127" s="21">
        <v>66</v>
      </c>
      <c r="C127" s="22">
        <v>1523.8</v>
      </c>
      <c r="D127" s="29">
        <v>1503.9613681386063</v>
      </c>
      <c r="E127" s="28">
        <v>19.838631861393651</v>
      </c>
      <c r="F127" s="22">
        <v>0.43315612441257584</v>
      </c>
    </row>
    <row r="128" spans="2:6">
      <c r="B128" s="21">
        <v>67</v>
      </c>
      <c r="C128" s="22">
        <v>1474.1</v>
      </c>
      <c r="D128" s="29">
        <v>1515.7759058321826</v>
      </c>
      <c r="E128" s="28">
        <v>-41.675905832182707</v>
      </c>
      <c r="F128" s="22">
        <v>-0.90995054385688745</v>
      </c>
    </row>
    <row r="129" spans="2:6">
      <c r="B129" s="21">
        <v>68</v>
      </c>
      <c r="C129" s="22">
        <v>1538.4</v>
      </c>
      <c r="D129" s="29">
        <v>1490.3638542457602</v>
      </c>
      <c r="E129" s="28">
        <v>48.036145754239897</v>
      </c>
      <c r="F129" s="22">
        <v>1.0488198416099079</v>
      </c>
    </row>
    <row r="130" spans="2:6">
      <c r="B130" s="21">
        <v>69</v>
      </c>
      <c r="C130" s="22">
        <v>1516.6</v>
      </c>
      <c r="D130" s="29">
        <v>1508.2002465149817</v>
      </c>
      <c r="E130" s="28">
        <v>8.3997534850182092</v>
      </c>
      <c r="F130" s="22">
        <v>0.1833999789406808</v>
      </c>
    </row>
    <row r="131" spans="2:6">
      <c r="B131" s="21">
        <v>70</v>
      </c>
      <c r="C131" s="22">
        <v>1472.5</v>
      </c>
      <c r="D131" s="29">
        <v>1487.4746631721193</v>
      </c>
      <c r="E131" s="28">
        <v>-14.974663172119335</v>
      </c>
      <c r="F131" s="22">
        <v>-0.3269563702445395</v>
      </c>
    </row>
    <row r="132" spans="2:6">
      <c r="B132" s="21">
        <v>71</v>
      </c>
      <c r="C132" s="22">
        <v>1516.5</v>
      </c>
      <c r="D132" s="29">
        <v>1510.2650586489642</v>
      </c>
      <c r="E132" s="28">
        <v>6.2349413510357863</v>
      </c>
      <c r="F132" s="22">
        <v>0.13613353231328362</v>
      </c>
    </row>
    <row r="133" spans="2:6">
      <c r="B133" s="21">
        <v>72</v>
      </c>
      <c r="C133" s="22">
        <v>1529</v>
      </c>
      <c r="D133" s="29">
        <v>1461.6381939783034</v>
      </c>
      <c r="E133" s="28">
        <v>67.361806021696566</v>
      </c>
      <c r="F133" s="22">
        <v>1.4707757588148547</v>
      </c>
    </row>
    <row r="134" spans="2:6">
      <c r="B134" s="21">
        <v>73</v>
      </c>
      <c r="C134" s="22">
        <v>1498.5</v>
      </c>
      <c r="D134" s="29">
        <v>1476.874198532593</v>
      </c>
      <c r="E134" s="28">
        <v>21.625801467406973</v>
      </c>
      <c r="F134" s="22">
        <v>0.47217713481375878</v>
      </c>
    </row>
    <row r="135" spans="2:6">
      <c r="B135" s="21">
        <v>74</v>
      </c>
      <c r="C135" s="22">
        <v>1506.3</v>
      </c>
      <c r="D135" s="29">
        <v>1477.0160424768628</v>
      </c>
      <c r="E135" s="28">
        <v>29.283957523137133</v>
      </c>
      <c r="F135" s="22">
        <v>0.63938509655340192</v>
      </c>
    </row>
    <row r="136" spans="2:6">
      <c r="B136" s="21">
        <v>75</v>
      </c>
      <c r="C136" s="22">
        <v>1386.5</v>
      </c>
      <c r="D136" s="29">
        <v>1417.1765781150589</v>
      </c>
      <c r="E136" s="28">
        <v>-30.676578115058874</v>
      </c>
      <c r="F136" s="22">
        <v>-0.6697915349907142</v>
      </c>
    </row>
    <row r="137" spans="2:6">
      <c r="B137" s="21">
        <v>76</v>
      </c>
      <c r="C137" s="22">
        <v>1472.5</v>
      </c>
      <c r="D137" s="29">
        <v>1515.8196107031022</v>
      </c>
      <c r="E137" s="28">
        <v>-43.319610703102171</v>
      </c>
      <c r="F137" s="22">
        <v>-0.94583914930810697</v>
      </c>
    </row>
    <row r="138" spans="2:6">
      <c r="B138" s="21">
        <v>77</v>
      </c>
      <c r="C138" s="22">
        <v>1458.2</v>
      </c>
      <c r="D138" s="29">
        <v>1455.7769114700498</v>
      </c>
      <c r="E138" s="28">
        <v>2.4230885299502916</v>
      </c>
      <c r="F138" s="22">
        <v>5.290564611889028E-2</v>
      </c>
    </row>
    <row r="139" spans="2:6">
      <c r="B139" s="21">
        <v>78</v>
      </c>
      <c r="C139" s="22">
        <v>1624.4</v>
      </c>
      <c r="D139" s="29">
        <v>1522.7264705413386</v>
      </c>
      <c r="E139" s="28">
        <v>101.67352945866151</v>
      </c>
      <c r="F139" s="22">
        <v>2.2199369534834377</v>
      </c>
    </row>
    <row r="140" spans="2:6">
      <c r="B140" s="21">
        <v>79</v>
      </c>
      <c r="C140" s="22">
        <v>1537.9</v>
      </c>
      <c r="D140" s="29">
        <v>1544.7587571870552</v>
      </c>
      <c r="E140" s="28">
        <v>-6.8587571870550619</v>
      </c>
      <c r="F140" s="22">
        <v>-0.14975390955326526</v>
      </c>
    </row>
    <row r="141" spans="2:6">
      <c r="B141" s="21">
        <v>80</v>
      </c>
      <c r="C141" s="22">
        <v>1591.2</v>
      </c>
      <c r="D141" s="29">
        <v>1572.3228849653935</v>
      </c>
      <c r="E141" s="28">
        <v>18.877115034606504</v>
      </c>
      <c r="F141" s="22">
        <v>0.41216239333482496</v>
      </c>
    </row>
    <row r="142" spans="2:6">
      <c r="B142" s="21">
        <v>81</v>
      </c>
      <c r="C142" s="22">
        <v>1530.2</v>
      </c>
      <c r="D142" s="29">
        <v>1571.685496900649</v>
      </c>
      <c r="E142" s="28">
        <v>-41.485496900648968</v>
      </c>
      <c r="F142" s="22">
        <v>-0.90579316065561966</v>
      </c>
    </row>
    <row r="143" spans="2:6">
      <c r="B143" s="21">
        <v>82</v>
      </c>
      <c r="C143" s="22">
        <v>1513.1</v>
      </c>
      <c r="D143" s="29">
        <v>1523.6525877867364</v>
      </c>
      <c r="E143" s="28">
        <v>-10.552587786736467</v>
      </c>
      <c r="F143" s="22">
        <v>-0.2304049019187327</v>
      </c>
    </row>
    <row r="144" spans="2:6">
      <c r="B144" s="21">
        <v>83</v>
      </c>
      <c r="C144" s="22">
        <v>1500.8</v>
      </c>
      <c r="D144" s="29">
        <v>1553.7008295625453</v>
      </c>
      <c r="E144" s="28">
        <v>-52.900829562545368</v>
      </c>
      <c r="F144" s="22">
        <v>-1.1550352096665528</v>
      </c>
    </row>
    <row r="145" spans="2:6">
      <c r="B145" s="21">
        <v>84</v>
      </c>
      <c r="C145" s="22">
        <v>1457.9</v>
      </c>
      <c r="D145" s="29">
        <v>1502.7005860794231</v>
      </c>
      <c r="E145" s="28">
        <v>-44.800586079423056</v>
      </c>
      <c r="F145" s="22">
        <v>-0.97817472359768121</v>
      </c>
    </row>
    <row r="146" spans="2:6">
      <c r="B146" s="21">
        <v>85</v>
      </c>
      <c r="C146" s="22">
        <v>1494.9</v>
      </c>
      <c r="D146" s="29">
        <v>1475.8056245050627</v>
      </c>
      <c r="E146" s="28">
        <v>19.094375494937367</v>
      </c>
      <c r="F146" s="22">
        <v>0.41690605205295184</v>
      </c>
    </row>
    <row r="147" spans="2:6">
      <c r="B147" s="21">
        <v>86</v>
      </c>
      <c r="C147" s="22">
        <v>1456</v>
      </c>
      <c r="D147" s="29">
        <v>1474.5654529890805</v>
      </c>
      <c r="E147" s="28">
        <v>-18.565452989080541</v>
      </c>
      <c r="F147" s="22">
        <v>-0.40535757308765707</v>
      </c>
    </row>
    <row r="148" spans="2:6">
      <c r="B148" s="21">
        <v>87</v>
      </c>
      <c r="C148" s="22">
        <v>1459.3</v>
      </c>
      <c r="D148" s="29">
        <v>1398.45524303152</v>
      </c>
      <c r="E148" s="28">
        <v>60.844756968479942</v>
      </c>
      <c r="F148" s="22">
        <v>1.3284826949473116</v>
      </c>
    </row>
    <row r="149" spans="2:6">
      <c r="B149" s="21">
        <v>88</v>
      </c>
      <c r="C149" s="22">
        <v>1560.6</v>
      </c>
      <c r="D149" s="29">
        <v>1526.0507420081824</v>
      </c>
      <c r="E149" s="28">
        <v>34.549257991817512</v>
      </c>
      <c r="F149" s="22">
        <v>0.75434751739047545</v>
      </c>
    </row>
    <row r="150" spans="2:6">
      <c r="B150" s="21">
        <v>89</v>
      </c>
      <c r="C150" s="22">
        <v>1522.4</v>
      </c>
      <c r="D150" s="29">
        <v>1517.6155739657722</v>
      </c>
      <c r="E150" s="28">
        <v>4.7844260342278631</v>
      </c>
      <c r="F150" s="22">
        <v>0.10446302209769349</v>
      </c>
    </row>
    <row r="151" spans="2:6">
      <c r="B151" s="21">
        <v>90</v>
      </c>
      <c r="C151" s="22">
        <v>1595</v>
      </c>
      <c r="D151" s="29">
        <v>1615.6893389074892</v>
      </c>
      <c r="E151" s="28">
        <v>-20.689338907489173</v>
      </c>
      <c r="F151" s="22">
        <v>-0.45173043788699913</v>
      </c>
    </row>
    <row r="152" spans="2:6">
      <c r="B152" s="21">
        <v>91</v>
      </c>
      <c r="C152" s="22">
        <v>1540.3</v>
      </c>
      <c r="D152" s="29">
        <v>1572.6074672229438</v>
      </c>
      <c r="E152" s="28">
        <v>-32.307467222943842</v>
      </c>
      <c r="F152" s="22">
        <v>-0.70540032143595599</v>
      </c>
    </row>
    <row r="153" spans="2:6">
      <c r="B153" s="21">
        <v>92</v>
      </c>
      <c r="C153" s="22">
        <v>1613.8</v>
      </c>
      <c r="D153" s="29">
        <v>1586.3340797449259</v>
      </c>
      <c r="E153" s="28">
        <v>27.465920255074025</v>
      </c>
      <c r="F153" s="22">
        <v>0.59969012249602638</v>
      </c>
    </row>
    <row r="154" spans="2:6">
      <c r="B154" s="21">
        <v>93</v>
      </c>
      <c r="C154" s="22">
        <v>1634.4</v>
      </c>
      <c r="D154" s="29">
        <v>1577.7801251298379</v>
      </c>
      <c r="E154" s="28">
        <v>56.619874870162221</v>
      </c>
      <c r="F154" s="22">
        <v>1.2362367392486904</v>
      </c>
    </row>
    <row r="155" spans="2:6">
      <c r="B155" s="21">
        <v>94</v>
      </c>
      <c r="C155" s="22">
        <v>1558.8</v>
      </c>
      <c r="D155" s="29">
        <v>1574.6597006176901</v>
      </c>
      <c r="E155" s="28">
        <v>-15.859700617690123</v>
      </c>
      <c r="F155" s="22">
        <v>-0.34628025268572099</v>
      </c>
    </row>
    <row r="156" spans="2:6">
      <c r="B156" s="21">
        <v>95</v>
      </c>
      <c r="C156" s="22">
        <v>1602</v>
      </c>
      <c r="D156" s="29">
        <v>1601.1574390324329</v>
      </c>
      <c r="E156" s="28">
        <v>0.84256096756712395</v>
      </c>
      <c r="F156" s="22">
        <v>1.8396452227278096E-2</v>
      </c>
    </row>
    <row r="157" spans="2:6">
      <c r="B157" s="21">
        <v>96</v>
      </c>
      <c r="C157" s="22">
        <v>1534.9</v>
      </c>
      <c r="D157" s="29">
        <v>1557.4555241592523</v>
      </c>
      <c r="E157" s="28">
        <v>-22.555524159252172</v>
      </c>
      <c r="F157" s="22">
        <v>-0.49247667365251235</v>
      </c>
    </row>
    <row r="158" spans="2:6">
      <c r="B158" s="21">
        <v>97</v>
      </c>
      <c r="C158" s="22">
        <v>1594.3</v>
      </c>
      <c r="D158" s="29">
        <v>1553.8565637439847</v>
      </c>
      <c r="E158" s="28">
        <v>40.443436256015275</v>
      </c>
      <c r="F158" s="22">
        <v>0.88304083814739343</v>
      </c>
    </row>
    <row r="159" spans="2:6">
      <c r="B159" s="21">
        <v>98</v>
      </c>
      <c r="C159" s="22">
        <v>1479.1</v>
      </c>
      <c r="D159" s="29">
        <v>1546.3659176175825</v>
      </c>
      <c r="E159" s="28">
        <v>-67.265917617582545</v>
      </c>
      <c r="F159" s="22">
        <v>-1.4686821341237808</v>
      </c>
    </row>
    <row r="160" spans="2:6">
      <c r="B160" s="21">
        <v>99</v>
      </c>
      <c r="C160" s="22">
        <v>1410.8</v>
      </c>
      <c r="D160" s="29">
        <v>1473.8126583538838</v>
      </c>
      <c r="E160" s="28">
        <v>-63.012658353883808</v>
      </c>
      <c r="F160" s="22">
        <v>-1.3758165922024739</v>
      </c>
    </row>
    <row r="161" spans="2:6">
      <c r="B161" s="21">
        <v>100</v>
      </c>
      <c r="C161" s="22">
        <v>1576.8</v>
      </c>
      <c r="D161" s="29">
        <v>1548.539275808396</v>
      </c>
      <c r="E161" s="28">
        <v>28.260724191603913</v>
      </c>
      <c r="F161" s="22">
        <v>0.61704384906449561</v>
      </c>
    </row>
    <row r="162" spans="2:6">
      <c r="B162" s="21">
        <v>101</v>
      </c>
      <c r="C162" s="22">
        <v>1567.9</v>
      </c>
      <c r="D162" s="29">
        <v>1521.4882625379967</v>
      </c>
      <c r="E162" s="28">
        <v>46.41173746200343</v>
      </c>
      <c r="F162" s="22">
        <v>1.0133525571094046</v>
      </c>
    </row>
    <row r="163" spans="2:6">
      <c r="B163" s="21">
        <v>102</v>
      </c>
      <c r="C163" s="22">
        <v>1586</v>
      </c>
      <c r="D163" s="29">
        <v>1632.5771835370761</v>
      </c>
      <c r="E163" s="28">
        <v>-46.577183537076053</v>
      </c>
      <c r="F163" s="22">
        <v>-1.0169649020119376</v>
      </c>
    </row>
    <row r="164" spans="2:6">
      <c r="B164" s="21">
        <v>103</v>
      </c>
      <c r="C164" s="22">
        <v>1598.4</v>
      </c>
      <c r="D164" s="29">
        <v>1590.6004751709872</v>
      </c>
      <c r="E164" s="28">
        <v>7.7995248290128529</v>
      </c>
      <c r="F164" s="22">
        <v>0.17029460351897141</v>
      </c>
    </row>
    <row r="165" spans="2:6">
      <c r="B165" s="21">
        <v>104</v>
      </c>
      <c r="C165" s="22">
        <v>1644.9</v>
      </c>
      <c r="D165" s="29">
        <v>1625.2515290056876</v>
      </c>
      <c r="E165" s="28">
        <v>19.648470994312447</v>
      </c>
      <c r="F165" s="22">
        <v>0.42900415744351678</v>
      </c>
    </row>
    <row r="166" spans="2:6">
      <c r="B166" s="21">
        <v>105</v>
      </c>
      <c r="C166" s="22">
        <v>1636.3</v>
      </c>
      <c r="D166" s="29">
        <v>1633.0448290700442</v>
      </c>
      <c r="E166" s="28">
        <v>3.2551709299557388</v>
      </c>
      <c r="F166" s="22">
        <v>7.107330959974055E-2</v>
      </c>
    </row>
    <row r="167" spans="2:6">
      <c r="B167" s="21">
        <v>106</v>
      </c>
      <c r="C167" s="22">
        <v>1534.1</v>
      </c>
      <c r="D167" s="29">
        <v>1598.1617964751965</v>
      </c>
      <c r="E167" s="28">
        <v>-64.061796475196616</v>
      </c>
      <c r="F167" s="22">
        <v>-1.3987234441354288</v>
      </c>
    </row>
    <row r="168" spans="2:6">
      <c r="B168" s="21">
        <v>107</v>
      </c>
      <c r="C168" s="22">
        <v>1641.7</v>
      </c>
      <c r="D168" s="29">
        <v>1610.2995489874725</v>
      </c>
      <c r="E168" s="28">
        <v>31.400451012527583</v>
      </c>
      <c r="F168" s="22">
        <v>0.68559655526759233</v>
      </c>
    </row>
    <row r="169" spans="2:6">
      <c r="B169" s="21">
        <v>108</v>
      </c>
      <c r="C169" s="22">
        <v>1572.5</v>
      </c>
      <c r="D169" s="29">
        <v>1567.1035597939504</v>
      </c>
      <c r="E169" s="28">
        <v>5.3964402060496468</v>
      </c>
      <c r="F169" s="22">
        <v>0.11782572213689232</v>
      </c>
    </row>
    <row r="170" spans="2:6">
      <c r="B170" s="21">
        <v>109</v>
      </c>
      <c r="C170" s="22">
        <v>1645.6</v>
      </c>
      <c r="D170" s="29">
        <v>1597.1475609382044</v>
      </c>
      <c r="E170" s="28">
        <v>48.452439061795531</v>
      </c>
      <c r="F170" s="22">
        <v>1.0579091778594807</v>
      </c>
    </row>
    <row r="171" spans="2:6">
      <c r="B171" s="21">
        <v>110</v>
      </c>
      <c r="C171" s="22">
        <v>1609.5</v>
      </c>
      <c r="D171" s="29">
        <v>1572.1609761283323</v>
      </c>
      <c r="E171" s="28">
        <v>37.339023871667678</v>
      </c>
      <c r="F171" s="22">
        <v>0.81525918634915573</v>
      </c>
    </row>
    <row r="172" spans="2:6">
      <c r="B172" s="21">
        <v>111</v>
      </c>
      <c r="C172" s="22">
        <v>1488.1</v>
      </c>
      <c r="D172" s="29">
        <v>1530.2542963922072</v>
      </c>
      <c r="E172" s="28">
        <v>-42.154296392207243</v>
      </c>
      <c r="F172" s="22">
        <v>-0.92039570975257801</v>
      </c>
    </row>
    <row r="173" spans="2:6">
      <c r="B173" s="21">
        <v>112</v>
      </c>
      <c r="C173" s="22">
        <v>1666.3</v>
      </c>
      <c r="D173" s="29">
        <v>1640.3536518065969</v>
      </c>
      <c r="E173" s="28">
        <v>25.946348193403082</v>
      </c>
      <c r="F173" s="22">
        <v>0.56651182927511612</v>
      </c>
    </row>
    <row r="174" spans="2:6">
      <c r="B174" s="21">
        <v>113</v>
      </c>
      <c r="C174" s="22">
        <v>1681.2</v>
      </c>
      <c r="D174" s="29">
        <v>1614.504173951909</v>
      </c>
      <c r="E174" s="28">
        <v>66.695826048091021</v>
      </c>
      <c r="F174" s="22">
        <v>1.456234770992769</v>
      </c>
    </row>
    <row r="175" spans="2:6">
      <c r="B175" s="21">
        <v>114</v>
      </c>
      <c r="C175" s="22">
        <v>1656.8</v>
      </c>
      <c r="D175" s="29">
        <v>1701.1111826911788</v>
      </c>
      <c r="E175" s="28">
        <v>-44.311182691178828</v>
      </c>
      <c r="F175" s="22">
        <v>-0.96748910392353504</v>
      </c>
    </row>
    <row r="176" spans="2:6">
      <c r="B176" s="21">
        <v>115</v>
      </c>
      <c r="C176" s="22">
        <v>1663.1</v>
      </c>
      <c r="D176" s="29">
        <v>1673.8289696420152</v>
      </c>
      <c r="E176" s="28">
        <v>-10.728969642015272</v>
      </c>
      <c r="F176" s="22">
        <v>-0.23425601833558324</v>
      </c>
    </row>
    <row r="177" spans="2:6">
      <c r="B177" s="21">
        <v>116</v>
      </c>
      <c r="C177" s="22">
        <v>1746.1</v>
      </c>
      <c r="D177" s="29">
        <v>1697.6178188848332</v>
      </c>
      <c r="E177" s="28">
        <v>48.482181115166668</v>
      </c>
      <c r="F177" s="22">
        <v>1.058558565007764</v>
      </c>
    </row>
    <row r="178" spans="2:6">
      <c r="B178" s="21">
        <v>117</v>
      </c>
      <c r="C178" s="22">
        <v>1676.4</v>
      </c>
      <c r="D178" s="29">
        <v>1707.2432299854345</v>
      </c>
      <c r="E178" s="28">
        <v>-30.843229985434391</v>
      </c>
      <c r="F178" s="22">
        <v>-0.67343020719363167</v>
      </c>
    </row>
    <row r="179" spans="2:6">
      <c r="B179" s="21">
        <v>118</v>
      </c>
      <c r="C179" s="22">
        <v>1712.3</v>
      </c>
      <c r="D179" s="29">
        <v>1646.5312288352272</v>
      </c>
      <c r="E179" s="28">
        <v>65.768771164772716</v>
      </c>
      <c r="F179" s="22">
        <v>1.4359934810095947</v>
      </c>
    </row>
    <row r="180" spans="2:6">
      <c r="B180" s="21">
        <v>119</v>
      </c>
      <c r="C180" s="22">
        <v>1632.2</v>
      </c>
      <c r="D180" s="29">
        <v>1715.3528427660492</v>
      </c>
      <c r="E180" s="28">
        <v>-83.152842766049162</v>
      </c>
      <c r="F180" s="22">
        <v>-1.8155568064409808</v>
      </c>
    </row>
    <row r="181" spans="2:6">
      <c r="B181" s="21">
        <v>120</v>
      </c>
      <c r="C181" s="22">
        <v>1575.6</v>
      </c>
      <c r="D181" s="29">
        <v>1639.0781470499001</v>
      </c>
      <c r="E181" s="28">
        <v>-63.478147049900144</v>
      </c>
      <c r="F181" s="22">
        <v>-1.3859800591659732</v>
      </c>
    </row>
    <row r="182" spans="2:6">
      <c r="B182" s="21">
        <v>121</v>
      </c>
      <c r="C182" s="22">
        <v>1732.8</v>
      </c>
      <c r="D182" s="29">
        <v>1640.2084133185426</v>
      </c>
      <c r="E182" s="28">
        <v>92.591586681457329</v>
      </c>
      <c r="F182" s="22">
        <v>2.0216420729193203</v>
      </c>
    </row>
    <row r="183" spans="2:6">
      <c r="B183" s="21">
        <v>122</v>
      </c>
      <c r="C183" s="22">
        <v>1636.4</v>
      </c>
      <c r="D183" s="29">
        <v>1627.1188133701501</v>
      </c>
      <c r="E183" s="28">
        <v>9.2811866298500263</v>
      </c>
      <c r="F183" s="22">
        <v>0.2026451651819319</v>
      </c>
    </row>
    <row r="184" spans="2:6">
      <c r="B184" s="21">
        <v>123</v>
      </c>
      <c r="C184" s="22">
        <v>1581.1</v>
      </c>
      <c r="D184" s="29">
        <v>1567.1173631831034</v>
      </c>
      <c r="E184" s="28">
        <v>13.982636816896502</v>
      </c>
      <c r="F184" s="22">
        <v>0.3052964949897512</v>
      </c>
    </row>
    <row r="185" spans="2:6">
      <c r="B185" s="21">
        <v>124</v>
      </c>
      <c r="C185" s="22">
        <v>1693.7</v>
      </c>
      <c r="D185" s="29">
        <v>1706.2814353907183</v>
      </c>
      <c r="E185" s="28">
        <v>-12.581435390718298</v>
      </c>
      <c r="F185" s="22">
        <v>-0.27470270286107928</v>
      </c>
    </row>
    <row r="186" spans="2:6">
      <c r="B186" s="21">
        <v>125</v>
      </c>
      <c r="C186" s="22">
        <v>1675.9</v>
      </c>
      <c r="D186" s="29">
        <v>1684.0319911548347</v>
      </c>
      <c r="E186" s="28">
        <v>-8.1319911548346226</v>
      </c>
      <c r="F186" s="22">
        <v>-0.17755366383103319</v>
      </c>
    </row>
    <row r="187" spans="2:6">
      <c r="B187" s="21">
        <v>126</v>
      </c>
      <c r="C187" s="22">
        <v>1674.8</v>
      </c>
      <c r="D187" s="29">
        <v>1720.8156265488421</v>
      </c>
      <c r="E187" s="28">
        <v>-46.015626548842192</v>
      </c>
      <c r="F187" s="22">
        <v>-1.0047038826856234</v>
      </c>
    </row>
    <row r="188" spans="2:6">
      <c r="B188" s="21">
        <v>127</v>
      </c>
      <c r="C188" s="22">
        <v>1679.7</v>
      </c>
      <c r="D188" s="29">
        <v>1692.1511123702455</v>
      </c>
      <c r="E188" s="28">
        <v>-12.451112370245482</v>
      </c>
      <c r="F188" s="22">
        <v>-0.27185723373477327</v>
      </c>
    </row>
    <row r="189" spans="2:6">
      <c r="B189" s="21">
        <v>128</v>
      </c>
      <c r="C189" s="22">
        <v>1736.7</v>
      </c>
      <c r="D189" s="29">
        <v>1732.0806360001957</v>
      </c>
      <c r="E189" s="28">
        <v>4.6193639998043636</v>
      </c>
      <c r="F189" s="22">
        <v>0.10085906232778245</v>
      </c>
    </row>
    <row r="190" spans="2:6">
      <c r="B190" s="21">
        <v>129</v>
      </c>
      <c r="C190" s="22">
        <v>1717</v>
      </c>
      <c r="D190" s="29">
        <v>1712.738182498618</v>
      </c>
      <c r="E190" s="28">
        <v>4.2618175013819837</v>
      </c>
      <c r="F190" s="22">
        <v>9.3052402239729104E-2</v>
      </c>
    </row>
    <row r="191" spans="2:6">
      <c r="B191" s="21">
        <v>130</v>
      </c>
      <c r="C191" s="22">
        <v>1676.6</v>
      </c>
      <c r="D191" s="29">
        <v>1691.363299071229</v>
      </c>
      <c r="E191" s="28">
        <v>-14.763299071229085</v>
      </c>
      <c r="F191" s="22">
        <v>-0.32234145247091345</v>
      </c>
    </row>
    <row r="192" spans="2:6">
      <c r="B192" s="21">
        <v>131</v>
      </c>
      <c r="C192" s="22">
        <v>1657.7</v>
      </c>
      <c r="D192" s="29">
        <v>1702.8688930361368</v>
      </c>
      <c r="E192" s="28">
        <v>-45.168893036136751</v>
      </c>
      <c r="F192" s="22">
        <v>-0.98621632722634434</v>
      </c>
    </row>
    <row r="193" spans="2:6">
      <c r="B193" s="21">
        <v>132</v>
      </c>
      <c r="C193" s="22">
        <v>1625.7</v>
      </c>
      <c r="D193" s="29">
        <v>1636.4396956851651</v>
      </c>
      <c r="E193" s="28">
        <v>-10.739695685165088</v>
      </c>
      <c r="F193" s="22">
        <v>-0.23449021045697127</v>
      </c>
    </row>
    <row r="194" spans="2:6">
      <c r="B194" s="21">
        <v>133</v>
      </c>
      <c r="C194" s="22">
        <v>1649.1</v>
      </c>
      <c r="D194" s="29">
        <v>1693.8237308055409</v>
      </c>
      <c r="E194" s="28">
        <v>-44.723730805540981</v>
      </c>
      <c r="F194" s="22">
        <v>-0.97649666773132837</v>
      </c>
    </row>
    <row r="195" spans="2:6">
      <c r="B195" s="21">
        <v>134</v>
      </c>
      <c r="C195" s="22">
        <v>1661.6</v>
      </c>
      <c r="D195" s="29">
        <v>1633.4612764643871</v>
      </c>
      <c r="E195" s="28">
        <v>28.138723535612826</v>
      </c>
      <c r="F195" s="22">
        <v>0.61438009020783124</v>
      </c>
    </row>
    <row r="196" spans="2:6">
      <c r="B196" s="21">
        <v>135</v>
      </c>
      <c r="C196" s="22">
        <v>1533.8</v>
      </c>
      <c r="D196" s="29">
        <v>1574.2816895423093</v>
      </c>
      <c r="E196" s="28">
        <v>-40.481689542309368</v>
      </c>
      <c r="F196" s="22">
        <v>-0.88387605931349811</v>
      </c>
    </row>
    <row r="197" spans="2:6">
      <c r="B197" s="21">
        <v>136</v>
      </c>
      <c r="C197" s="22">
        <v>1647.1</v>
      </c>
      <c r="D197" s="29">
        <v>1694.6335557404182</v>
      </c>
      <c r="E197" s="28">
        <v>-47.533555740418251</v>
      </c>
      <c r="F197" s="22">
        <v>-1.0378463055275589</v>
      </c>
    </row>
    <row r="198" spans="2:6">
      <c r="B198" s="21">
        <v>137</v>
      </c>
      <c r="C198" s="22">
        <v>1644.8</v>
      </c>
      <c r="D198" s="29">
        <v>1661.569157036372</v>
      </c>
      <c r="E198" s="28">
        <v>-16.769157036372007</v>
      </c>
      <c r="F198" s="22">
        <v>-0.36613729829202585</v>
      </c>
    </row>
    <row r="199" spans="2:6">
      <c r="B199" s="21">
        <v>138</v>
      </c>
      <c r="C199" s="22">
        <v>1742.5</v>
      </c>
      <c r="D199" s="29">
        <v>1692.9751972284525</v>
      </c>
      <c r="E199" s="28">
        <v>49.524802771547456</v>
      </c>
      <c r="F199" s="22">
        <v>1.0813231366305369</v>
      </c>
    </row>
    <row r="200" spans="2:6">
      <c r="B200" s="21">
        <v>139</v>
      </c>
      <c r="C200" s="22">
        <v>1719.7</v>
      </c>
      <c r="D200" s="29">
        <v>1706.9013978569128</v>
      </c>
      <c r="E200" s="28">
        <v>12.798602143087237</v>
      </c>
      <c r="F200" s="22">
        <v>0.27944431556222787</v>
      </c>
    </row>
    <row r="201" spans="2:6">
      <c r="B201" s="21">
        <v>140</v>
      </c>
      <c r="C201" s="22">
        <v>1798.7</v>
      </c>
      <c r="D201" s="29">
        <v>1771.8901517244392</v>
      </c>
      <c r="E201" s="28">
        <v>26.809848275560853</v>
      </c>
      <c r="F201" s="22">
        <v>0.58536546553545066</v>
      </c>
    </row>
    <row r="202" spans="2:6">
      <c r="B202" s="21">
        <v>141</v>
      </c>
      <c r="C202" s="22">
        <v>1739.3</v>
      </c>
      <c r="D202" s="29">
        <v>1764.7843536210391</v>
      </c>
      <c r="E202" s="28">
        <v>-25.48435362103919</v>
      </c>
      <c r="F202" s="22">
        <v>-0.55642465290817023</v>
      </c>
    </row>
    <row r="203" spans="2:6">
      <c r="B203" s="21">
        <v>142</v>
      </c>
      <c r="C203" s="22">
        <v>1786.2</v>
      </c>
      <c r="D203" s="29">
        <v>1729.359717421059</v>
      </c>
      <c r="E203" s="28">
        <v>56.840282578941014</v>
      </c>
      <c r="F203" s="22">
        <v>1.2410491149000107</v>
      </c>
    </row>
    <row r="204" spans="2:6">
      <c r="B204" s="21">
        <v>143</v>
      </c>
      <c r="C204" s="22">
        <v>1785.8</v>
      </c>
      <c r="D204" s="29">
        <v>1752.193346567298</v>
      </c>
      <c r="E204" s="28">
        <v>33.606653432701933</v>
      </c>
      <c r="F204" s="22">
        <v>0.73376671622773604</v>
      </c>
    </row>
    <row r="205" spans="2:6">
      <c r="B205" s="21">
        <v>144</v>
      </c>
      <c r="C205" s="22">
        <v>1712.4</v>
      </c>
      <c r="D205" s="29">
        <v>1723.5148138202787</v>
      </c>
      <c r="E205" s="28">
        <v>-11.114813820278641</v>
      </c>
      <c r="F205" s="22">
        <v>-0.24268052916129979</v>
      </c>
    </row>
    <row r="206" spans="2:6">
      <c r="B206" s="21">
        <v>145</v>
      </c>
      <c r="C206" s="22">
        <v>1841.1</v>
      </c>
      <c r="D206" s="29">
        <v>1767.8145311010114</v>
      </c>
      <c r="E206" s="28">
        <v>73.285468898988483</v>
      </c>
      <c r="F206" s="22">
        <v>1.6001128457763627</v>
      </c>
    </row>
    <row r="207" spans="2:6">
      <c r="B207" s="21">
        <v>146</v>
      </c>
      <c r="C207" s="22">
        <v>1775.8</v>
      </c>
      <c r="D207" s="29">
        <v>1753.7925551830176</v>
      </c>
      <c r="E207" s="28">
        <v>22.007444816982343</v>
      </c>
      <c r="F207" s="22">
        <v>0.48050992486525418</v>
      </c>
    </row>
    <row r="208" spans="2:6">
      <c r="B208" s="21">
        <v>147</v>
      </c>
      <c r="C208" s="22">
        <v>1647.4</v>
      </c>
      <c r="D208" s="29">
        <v>1680.9514584844405</v>
      </c>
      <c r="E208" s="28">
        <v>-33.551458484440445</v>
      </c>
      <c r="F208" s="22">
        <v>-0.73256159129557663</v>
      </c>
    </row>
    <row r="209" spans="2:6">
      <c r="B209" s="21">
        <v>148</v>
      </c>
      <c r="C209" s="22">
        <v>1663.6</v>
      </c>
      <c r="D209" s="29">
        <v>1784.9214286021631</v>
      </c>
      <c r="E209" s="28">
        <v>-121.32142860216322</v>
      </c>
      <c r="F209" s="22">
        <v>-2.6489286251526001</v>
      </c>
    </row>
    <row r="210" spans="2:6">
      <c r="B210" s="21">
        <v>149</v>
      </c>
      <c r="C210" s="22">
        <v>1770.3</v>
      </c>
      <c r="D210" s="29">
        <v>1719.4942927793927</v>
      </c>
      <c r="E210" s="28">
        <v>50.805707220607246</v>
      </c>
      <c r="F210" s="22">
        <v>1.1092903679786461</v>
      </c>
    </row>
    <row r="211" spans="2:6">
      <c r="B211" s="21">
        <v>150</v>
      </c>
      <c r="C211" s="22">
        <v>1707</v>
      </c>
      <c r="D211" s="29">
        <v>1779.7947114792455</v>
      </c>
      <c r="E211" s="28">
        <v>-72.794711479245507</v>
      </c>
      <c r="F211" s="22">
        <v>-1.589397662216943</v>
      </c>
    </row>
    <row r="212" spans="2:6">
      <c r="B212" s="21">
        <v>151</v>
      </c>
      <c r="C212" s="22">
        <v>1761.3</v>
      </c>
      <c r="D212" s="29">
        <v>1751.8139364512983</v>
      </c>
      <c r="E212" s="28">
        <v>9.4860635487016225</v>
      </c>
      <c r="F212" s="22">
        <v>0.20711844200723778</v>
      </c>
    </row>
    <row r="213" spans="2:6">
      <c r="B213" s="21">
        <v>152</v>
      </c>
      <c r="C213" s="22">
        <v>1826.5</v>
      </c>
      <c r="D213" s="29">
        <v>1805.9454833205305</v>
      </c>
      <c r="E213" s="28">
        <v>20.554516679469543</v>
      </c>
      <c r="F213" s="22">
        <v>0.44878673319094609</v>
      </c>
    </row>
    <row r="214" spans="2:6">
      <c r="B214" s="21">
        <v>153</v>
      </c>
      <c r="C214" s="22">
        <v>1719.3</v>
      </c>
      <c r="D214" s="29">
        <v>1788.5056672874982</v>
      </c>
      <c r="E214" s="28">
        <v>-69.205667287498272</v>
      </c>
      <c r="F214" s="22">
        <v>-1.5110345733051511</v>
      </c>
    </row>
    <row r="215" spans="2:6">
      <c r="B215" s="21">
        <v>154</v>
      </c>
      <c r="C215" s="22">
        <v>1760.9</v>
      </c>
      <c r="D215" s="29">
        <v>1760.6640364986661</v>
      </c>
      <c r="E215" s="28">
        <v>0.23596350133402666</v>
      </c>
      <c r="F215" s="22">
        <v>5.152020384004875E-3</v>
      </c>
    </row>
    <row r="216" spans="2:6">
      <c r="B216" s="21">
        <v>155</v>
      </c>
      <c r="C216" s="22">
        <v>1758.4</v>
      </c>
      <c r="D216" s="29">
        <v>1766.6382504545688</v>
      </c>
      <c r="E216" s="28">
        <v>-8.2382504545687425</v>
      </c>
      <c r="F216" s="22">
        <v>-0.17987372636242147</v>
      </c>
    </row>
    <row r="217" spans="2:6">
      <c r="B217" s="21">
        <v>156</v>
      </c>
      <c r="C217" s="22">
        <v>1802.7</v>
      </c>
      <c r="D217" s="29">
        <v>1717.0406999467327</v>
      </c>
      <c r="E217" s="28">
        <v>85.659300053267316</v>
      </c>
      <c r="F217" s="22">
        <v>1.8702827236374102</v>
      </c>
    </row>
    <row r="235" spans="2:10">
      <c r="F235" s="5" t="s">
        <v>208</v>
      </c>
    </row>
    <row r="238" spans="2:10">
      <c r="B238" s="5" t="s">
        <v>209</v>
      </c>
    </row>
    <row r="239" spans="2:10" ht="17" thickBot="1"/>
    <row r="240" spans="2:10">
      <c r="B240" s="7" t="s">
        <v>210</v>
      </c>
      <c r="C240" s="7" t="s">
        <v>211</v>
      </c>
      <c r="D240" s="7" t="s">
        <v>212</v>
      </c>
      <c r="E240" s="7" t="s">
        <v>192</v>
      </c>
      <c r="F240" s="7" t="s">
        <v>193</v>
      </c>
      <c r="G240" s="7" t="s">
        <v>213</v>
      </c>
      <c r="H240" s="7" t="s">
        <v>212</v>
      </c>
      <c r="I240" s="7" t="s">
        <v>192</v>
      </c>
      <c r="J240" s="7" t="s">
        <v>193</v>
      </c>
    </row>
    <row r="241" spans="2:10">
      <c r="B241" s="23">
        <v>0</v>
      </c>
      <c r="C241" s="16">
        <v>1</v>
      </c>
      <c r="D241" s="16">
        <v>0</v>
      </c>
      <c r="E241" s="16"/>
      <c r="F241" s="16"/>
      <c r="G241" s="16">
        <v>1</v>
      </c>
      <c r="H241" s="16">
        <v>0</v>
      </c>
      <c r="I241" s="16"/>
      <c r="J241" s="16"/>
    </row>
    <row r="242" spans="2:10">
      <c r="B242" s="24">
        <v>1</v>
      </c>
      <c r="C242" s="17">
        <v>0.91145469530876999</v>
      </c>
      <c r="D242" s="17">
        <v>8.0064076902543566E-2</v>
      </c>
      <c r="E242" s="17">
        <v>-0.15692270718443055</v>
      </c>
      <c r="F242" s="17">
        <v>0.15692270718443055</v>
      </c>
      <c r="G242" s="17">
        <v>0.91145469530876988</v>
      </c>
      <c r="H242" s="17">
        <v>8.0064076902543566E-2</v>
      </c>
      <c r="I242" s="17">
        <v>-0.15692270718443055</v>
      </c>
      <c r="J242" s="17">
        <v>0.15692270718443055</v>
      </c>
    </row>
    <row r="243" spans="2:10">
      <c r="B243" s="24">
        <v>2</v>
      </c>
      <c r="C243" s="17">
        <v>0.89355457419164375</v>
      </c>
      <c r="D243" s="17">
        <v>0.13061735373770617</v>
      </c>
      <c r="E243" s="17">
        <v>-0.25600530908183222</v>
      </c>
      <c r="F243" s="17">
        <v>0.25600530908183222</v>
      </c>
      <c r="G243" s="17">
        <v>0.37107702817680527</v>
      </c>
      <c r="H243" s="17">
        <v>8.0064076902543566E-2</v>
      </c>
      <c r="I243" s="17">
        <v>-0.15692270718443055</v>
      </c>
      <c r="J243" s="17">
        <v>0.15692270718443055</v>
      </c>
    </row>
    <row r="244" spans="2:10">
      <c r="B244" s="24">
        <v>3</v>
      </c>
      <c r="C244" s="17">
        <v>0.85683128078995485</v>
      </c>
      <c r="D244" s="17">
        <v>0.165218947144784</v>
      </c>
      <c r="E244" s="17">
        <v>-0.32382318596740334</v>
      </c>
      <c r="F244" s="17">
        <v>0.32382318596740334</v>
      </c>
      <c r="G244" s="17">
        <v>4.3816593477246632E-2</v>
      </c>
      <c r="H244" s="17">
        <v>8.0064076902543566E-2</v>
      </c>
      <c r="I244" s="17">
        <v>-0.15692270718443055</v>
      </c>
      <c r="J244" s="17">
        <v>0.15692270718443055</v>
      </c>
    </row>
    <row r="245" spans="2:10">
      <c r="B245" s="24">
        <v>4</v>
      </c>
      <c r="C245" s="17">
        <v>0.82586344871669348</v>
      </c>
      <c r="D245" s="17">
        <v>0.19159751090399704</v>
      </c>
      <c r="E245" s="17">
        <v>-0.37552422089935439</v>
      </c>
      <c r="F245" s="17">
        <v>0.37552422089935439</v>
      </c>
      <c r="G245" s="17">
        <v>-3.0301248199211903E-3</v>
      </c>
      <c r="H245" s="17">
        <v>8.0064076902543566E-2</v>
      </c>
      <c r="I245" s="17">
        <v>-0.15692270718443055</v>
      </c>
      <c r="J245" s="17">
        <v>0.15692270718443055</v>
      </c>
    </row>
    <row r="246" spans="2:10">
      <c r="B246" s="24">
        <v>5</v>
      </c>
      <c r="C246" s="17">
        <v>0.79869439654744401</v>
      </c>
      <c r="D246" s="17">
        <v>0.21319906787468809</v>
      </c>
      <c r="E246" s="17">
        <v>-0.417862494571899</v>
      </c>
      <c r="F246" s="17">
        <v>0.417862494571899</v>
      </c>
      <c r="G246" s="17">
        <v>2.3155398347317571E-2</v>
      </c>
      <c r="H246" s="17">
        <v>8.0064076902543566E-2</v>
      </c>
      <c r="I246" s="17">
        <v>-0.15692270718443055</v>
      </c>
      <c r="J246" s="17">
        <v>0.15692270718443055</v>
      </c>
    </row>
    <row r="247" spans="2:10">
      <c r="B247" s="24">
        <v>6</v>
      </c>
      <c r="C247" s="17">
        <v>0.7635420518283047</v>
      </c>
      <c r="D247" s="17">
        <v>0.23158629275570661</v>
      </c>
      <c r="E247" s="17">
        <v>-0.45390079311433407</v>
      </c>
      <c r="F247" s="17">
        <v>0.45390079311433407</v>
      </c>
      <c r="G247" s="17">
        <v>-4.2310158059387579E-2</v>
      </c>
      <c r="H247" s="17">
        <v>8.0064076902543566E-2</v>
      </c>
      <c r="I247" s="17">
        <v>-0.15692270718443055</v>
      </c>
      <c r="J247" s="17">
        <v>0.15692270718443055</v>
      </c>
    </row>
    <row r="248" spans="2:10">
      <c r="B248" s="24">
        <v>7</v>
      </c>
      <c r="C248" s="17">
        <v>0.76390980339659953</v>
      </c>
      <c r="D248" s="17">
        <v>0.24719733947805025</v>
      </c>
      <c r="E248" s="17">
        <v>-0.48449788245109965</v>
      </c>
      <c r="F248" s="17">
        <v>0.48449788245109965</v>
      </c>
      <c r="G248" s="17">
        <v>0.19006634495200642</v>
      </c>
      <c r="H248" s="17">
        <v>8.0064076902543566E-2</v>
      </c>
      <c r="I248" s="17">
        <v>-0.15692270718443055</v>
      </c>
      <c r="J248" s="17">
        <v>0.15692270718443055</v>
      </c>
    </row>
    <row r="249" spans="2:10">
      <c r="B249" s="24">
        <v>8</v>
      </c>
      <c r="C249" s="17">
        <v>0.74107177035623772</v>
      </c>
      <c r="D249" s="17">
        <v>0.26189318408900136</v>
      </c>
      <c r="E249" s="17">
        <v>-0.51330120861096085</v>
      </c>
      <c r="F249" s="17">
        <v>0.51330120861096085</v>
      </c>
      <c r="G249" s="17">
        <v>2.1816956273167154E-2</v>
      </c>
      <c r="H249" s="17">
        <v>8.0064076902543566E-2</v>
      </c>
      <c r="I249" s="17">
        <v>-0.15692270718443055</v>
      </c>
      <c r="J249" s="17">
        <v>0.15692270718443055</v>
      </c>
    </row>
    <row r="250" spans="2:10">
      <c r="B250" s="24">
        <v>9</v>
      </c>
      <c r="C250" s="17">
        <v>0.7467890291695759</v>
      </c>
      <c r="D250" s="17">
        <v>0.27500709731765527</v>
      </c>
      <c r="E250" s="17">
        <v>-0.53900400623550593</v>
      </c>
      <c r="F250" s="17">
        <v>0.53900400623550593</v>
      </c>
      <c r="G250" s="17">
        <v>0.13124168726093466</v>
      </c>
      <c r="H250" s="17">
        <v>8.0064076902543566E-2</v>
      </c>
      <c r="I250" s="17">
        <v>-0.15692270718443055</v>
      </c>
      <c r="J250" s="17">
        <v>0.15692270718443055</v>
      </c>
    </row>
    <row r="251" spans="2:10">
      <c r="B251" s="24">
        <v>10</v>
      </c>
      <c r="C251" s="17">
        <v>0.73342343493869477</v>
      </c>
      <c r="D251" s="17">
        <v>0.28771309456008293</v>
      </c>
      <c r="E251" s="17">
        <v>-0.56390730321832938</v>
      </c>
      <c r="F251" s="17">
        <v>0.56390730321832938</v>
      </c>
      <c r="G251" s="17">
        <v>3.7821284612870225E-3</v>
      </c>
      <c r="H251" s="17">
        <v>8.0064076902543566E-2</v>
      </c>
      <c r="I251" s="17">
        <v>-0.15692270718443055</v>
      </c>
      <c r="J251" s="17">
        <v>0.15692270718443055</v>
      </c>
    </row>
    <row r="252" spans="2:10">
      <c r="B252" s="24">
        <v>11</v>
      </c>
      <c r="C252" s="17">
        <v>0.72148414477451928</v>
      </c>
      <c r="D252" s="17">
        <v>0.29945802042728348</v>
      </c>
      <c r="E252" s="17">
        <v>-0.58692693491913528</v>
      </c>
      <c r="F252" s="17">
        <v>0.58692693491913528</v>
      </c>
      <c r="G252" s="17">
        <v>-3.7294670021715187E-2</v>
      </c>
      <c r="H252" s="17">
        <v>8.0064076902543566E-2</v>
      </c>
      <c r="I252" s="17">
        <v>-0.15692270718443055</v>
      </c>
      <c r="J252" s="17">
        <v>0.15692270718443055</v>
      </c>
    </row>
    <row r="253" spans="2:10">
      <c r="B253" s="24">
        <v>12</v>
      </c>
      <c r="C253" s="17">
        <v>0.73265145116301644</v>
      </c>
      <c r="D253" s="17">
        <v>0.31040084999848</v>
      </c>
      <c r="E253" s="17">
        <v>-0.60837448676764039</v>
      </c>
      <c r="F253" s="17">
        <v>0.60837448676764039</v>
      </c>
      <c r="G253" s="17">
        <v>0.14895182718312674</v>
      </c>
      <c r="H253" s="17">
        <v>8.0064076902543566E-2</v>
      </c>
      <c r="I253" s="17">
        <v>-0.15692270718443055</v>
      </c>
      <c r="J253" s="17">
        <v>0.15692270718443055</v>
      </c>
    </row>
    <row r="254" spans="2:10">
      <c r="B254" s="24">
        <v>13</v>
      </c>
      <c r="C254" s="17">
        <v>0.6863272936994298</v>
      </c>
      <c r="D254" s="17">
        <v>0.32129497166841964</v>
      </c>
      <c r="E254" s="17">
        <v>-0.62972657288391942</v>
      </c>
      <c r="F254" s="17">
        <v>0.62972657288391942</v>
      </c>
      <c r="G254" s="17">
        <v>-0.23563945951467385</v>
      </c>
      <c r="H254" s="17">
        <v>8.0064076902543566E-2</v>
      </c>
      <c r="I254" s="17">
        <v>-0.15692270718443055</v>
      </c>
      <c r="J254" s="17">
        <v>0.15692270718443055</v>
      </c>
    </row>
    <row r="255" spans="2:10">
      <c r="B255" s="24">
        <v>14</v>
      </c>
      <c r="C255" s="17">
        <v>0.66584175195780171</v>
      </c>
      <c r="D255" s="17">
        <v>0.33055937326945128</v>
      </c>
      <c r="E255" s="17">
        <v>-0.64788446636025665</v>
      </c>
      <c r="F255" s="17">
        <v>0.64788446636025665</v>
      </c>
      <c r="G255" s="17">
        <v>-0.10752196013920048</v>
      </c>
      <c r="H255" s="17">
        <v>8.0064076902543566E-2</v>
      </c>
      <c r="I255" s="17">
        <v>-0.15692270718443055</v>
      </c>
      <c r="J255" s="17">
        <v>0.15692270718443055</v>
      </c>
    </row>
    <row r="256" spans="2:10">
      <c r="B256" s="24">
        <v>15</v>
      </c>
      <c r="C256" s="17">
        <v>0.62687950773451473</v>
      </c>
      <c r="D256" s="17">
        <v>0.33904780278350288</v>
      </c>
      <c r="E256" s="17">
        <v>-0.66452148249310461</v>
      </c>
      <c r="F256" s="17">
        <v>0.66452148249310461</v>
      </c>
      <c r="G256" s="17">
        <v>-6.1380591469977604E-2</v>
      </c>
      <c r="H256" s="17">
        <v>8.0064076902543566E-2</v>
      </c>
      <c r="I256" s="17">
        <v>-0.15692270718443055</v>
      </c>
      <c r="J256" s="17">
        <v>0.15692270718443055</v>
      </c>
    </row>
    <row r="257" spans="2:10">
      <c r="B257" s="24">
        <v>16</v>
      </c>
      <c r="C257" s="17">
        <v>0.60253898150023177</v>
      </c>
      <c r="D257" s="17">
        <v>0.34639802395248448</v>
      </c>
      <c r="E257" s="17">
        <v>-0.67892765126271237</v>
      </c>
      <c r="F257" s="17">
        <v>0.67892765126271237</v>
      </c>
      <c r="G257" s="17">
        <v>-1.8752531131604907E-2</v>
      </c>
      <c r="H257" s="17">
        <v>8.0064076902543566E-2</v>
      </c>
      <c r="I257" s="17">
        <v>-0.15692270718443055</v>
      </c>
      <c r="J257" s="17">
        <v>0.15692270718443055</v>
      </c>
    </row>
    <row r="258" spans="2:10">
      <c r="B258" s="24">
        <v>17</v>
      </c>
      <c r="C258" s="17">
        <v>0.57877841722306989</v>
      </c>
      <c r="D258" s="17">
        <v>0.3530525733002397</v>
      </c>
      <c r="E258" s="17">
        <v>-0.69197032831765715</v>
      </c>
      <c r="F258" s="17">
        <v>0.69197032831765715</v>
      </c>
      <c r="G258" s="17">
        <v>4.9220997838964373E-2</v>
      </c>
      <c r="H258" s="17">
        <v>8.0064076902543566E-2</v>
      </c>
      <c r="I258" s="17">
        <v>-0.15692270718443055</v>
      </c>
      <c r="J258" s="17">
        <v>0.15692270718443055</v>
      </c>
    </row>
    <row r="259" spans="2:10">
      <c r="B259" s="24">
        <v>18</v>
      </c>
      <c r="C259" s="17">
        <v>0.55116924412743218</v>
      </c>
      <c r="D259" s="17">
        <v>0.35908326615126485</v>
      </c>
      <c r="E259" s="17">
        <v>-0.70379026910748965</v>
      </c>
      <c r="F259" s="17">
        <v>0.70379026910748965</v>
      </c>
      <c r="G259" s="17">
        <v>-1.6226758738535668E-3</v>
      </c>
      <c r="H259" s="17">
        <v>8.0064076902543566E-2</v>
      </c>
      <c r="I259" s="17">
        <v>-0.15692270718443055</v>
      </c>
      <c r="J259" s="17">
        <v>0.15692270718443055</v>
      </c>
    </row>
    <row r="260" spans="2:10">
      <c r="B260" s="24">
        <v>19</v>
      </c>
      <c r="C260" s="17">
        <v>0.53910274155551074</v>
      </c>
      <c r="D260" s="17">
        <v>0.3644660533241128</v>
      </c>
      <c r="E260" s="17">
        <v>-0.7143403381027158</v>
      </c>
      <c r="F260" s="17">
        <v>0.7143403381027158</v>
      </c>
      <c r="G260" s="17">
        <v>-2.7795705637171039E-2</v>
      </c>
      <c r="H260" s="17">
        <v>8.0064076902543566E-2</v>
      </c>
      <c r="I260" s="17">
        <v>-0.15692270718443055</v>
      </c>
      <c r="J260" s="17">
        <v>0.15692270718443055</v>
      </c>
    </row>
    <row r="261" spans="2:10">
      <c r="B261" s="24">
        <v>20</v>
      </c>
      <c r="C261" s="17">
        <v>0.53459451061906216</v>
      </c>
      <c r="D261" s="17">
        <v>0.36954235522751583</v>
      </c>
      <c r="E261" s="17">
        <v>-0.72428970700803785</v>
      </c>
      <c r="F261" s="17">
        <v>0.72428970700803785</v>
      </c>
      <c r="G261" s="17">
        <v>0.14669004252268605</v>
      </c>
      <c r="H261" s="17">
        <v>8.0064076902543566E-2</v>
      </c>
      <c r="I261" s="17">
        <v>-0.15692270718443055</v>
      </c>
      <c r="J261" s="17">
        <v>0.15692270718443055</v>
      </c>
    </row>
    <row r="262" spans="2:10">
      <c r="B262" s="24">
        <v>21</v>
      </c>
      <c r="C262" s="17">
        <v>0.53702886348931744</v>
      </c>
      <c r="D262" s="17">
        <v>0.37446701218476791</v>
      </c>
      <c r="E262" s="17">
        <v>-0.73394185728046657</v>
      </c>
      <c r="F262" s="17">
        <v>0.73394185728046657</v>
      </c>
      <c r="G262" s="17">
        <v>2.6594350762927065E-2</v>
      </c>
      <c r="H262" s="17">
        <v>8.0064076902543566E-2</v>
      </c>
      <c r="I262" s="17">
        <v>-0.15692270718443055</v>
      </c>
      <c r="J262" s="17">
        <v>0.15692270718443055</v>
      </c>
    </row>
    <row r="263" spans="2:10" ht="17" thickBot="1">
      <c r="B263" s="25">
        <v>22</v>
      </c>
      <c r="C263" s="18">
        <v>0.537735875720881</v>
      </c>
      <c r="D263" s="18">
        <v>0.37937182171960482</v>
      </c>
      <c r="E263" s="18">
        <v>-0.74355510731977548</v>
      </c>
      <c r="F263" s="18">
        <v>0.74355510731977548</v>
      </c>
      <c r="G263" s="18">
        <v>8.6882938352427039E-2</v>
      </c>
      <c r="H263" s="18">
        <v>8.0064076902543566E-2</v>
      </c>
      <c r="I263" s="18">
        <v>-0.15692270718443055</v>
      </c>
      <c r="J263" s="18">
        <v>0.15692270718443055</v>
      </c>
    </row>
    <row r="281" spans="2:10">
      <c r="F281" s="5" t="s">
        <v>208</v>
      </c>
    </row>
    <row r="284" spans="2:10">
      <c r="B284" s="5" t="s">
        <v>214</v>
      </c>
    </row>
    <row r="285" spans="2:10" ht="17" thickBot="1"/>
    <row r="286" spans="2:10">
      <c r="B286" s="7" t="s">
        <v>210</v>
      </c>
      <c r="C286" s="7" t="s">
        <v>211</v>
      </c>
      <c r="D286" s="7" t="s">
        <v>212</v>
      </c>
      <c r="E286" s="7" t="s">
        <v>192</v>
      </c>
      <c r="F286" s="7" t="s">
        <v>193</v>
      </c>
      <c r="G286" s="7" t="s">
        <v>213</v>
      </c>
      <c r="H286" s="7" t="s">
        <v>212</v>
      </c>
      <c r="I286" s="7" t="s">
        <v>192</v>
      </c>
      <c r="J286" s="7" t="s">
        <v>193</v>
      </c>
    </row>
    <row r="287" spans="2:10">
      <c r="B287" s="23">
        <v>0</v>
      </c>
      <c r="C287" s="16">
        <v>1</v>
      </c>
      <c r="D287" s="16">
        <v>0</v>
      </c>
      <c r="E287" s="16"/>
      <c r="F287" s="16"/>
      <c r="G287" s="16">
        <v>1</v>
      </c>
      <c r="H287" s="16">
        <v>0</v>
      </c>
      <c r="I287" s="16"/>
      <c r="J287" s="16"/>
    </row>
    <row r="288" spans="2:10">
      <c r="B288" s="24">
        <v>1</v>
      </c>
      <c r="C288" s="17">
        <v>-7.2529582574863485E-3</v>
      </c>
      <c r="D288" s="17">
        <v>8.0064076902543566E-2</v>
      </c>
      <c r="E288" s="17">
        <v>-0.15692270718443055</v>
      </c>
      <c r="F288" s="17">
        <v>0.15692270718443055</v>
      </c>
      <c r="G288" s="17">
        <v>-7.2529582574863477E-3</v>
      </c>
      <c r="H288" s="17">
        <v>8.0064076902543566E-2</v>
      </c>
      <c r="I288" s="17">
        <v>-0.15692270718443055</v>
      </c>
      <c r="J288" s="17">
        <v>0.15692270718443055</v>
      </c>
    </row>
    <row r="289" spans="2:10">
      <c r="B289" s="24">
        <v>2</v>
      </c>
      <c r="C289" s="17">
        <v>-1.5473606543232283E-2</v>
      </c>
      <c r="D289" s="17">
        <v>8.0068288594837694E-2</v>
      </c>
      <c r="E289" s="17">
        <v>-0.15693096194964101</v>
      </c>
      <c r="F289" s="17">
        <v>0.15693096194964101</v>
      </c>
      <c r="G289" s="17">
        <v>-1.552702875232956E-2</v>
      </c>
      <c r="H289" s="17">
        <v>8.0064076902543566E-2</v>
      </c>
      <c r="I289" s="17">
        <v>-0.15692270718443055</v>
      </c>
      <c r="J289" s="17">
        <v>0.15692270718443055</v>
      </c>
    </row>
    <row r="290" spans="2:10">
      <c r="B290" s="24">
        <v>3</v>
      </c>
      <c r="C290" s="17">
        <v>5.1881869557609791E-3</v>
      </c>
      <c r="D290" s="17">
        <v>8.0087455234481783E-2</v>
      </c>
      <c r="E290" s="17">
        <v>-0.15696852787304807</v>
      </c>
      <c r="F290" s="17">
        <v>0.15696852787304807</v>
      </c>
      <c r="G290" s="17">
        <v>4.963055609374746E-3</v>
      </c>
      <c r="H290" s="17">
        <v>8.0064076902543566E-2</v>
      </c>
      <c r="I290" s="17">
        <v>-0.15692270718443055</v>
      </c>
      <c r="J290" s="17">
        <v>0.15692270718443055</v>
      </c>
    </row>
    <row r="291" spans="2:10">
      <c r="B291" s="24">
        <v>4</v>
      </c>
      <c r="C291" s="17">
        <v>5.5943832557419665E-2</v>
      </c>
      <c r="D291" s="17">
        <v>8.0089609683892837E-2</v>
      </c>
      <c r="E291" s="17">
        <v>-0.15697275051630027</v>
      </c>
      <c r="F291" s="17">
        <v>0.15697275051630027</v>
      </c>
      <c r="G291" s="17">
        <v>5.5795710190713652E-2</v>
      </c>
      <c r="H291" s="17">
        <v>8.0064076902543566E-2</v>
      </c>
      <c r="I291" s="17">
        <v>-0.15692270718443055</v>
      </c>
      <c r="J291" s="17">
        <v>0.15692270718443055</v>
      </c>
    </row>
    <row r="292" spans="2:10">
      <c r="B292" s="24">
        <v>5</v>
      </c>
      <c r="C292" s="17">
        <v>5.008756042901142E-2</v>
      </c>
      <c r="D292" s="17">
        <v>8.0339716811067774E-2</v>
      </c>
      <c r="E292" s="17">
        <v>-0.15746295147783992</v>
      </c>
      <c r="F292" s="17">
        <v>0.15746295147783992</v>
      </c>
      <c r="G292" s="17">
        <v>5.1250268715625928E-2</v>
      </c>
      <c r="H292" s="17">
        <v>8.0064076902543566E-2</v>
      </c>
      <c r="I292" s="17">
        <v>-0.15692270718443055</v>
      </c>
      <c r="J292" s="17">
        <v>0.15692270718443055</v>
      </c>
    </row>
    <row r="293" spans="2:10">
      <c r="B293" s="24">
        <v>6</v>
      </c>
      <c r="C293" s="17">
        <v>-4.3907910865365815E-2</v>
      </c>
      <c r="D293" s="17">
        <v>8.0539640765195833E-2</v>
      </c>
      <c r="E293" s="17">
        <v>-0.15785479522757775</v>
      </c>
      <c r="F293" s="17">
        <v>0.15785479522757775</v>
      </c>
      <c r="G293" s="17">
        <v>-4.1594346044496418E-2</v>
      </c>
      <c r="H293" s="17">
        <v>8.0064076902543566E-2</v>
      </c>
      <c r="I293" s="17">
        <v>-0.15692270718443055</v>
      </c>
      <c r="J293" s="17">
        <v>0.15692270718443055</v>
      </c>
    </row>
    <row r="294" spans="2:10">
      <c r="B294" s="24">
        <v>7</v>
      </c>
      <c r="C294" s="17">
        <v>2.1256621889122581E-2</v>
      </c>
      <c r="D294" s="17">
        <v>8.0692939348474296E-2</v>
      </c>
      <c r="E294" s="17">
        <v>-0.15815525492968455</v>
      </c>
      <c r="F294" s="17">
        <v>0.15815525492968455</v>
      </c>
      <c r="G294" s="17">
        <v>2.1528817243592249E-2</v>
      </c>
      <c r="H294" s="17">
        <v>8.0064076902543566E-2</v>
      </c>
      <c r="I294" s="17">
        <v>-0.15692270718443055</v>
      </c>
      <c r="J294" s="17">
        <v>0.15692270718443055</v>
      </c>
    </row>
    <row r="295" spans="2:10">
      <c r="B295" s="24">
        <v>8</v>
      </c>
      <c r="C295" s="17">
        <v>-3.056180489531269E-2</v>
      </c>
      <c r="D295" s="17">
        <v>8.0728825905991272E-2</v>
      </c>
      <c r="E295" s="17">
        <v>-0.15822559128994695</v>
      </c>
      <c r="F295" s="17">
        <v>0.15822559128994695</v>
      </c>
      <c r="G295" s="17">
        <v>-3.5405423358853785E-2</v>
      </c>
      <c r="H295" s="17">
        <v>8.0064076902543566E-2</v>
      </c>
      <c r="I295" s="17">
        <v>-0.15692270718443055</v>
      </c>
      <c r="J295" s="17">
        <v>0.15692270718443055</v>
      </c>
    </row>
    <row r="296" spans="2:10">
      <c r="B296" s="24">
        <v>9</v>
      </c>
      <c r="C296" s="17">
        <v>5.7717193657933472E-2</v>
      </c>
      <c r="D296" s="17">
        <v>8.0802957852922186E-2</v>
      </c>
      <c r="E296" s="17">
        <v>-0.15837088723603537</v>
      </c>
      <c r="F296" s="17">
        <v>0.15837088723603537</v>
      </c>
      <c r="G296" s="17">
        <v>5.3193376077750286E-2</v>
      </c>
      <c r="H296" s="17">
        <v>8.0064076902543566E-2</v>
      </c>
      <c r="I296" s="17">
        <v>-0.15692270718443055</v>
      </c>
      <c r="J296" s="17">
        <v>0.15692270718443055</v>
      </c>
    </row>
    <row r="297" spans="2:10">
      <c r="B297" s="24">
        <v>10</v>
      </c>
      <c r="C297" s="17">
        <v>-0.12442142091775367</v>
      </c>
      <c r="D297" s="17">
        <v>8.106680359121006E-2</v>
      </c>
      <c r="E297" s="17">
        <v>-0.158888015380554</v>
      </c>
      <c r="F297" s="17">
        <v>0.158888015380554</v>
      </c>
      <c r="G297" s="17">
        <v>-0.12428659364450496</v>
      </c>
      <c r="H297" s="17">
        <v>8.0064076902543566E-2</v>
      </c>
      <c r="I297" s="17">
        <v>-0.15692270718443055</v>
      </c>
      <c r="J297" s="17">
        <v>0.15692270718443055</v>
      </c>
    </row>
    <row r="298" spans="2:10">
      <c r="B298" s="24">
        <v>11</v>
      </c>
      <c r="C298" s="17">
        <v>-6.1529350338639155E-2</v>
      </c>
      <c r="D298" s="17">
        <v>8.2281814691314001E-2</v>
      </c>
      <c r="E298" s="17">
        <v>-0.16126939337757412</v>
      </c>
      <c r="F298" s="17">
        <v>0.16126939337757412</v>
      </c>
      <c r="G298" s="17">
        <v>-5.9467053446394059E-2</v>
      </c>
      <c r="H298" s="17">
        <v>8.0064076902543566E-2</v>
      </c>
      <c r="I298" s="17">
        <v>-0.15692270718443055</v>
      </c>
      <c r="J298" s="17">
        <v>0.15692270718443055</v>
      </c>
    </row>
    <row r="299" spans="2:10">
      <c r="B299" s="24">
        <v>12</v>
      </c>
      <c r="C299" s="17">
        <v>-1.0898943598543268E-2</v>
      </c>
      <c r="D299" s="17">
        <v>8.2576229677683702E-2</v>
      </c>
      <c r="E299" s="17">
        <v>-0.16184643614736757</v>
      </c>
      <c r="F299" s="17">
        <v>0.16184643614736757</v>
      </c>
      <c r="G299" s="17">
        <v>-1.7382692385767676E-2</v>
      </c>
      <c r="H299" s="17">
        <v>8.0064076902543566E-2</v>
      </c>
      <c r="I299" s="17">
        <v>-0.15692270718443055</v>
      </c>
      <c r="J299" s="17">
        <v>0.15692270718443055</v>
      </c>
    </row>
    <row r="300" spans="2:10">
      <c r="B300" s="24">
        <v>13</v>
      </c>
      <c r="C300" s="17">
        <v>-1.3777828931516276E-2</v>
      </c>
      <c r="D300" s="17">
        <v>8.2585450399410051E-2</v>
      </c>
      <c r="E300" s="17">
        <v>-0.16186450842986269</v>
      </c>
      <c r="F300" s="17">
        <v>0.16186450842986269</v>
      </c>
      <c r="G300" s="17">
        <v>-1.5117506675886879E-2</v>
      </c>
      <c r="H300" s="17">
        <v>8.0064076902543566E-2</v>
      </c>
      <c r="I300" s="17">
        <v>-0.15692270718443055</v>
      </c>
      <c r="J300" s="17">
        <v>0.15692270718443055</v>
      </c>
    </row>
    <row r="301" spans="2:10">
      <c r="B301" s="24">
        <v>14</v>
      </c>
      <c r="C301" s="17">
        <v>-1.1558741407083231E-2</v>
      </c>
      <c r="D301" s="17">
        <v>8.2600183518498613E-2</v>
      </c>
      <c r="E301" s="17">
        <v>-0.16189338481265619</v>
      </c>
      <c r="F301" s="17">
        <v>0.16189338481265619</v>
      </c>
      <c r="G301" s="17">
        <v>-7.0363423203301089E-3</v>
      </c>
      <c r="H301" s="17">
        <v>8.0064076902543566E-2</v>
      </c>
      <c r="I301" s="17">
        <v>-0.15692270718443055</v>
      </c>
      <c r="J301" s="17">
        <v>0.15692270718443055</v>
      </c>
    </row>
    <row r="302" spans="2:10">
      <c r="B302" s="24">
        <v>15</v>
      </c>
      <c r="C302" s="17">
        <v>-8.8462714844034632E-2</v>
      </c>
      <c r="D302" s="17">
        <v>8.2610551357149051E-2</v>
      </c>
      <c r="E302" s="17">
        <v>-0.16191370540300859</v>
      </c>
      <c r="F302" s="17">
        <v>0.16191370540300859</v>
      </c>
      <c r="G302" s="17">
        <v>-6.6106077795799037E-2</v>
      </c>
      <c r="H302" s="17">
        <v>8.0064076902543566E-2</v>
      </c>
      <c r="I302" s="17">
        <v>-0.15692270718443055</v>
      </c>
      <c r="J302" s="17">
        <v>0.15692270718443055</v>
      </c>
    </row>
    <row r="303" spans="2:10">
      <c r="B303" s="24">
        <v>16</v>
      </c>
      <c r="C303" s="17">
        <v>6.1273690270777476E-2</v>
      </c>
      <c r="D303" s="17">
        <v>8.3215575863358218E-2</v>
      </c>
      <c r="E303" s="17">
        <v>-0.16309953164494267</v>
      </c>
      <c r="F303" s="17">
        <v>0.16309953164494267</v>
      </c>
      <c r="G303" s="17">
        <v>5.6570043658699713E-2</v>
      </c>
      <c r="H303" s="17">
        <v>8.0064076902543566E-2</v>
      </c>
      <c r="I303" s="17">
        <v>-0.15692270718443055</v>
      </c>
      <c r="J303" s="17">
        <v>0.15692270718443055</v>
      </c>
    </row>
    <row r="304" spans="2:10">
      <c r="B304" s="24">
        <v>17</v>
      </c>
      <c r="C304" s="17">
        <v>6.3755695520684427E-2</v>
      </c>
      <c r="D304" s="17">
        <v>8.3504288719009834E-2</v>
      </c>
      <c r="E304" s="17">
        <v>-0.16366539844389355</v>
      </c>
      <c r="F304" s="17">
        <v>0.16366539844389355</v>
      </c>
      <c r="G304" s="17">
        <v>7.2072288005282856E-2</v>
      </c>
      <c r="H304" s="17">
        <v>8.0064076902543566E-2</v>
      </c>
      <c r="I304" s="17">
        <v>-0.15692270718443055</v>
      </c>
      <c r="J304" s="17">
        <v>0.15692270718443055</v>
      </c>
    </row>
    <row r="305" spans="2:10">
      <c r="B305" s="24">
        <v>18</v>
      </c>
      <c r="C305" s="17">
        <v>-4.8615696511474966E-2</v>
      </c>
      <c r="D305" s="17">
        <v>8.3815743808988458E-2</v>
      </c>
      <c r="E305" s="17">
        <v>-0.16427583920305336</v>
      </c>
      <c r="F305" s="17">
        <v>0.16427583920305336</v>
      </c>
      <c r="G305" s="17">
        <v>-5.3441729242311768E-2</v>
      </c>
      <c r="H305" s="17">
        <v>8.0064076902543566E-2</v>
      </c>
      <c r="I305" s="17">
        <v>-0.15692270718443055</v>
      </c>
      <c r="J305" s="17">
        <v>0.15692270718443055</v>
      </c>
    </row>
    <row r="306" spans="2:10">
      <c r="B306" s="24">
        <v>19</v>
      </c>
      <c r="C306" s="17">
        <v>-0.16120096817808949</v>
      </c>
      <c r="D306" s="17">
        <v>8.3996309515016174E-2</v>
      </c>
      <c r="E306" s="17">
        <v>-0.16462974148371071</v>
      </c>
      <c r="F306" s="17">
        <v>0.16462974148371071</v>
      </c>
      <c r="G306" s="17">
        <v>-0.1494965758424113</v>
      </c>
      <c r="H306" s="17">
        <v>8.0064076902543566E-2</v>
      </c>
      <c r="I306" s="17">
        <v>-0.15692270718443055</v>
      </c>
      <c r="J306" s="17">
        <v>0.15692270718443055</v>
      </c>
    </row>
    <row r="307" spans="2:10">
      <c r="B307" s="24">
        <v>20</v>
      </c>
      <c r="C307" s="17">
        <v>-3.1928370784206593E-2</v>
      </c>
      <c r="D307" s="17">
        <v>8.5956562754823135E-2</v>
      </c>
      <c r="E307" s="17">
        <v>-0.16847176723431032</v>
      </c>
      <c r="F307" s="17">
        <v>0.16847176723431032</v>
      </c>
      <c r="G307" s="17">
        <v>-4.7840175327829103E-2</v>
      </c>
      <c r="H307" s="17">
        <v>8.0064076902543566E-2</v>
      </c>
      <c r="I307" s="17">
        <v>-0.15692270718443055</v>
      </c>
      <c r="J307" s="17">
        <v>0.15692270718443055</v>
      </c>
    </row>
    <row r="308" spans="2:10">
      <c r="B308" s="24">
        <v>21</v>
      </c>
      <c r="C308" s="17">
        <v>4.7852148974947925E-2</v>
      </c>
      <c r="D308" s="17">
        <v>8.6032553018267149E-2</v>
      </c>
      <c r="E308" s="17">
        <v>-0.16862070541383631</v>
      </c>
      <c r="F308" s="17">
        <v>0.16862070541383631</v>
      </c>
      <c r="G308" s="17">
        <v>1.5073764937087852E-2</v>
      </c>
      <c r="H308" s="17">
        <v>8.0064076902543566E-2</v>
      </c>
      <c r="I308" s="17">
        <v>-0.15692270718443055</v>
      </c>
      <c r="J308" s="17">
        <v>0.15692270718443055</v>
      </c>
    </row>
    <row r="309" spans="2:10" ht="17" thickBot="1">
      <c r="B309" s="25">
        <v>22</v>
      </c>
      <c r="C309" s="18">
        <v>-3.6256130719258439E-3</v>
      </c>
      <c r="D309" s="18">
        <v>8.6202998498558586E-2</v>
      </c>
      <c r="E309" s="18">
        <v>-0.16895477241653514</v>
      </c>
      <c r="F309" s="18">
        <v>0.16895477241653514</v>
      </c>
      <c r="G309" s="18">
        <v>-9.5735498414956804E-4</v>
      </c>
      <c r="H309" s="18">
        <v>8.0064076902543566E-2</v>
      </c>
      <c r="I309" s="18">
        <v>-0.15692270718443055</v>
      </c>
      <c r="J309" s="18">
        <v>0.15692270718443055</v>
      </c>
    </row>
    <row r="327" spans="6:6">
      <c r="F327" s="5" t="s">
        <v>208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D283996">
              <controlPr defaultSize="0" autoFill="0" autoPict="0" macro="[0]!GoToResultsNew1310185541883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1409700</xdr:colOff>
                    <xdr:row>13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CF067-A009-4168-82F7-5ACC50CEDE89}">
  <sheetPr codeName="Sheet4"/>
  <dimension ref="A1:M159"/>
  <sheetViews>
    <sheetView showGridLines="0" workbookViewId="0">
      <selection activeCell="C1" sqref="C1"/>
    </sheetView>
  </sheetViews>
  <sheetFormatPr baseColWidth="10" defaultColWidth="8.83203125" defaultRowHeight="15"/>
  <cols>
    <col min="1" max="1" width="18" bestFit="1" customWidth="1"/>
    <col min="2" max="2" width="16.5" bestFit="1" customWidth="1"/>
    <col min="3" max="3" width="14.5" customWidth="1"/>
    <col min="4" max="4" width="15.83203125" customWidth="1"/>
    <col min="5" max="5" width="12.33203125" customWidth="1"/>
    <col min="6" max="6" width="26.5" customWidth="1"/>
    <col min="9" max="9" width="12" customWidth="1"/>
    <col min="10" max="10" width="17.6640625" customWidth="1"/>
  </cols>
  <sheetData>
    <row r="1" spans="1:13" s="124" customFormat="1" ht="34.5" customHeight="1">
      <c r="D1" s="125" t="s">
        <v>278</v>
      </c>
      <c r="F1" s="125" t="s">
        <v>279</v>
      </c>
    </row>
    <row r="2" spans="1:13" ht="21" customHeight="1"/>
    <row r="3" spans="1:13">
      <c r="A3" s="31" t="s">
        <v>215</v>
      </c>
      <c r="B3" s="32" t="s">
        <v>216</v>
      </c>
      <c r="C3" s="32" t="s">
        <v>217</v>
      </c>
      <c r="D3" s="33" t="s">
        <v>3</v>
      </c>
      <c r="E3" s="34" t="s">
        <v>218</v>
      </c>
      <c r="F3" s="69" t="s">
        <v>219</v>
      </c>
      <c r="G3" s="71" t="s">
        <v>220</v>
      </c>
      <c r="I3" s="35" t="s">
        <v>221</v>
      </c>
      <c r="J3" s="33">
        <f>INTERCEPT(D4:D159,A4:A159)</f>
        <v>1101.0573862696444</v>
      </c>
    </row>
    <row r="4" spans="1:13">
      <c r="A4" s="36">
        <v>1</v>
      </c>
      <c r="B4" s="37">
        <v>2005</v>
      </c>
      <c r="C4" s="37" t="s">
        <v>222</v>
      </c>
      <c r="D4" s="40">
        <v>1023.2</v>
      </c>
      <c r="E4">
        <f>J$3+J$4*A4</f>
        <v>1103.8453535848441</v>
      </c>
      <c r="F4" s="70">
        <f>VLOOKUP(C4,I$8:J$19,2,FALSE)*E4</f>
        <v>1054.9174146130679</v>
      </c>
      <c r="G4" s="72">
        <f>D4-F4</f>
        <v>-31.717414613067831</v>
      </c>
      <c r="I4" s="33" t="s">
        <v>223</v>
      </c>
      <c r="J4" s="33">
        <f>SLOPE(D4:D159,A4:A159)</f>
        <v>2.7879673151996975</v>
      </c>
    </row>
    <row r="5" spans="1:13">
      <c r="A5" s="36">
        <v>2</v>
      </c>
      <c r="B5" s="37"/>
      <c r="C5" s="37" t="s">
        <v>224</v>
      </c>
      <c r="D5" s="40">
        <v>1036.2</v>
      </c>
      <c r="E5">
        <f t="shared" ref="E5:E68" si="0">J$3+J$4*A5</f>
        <v>1106.6333209000438</v>
      </c>
      <c r="F5" s="70">
        <f t="shared" ref="F5:F68" si="1">VLOOKUP(C5,I$8:J$19,2,FALSE)*E5</f>
        <v>1049.2109323197569</v>
      </c>
      <c r="G5" s="72">
        <f t="shared" ref="G5:G68" si="2">D5-F5</f>
        <v>-13.010932319756876</v>
      </c>
    </row>
    <row r="6" spans="1:13">
      <c r="A6" s="36">
        <v>3</v>
      </c>
      <c r="B6" s="37"/>
      <c r="C6" s="37" t="s">
        <v>225</v>
      </c>
      <c r="D6" s="40">
        <v>1022.1</v>
      </c>
      <c r="E6">
        <f t="shared" si="0"/>
        <v>1109.4212882152435</v>
      </c>
      <c r="F6" s="70">
        <f t="shared" si="1"/>
        <v>1055.5574755248142</v>
      </c>
      <c r="G6" s="72">
        <f t="shared" si="2"/>
        <v>-33.457475524814186</v>
      </c>
    </row>
    <row r="7" spans="1:13">
      <c r="A7" s="36">
        <v>4</v>
      </c>
      <c r="B7" s="37"/>
      <c r="C7" s="37" t="s">
        <v>226</v>
      </c>
      <c r="D7" s="40">
        <v>1050.0999999999999</v>
      </c>
      <c r="E7">
        <f t="shared" si="0"/>
        <v>1112.2092555304432</v>
      </c>
      <c r="F7" s="70">
        <f t="shared" si="1"/>
        <v>1099.3799250915895</v>
      </c>
      <c r="G7" s="72">
        <f t="shared" si="2"/>
        <v>-49.279925091589575</v>
      </c>
      <c r="I7" s="33" t="s">
        <v>217</v>
      </c>
      <c r="J7" t="s">
        <v>227</v>
      </c>
    </row>
    <row r="8" spans="1:13">
      <c r="A8" s="36">
        <v>5</v>
      </c>
      <c r="B8" s="37"/>
      <c r="C8" s="37" t="s">
        <v>228</v>
      </c>
      <c r="D8" s="40">
        <v>1105.3</v>
      </c>
      <c r="E8">
        <f t="shared" si="0"/>
        <v>1114.9972228456429</v>
      </c>
      <c r="F8" s="70">
        <f t="shared" si="1"/>
        <v>1112.8227194681572</v>
      </c>
      <c r="G8" s="72">
        <f t="shared" si="2"/>
        <v>-7.52271946815722</v>
      </c>
      <c r="I8" s="33" t="s">
        <v>222</v>
      </c>
      <c r="J8" s="38">
        <f>AVERAGEIF(C4:C159,I8,D4:D159)/AVERAGE(D4:D159)</f>
        <v>0.95567500573075925</v>
      </c>
      <c r="L8" s="73" t="s">
        <v>178</v>
      </c>
      <c r="M8" s="73">
        <f>SQRT(SUMSQ(G4:G159)/COUNT(G4:G159))</f>
        <v>38.550394013954886</v>
      </c>
    </row>
    <row r="9" spans="1:13">
      <c r="A9" s="36">
        <v>6</v>
      </c>
      <c r="B9" s="37"/>
      <c r="C9" s="37" t="s">
        <v>229</v>
      </c>
      <c r="D9" s="40">
        <v>1157.3</v>
      </c>
      <c r="E9">
        <f t="shared" si="0"/>
        <v>1117.7851901608426</v>
      </c>
      <c r="F9" s="70">
        <f t="shared" si="1"/>
        <v>1144.5207746942158</v>
      </c>
      <c r="G9" s="72">
        <f t="shared" si="2"/>
        <v>12.779225305784166</v>
      </c>
      <c r="I9" s="33" t="s">
        <v>224</v>
      </c>
      <c r="J9" s="38">
        <f t="shared" ref="J9:J19" si="3">AVERAGEIF(C5:C160,I9,D5:D160)/AVERAGE(D5:D160)</f>
        <v>0.94811073596303397</v>
      </c>
    </row>
    <row r="10" spans="1:13">
      <c r="A10" s="36">
        <v>7</v>
      </c>
      <c r="B10" s="37"/>
      <c r="C10" s="37" t="s">
        <v>230</v>
      </c>
      <c r="D10" s="40">
        <v>1064.9000000000001</v>
      </c>
      <c r="E10">
        <f t="shared" si="0"/>
        <v>1120.5731574760423</v>
      </c>
      <c r="F10" s="70">
        <f t="shared" si="1"/>
        <v>1124.7624233895092</v>
      </c>
      <c r="G10" s="72">
        <f t="shared" si="2"/>
        <v>-59.862423389509104</v>
      </c>
      <c r="I10" s="33" t="s">
        <v>225</v>
      </c>
      <c r="J10" s="38">
        <f t="shared" si="3"/>
        <v>0.9514487298354608</v>
      </c>
    </row>
    <row r="11" spans="1:13">
      <c r="A11" s="36">
        <v>8</v>
      </c>
      <c r="B11" s="37"/>
      <c r="C11" s="37" t="s">
        <v>231</v>
      </c>
      <c r="D11" s="40">
        <v>1155.9000000000001</v>
      </c>
      <c r="E11">
        <f t="shared" si="0"/>
        <v>1123.361124791242</v>
      </c>
      <c r="F11" s="70">
        <f t="shared" si="1"/>
        <v>1161.0184124332773</v>
      </c>
      <c r="G11" s="72">
        <f t="shared" si="2"/>
        <v>-5.1184124332771717</v>
      </c>
      <c r="I11" s="33" t="s">
        <v>226</v>
      </c>
      <c r="J11" s="38">
        <f t="shared" si="3"/>
        <v>0.98846500298836748</v>
      </c>
    </row>
    <row r="12" spans="1:13">
      <c r="A12" s="36">
        <v>9</v>
      </c>
      <c r="B12" s="37"/>
      <c r="C12" s="37" t="s">
        <v>232</v>
      </c>
      <c r="D12" s="40">
        <v>1140.3</v>
      </c>
      <c r="E12">
        <f t="shared" si="0"/>
        <v>1126.1490921064417</v>
      </c>
      <c r="F12" s="70">
        <f t="shared" si="1"/>
        <v>1131.5979962316328</v>
      </c>
      <c r="G12" s="72">
        <f t="shared" si="2"/>
        <v>8.702003768367149</v>
      </c>
      <c r="I12" s="33" t="s">
        <v>228</v>
      </c>
      <c r="J12" s="38">
        <f t="shared" si="3"/>
        <v>0.99804976789813327</v>
      </c>
    </row>
    <row r="13" spans="1:13">
      <c r="A13" s="36">
        <v>10</v>
      </c>
      <c r="B13" s="37"/>
      <c r="C13" s="37" t="s">
        <v>233</v>
      </c>
      <c r="D13" s="40">
        <v>1098.8</v>
      </c>
      <c r="E13">
        <f t="shared" si="0"/>
        <v>1128.9370594216414</v>
      </c>
      <c r="F13" s="70">
        <f t="shared" si="1"/>
        <v>1134.6904688564352</v>
      </c>
      <c r="G13" s="72">
        <f t="shared" si="2"/>
        <v>-35.890468856435291</v>
      </c>
      <c r="I13" s="33" t="s">
        <v>229</v>
      </c>
      <c r="J13" s="38">
        <f t="shared" si="3"/>
        <v>1.0239183563789445</v>
      </c>
    </row>
    <row r="14" spans="1:13">
      <c r="A14" s="36">
        <v>11</v>
      </c>
      <c r="B14" s="37"/>
      <c r="C14" s="37" t="s">
        <v>234</v>
      </c>
      <c r="D14" s="40">
        <v>1163.2</v>
      </c>
      <c r="E14">
        <f t="shared" si="0"/>
        <v>1131.7250267368411</v>
      </c>
      <c r="F14" s="70">
        <f t="shared" si="1"/>
        <v>1150.0246437325584</v>
      </c>
      <c r="G14" s="72">
        <f t="shared" si="2"/>
        <v>13.175356267441657</v>
      </c>
      <c r="I14" s="33" t="s">
        <v>230</v>
      </c>
      <c r="J14" s="38">
        <f t="shared" si="3"/>
        <v>1.0037385028237717</v>
      </c>
    </row>
    <row r="15" spans="1:13">
      <c r="A15" s="36">
        <v>12</v>
      </c>
      <c r="B15" s="37"/>
      <c r="C15" s="37" t="s">
        <v>235</v>
      </c>
      <c r="D15" s="40">
        <v>1058.3</v>
      </c>
      <c r="E15">
        <f t="shared" si="0"/>
        <v>1134.5129940520408</v>
      </c>
      <c r="F15" s="70">
        <f t="shared" si="1"/>
        <v>1119.2109034968694</v>
      </c>
      <c r="G15" s="72">
        <f t="shared" si="2"/>
        <v>-60.910903496869423</v>
      </c>
      <c r="I15" s="33" t="s">
        <v>231</v>
      </c>
      <c r="J15" s="38">
        <f t="shared" si="3"/>
        <v>1.0335219786504837</v>
      </c>
    </row>
    <row r="16" spans="1:13">
      <c r="A16" s="36">
        <v>13</v>
      </c>
      <c r="B16" s="37">
        <v>2006</v>
      </c>
      <c r="C16" s="37" t="s">
        <v>222</v>
      </c>
      <c r="D16" s="33">
        <v>1096</v>
      </c>
      <c r="E16">
        <f t="shared" si="0"/>
        <v>1137.3009613672405</v>
      </c>
      <c r="F16" s="70">
        <f t="shared" si="1"/>
        <v>1086.8901027722354</v>
      </c>
      <c r="G16" s="72">
        <f t="shared" si="2"/>
        <v>9.1098972277645771</v>
      </c>
      <c r="I16" s="33" t="s">
        <v>232</v>
      </c>
      <c r="J16" s="38">
        <f t="shared" si="3"/>
        <v>1.0048385281872394</v>
      </c>
    </row>
    <row r="17" spans="1:10">
      <c r="A17" s="36">
        <v>14</v>
      </c>
      <c r="B17" s="37"/>
      <c r="C17" s="37" t="s">
        <v>224</v>
      </c>
      <c r="D17" s="33">
        <v>1079.8</v>
      </c>
      <c r="E17">
        <f t="shared" si="0"/>
        <v>1140.0889286824402</v>
      </c>
      <c r="F17" s="70">
        <f t="shared" si="1"/>
        <v>1080.9305532364153</v>
      </c>
      <c r="G17" s="72">
        <f t="shared" si="2"/>
        <v>-1.1305532364153805</v>
      </c>
      <c r="I17" s="33" t="s">
        <v>233</v>
      </c>
      <c r="J17" s="38">
        <f t="shared" si="3"/>
        <v>1.0050963066424106</v>
      </c>
    </row>
    <row r="18" spans="1:10">
      <c r="A18" s="36">
        <v>15</v>
      </c>
      <c r="B18" s="37"/>
      <c r="C18" s="37" t="s">
        <v>225</v>
      </c>
      <c r="D18" s="33">
        <v>1098.9000000000001</v>
      </c>
      <c r="E18">
        <f t="shared" si="0"/>
        <v>1142.8768959976398</v>
      </c>
      <c r="F18" s="70">
        <f t="shared" si="1"/>
        <v>1087.3887710552485</v>
      </c>
      <c r="G18" s="72">
        <f t="shared" si="2"/>
        <v>11.511228944751565</v>
      </c>
      <c r="I18" s="33" t="s">
        <v>234</v>
      </c>
      <c r="J18" s="38">
        <f t="shared" si="3"/>
        <v>1.0161696671571199</v>
      </c>
    </row>
    <row r="19" spans="1:10">
      <c r="A19" s="36">
        <v>16</v>
      </c>
      <c r="B19" s="37"/>
      <c r="C19" s="37" t="s">
        <v>226</v>
      </c>
      <c r="D19" s="33">
        <v>1102.0999999999999</v>
      </c>
      <c r="E19">
        <f t="shared" si="0"/>
        <v>1145.6648633128395</v>
      </c>
      <c r="F19" s="70">
        <f t="shared" si="1"/>
        <v>1132.4496225381936</v>
      </c>
      <c r="G19" s="72">
        <f t="shared" si="2"/>
        <v>-30.349622538193671</v>
      </c>
      <c r="I19" s="33" t="s">
        <v>235</v>
      </c>
      <c r="J19" s="38">
        <f t="shared" si="3"/>
        <v>0.98651219454039185</v>
      </c>
    </row>
    <row r="20" spans="1:10">
      <c r="A20" s="36">
        <v>17</v>
      </c>
      <c r="B20" s="37"/>
      <c r="C20" s="37" t="s">
        <v>228</v>
      </c>
      <c r="D20" s="33">
        <v>1174</v>
      </c>
      <c r="E20">
        <f t="shared" si="0"/>
        <v>1148.4528306280392</v>
      </c>
      <c r="F20" s="70">
        <f t="shared" si="1"/>
        <v>1146.2130810502688</v>
      </c>
      <c r="G20" s="72">
        <f t="shared" si="2"/>
        <v>27.786918949731216</v>
      </c>
    </row>
    <row r="21" spans="1:10">
      <c r="A21" s="36">
        <v>18</v>
      </c>
      <c r="B21" s="37"/>
      <c r="C21" s="37" t="s">
        <v>229</v>
      </c>
      <c r="D21" s="33">
        <v>1171</v>
      </c>
      <c r="E21">
        <f t="shared" si="0"/>
        <v>1151.2407979432389</v>
      </c>
      <c r="F21" s="70">
        <f t="shared" si="1"/>
        <v>1178.7765856264257</v>
      </c>
      <c r="G21" s="72">
        <f t="shared" si="2"/>
        <v>-7.7765856264256854</v>
      </c>
    </row>
    <row r="22" spans="1:10">
      <c r="A22" s="36">
        <v>19</v>
      </c>
      <c r="B22" s="37"/>
      <c r="C22" s="37" t="s">
        <v>230</v>
      </c>
      <c r="D22" s="33">
        <v>1118.0999999999999</v>
      </c>
      <c r="E22">
        <f t="shared" si="0"/>
        <v>1154.0287652584386</v>
      </c>
      <c r="F22" s="70">
        <f t="shared" si="1"/>
        <v>1158.3431050560712</v>
      </c>
      <c r="G22" s="72">
        <f t="shared" si="2"/>
        <v>-40.243105056071272</v>
      </c>
    </row>
    <row r="23" spans="1:10">
      <c r="A23" s="36">
        <v>20</v>
      </c>
      <c r="B23" s="37"/>
      <c r="C23" s="37" t="s">
        <v>231</v>
      </c>
      <c r="D23" s="33">
        <v>1239.0999999999999</v>
      </c>
      <c r="E23">
        <f t="shared" si="0"/>
        <v>1156.8167325736383</v>
      </c>
      <c r="F23" s="70">
        <f t="shared" si="1"/>
        <v>1195.5955183854942</v>
      </c>
      <c r="G23" s="72">
        <f t="shared" si="2"/>
        <v>43.504481614505721</v>
      </c>
    </row>
    <row r="24" spans="1:10">
      <c r="A24" s="36">
        <v>21</v>
      </c>
      <c r="B24" s="37"/>
      <c r="C24" s="37" t="s">
        <v>232</v>
      </c>
      <c r="D24" s="33">
        <v>1164.4000000000001</v>
      </c>
      <c r="E24">
        <f t="shared" si="0"/>
        <v>1159.604699888838</v>
      </c>
      <c r="F24" s="70">
        <f t="shared" si="1"/>
        <v>1165.2154799153054</v>
      </c>
      <c r="G24" s="72">
        <f t="shared" si="2"/>
        <v>-0.81547991530533182</v>
      </c>
    </row>
    <row r="25" spans="1:10">
      <c r="A25" s="36">
        <v>22</v>
      </c>
      <c r="B25" s="37"/>
      <c r="C25" s="37" t="s">
        <v>233</v>
      </c>
      <c r="D25" s="33">
        <v>1180.2</v>
      </c>
      <c r="E25">
        <f t="shared" si="0"/>
        <v>1162.3926672040377</v>
      </c>
      <c r="F25" s="70">
        <f t="shared" si="1"/>
        <v>1168.3165766749989</v>
      </c>
      <c r="G25" s="72">
        <f t="shared" si="2"/>
        <v>11.883423325001104</v>
      </c>
    </row>
    <row r="26" spans="1:10">
      <c r="A26" s="36">
        <v>23</v>
      </c>
      <c r="B26" s="37"/>
      <c r="C26" s="37" t="s">
        <v>234</v>
      </c>
      <c r="D26" s="33">
        <v>1231.5999999999999</v>
      </c>
      <c r="E26">
        <f t="shared" si="0"/>
        <v>1165.1806345192374</v>
      </c>
      <c r="F26" s="70">
        <f t="shared" si="1"/>
        <v>1184.0212175573351</v>
      </c>
      <c r="G26" s="72">
        <f t="shared" si="2"/>
        <v>47.57878244266476</v>
      </c>
    </row>
    <row r="27" spans="1:10">
      <c r="A27" s="36">
        <v>24</v>
      </c>
      <c r="B27" s="37"/>
      <c r="C27" s="37" t="s">
        <v>235</v>
      </c>
      <c r="D27" s="33">
        <v>1130.5</v>
      </c>
      <c r="E27">
        <f t="shared" si="0"/>
        <v>1167.9686018344371</v>
      </c>
      <c r="F27" s="70">
        <f t="shared" si="1"/>
        <v>1152.2152685499636</v>
      </c>
      <c r="G27" s="72">
        <f t="shared" si="2"/>
        <v>-21.715268549963639</v>
      </c>
    </row>
    <row r="28" spans="1:10">
      <c r="A28" s="36">
        <v>25</v>
      </c>
      <c r="B28" s="37">
        <v>2007</v>
      </c>
      <c r="C28" s="37" t="s">
        <v>222</v>
      </c>
      <c r="D28" s="33">
        <v>1202.5999999999999</v>
      </c>
      <c r="E28">
        <f t="shared" si="0"/>
        <v>1170.7565691496368</v>
      </c>
      <c r="F28" s="70">
        <f t="shared" si="1"/>
        <v>1118.8627909314032</v>
      </c>
      <c r="G28" s="72">
        <f t="shared" si="2"/>
        <v>83.737209068596712</v>
      </c>
    </row>
    <row r="29" spans="1:10">
      <c r="A29" s="36">
        <v>26</v>
      </c>
      <c r="B29" s="37"/>
      <c r="C29" s="37" t="s">
        <v>224</v>
      </c>
      <c r="D29" s="33">
        <v>1098.3</v>
      </c>
      <c r="E29">
        <f t="shared" si="0"/>
        <v>1173.5445364648365</v>
      </c>
      <c r="F29" s="70">
        <f t="shared" si="1"/>
        <v>1112.6501741530737</v>
      </c>
      <c r="G29" s="72">
        <f t="shared" si="2"/>
        <v>-14.350174153073795</v>
      </c>
    </row>
    <row r="30" spans="1:10">
      <c r="A30" s="36">
        <v>27</v>
      </c>
      <c r="B30" s="37"/>
      <c r="C30" s="37" t="s">
        <v>225</v>
      </c>
      <c r="D30" s="33">
        <v>1182.4000000000001</v>
      </c>
      <c r="E30">
        <f t="shared" si="0"/>
        <v>1176.3325037800362</v>
      </c>
      <c r="F30" s="70">
        <f t="shared" si="1"/>
        <v>1119.2200665856828</v>
      </c>
      <c r="G30" s="72">
        <f t="shared" si="2"/>
        <v>63.179933414317247</v>
      </c>
    </row>
    <row r="31" spans="1:10">
      <c r="A31" s="36">
        <v>28</v>
      </c>
      <c r="B31" s="37"/>
      <c r="C31" s="37" t="s">
        <v>226</v>
      </c>
      <c r="D31" s="33">
        <v>1180.9000000000001</v>
      </c>
      <c r="E31">
        <f t="shared" si="0"/>
        <v>1179.1204710952359</v>
      </c>
      <c r="F31" s="70">
        <f t="shared" si="1"/>
        <v>1165.5193199847977</v>
      </c>
      <c r="G31" s="72">
        <f t="shared" si="2"/>
        <v>15.380680015202415</v>
      </c>
    </row>
    <row r="32" spans="1:10">
      <c r="A32" s="36">
        <v>29</v>
      </c>
      <c r="B32" s="37"/>
      <c r="C32" s="37" t="s">
        <v>228</v>
      </c>
      <c r="D32" s="33">
        <v>1251.2</v>
      </c>
      <c r="E32">
        <f t="shared" si="0"/>
        <v>1181.9084384104356</v>
      </c>
      <c r="F32" s="70">
        <f t="shared" si="1"/>
        <v>1179.6034426323804</v>
      </c>
      <c r="G32" s="72">
        <f t="shared" si="2"/>
        <v>71.596557367619653</v>
      </c>
    </row>
    <row r="33" spans="1:7">
      <c r="A33" s="36">
        <v>30</v>
      </c>
      <c r="B33" s="37"/>
      <c r="C33" s="37" t="s">
        <v>229</v>
      </c>
      <c r="D33" s="33">
        <v>1212.5999999999999</v>
      </c>
      <c r="E33">
        <f t="shared" si="0"/>
        <v>1184.6964057256355</v>
      </c>
      <c r="F33" s="70">
        <f t="shared" si="1"/>
        <v>1213.0323965586358</v>
      </c>
      <c r="G33" s="72">
        <f t="shared" si="2"/>
        <v>-0.43239655863590087</v>
      </c>
    </row>
    <row r="34" spans="1:7">
      <c r="A34" s="36">
        <v>31</v>
      </c>
      <c r="B34" s="37"/>
      <c r="C34" s="37" t="s">
        <v>230</v>
      </c>
      <c r="D34" s="33">
        <v>1225.2</v>
      </c>
      <c r="E34">
        <f t="shared" si="0"/>
        <v>1187.4843730408352</v>
      </c>
      <c r="F34" s="70">
        <f t="shared" si="1"/>
        <v>1191.9237867226332</v>
      </c>
      <c r="G34" s="72">
        <f t="shared" si="2"/>
        <v>33.276213277366878</v>
      </c>
    </row>
    <row r="35" spans="1:7">
      <c r="A35" s="36">
        <v>32</v>
      </c>
      <c r="B35" s="37"/>
      <c r="C35" s="37" t="s">
        <v>231</v>
      </c>
      <c r="D35" s="33">
        <v>1268.2</v>
      </c>
      <c r="E35">
        <f t="shared" si="0"/>
        <v>1190.2723403560349</v>
      </c>
      <c r="F35" s="70">
        <f t="shared" si="1"/>
        <v>1230.1726243377111</v>
      </c>
      <c r="G35" s="72">
        <f t="shared" si="2"/>
        <v>38.027375662288932</v>
      </c>
    </row>
    <row r="36" spans="1:7">
      <c r="A36" s="36">
        <v>33</v>
      </c>
      <c r="B36" s="37"/>
      <c r="C36" s="37" t="s">
        <v>232</v>
      </c>
      <c r="D36" s="33">
        <v>1182.2</v>
      </c>
      <c r="E36">
        <f t="shared" si="0"/>
        <v>1193.0603076712346</v>
      </c>
      <c r="F36" s="70">
        <f t="shared" si="1"/>
        <v>1198.8329635989783</v>
      </c>
      <c r="G36" s="72">
        <f t="shared" si="2"/>
        <v>-16.632963598978222</v>
      </c>
    </row>
    <row r="37" spans="1:7">
      <c r="A37" s="36">
        <v>34</v>
      </c>
      <c r="B37" s="37"/>
      <c r="C37" s="37" t="s">
        <v>233</v>
      </c>
      <c r="D37" s="33">
        <v>1253.5</v>
      </c>
      <c r="E37">
        <f t="shared" si="0"/>
        <v>1195.8482749864343</v>
      </c>
      <c r="F37" s="70">
        <f t="shared" si="1"/>
        <v>1201.9426844935629</v>
      </c>
      <c r="G37" s="72">
        <f t="shared" si="2"/>
        <v>51.557315506437135</v>
      </c>
    </row>
    <row r="38" spans="1:7">
      <c r="A38" s="36">
        <v>35</v>
      </c>
      <c r="B38" s="37"/>
      <c r="C38" s="37" t="s">
        <v>234</v>
      </c>
      <c r="D38" s="33">
        <v>1271.4000000000001</v>
      </c>
      <c r="E38">
        <f t="shared" si="0"/>
        <v>1198.636242301634</v>
      </c>
      <c r="F38" s="70">
        <f t="shared" si="1"/>
        <v>1218.0177913821124</v>
      </c>
      <c r="G38" s="72">
        <f t="shared" si="2"/>
        <v>53.382208617887727</v>
      </c>
    </row>
    <row r="39" spans="1:7">
      <c r="A39" s="36">
        <v>36</v>
      </c>
      <c r="B39" s="37"/>
      <c r="C39" s="37" t="s">
        <v>235</v>
      </c>
      <c r="D39" s="33">
        <v>1192.0999999999999</v>
      </c>
      <c r="E39">
        <f t="shared" si="0"/>
        <v>1201.4242096168337</v>
      </c>
      <c r="F39" s="70">
        <f t="shared" si="1"/>
        <v>1185.2196336030584</v>
      </c>
      <c r="G39" s="72">
        <f t="shared" si="2"/>
        <v>6.8803663969415538</v>
      </c>
    </row>
    <row r="40" spans="1:7">
      <c r="A40" s="36">
        <v>37</v>
      </c>
      <c r="B40" s="37">
        <v>2008</v>
      </c>
      <c r="C40" s="37" t="s">
        <v>222</v>
      </c>
      <c r="D40" s="33">
        <v>1248.7</v>
      </c>
      <c r="E40">
        <f t="shared" si="0"/>
        <v>1204.2121769320333</v>
      </c>
      <c r="F40" s="70">
        <f t="shared" si="1"/>
        <v>1150.835479090571</v>
      </c>
      <c r="G40" s="72">
        <f t="shared" si="2"/>
        <v>97.864520909429075</v>
      </c>
    </row>
    <row r="41" spans="1:7">
      <c r="A41" s="36">
        <v>38</v>
      </c>
      <c r="B41" s="37"/>
      <c r="C41" s="37" t="s">
        <v>224</v>
      </c>
      <c r="D41" s="33">
        <v>1217.0999999999999</v>
      </c>
      <c r="E41">
        <f t="shared" si="0"/>
        <v>1207.000144247233</v>
      </c>
      <c r="F41" s="70">
        <f t="shared" si="1"/>
        <v>1144.3697950697322</v>
      </c>
      <c r="G41" s="72">
        <f t="shared" si="2"/>
        <v>72.730204930267746</v>
      </c>
    </row>
    <row r="42" spans="1:7">
      <c r="A42" s="36">
        <v>39</v>
      </c>
      <c r="B42" s="37"/>
      <c r="C42" s="37" t="s">
        <v>225</v>
      </c>
      <c r="D42" s="33">
        <v>1163.0999999999999</v>
      </c>
      <c r="E42">
        <f t="shared" si="0"/>
        <v>1209.7881115624327</v>
      </c>
      <c r="F42" s="70">
        <f t="shared" si="1"/>
        <v>1151.0513621161174</v>
      </c>
      <c r="G42" s="72">
        <f t="shared" si="2"/>
        <v>12.04863788388252</v>
      </c>
    </row>
    <row r="43" spans="1:7">
      <c r="A43" s="36">
        <v>40</v>
      </c>
      <c r="B43" s="37"/>
      <c r="C43" s="37" t="s">
        <v>226</v>
      </c>
      <c r="D43" s="33">
        <v>1281.4000000000001</v>
      </c>
      <c r="E43">
        <f t="shared" si="0"/>
        <v>1212.5760788776324</v>
      </c>
      <c r="F43" s="70">
        <f t="shared" si="1"/>
        <v>1198.5890174314018</v>
      </c>
      <c r="G43" s="72">
        <f t="shared" si="2"/>
        <v>82.81098256859832</v>
      </c>
    </row>
    <row r="44" spans="1:7">
      <c r="A44" s="36">
        <v>41</v>
      </c>
      <c r="B44" s="37"/>
      <c r="C44" s="37" t="s">
        <v>228</v>
      </c>
      <c r="D44" s="33">
        <v>1249.0999999999999</v>
      </c>
      <c r="E44">
        <f t="shared" si="0"/>
        <v>1215.3640461928321</v>
      </c>
      <c r="F44" s="70">
        <f t="shared" si="1"/>
        <v>1212.9938042144922</v>
      </c>
      <c r="G44" s="72">
        <f t="shared" si="2"/>
        <v>36.10619578550768</v>
      </c>
    </row>
    <row r="45" spans="1:7">
      <c r="A45" s="36">
        <v>42</v>
      </c>
      <c r="B45" s="37"/>
      <c r="C45" s="37" t="s">
        <v>229</v>
      </c>
      <c r="D45" s="33">
        <v>1311.2</v>
      </c>
      <c r="E45">
        <f t="shared" si="0"/>
        <v>1218.1520135080318</v>
      </c>
      <c r="F45" s="70">
        <f t="shared" si="1"/>
        <v>1247.2882074908457</v>
      </c>
      <c r="G45" s="72">
        <f t="shared" si="2"/>
        <v>63.911792509154338</v>
      </c>
    </row>
    <row r="46" spans="1:7">
      <c r="A46" s="36">
        <v>43</v>
      </c>
      <c r="B46" s="37"/>
      <c r="C46" s="37" t="s">
        <v>230</v>
      </c>
      <c r="D46" s="33">
        <v>1298.7</v>
      </c>
      <c r="E46">
        <f t="shared" si="0"/>
        <v>1220.9399808232315</v>
      </c>
      <c r="F46" s="70">
        <f t="shared" si="1"/>
        <v>1225.5044683891949</v>
      </c>
      <c r="G46" s="72">
        <f t="shared" si="2"/>
        <v>73.195531610805119</v>
      </c>
    </row>
    <row r="47" spans="1:7">
      <c r="A47" s="36">
        <v>44</v>
      </c>
      <c r="B47" s="37"/>
      <c r="C47" s="37" t="s">
        <v>231</v>
      </c>
      <c r="D47" s="33">
        <v>1190.2</v>
      </c>
      <c r="E47">
        <f t="shared" si="0"/>
        <v>1223.7279481384312</v>
      </c>
      <c r="F47" s="70">
        <f t="shared" si="1"/>
        <v>1264.7497302899278</v>
      </c>
      <c r="G47" s="72">
        <f t="shared" si="2"/>
        <v>-74.549730289927766</v>
      </c>
    </row>
    <row r="48" spans="1:7">
      <c r="A48" s="36">
        <v>45</v>
      </c>
      <c r="B48" s="37"/>
      <c r="C48" s="37" t="s">
        <v>232</v>
      </c>
      <c r="D48" s="33">
        <v>1298.5999999999999</v>
      </c>
      <c r="E48">
        <f t="shared" si="0"/>
        <v>1226.5159154536309</v>
      </c>
      <c r="F48" s="70">
        <f t="shared" si="1"/>
        <v>1232.4504472826511</v>
      </c>
      <c r="G48" s="72">
        <f t="shared" si="2"/>
        <v>66.149552717348797</v>
      </c>
    </row>
    <row r="49" spans="1:7">
      <c r="A49" s="36">
        <v>46</v>
      </c>
      <c r="B49" s="37"/>
      <c r="C49" s="37" t="s">
        <v>233</v>
      </c>
      <c r="D49" s="33">
        <v>1282.5999999999999</v>
      </c>
      <c r="E49">
        <f t="shared" si="0"/>
        <v>1229.3038827688306</v>
      </c>
      <c r="F49" s="70">
        <f t="shared" si="1"/>
        <v>1235.5687923121266</v>
      </c>
      <c r="G49" s="72">
        <f t="shared" si="2"/>
        <v>47.031207687873348</v>
      </c>
    </row>
    <row r="50" spans="1:7">
      <c r="A50" s="36">
        <v>47</v>
      </c>
      <c r="B50" s="37"/>
      <c r="C50" s="37" t="s">
        <v>234</v>
      </c>
      <c r="D50" s="33">
        <v>1218.4000000000001</v>
      </c>
      <c r="E50">
        <f t="shared" si="0"/>
        <v>1232.0918500840303</v>
      </c>
      <c r="F50" s="70">
        <f t="shared" si="1"/>
        <v>1252.0143652068891</v>
      </c>
      <c r="G50" s="72">
        <f t="shared" si="2"/>
        <v>-33.614365206889033</v>
      </c>
    </row>
    <row r="51" spans="1:7">
      <c r="A51" s="36">
        <v>48</v>
      </c>
      <c r="B51" s="37"/>
      <c r="C51" s="37" t="s">
        <v>235</v>
      </c>
      <c r="D51" s="33">
        <v>1245.8</v>
      </c>
      <c r="E51">
        <f t="shared" si="0"/>
        <v>1234.87981739923</v>
      </c>
      <c r="F51" s="70">
        <f t="shared" si="1"/>
        <v>1218.2239986561526</v>
      </c>
      <c r="G51" s="72">
        <f t="shared" si="2"/>
        <v>27.576001343847338</v>
      </c>
    </row>
    <row r="52" spans="1:7">
      <c r="A52" s="36">
        <v>49</v>
      </c>
      <c r="B52" s="37">
        <v>2009</v>
      </c>
      <c r="C52" s="37" t="s">
        <v>222</v>
      </c>
      <c r="D52" s="33">
        <v>1169.5</v>
      </c>
      <c r="E52">
        <f t="shared" si="0"/>
        <v>1237.6677847144297</v>
      </c>
      <c r="F52" s="70">
        <f t="shared" si="1"/>
        <v>1182.8081672497387</v>
      </c>
      <c r="G52" s="72">
        <f t="shared" si="2"/>
        <v>-13.308167249738744</v>
      </c>
    </row>
    <row r="53" spans="1:7">
      <c r="A53" s="36">
        <v>50</v>
      </c>
      <c r="B53" s="37"/>
      <c r="C53" s="37" t="s">
        <v>224</v>
      </c>
      <c r="D53" s="33">
        <v>1190.2</v>
      </c>
      <c r="E53">
        <f t="shared" si="0"/>
        <v>1240.4557520296294</v>
      </c>
      <c r="F53" s="70">
        <f t="shared" si="1"/>
        <v>1176.0894159863906</v>
      </c>
      <c r="G53" s="72">
        <f t="shared" si="2"/>
        <v>14.110584013609468</v>
      </c>
    </row>
    <row r="54" spans="1:7">
      <c r="A54" s="36">
        <v>51</v>
      </c>
      <c r="B54" s="37"/>
      <c r="C54" s="37" t="s">
        <v>225</v>
      </c>
      <c r="D54" s="33">
        <v>1188.3</v>
      </c>
      <c r="E54">
        <f t="shared" si="0"/>
        <v>1243.2437193448291</v>
      </c>
      <c r="F54" s="70">
        <f t="shared" si="1"/>
        <v>1182.8826576465517</v>
      </c>
      <c r="G54" s="72">
        <f t="shared" si="2"/>
        <v>5.4173423534482481</v>
      </c>
    </row>
    <row r="55" spans="1:7">
      <c r="A55" s="36">
        <v>52</v>
      </c>
      <c r="B55" s="37"/>
      <c r="C55" s="37" t="s">
        <v>226</v>
      </c>
      <c r="D55" s="33">
        <v>1211.7</v>
      </c>
      <c r="E55">
        <f t="shared" si="0"/>
        <v>1246.0316866600288</v>
      </c>
      <c r="F55" s="70">
        <f t="shared" si="1"/>
        <v>1231.6587148780059</v>
      </c>
      <c r="G55" s="72">
        <f t="shared" si="2"/>
        <v>-19.958714878005821</v>
      </c>
    </row>
    <row r="56" spans="1:7">
      <c r="A56" s="36">
        <v>53</v>
      </c>
      <c r="B56" s="37"/>
      <c r="C56" s="37" t="s">
        <v>228</v>
      </c>
      <c r="D56" s="33">
        <v>1207.2</v>
      </c>
      <c r="E56">
        <f t="shared" si="0"/>
        <v>1248.8196539752284</v>
      </c>
      <c r="F56" s="70">
        <f t="shared" si="1"/>
        <v>1246.3841657966038</v>
      </c>
      <c r="G56" s="72">
        <f t="shared" si="2"/>
        <v>-39.184165796603793</v>
      </c>
    </row>
    <row r="57" spans="1:7">
      <c r="A57" s="36">
        <v>54</v>
      </c>
      <c r="B57" s="37"/>
      <c r="C57" s="37" t="s">
        <v>229</v>
      </c>
      <c r="D57" s="33">
        <v>1315.3</v>
      </c>
      <c r="E57">
        <f t="shared" si="0"/>
        <v>1251.6076212904281</v>
      </c>
      <c r="F57" s="70">
        <f t="shared" si="1"/>
        <v>1281.5440184230556</v>
      </c>
      <c r="G57" s="72">
        <f t="shared" si="2"/>
        <v>33.75598157694435</v>
      </c>
    </row>
    <row r="58" spans="1:7">
      <c r="A58" s="36">
        <v>55</v>
      </c>
      <c r="B58" s="37"/>
      <c r="C58" s="37" t="s">
        <v>230</v>
      </c>
      <c r="D58" s="33">
        <v>1304.7</v>
      </c>
      <c r="E58">
        <f t="shared" si="0"/>
        <v>1254.3955886056278</v>
      </c>
      <c r="F58" s="70">
        <f t="shared" si="1"/>
        <v>1259.0851500557569</v>
      </c>
      <c r="G58" s="72">
        <f t="shared" si="2"/>
        <v>45.614849944243133</v>
      </c>
    </row>
    <row r="59" spans="1:7">
      <c r="A59" s="36">
        <v>56</v>
      </c>
      <c r="B59" s="37"/>
      <c r="C59" s="37" t="s">
        <v>231</v>
      </c>
      <c r="D59" s="33">
        <v>1241.4000000000001</v>
      </c>
      <c r="E59">
        <f t="shared" si="0"/>
        <v>1257.1835559208275</v>
      </c>
      <c r="F59" s="70">
        <f t="shared" si="1"/>
        <v>1299.3268362421447</v>
      </c>
      <c r="G59" s="72">
        <f t="shared" si="2"/>
        <v>-57.926836242144645</v>
      </c>
    </row>
    <row r="60" spans="1:7">
      <c r="A60" s="36">
        <v>57</v>
      </c>
      <c r="B60" s="37"/>
      <c r="C60" s="37" t="s">
        <v>232</v>
      </c>
      <c r="D60" s="33">
        <v>1241.8</v>
      </c>
      <c r="E60">
        <f t="shared" si="0"/>
        <v>1259.9715232360272</v>
      </c>
      <c r="F60" s="70">
        <f t="shared" si="1"/>
        <v>1266.0679309663237</v>
      </c>
      <c r="G60" s="72">
        <f t="shared" si="2"/>
        <v>-24.267930966323775</v>
      </c>
    </row>
    <row r="61" spans="1:7">
      <c r="A61" s="36">
        <v>58</v>
      </c>
      <c r="B61" s="37"/>
      <c r="C61" s="37" t="s">
        <v>233</v>
      </c>
      <c r="D61" s="33">
        <v>1277.5</v>
      </c>
      <c r="E61">
        <f t="shared" si="0"/>
        <v>1262.7594905512269</v>
      </c>
      <c r="F61" s="70">
        <f t="shared" si="1"/>
        <v>1269.19490013069</v>
      </c>
      <c r="G61" s="72">
        <f t="shared" si="2"/>
        <v>8.30509986930997</v>
      </c>
    </row>
    <row r="62" spans="1:7">
      <c r="A62" s="36">
        <v>59</v>
      </c>
      <c r="B62" s="37"/>
      <c r="C62" s="37" t="s">
        <v>234</v>
      </c>
      <c r="D62" s="33">
        <v>1222.7</v>
      </c>
      <c r="E62">
        <f t="shared" si="0"/>
        <v>1265.5474578664266</v>
      </c>
      <c r="F62" s="70">
        <f t="shared" si="1"/>
        <v>1286.0109390316659</v>
      </c>
      <c r="G62" s="72">
        <f t="shared" si="2"/>
        <v>-63.310939031665839</v>
      </c>
    </row>
    <row r="63" spans="1:7">
      <c r="A63" s="36">
        <v>60</v>
      </c>
      <c r="B63" s="37"/>
      <c r="C63" s="37" t="s">
        <v>235</v>
      </c>
      <c r="D63" s="33">
        <v>1229.7</v>
      </c>
      <c r="E63">
        <f t="shared" si="0"/>
        <v>1268.3354251816263</v>
      </c>
      <c r="F63" s="70">
        <f t="shared" si="1"/>
        <v>1251.2283637092471</v>
      </c>
      <c r="G63" s="72">
        <f t="shared" si="2"/>
        <v>-21.52836370924706</v>
      </c>
    </row>
    <row r="64" spans="1:7">
      <c r="A64" s="36">
        <v>61</v>
      </c>
      <c r="B64" s="37">
        <v>2010</v>
      </c>
      <c r="C64" s="37" t="s">
        <v>222</v>
      </c>
      <c r="D64" s="33">
        <v>1161.7</v>
      </c>
      <c r="E64">
        <f t="shared" si="0"/>
        <v>1271.123392496826</v>
      </c>
      <c r="F64" s="70">
        <f t="shared" si="1"/>
        <v>1214.7808554089063</v>
      </c>
      <c r="G64" s="72">
        <f t="shared" si="2"/>
        <v>-53.080855408906245</v>
      </c>
    </row>
    <row r="65" spans="1:7">
      <c r="A65" s="36">
        <v>62</v>
      </c>
      <c r="B65" s="37"/>
      <c r="C65" s="37" t="s">
        <v>224</v>
      </c>
      <c r="D65" s="33">
        <v>1180</v>
      </c>
      <c r="E65">
        <f t="shared" si="0"/>
        <v>1273.9113598120257</v>
      </c>
      <c r="F65" s="70">
        <f t="shared" si="1"/>
        <v>1207.809036903049</v>
      </c>
      <c r="G65" s="72">
        <f t="shared" si="2"/>
        <v>-27.809036903048991</v>
      </c>
    </row>
    <row r="66" spans="1:7">
      <c r="A66" s="36">
        <v>63</v>
      </c>
      <c r="B66" s="37"/>
      <c r="C66" s="37" t="s">
        <v>225</v>
      </c>
      <c r="D66" s="33">
        <v>1345.4</v>
      </c>
      <c r="E66">
        <f t="shared" si="0"/>
        <v>1276.6993271272254</v>
      </c>
      <c r="F66" s="70">
        <f t="shared" si="1"/>
        <v>1214.713953176986</v>
      </c>
      <c r="G66" s="72">
        <f t="shared" si="2"/>
        <v>130.68604682301407</v>
      </c>
    </row>
    <row r="67" spans="1:7">
      <c r="A67" s="36">
        <v>64</v>
      </c>
      <c r="B67" s="37"/>
      <c r="C67" s="37" t="s">
        <v>226</v>
      </c>
      <c r="D67" s="33">
        <v>1308.8</v>
      </c>
      <c r="E67">
        <f t="shared" si="0"/>
        <v>1279.4872944424251</v>
      </c>
      <c r="F67" s="70">
        <f t="shared" si="1"/>
        <v>1264.72841232461</v>
      </c>
      <c r="G67" s="72">
        <f t="shared" si="2"/>
        <v>44.071587675389992</v>
      </c>
    </row>
    <row r="68" spans="1:7">
      <c r="A68" s="36">
        <v>65</v>
      </c>
      <c r="B68" s="37"/>
      <c r="C68" s="37" t="s">
        <v>228</v>
      </c>
      <c r="D68" s="33">
        <v>1235</v>
      </c>
      <c r="E68">
        <f t="shared" si="0"/>
        <v>1282.2752617576248</v>
      </c>
      <c r="F68" s="70">
        <f t="shared" si="1"/>
        <v>1279.7745273787154</v>
      </c>
      <c r="G68" s="72">
        <f t="shared" si="2"/>
        <v>-44.774527378715447</v>
      </c>
    </row>
    <row r="69" spans="1:7">
      <c r="A69" s="36">
        <v>66</v>
      </c>
      <c r="B69" s="37"/>
      <c r="C69" s="37" t="s">
        <v>229</v>
      </c>
      <c r="D69" s="33">
        <v>1373.2</v>
      </c>
      <c r="E69">
        <f t="shared" ref="E69:E132" si="4">J$3+J$4*A69</f>
        <v>1285.0632290728245</v>
      </c>
      <c r="F69" s="70">
        <f t="shared" ref="F69:F132" si="5">VLOOKUP(C69,I$8:J$19,2,FALSE)*E69</f>
        <v>1315.7998293552655</v>
      </c>
      <c r="G69" s="72">
        <f t="shared" ref="G69:G132" si="6">D69-F69</f>
        <v>57.400170644734544</v>
      </c>
    </row>
    <row r="70" spans="1:7">
      <c r="A70" s="36">
        <v>67</v>
      </c>
      <c r="B70" s="37"/>
      <c r="C70" s="37" t="s">
        <v>230</v>
      </c>
      <c r="D70" s="33">
        <v>1317.3</v>
      </c>
      <c r="E70">
        <f t="shared" si="4"/>
        <v>1287.8511963880242</v>
      </c>
      <c r="F70" s="70">
        <f t="shared" si="5"/>
        <v>1292.6658317223187</v>
      </c>
      <c r="G70" s="72">
        <f t="shared" si="6"/>
        <v>24.634168277681283</v>
      </c>
    </row>
    <row r="71" spans="1:7">
      <c r="A71" s="36">
        <v>68</v>
      </c>
      <c r="B71" s="37"/>
      <c r="C71" s="37" t="s">
        <v>231</v>
      </c>
      <c r="D71" s="33">
        <v>1308.3</v>
      </c>
      <c r="E71">
        <f t="shared" si="4"/>
        <v>1290.6391637032239</v>
      </c>
      <c r="F71" s="70">
        <f t="shared" si="5"/>
        <v>1333.9039421943614</v>
      </c>
      <c r="G71" s="72">
        <f t="shared" si="6"/>
        <v>-25.60394219436148</v>
      </c>
    </row>
    <row r="72" spans="1:7">
      <c r="A72" s="36">
        <v>69</v>
      </c>
      <c r="B72" s="37"/>
      <c r="C72" s="37" t="s">
        <v>232</v>
      </c>
      <c r="D72" s="33">
        <v>1287.3</v>
      </c>
      <c r="E72">
        <f t="shared" si="4"/>
        <v>1293.4271310184236</v>
      </c>
      <c r="F72" s="70">
        <f t="shared" si="5"/>
        <v>1299.6854146499963</v>
      </c>
      <c r="G72" s="72">
        <f t="shared" si="6"/>
        <v>-12.385414649996392</v>
      </c>
    </row>
    <row r="73" spans="1:7">
      <c r="A73" s="36">
        <v>70</v>
      </c>
      <c r="B73" s="37"/>
      <c r="C73" s="37" t="s">
        <v>233</v>
      </c>
      <c r="D73" s="33">
        <v>1278.3</v>
      </c>
      <c r="E73">
        <f t="shared" si="4"/>
        <v>1296.2150983336232</v>
      </c>
      <c r="F73" s="70">
        <f t="shared" si="5"/>
        <v>1302.8210079492537</v>
      </c>
      <c r="G73" s="72">
        <f t="shared" si="6"/>
        <v>-24.521007949253772</v>
      </c>
    </row>
    <row r="74" spans="1:7">
      <c r="A74" s="36">
        <v>71</v>
      </c>
      <c r="B74" s="37"/>
      <c r="C74" s="37" t="s">
        <v>234</v>
      </c>
      <c r="D74" s="33">
        <v>1299.2</v>
      </c>
      <c r="E74">
        <f t="shared" si="4"/>
        <v>1299.0030656488229</v>
      </c>
      <c r="F74" s="70">
        <f t="shared" si="5"/>
        <v>1320.0075128564426</v>
      </c>
      <c r="G74" s="72">
        <f t="shared" si="6"/>
        <v>-20.8075128564426</v>
      </c>
    </row>
    <row r="75" spans="1:7">
      <c r="A75" s="36">
        <v>72</v>
      </c>
      <c r="B75" s="37"/>
      <c r="C75" s="37" t="s">
        <v>235</v>
      </c>
      <c r="D75" s="33">
        <v>1375.3</v>
      </c>
      <c r="E75">
        <f t="shared" si="4"/>
        <v>1301.7910329640226</v>
      </c>
      <c r="F75" s="70">
        <f t="shared" si="5"/>
        <v>1284.2327287623416</v>
      </c>
      <c r="G75" s="72">
        <f t="shared" si="6"/>
        <v>91.06727123765836</v>
      </c>
    </row>
    <row r="76" spans="1:7">
      <c r="A76" s="36">
        <v>73</v>
      </c>
      <c r="B76" s="37">
        <v>2011</v>
      </c>
      <c r="C76" s="37" t="s">
        <v>222</v>
      </c>
      <c r="D76" s="33">
        <v>1266.4000000000001</v>
      </c>
      <c r="E76">
        <f t="shared" si="4"/>
        <v>1304.5790002792223</v>
      </c>
      <c r="F76" s="70">
        <f t="shared" si="5"/>
        <v>1246.7535435680741</v>
      </c>
      <c r="G76" s="72">
        <f t="shared" si="6"/>
        <v>19.646456431926026</v>
      </c>
    </row>
    <row r="77" spans="1:7">
      <c r="A77" s="36">
        <v>74</v>
      </c>
      <c r="B77" s="37"/>
      <c r="C77" s="37" t="s">
        <v>224</v>
      </c>
      <c r="D77" s="33">
        <v>1253.8</v>
      </c>
      <c r="E77">
        <f t="shared" si="4"/>
        <v>1307.366967594422</v>
      </c>
      <c r="F77" s="70">
        <f t="shared" si="5"/>
        <v>1239.5286578197074</v>
      </c>
      <c r="G77" s="72">
        <f t="shared" si="6"/>
        <v>14.27134218029255</v>
      </c>
    </row>
    <row r="78" spans="1:7">
      <c r="A78" s="36">
        <v>75</v>
      </c>
      <c r="B78" s="37"/>
      <c r="C78" s="37" t="s">
        <v>225</v>
      </c>
      <c r="D78" s="33">
        <v>1261.5</v>
      </c>
      <c r="E78">
        <f t="shared" si="4"/>
        <v>1310.1549349096217</v>
      </c>
      <c r="F78" s="70">
        <f t="shared" si="5"/>
        <v>1246.5452487074203</v>
      </c>
      <c r="G78" s="72">
        <f t="shared" si="6"/>
        <v>14.954751292579658</v>
      </c>
    </row>
    <row r="79" spans="1:7">
      <c r="A79" s="36">
        <v>76</v>
      </c>
      <c r="B79" s="37"/>
      <c r="C79" s="37" t="s">
        <v>226</v>
      </c>
      <c r="D79" s="33">
        <v>1283.4000000000001</v>
      </c>
      <c r="E79">
        <f t="shared" si="4"/>
        <v>1312.9429022248214</v>
      </c>
      <c r="F79" s="70">
        <f t="shared" si="5"/>
        <v>1297.7981097712141</v>
      </c>
      <c r="G79" s="72">
        <f t="shared" si="6"/>
        <v>-14.398109771213967</v>
      </c>
    </row>
    <row r="80" spans="1:7">
      <c r="A80" s="36">
        <v>77</v>
      </c>
      <c r="B80" s="37"/>
      <c r="C80" s="37" t="s">
        <v>228</v>
      </c>
      <c r="D80" s="33">
        <v>1314.3</v>
      </c>
      <c r="E80">
        <f t="shared" si="4"/>
        <v>1315.7308695400211</v>
      </c>
      <c r="F80" s="70">
        <f t="shared" si="5"/>
        <v>1313.1648889608271</v>
      </c>
      <c r="G80" s="72">
        <f t="shared" si="6"/>
        <v>1.135111039172898</v>
      </c>
    </row>
    <row r="81" spans="1:7">
      <c r="A81" s="36">
        <v>78</v>
      </c>
      <c r="B81" s="37"/>
      <c r="C81" s="37" t="s">
        <v>229</v>
      </c>
      <c r="D81" s="33">
        <v>1405.6</v>
      </c>
      <c r="E81">
        <f t="shared" si="4"/>
        <v>1318.5188368552208</v>
      </c>
      <c r="F81" s="70">
        <f t="shared" si="5"/>
        <v>1350.0556402874754</v>
      </c>
      <c r="G81" s="72">
        <f t="shared" si="6"/>
        <v>55.544359712524511</v>
      </c>
    </row>
    <row r="82" spans="1:7">
      <c r="A82" s="36">
        <v>79</v>
      </c>
      <c r="B82" s="37"/>
      <c r="C82" s="37" t="s">
        <v>230</v>
      </c>
      <c r="D82" s="33">
        <v>1300.5999999999999</v>
      </c>
      <c r="E82">
        <f t="shared" si="4"/>
        <v>1321.3068041704205</v>
      </c>
      <c r="F82" s="70">
        <f t="shared" si="5"/>
        <v>1326.2465133888804</v>
      </c>
      <c r="G82" s="72">
        <f t="shared" si="6"/>
        <v>-25.646513388880521</v>
      </c>
    </row>
    <row r="83" spans="1:7">
      <c r="A83" s="36">
        <v>80</v>
      </c>
      <c r="B83" s="37"/>
      <c r="C83" s="37" t="s">
        <v>231</v>
      </c>
      <c r="D83" s="33">
        <v>1440.5</v>
      </c>
      <c r="E83">
        <f t="shared" si="4"/>
        <v>1324.0947714856202</v>
      </c>
      <c r="F83" s="70">
        <f t="shared" si="5"/>
        <v>1368.4810481465781</v>
      </c>
      <c r="G83" s="72">
        <f t="shared" si="6"/>
        <v>72.018951853421868</v>
      </c>
    </row>
    <row r="84" spans="1:7">
      <c r="A84" s="36">
        <v>81</v>
      </c>
      <c r="B84" s="37"/>
      <c r="C84" s="37" t="s">
        <v>232</v>
      </c>
      <c r="D84" s="33">
        <v>1361.9</v>
      </c>
      <c r="E84">
        <f t="shared" si="4"/>
        <v>1326.8827388008199</v>
      </c>
      <c r="F84" s="70">
        <f t="shared" si="5"/>
        <v>1333.302898333669</v>
      </c>
      <c r="G84" s="72">
        <f t="shared" si="6"/>
        <v>28.597101666331127</v>
      </c>
    </row>
    <row r="85" spans="1:7">
      <c r="A85" s="36">
        <v>82</v>
      </c>
      <c r="B85" s="37"/>
      <c r="C85" s="37" t="s">
        <v>233</v>
      </c>
      <c r="D85" s="33">
        <v>1299.7</v>
      </c>
      <c r="E85">
        <f t="shared" si="4"/>
        <v>1329.6707061160196</v>
      </c>
      <c r="F85" s="70">
        <f t="shared" si="5"/>
        <v>1336.4471157678174</v>
      </c>
      <c r="G85" s="72">
        <f t="shared" si="6"/>
        <v>-36.747115767817377</v>
      </c>
    </row>
    <row r="86" spans="1:7">
      <c r="A86" s="36">
        <v>83</v>
      </c>
      <c r="B86" s="37"/>
      <c r="C86" s="37" t="s">
        <v>234</v>
      </c>
      <c r="D86" s="33">
        <v>1386.2</v>
      </c>
      <c r="E86">
        <f t="shared" si="4"/>
        <v>1332.4586734312193</v>
      </c>
      <c r="F86" s="70">
        <f t="shared" si="5"/>
        <v>1354.0040866812196</v>
      </c>
      <c r="G86" s="72">
        <f t="shared" si="6"/>
        <v>32.195913318780413</v>
      </c>
    </row>
    <row r="87" spans="1:7">
      <c r="A87" s="36">
        <v>84</v>
      </c>
      <c r="B87" s="37"/>
      <c r="C87" s="37" t="s">
        <v>235</v>
      </c>
      <c r="D87" s="33">
        <v>1302.5</v>
      </c>
      <c r="E87">
        <f t="shared" si="4"/>
        <v>1335.246640746419</v>
      </c>
      <c r="F87" s="70">
        <f t="shared" si="5"/>
        <v>1317.2370938154361</v>
      </c>
      <c r="G87" s="72">
        <f t="shared" si="6"/>
        <v>-14.737093815436083</v>
      </c>
    </row>
    <row r="88" spans="1:7">
      <c r="A88" s="36">
        <v>85</v>
      </c>
      <c r="B88" s="37">
        <v>2012</v>
      </c>
      <c r="C88" s="37" t="s">
        <v>222</v>
      </c>
      <c r="D88" s="33">
        <v>1202.5999999999999</v>
      </c>
      <c r="E88">
        <f t="shared" si="4"/>
        <v>1338.0346080616187</v>
      </c>
      <c r="F88" s="70">
        <f t="shared" si="5"/>
        <v>1278.7262317272416</v>
      </c>
      <c r="G88" s="72">
        <f t="shared" si="6"/>
        <v>-76.126231727241702</v>
      </c>
    </row>
    <row r="89" spans="1:7">
      <c r="A89" s="36">
        <v>86</v>
      </c>
      <c r="B89" s="37"/>
      <c r="C89" s="37" t="s">
        <v>224</v>
      </c>
      <c r="D89" s="33">
        <v>1344.4</v>
      </c>
      <c r="E89">
        <f t="shared" si="4"/>
        <v>1340.8225753768183</v>
      </c>
      <c r="F89" s="70">
        <f t="shared" si="5"/>
        <v>1271.2482787363658</v>
      </c>
      <c r="G89" s="72">
        <f t="shared" si="6"/>
        <v>73.151721263634272</v>
      </c>
    </row>
    <row r="90" spans="1:7">
      <c r="A90" s="36">
        <v>87</v>
      </c>
      <c r="B90" s="37"/>
      <c r="C90" s="37" t="s">
        <v>225</v>
      </c>
      <c r="D90" s="33">
        <v>1291.5</v>
      </c>
      <c r="E90">
        <f t="shared" si="4"/>
        <v>1343.610542692018</v>
      </c>
      <c r="F90" s="70">
        <f t="shared" si="5"/>
        <v>1278.3765442378547</v>
      </c>
      <c r="G90" s="72">
        <f t="shared" si="6"/>
        <v>13.12345576214534</v>
      </c>
    </row>
    <row r="91" spans="1:7">
      <c r="A91" s="36">
        <v>88</v>
      </c>
      <c r="B91" s="37"/>
      <c r="C91" s="37" t="s">
        <v>226</v>
      </c>
      <c r="D91" s="33">
        <v>1391.3</v>
      </c>
      <c r="E91">
        <f t="shared" si="4"/>
        <v>1346.3985100072177</v>
      </c>
      <c r="F91" s="70">
        <f t="shared" si="5"/>
        <v>1330.8678072178179</v>
      </c>
      <c r="G91" s="72">
        <f t="shared" si="6"/>
        <v>60.432192782182028</v>
      </c>
    </row>
    <row r="92" spans="1:7">
      <c r="A92" s="36">
        <v>89</v>
      </c>
      <c r="B92" s="37"/>
      <c r="C92" s="37" t="s">
        <v>228</v>
      </c>
      <c r="D92" s="33">
        <v>1388.1</v>
      </c>
      <c r="E92">
        <f t="shared" si="4"/>
        <v>1349.1864773224174</v>
      </c>
      <c r="F92" s="70">
        <f t="shared" si="5"/>
        <v>1346.5552505429387</v>
      </c>
      <c r="G92" s="72">
        <f t="shared" si="6"/>
        <v>41.544749457061243</v>
      </c>
    </row>
    <row r="93" spans="1:7">
      <c r="A93" s="36">
        <v>90</v>
      </c>
      <c r="B93" s="37"/>
      <c r="C93" s="37" t="s">
        <v>229</v>
      </c>
      <c r="D93" s="33">
        <v>1391.2</v>
      </c>
      <c r="E93">
        <f t="shared" si="4"/>
        <v>1351.9744446376171</v>
      </c>
      <c r="F93" s="70">
        <f t="shared" si="5"/>
        <v>1384.3114512196851</v>
      </c>
      <c r="G93" s="72">
        <f t="shared" si="6"/>
        <v>6.8885487803149772</v>
      </c>
    </row>
    <row r="94" spans="1:7">
      <c r="A94" s="36">
        <v>91</v>
      </c>
      <c r="B94" s="37"/>
      <c r="C94" s="37" t="s">
        <v>230</v>
      </c>
      <c r="D94" s="33">
        <v>1375.8</v>
      </c>
      <c r="E94">
        <f t="shared" si="4"/>
        <v>1354.7624119528168</v>
      </c>
      <c r="F94" s="70">
        <f t="shared" si="5"/>
        <v>1359.8271950554422</v>
      </c>
      <c r="G94" s="72">
        <f t="shared" si="6"/>
        <v>15.972804944557765</v>
      </c>
    </row>
    <row r="95" spans="1:7">
      <c r="A95" s="36">
        <v>92</v>
      </c>
      <c r="B95" s="37"/>
      <c r="C95" s="37" t="s">
        <v>231</v>
      </c>
      <c r="D95" s="33">
        <v>1443.2</v>
      </c>
      <c r="E95">
        <f t="shared" si="4"/>
        <v>1357.5503792680165</v>
      </c>
      <c r="F95" s="70">
        <f t="shared" si="5"/>
        <v>1403.0581540987951</v>
      </c>
      <c r="G95" s="72">
        <f t="shared" si="6"/>
        <v>40.141845901204988</v>
      </c>
    </row>
    <row r="96" spans="1:7">
      <c r="A96" s="36">
        <v>93</v>
      </c>
      <c r="B96" s="37"/>
      <c r="C96" s="37" t="s">
        <v>232</v>
      </c>
      <c r="D96" s="33">
        <v>1401.3</v>
      </c>
      <c r="E96">
        <f t="shared" si="4"/>
        <v>1360.3383465832162</v>
      </c>
      <c r="F96" s="70">
        <f t="shared" si="5"/>
        <v>1366.9203820173418</v>
      </c>
      <c r="G96" s="72">
        <f t="shared" si="6"/>
        <v>34.379617982658147</v>
      </c>
    </row>
    <row r="97" spans="1:7">
      <c r="A97" s="36">
        <v>94</v>
      </c>
      <c r="B97" s="37"/>
      <c r="C97" s="37" t="s">
        <v>233</v>
      </c>
      <c r="D97" s="33">
        <v>1378.7</v>
      </c>
      <c r="E97">
        <f t="shared" si="4"/>
        <v>1363.1263138984159</v>
      </c>
      <c r="F97" s="70">
        <f t="shared" si="5"/>
        <v>1370.0732235863811</v>
      </c>
      <c r="G97" s="72">
        <f t="shared" si="6"/>
        <v>8.6267764136189271</v>
      </c>
    </row>
    <row r="98" spans="1:7">
      <c r="A98" s="36">
        <v>95</v>
      </c>
      <c r="B98" s="37"/>
      <c r="C98" s="37" t="s">
        <v>234</v>
      </c>
      <c r="D98" s="33">
        <v>1378.8</v>
      </c>
      <c r="E98">
        <f t="shared" si="4"/>
        <v>1365.9142812136156</v>
      </c>
      <c r="F98" s="70">
        <f t="shared" si="5"/>
        <v>1388.0006605059964</v>
      </c>
      <c r="G98" s="72">
        <f t="shared" si="6"/>
        <v>-9.2006605059964386</v>
      </c>
    </row>
    <row r="99" spans="1:7">
      <c r="A99" s="36">
        <v>96</v>
      </c>
      <c r="B99" s="37"/>
      <c r="C99" s="37" t="s">
        <v>235</v>
      </c>
      <c r="D99" s="33">
        <v>1378.9</v>
      </c>
      <c r="E99">
        <f t="shared" si="4"/>
        <v>1368.7022485288153</v>
      </c>
      <c r="F99" s="70">
        <f t="shared" si="5"/>
        <v>1350.2414588685303</v>
      </c>
      <c r="G99" s="72">
        <f t="shared" si="6"/>
        <v>28.658541131469747</v>
      </c>
    </row>
    <row r="100" spans="1:7">
      <c r="A100" s="36">
        <v>97</v>
      </c>
      <c r="B100" s="37">
        <v>2013</v>
      </c>
      <c r="C100" s="37" t="s">
        <v>222</v>
      </c>
      <c r="D100" s="33">
        <v>1383.3</v>
      </c>
      <c r="E100">
        <f t="shared" si="4"/>
        <v>1371.490215844015</v>
      </c>
      <c r="F100" s="70">
        <f t="shared" si="5"/>
        <v>1310.6989198864092</v>
      </c>
      <c r="G100" s="72">
        <f t="shared" si="6"/>
        <v>72.601080113590797</v>
      </c>
    </row>
    <row r="101" spans="1:7">
      <c r="A101" s="36">
        <v>98</v>
      </c>
      <c r="B101" s="37"/>
      <c r="C101" s="37" t="s">
        <v>224</v>
      </c>
      <c r="D101" s="33">
        <v>1283.3</v>
      </c>
      <c r="E101">
        <f t="shared" si="4"/>
        <v>1374.2781831592147</v>
      </c>
      <c r="F101" s="70">
        <f t="shared" si="5"/>
        <v>1302.9678996530242</v>
      </c>
      <c r="G101" s="72">
        <f t="shared" si="6"/>
        <v>-19.667899653024278</v>
      </c>
    </row>
    <row r="102" spans="1:7">
      <c r="A102" s="36">
        <v>99</v>
      </c>
      <c r="B102" s="37"/>
      <c r="C102" s="37" t="s">
        <v>225</v>
      </c>
      <c r="D102" s="33">
        <v>1291.0999999999999</v>
      </c>
      <c r="E102">
        <f t="shared" si="4"/>
        <v>1377.0661504744144</v>
      </c>
      <c r="F102" s="70">
        <f t="shared" si="5"/>
        <v>1310.2078397682892</v>
      </c>
      <c r="G102" s="72">
        <f t="shared" si="6"/>
        <v>-19.107839768289296</v>
      </c>
    </row>
    <row r="103" spans="1:7">
      <c r="A103" s="36">
        <v>100</v>
      </c>
      <c r="B103" s="37"/>
      <c r="C103" s="37" t="s">
        <v>226</v>
      </c>
      <c r="D103" s="33">
        <v>1406.5</v>
      </c>
      <c r="E103">
        <f t="shared" si="4"/>
        <v>1379.8541177896141</v>
      </c>
      <c r="F103" s="70">
        <f t="shared" si="5"/>
        <v>1363.937504664422</v>
      </c>
      <c r="G103" s="72">
        <f t="shared" si="6"/>
        <v>42.562495335577978</v>
      </c>
    </row>
    <row r="104" spans="1:7">
      <c r="A104" s="36">
        <v>101</v>
      </c>
      <c r="B104" s="37"/>
      <c r="C104" s="37" t="s">
        <v>228</v>
      </c>
      <c r="D104" s="33">
        <v>1400.9</v>
      </c>
      <c r="E104">
        <f t="shared" si="4"/>
        <v>1382.6420851048138</v>
      </c>
      <c r="F104" s="70">
        <f t="shared" si="5"/>
        <v>1379.9456121250505</v>
      </c>
      <c r="G104" s="72">
        <f t="shared" si="6"/>
        <v>20.954387874949589</v>
      </c>
    </row>
    <row r="105" spans="1:7">
      <c r="A105" s="36">
        <v>102</v>
      </c>
      <c r="B105" s="37"/>
      <c r="C105" s="37" t="s">
        <v>229</v>
      </c>
      <c r="D105" s="33">
        <v>1412.7</v>
      </c>
      <c r="E105">
        <f t="shared" si="4"/>
        <v>1385.4300524200135</v>
      </c>
      <c r="F105" s="70">
        <f t="shared" si="5"/>
        <v>1418.567262151895</v>
      </c>
      <c r="G105" s="72">
        <f t="shared" si="6"/>
        <v>-5.86726215189492</v>
      </c>
    </row>
    <row r="106" spans="1:7">
      <c r="A106" s="36">
        <v>103</v>
      </c>
      <c r="B106" s="37"/>
      <c r="C106" s="37" t="s">
        <v>230</v>
      </c>
      <c r="D106" s="33">
        <v>1466.6</v>
      </c>
      <c r="E106">
        <f t="shared" si="4"/>
        <v>1388.2180197352131</v>
      </c>
      <c r="F106" s="70">
        <f t="shared" si="5"/>
        <v>1393.4078767220042</v>
      </c>
      <c r="G106" s="72">
        <f t="shared" si="6"/>
        <v>73.192123277995734</v>
      </c>
    </row>
    <row r="107" spans="1:7">
      <c r="A107" s="36">
        <v>104</v>
      </c>
      <c r="B107" s="37"/>
      <c r="C107" s="37" t="s">
        <v>231</v>
      </c>
      <c r="D107" s="33">
        <v>1423.7</v>
      </c>
      <c r="E107">
        <f t="shared" si="4"/>
        <v>1391.0059870504128</v>
      </c>
      <c r="F107" s="70">
        <f t="shared" si="5"/>
        <v>1437.6352600510118</v>
      </c>
      <c r="G107" s="72">
        <f t="shared" si="6"/>
        <v>-13.93526005101171</v>
      </c>
    </row>
    <row r="108" spans="1:7">
      <c r="A108" s="36">
        <v>105</v>
      </c>
      <c r="B108" s="37"/>
      <c r="C108" s="37" t="s">
        <v>232</v>
      </c>
      <c r="D108" s="33">
        <v>1411.2</v>
      </c>
      <c r="E108">
        <f t="shared" si="4"/>
        <v>1393.7939543656128</v>
      </c>
      <c r="F108" s="70">
        <f t="shared" si="5"/>
        <v>1400.5378657010147</v>
      </c>
      <c r="G108" s="72">
        <f t="shared" si="6"/>
        <v>10.662134298985393</v>
      </c>
    </row>
    <row r="109" spans="1:7">
      <c r="A109" s="36">
        <v>106</v>
      </c>
      <c r="B109" s="37"/>
      <c r="C109" s="37" t="s">
        <v>233</v>
      </c>
      <c r="D109" s="33">
        <v>1411</v>
      </c>
      <c r="E109">
        <f t="shared" si="4"/>
        <v>1396.5819216808125</v>
      </c>
      <c r="F109" s="70">
        <f t="shared" si="5"/>
        <v>1403.6993314049448</v>
      </c>
      <c r="G109" s="72">
        <f t="shared" si="6"/>
        <v>7.3006685950551855</v>
      </c>
    </row>
    <row r="110" spans="1:7">
      <c r="A110" s="36">
        <v>107</v>
      </c>
      <c r="B110" s="37"/>
      <c r="C110" s="37" t="s">
        <v>234</v>
      </c>
      <c r="D110" s="33">
        <v>1447.4</v>
      </c>
      <c r="E110">
        <f t="shared" si="4"/>
        <v>1399.3698889960122</v>
      </c>
      <c r="F110" s="70">
        <f t="shared" si="5"/>
        <v>1421.9972343307734</v>
      </c>
      <c r="G110" s="72">
        <f t="shared" si="6"/>
        <v>25.40276566922671</v>
      </c>
    </row>
    <row r="111" spans="1:7">
      <c r="A111" s="36">
        <v>108</v>
      </c>
      <c r="B111" s="37"/>
      <c r="C111" s="37" t="s">
        <v>235</v>
      </c>
      <c r="D111" s="33">
        <v>1381.1</v>
      </c>
      <c r="E111">
        <f t="shared" si="4"/>
        <v>1402.1578563112118</v>
      </c>
      <c r="F111" s="70">
        <f t="shared" si="5"/>
        <v>1383.2458239216251</v>
      </c>
      <c r="G111" s="72">
        <f t="shared" si="6"/>
        <v>-2.1458239216251513</v>
      </c>
    </row>
    <row r="112" spans="1:7">
      <c r="A112" s="36">
        <v>109</v>
      </c>
      <c r="B112" s="37">
        <v>2014</v>
      </c>
      <c r="C112" s="37" t="s">
        <v>222</v>
      </c>
      <c r="D112" s="33">
        <v>1354</v>
      </c>
      <c r="E112">
        <f t="shared" si="4"/>
        <v>1404.9458236264115</v>
      </c>
      <c r="F112" s="70">
        <f t="shared" si="5"/>
        <v>1342.6716080455772</v>
      </c>
      <c r="G112" s="72">
        <f t="shared" si="6"/>
        <v>11.328391954422841</v>
      </c>
    </row>
    <row r="113" spans="1:7">
      <c r="A113" s="36">
        <v>110</v>
      </c>
      <c r="B113" s="37"/>
      <c r="C113" s="37" t="s">
        <v>224</v>
      </c>
      <c r="D113" s="33">
        <v>1370.3</v>
      </c>
      <c r="E113">
        <f t="shared" si="4"/>
        <v>1407.7337909416112</v>
      </c>
      <c r="F113" s="70">
        <f t="shared" si="5"/>
        <v>1334.6875205696829</v>
      </c>
      <c r="G113" s="72">
        <f t="shared" si="6"/>
        <v>35.61247943031708</v>
      </c>
    </row>
    <row r="114" spans="1:7">
      <c r="A114" s="36">
        <v>111</v>
      </c>
      <c r="B114" s="37"/>
      <c r="C114" s="37" t="s">
        <v>225</v>
      </c>
      <c r="D114" s="33">
        <v>1316.5</v>
      </c>
      <c r="E114">
        <f t="shared" si="4"/>
        <v>1410.5217582568109</v>
      </c>
      <c r="F114" s="70">
        <f t="shared" si="5"/>
        <v>1342.0391352987237</v>
      </c>
      <c r="G114" s="72">
        <f t="shared" si="6"/>
        <v>-25.53913529872375</v>
      </c>
    </row>
    <row r="115" spans="1:7">
      <c r="A115" s="36">
        <v>112</v>
      </c>
      <c r="B115" s="37"/>
      <c r="C115" s="37" t="s">
        <v>226</v>
      </c>
      <c r="D115" s="33">
        <v>1416.3</v>
      </c>
      <c r="E115">
        <f t="shared" si="4"/>
        <v>1413.3097255720106</v>
      </c>
      <c r="F115" s="70">
        <f t="shared" si="5"/>
        <v>1397.0072021110263</v>
      </c>
      <c r="G115" s="72">
        <f t="shared" si="6"/>
        <v>19.29279788897361</v>
      </c>
    </row>
    <row r="116" spans="1:7">
      <c r="A116" s="36">
        <v>113</v>
      </c>
      <c r="B116" s="37"/>
      <c r="C116" s="37" t="s">
        <v>228</v>
      </c>
      <c r="D116" s="33">
        <v>1416.9</v>
      </c>
      <c r="E116">
        <f t="shared" si="4"/>
        <v>1416.0976928872103</v>
      </c>
      <c r="F116" s="70">
        <f t="shared" si="5"/>
        <v>1413.3359737071623</v>
      </c>
      <c r="G116" s="72">
        <f t="shared" si="6"/>
        <v>3.5640262928377524</v>
      </c>
    </row>
    <row r="117" spans="1:7">
      <c r="A117" s="36">
        <v>114</v>
      </c>
      <c r="B117" s="37"/>
      <c r="C117" s="37" t="s">
        <v>229</v>
      </c>
      <c r="D117" s="33">
        <v>1447.2</v>
      </c>
      <c r="E117">
        <f t="shared" si="4"/>
        <v>1418.88566020241</v>
      </c>
      <c r="F117" s="70">
        <f t="shared" si="5"/>
        <v>1452.8230730841051</v>
      </c>
      <c r="G117" s="72">
        <f t="shared" si="6"/>
        <v>-5.6230730841050445</v>
      </c>
    </row>
    <row r="118" spans="1:7">
      <c r="A118" s="36">
        <v>115</v>
      </c>
      <c r="B118" s="37"/>
      <c r="C118" s="37" t="s">
        <v>230</v>
      </c>
      <c r="D118" s="33">
        <v>1451.6</v>
      </c>
      <c r="E118">
        <f t="shared" si="4"/>
        <v>1421.6736275176097</v>
      </c>
      <c r="F118" s="70">
        <f t="shared" si="5"/>
        <v>1426.9885583885662</v>
      </c>
      <c r="G118" s="72">
        <f t="shared" si="6"/>
        <v>24.611441611433747</v>
      </c>
    </row>
    <row r="119" spans="1:7">
      <c r="A119" s="36">
        <v>116</v>
      </c>
      <c r="B119" s="37"/>
      <c r="C119" s="37" t="s">
        <v>231</v>
      </c>
      <c r="D119" s="33">
        <v>1486.1</v>
      </c>
      <c r="E119">
        <f t="shared" si="4"/>
        <v>1424.4615948328094</v>
      </c>
      <c r="F119" s="70">
        <f t="shared" si="5"/>
        <v>1472.2123660032287</v>
      </c>
      <c r="G119" s="72">
        <f t="shared" si="6"/>
        <v>13.887633996771228</v>
      </c>
    </row>
    <row r="120" spans="1:7">
      <c r="A120" s="36">
        <v>117</v>
      </c>
      <c r="B120" s="37"/>
      <c r="C120" s="37" t="s">
        <v>232</v>
      </c>
      <c r="D120" s="33">
        <v>1447.1</v>
      </c>
      <c r="E120">
        <f t="shared" si="4"/>
        <v>1427.2495621480091</v>
      </c>
      <c r="F120" s="70">
        <f t="shared" si="5"/>
        <v>1434.1553493846873</v>
      </c>
      <c r="G120" s="72">
        <f t="shared" si="6"/>
        <v>12.944650615312639</v>
      </c>
    </row>
    <row r="121" spans="1:7">
      <c r="A121" s="36">
        <v>118</v>
      </c>
      <c r="B121" s="37"/>
      <c r="C121" s="37" t="s">
        <v>233</v>
      </c>
      <c r="D121" s="33">
        <v>1458</v>
      </c>
      <c r="E121">
        <f t="shared" si="4"/>
        <v>1430.0375294632088</v>
      </c>
      <c r="F121" s="70">
        <f t="shared" si="5"/>
        <v>1437.3254392235085</v>
      </c>
      <c r="G121" s="72">
        <f t="shared" si="6"/>
        <v>20.674560776491489</v>
      </c>
    </row>
    <row r="122" spans="1:7">
      <c r="A122" s="36">
        <v>119</v>
      </c>
      <c r="B122" s="37"/>
      <c r="C122" s="37" t="s">
        <v>234</v>
      </c>
      <c r="D122" s="33">
        <v>1457.4</v>
      </c>
      <c r="E122">
        <f t="shared" si="4"/>
        <v>1432.8254967784085</v>
      </c>
      <c r="F122" s="70">
        <f t="shared" si="5"/>
        <v>1455.9938081555504</v>
      </c>
      <c r="G122" s="72">
        <f t="shared" si="6"/>
        <v>1.4061918444497223</v>
      </c>
    </row>
    <row r="123" spans="1:7">
      <c r="A123" s="36">
        <v>120</v>
      </c>
      <c r="B123" s="37"/>
      <c r="C123" s="37" t="s">
        <v>235</v>
      </c>
      <c r="D123" s="33">
        <v>1425.1</v>
      </c>
      <c r="E123">
        <f t="shared" si="4"/>
        <v>1435.6134640936082</v>
      </c>
      <c r="F123" s="70">
        <f t="shared" si="5"/>
        <v>1416.2501889747195</v>
      </c>
      <c r="G123" s="72">
        <f t="shared" si="6"/>
        <v>8.8498110252803599</v>
      </c>
    </row>
    <row r="124" spans="1:7">
      <c r="A124" s="36">
        <v>121</v>
      </c>
      <c r="B124" s="37">
        <v>2015</v>
      </c>
      <c r="C124" s="37" t="s">
        <v>222</v>
      </c>
      <c r="D124" s="33">
        <v>1412.2</v>
      </c>
      <c r="E124">
        <f t="shared" si="4"/>
        <v>1438.4014314088079</v>
      </c>
      <c r="F124" s="70">
        <f t="shared" si="5"/>
        <v>1374.6442962047447</v>
      </c>
      <c r="G124" s="72">
        <f t="shared" si="6"/>
        <v>37.55570379525534</v>
      </c>
    </row>
    <row r="125" spans="1:7">
      <c r="A125" s="36">
        <v>122</v>
      </c>
      <c r="B125" s="37"/>
      <c r="C125" s="37" t="s">
        <v>224</v>
      </c>
      <c r="D125" s="33">
        <v>1335.3</v>
      </c>
      <c r="E125">
        <f t="shared" si="4"/>
        <v>1441.1893987240076</v>
      </c>
      <c r="F125" s="70">
        <f t="shared" si="5"/>
        <v>1366.4071414863413</v>
      </c>
      <c r="G125" s="72">
        <f t="shared" si="6"/>
        <v>-31.107141486341334</v>
      </c>
    </row>
    <row r="126" spans="1:7">
      <c r="A126" s="36">
        <v>123</v>
      </c>
      <c r="B126" s="37"/>
      <c r="C126" s="37" t="s">
        <v>225</v>
      </c>
      <c r="D126" s="33">
        <v>1386.4</v>
      </c>
      <c r="E126">
        <f t="shared" si="4"/>
        <v>1443.9773660392073</v>
      </c>
      <c r="F126" s="70">
        <f t="shared" si="5"/>
        <v>1373.8704308291581</v>
      </c>
      <c r="G126" s="72">
        <f t="shared" si="6"/>
        <v>12.529569170842024</v>
      </c>
    </row>
    <row r="127" spans="1:7">
      <c r="A127" s="36">
        <v>124</v>
      </c>
      <c r="B127" s="37"/>
      <c r="C127" s="37" t="s">
        <v>226</v>
      </c>
      <c r="D127" s="33">
        <v>1455.8</v>
      </c>
      <c r="E127">
        <f t="shared" si="4"/>
        <v>1446.7653333544069</v>
      </c>
      <c r="F127" s="70">
        <f t="shared" si="5"/>
        <v>1430.0768995576304</v>
      </c>
      <c r="G127" s="72">
        <f t="shared" si="6"/>
        <v>25.723100442369514</v>
      </c>
    </row>
    <row r="128" spans="1:7">
      <c r="A128" s="36">
        <v>125</v>
      </c>
      <c r="B128" s="37"/>
      <c r="C128" s="37" t="s">
        <v>228</v>
      </c>
      <c r="D128" s="33">
        <v>1467.5</v>
      </c>
      <c r="E128">
        <f t="shared" si="4"/>
        <v>1449.5533006696066</v>
      </c>
      <c r="F128" s="70">
        <f t="shared" si="5"/>
        <v>1446.7263352892739</v>
      </c>
      <c r="G128" s="72">
        <f t="shared" si="6"/>
        <v>20.773664710726052</v>
      </c>
    </row>
    <row r="129" spans="1:7">
      <c r="A129" s="36">
        <v>126</v>
      </c>
      <c r="B129" s="37"/>
      <c r="C129" s="37" t="s">
        <v>229</v>
      </c>
      <c r="D129" s="33">
        <v>1491.5</v>
      </c>
      <c r="E129">
        <f t="shared" si="4"/>
        <v>1452.3412679848063</v>
      </c>
      <c r="F129" s="70">
        <f t="shared" si="5"/>
        <v>1487.078884016315</v>
      </c>
      <c r="G129" s="72">
        <f t="shared" si="6"/>
        <v>4.4211159836850129</v>
      </c>
    </row>
    <row r="130" spans="1:7">
      <c r="A130" s="36">
        <v>127</v>
      </c>
      <c r="B130" s="37"/>
      <c r="C130" s="37" t="s">
        <v>230</v>
      </c>
      <c r="D130" s="33">
        <v>1475.4</v>
      </c>
      <c r="E130">
        <f t="shared" si="4"/>
        <v>1455.129235300006</v>
      </c>
      <c r="F130" s="70">
        <f t="shared" si="5"/>
        <v>1460.5692400551279</v>
      </c>
      <c r="G130" s="72">
        <f t="shared" si="6"/>
        <v>14.83075994487217</v>
      </c>
    </row>
    <row r="131" spans="1:7">
      <c r="A131" s="36">
        <v>128</v>
      </c>
      <c r="B131" s="37"/>
      <c r="C131" s="37" t="s">
        <v>231</v>
      </c>
      <c r="D131" s="33">
        <v>1520.4</v>
      </c>
      <c r="E131">
        <f t="shared" si="4"/>
        <v>1457.9172026152057</v>
      </c>
      <c r="F131" s="70">
        <f t="shared" si="5"/>
        <v>1506.7894719554456</v>
      </c>
      <c r="G131" s="72">
        <f t="shared" si="6"/>
        <v>13.610528044554485</v>
      </c>
    </row>
    <row r="132" spans="1:7">
      <c r="A132" s="36">
        <v>129</v>
      </c>
      <c r="B132" s="37"/>
      <c r="C132" s="37" t="s">
        <v>232</v>
      </c>
      <c r="D132" s="33">
        <v>1486</v>
      </c>
      <c r="E132">
        <f t="shared" si="4"/>
        <v>1460.7051699304054</v>
      </c>
      <c r="F132" s="70">
        <f t="shared" si="5"/>
        <v>1467.7728330683601</v>
      </c>
      <c r="G132" s="72">
        <f t="shared" si="6"/>
        <v>18.227166931639886</v>
      </c>
    </row>
    <row r="133" spans="1:7">
      <c r="A133" s="36">
        <v>130</v>
      </c>
      <c r="B133" s="37"/>
      <c r="C133" s="37" t="s">
        <v>233</v>
      </c>
      <c r="D133" s="33">
        <v>1499.6</v>
      </c>
      <c r="E133">
        <f t="shared" ref="E133:E159" si="7">J$3+J$4*A133</f>
        <v>1463.4931372456051</v>
      </c>
      <c r="F133" s="70">
        <f t="shared" ref="F133:F159" si="8">VLOOKUP(C133,I$8:J$19,2,FALSE)*E133</f>
        <v>1470.9515470420722</v>
      </c>
      <c r="G133" s="72">
        <f t="shared" ref="G133:G159" si="9">D133-F133</f>
        <v>28.648452957927702</v>
      </c>
    </row>
    <row r="134" spans="1:7">
      <c r="A134" s="36">
        <v>131</v>
      </c>
      <c r="B134" s="37"/>
      <c r="C134" s="37" t="s">
        <v>234</v>
      </c>
      <c r="D134" s="33">
        <v>1506.2</v>
      </c>
      <c r="E134">
        <f t="shared" si="7"/>
        <v>1466.2811045608048</v>
      </c>
      <c r="F134" s="70">
        <f t="shared" si="8"/>
        <v>1489.9903819803271</v>
      </c>
      <c r="G134" s="72">
        <f t="shared" si="9"/>
        <v>16.209618019672916</v>
      </c>
    </row>
    <row r="135" spans="1:7">
      <c r="A135" s="36">
        <v>132</v>
      </c>
      <c r="B135" s="37"/>
      <c r="C135" s="37" t="s">
        <v>235</v>
      </c>
      <c r="D135" s="33">
        <v>1444.7</v>
      </c>
      <c r="E135">
        <f t="shared" si="7"/>
        <v>1469.0690718760045</v>
      </c>
      <c r="F135" s="70">
        <f t="shared" si="8"/>
        <v>1449.2545540278138</v>
      </c>
      <c r="G135" s="72">
        <f t="shared" si="9"/>
        <v>-4.5545540278137651</v>
      </c>
    </row>
    <row r="136" spans="1:7">
      <c r="A136" s="36">
        <v>133</v>
      </c>
      <c r="B136" s="37">
        <v>2016</v>
      </c>
      <c r="C136" s="37" t="s">
        <v>222</v>
      </c>
      <c r="D136" s="33">
        <v>1419.1</v>
      </c>
      <c r="E136">
        <f t="shared" si="7"/>
        <v>1471.8570391912042</v>
      </c>
      <c r="F136" s="70">
        <f t="shared" si="8"/>
        <v>1406.6169843639125</v>
      </c>
      <c r="G136" s="72">
        <f t="shared" si="9"/>
        <v>12.48301563608743</v>
      </c>
    </row>
    <row r="137" spans="1:7">
      <c r="A137" s="36">
        <v>134</v>
      </c>
      <c r="B137" s="37"/>
      <c r="C137" s="37" t="s">
        <v>224</v>
      </c>
      <c r="D137" s="33">
        <v>1449</v>
      </c>
      <c r="E137">
        <f t="shared" si="7"/>
        <v>1474.6450065064039</v>
      </c>
      <c r="F137" s="70">
        <f t="shared" si="8"/>
        <v>1398.1267624029997</v>
      </c>
      <c r="G137" s="72">
        <f t="shared" si="9"/>
        <v>50.873237597000298</v>
      </c>
    </row>
    <row r="138" spans="1:7">
      <c r="A138" s="36">
        <v>135</v>
      </c>
      <c r="B138" s="37"/>
      <c r="C138" s="37" t="s">
        <v>225</v>
      </c>
      <c r="D138" s="33">
        <v>1383.4</v>
      </c>
      <c r="E138">
        <f t="shared" si="7"/>
        <v>1477.4329738216036</v>
      </c>
      <c r="F138" s="70">
        <f t="shared" si="8"/>
        <v>1405.7017263595924</v>
      </c>
      <c r="G138" s="72">
        <f t="shared" si="9"/>
        <v>-22.301726359592294</v>
      </c>
    </row>
    <row r="139" spans="1:7">
      <c r="A139" s="36">
        <v>136</v>
      </c>
      <c r="B139" s="37"/>
      <c r="C139" s="37" t="s">
        <v>226</v>
      </c>
      <c r="D139" s="33">
        <v>1504.2</v>
      </c>
      <c r="E139">
        <f t="shared" si="7"/>
        <v>1480.2209411368033</v>
      </c>
      <c r="F139" s="70">
        <f t="shared" si="8"/>
        <v>1463.1465970042343</v>
      </c>
      <c r="G139" s="72">
        <f t="shared" si="9"/>
        <v>41.053402995765737</v>
      </c>
    </row>
    <row r="140" spans="1:7">
      <c r="A140" s="36">
        <v>137</v>
      </c>
      <c r="B140" s="37"/>
      <c r="C140" s="37" t="s">
        <v>228</v>
      </c>
      <c r="D140" s="33">
        <v>1490.3</v>
      </c>
      <c r="E140">
        <f t="shared" si="7"/>
        <v>1483.008908452003</v>
      </c>
      <c r="F140" s="70">
        <f t="shared" si="8"/>
        <v>1480.1166968713856</v>
      </c>
      <c r="G140" s="72">
        <f t="shared" si="9"/>
        <v>10.183303128614398</v>
      </c>
    </row>
    <row r="141" spans="1:7">
      <c r="A141" s="36">
        <v>138</v>
      </c>
      <c r="B141" s="37"/>
      <c r="C141" s="37" t="s">
        <v>229</v>
      </c>
      <c r="D141" s="33">
        <v>1536.4</v>
      </c>
      <c r="E141">
        <f t="shared" si="7"/>
        <v>1485.7968757672027</v>
      </c>
      <c r="F141" s="70">
        <f t="shared" si="8"/>
        <v>1521.3346949485249</v>
      </c>
      <c r="G141" s="72">
        <f t="shared" si="9"/>
        <v>15.065305051475207</v>
      </c>
    </row>
    <row r="142" spans="1:7">
      <c r="A142" s="36">
        <v>139</v>
      </c>
      <c r="B142" s="37"/>
      <c r="C142" s="37" t="s">
        <v>230</v>
      </c>
      <c r="D142" s="33">
        <v>1449.7</v>
      </c>
      <c r="E142">
        <f t="shared" si="7"/>
        <v>1488.5848430824024</v>
      </c>
      <c r="F142" s="70">
        <f t="shared" si="8"/>
        <v>1494.1499217216897</v>
      </c>
      <c r="G142" s="72">
        <f t="shared" si="9"/>
        <v>-44.449921721689634</v>
      </c>
    </row>
    <row r="143" spans="1:7">
      <c r="A143" s="36">
        <v>140</v>
      </c>
      <c r="B143" s="37"/>
      <c r="C143" s="37" t="s">
        <v>231</v>
      </c>
      <c r="D143" s="33">
        <v>1533.2</v>
      </c>
      <c r="E143">
        <f t="shared" si="7"/>
        <v>1491.3728103976021</v>
      </c>
      <c r="F143" s="70">
        <f t="shared" si="8"/>
        <v>1541.3665779076623</v>
      </c>
      <c r="G143" s="72">
        <f t="shared" si="9"/>
        <v>-8.1665779076622584</v>
      </c>
    </row>
    <row r="144" spans="1:7">
      <c r="A144" s="36">
        <v>141</v>
      </c>
      <c r="B144" s="37"/>
      <c r="C144" s="37" t="s">
        <v>232</v>
      </c>
      <c r="D144" s="33">
        <v>1464.3</v>
      </c>
      <c r="E144">
        <f t="shared" si="7"/>
        <v>1494.1607777128017</v>
      </c>
      <c r="F144" s="70">
        <f t="shared" si="8"/>
        <v>1501.3903167520327</v>
      </c>
      <c r="G144" s="72">
        <f t="shared" si="9"/>
        <v>-37.090316752032777</v>
      </c>
    </row>
    <row r="145" spans="1:7">
      <c r="A145" s="36">
        <v>142</v>
      </c>
      <c r="B145" s="37"/>
      <c r="C145" s="37" t="s">
        <v>233</v>
      </c>
      <c r="D145" s="33">
        <v>1493.2</v>
      </c>
      <c r="E145">
        <f t="shared" si="7"/>
        <v>1496.9487450280014</v>
      </c>
      <c r="F145" s="70">
        <f t="shared" si="8"/>
        <v>1504.5776548606359</v>
      </c>
      <c r="G145" s="72">
        <f t="shared" si="9"/>
        <v>-11.377654860635857</v>
      </c>
    </row>
    <row r="146" spans="1:7">
      <c r="A146" s="36">
        <v>143</v>
      </c>
      <c r="B146" s="37"/>
      <c r="C146" s="37" t="s">
        <v>234</v>
      </c>
      <c r="D146" s="33">
        <v>1504.4</v>
      </c>
      <c r="E146">
        <f t="shared" si="7"/>
        <v>1499.7367123432011</v>
      </c>
      <c r="F146" s="70">
        <f t="shared" si="8"/>
        <v>1523.9869558051039</v>
      </c>
      <c r="G146" s="72">
        <f t="shared" si="9"/>
        <v>-19.586955805103798</v>
      </c>
    </row>
    <row r="147" spans="1:7">
      <c r="A147" s="36">
        <v>144</v>
      </c>
      <c r="B147" s="37"/>
      <c r="C147" s="37" t="s">
        <v>235</v>
      </c>
      <c r="D147" s="33">
        <v>1471</v>
      </c>
      <c r="E147">
        <f t="shared" si="7"/>
        <v>1502.5246796584008</v>
      </c>
      <c r="F147" s="70">
        <f t="shared" si="8"/>
        <v>1482.2589190809083</v>
      </c>
      <c r="G147" s="72">
        <f t="shared" si="9"/>
        <v>-11.258919080908299</v>
      </c>
    </row>
    <row r="148" spans="1:7">
      <c r="A148" s="36">
        <v>145</v>
      </c>
      <c r="B148" s="37">
        <v>2017</v>
      </c>
      <c r="C148" s="37" t="s">
        <v>222</v>
      </c>
      <c r="D148" s="33">
        <v>1459</v>
      </c>
      <c r="E148">
        <f t="shared" si="7"/>
        <v>1505.3126469736005</v>
      </c>
      <c r="F148" s="70">
        <f t="shared" si="8"/>
        <v>1438.58967252308</v>
      </c>
      <c r="G148" s="72">
        <f t="shared" si="9"/>
        <v>20.410327476919974</v>
      </c>
    </row>
    <row r="149" spans="1:7">
      <c r="A149" s="36">
        <v>146</v>
      </c>
      <c r="B149" s="37"/>
      <c r="C149" s="37" t="s">
        <v>224</v>
      </c>
      <c r="D149" s="33">
        <v>1454.4</v>
      </c>
      <c r="E149">
        <f t="shared" si="7"/>
        <v>1508.1006142888002</v>
      </c>
      <c r="F149" s="70">
        <f t="shared" si="8"/>
        <v>1429.8463833196579</v>
      </c>
      <c r="G149" s="72">
        <f t="shared" si="9"/>
        <v>24.553616680342202</v>
      </c>
    </row>
    <row r="150" spans="1:7">
      <c r="A150" s="36">
        <v>147</v>
      </c>
      <c r="B150" s="37"/>
      <c r="C150" s="37" t="s">
        <v>225</v>
      </c>
      <c r="D150" s="33">
        <v>1441.8</v>
      </c>
      <c r="E150">
        <f t="shared" si="7"/>
        <v>1510.8885816039999</v>
      </c>
      <c r="F150" s="70">
        <f t="shared" si="8"/>
        <v>1437.5330218900267</v>
      </c>
      <c r="G150" s="72">
        <f t="shared" si="9"/>
        <v>4.2669781099732518</v>
      </c>
    </row>
    <row r="151" spans="1:7">
      <c r="A151" s="36">
        <v>148</v>
      </c>
      <c r="B151" s="37"/>
      <c r="C151" s="37" t="s">
        <v>226</v>
      </c>
      <c r="D151" s="33">
        <v>1442.2</v>
      </c>
      <c r="E151">
        <f t="shared" si="7"/>
        <v>1513.6765489191996</v>
      </c>
      <c r="F151" s="70">
        <f t="shared" si="8"/>
        <v>1496.2162944508384</v>
      </c>
      <c r="G151" s="72">
        <f t="shared" si="9"/>
        <v>-54.016294450838359</v>
      </c>
    </row>
    <row r="152" spans="1:7">
      <c r="A152" s="36">
        <v>149</v>
      </c>
      <c r="B152" s="37"/>
      <c r="C152" s="37" t="s">
        <v>228</v>
      </c>
      <c r="D152" s="33">
        <v>1523.6</v>
      </c>
      <c r="E152">
        <f t="shared" si="7"/>
        <v>1516.4645162343993</v>
      </c>
      <c r="F152" s="70">
        <f t="shared" si="8"/>
        <v>1513.5070584534972</v>
      </c>
      <c r="G152" s="72">
        <f t="shared" si="9"/>
        <v>10.092941546502743</v>
      </c>
    </row>
    <row r="153" spans="1:7">
      <c r="A153" s="36">
        <v>150</v>
      </c>
      <c r="B153" s="37"/>
      <c r="C153" s="37" t="s">
        <v>229</v>
      </c>
      <c r="D153" s="33">
        <v>1464.2</v>
      </c>
      <c r="E153">
        <f t="shared" si="7"/>
        <v>1519.252483549599</v>
      </c>
      <c r="F153" s="70">
        <f t="shared" si="8"/>
        <v>1555.5905058807348</v>
      </c>
      <c r="G153" s="72">
        <f t="shared" si="9"/>
        <v>-91.390505880734736</v>
      </c>
    </row>
    <row r="154" spans="1:7">
      <c r="A154" s="36">
        <v>151</v>
      </c>
      <c r="B154" s="37"/>
      <c r="C154" s="37" t="s">
        <v>230</v>
      </c>
      <c r="D154" s="33">
        <v>1507.1</v>
      </c>
      <c r="E154">
        <f t="shared" si="7"/>
        <v>1522.0404508647987</v>
      </c>
      <c r="F154" s="70">
        <f t="shared" si="8"/>
        <v>1527.7306033882517</v>
      </c>
      <c r="G154" s="72">
        <f t="shared" si="9"/>
        <v>-20.630603388251757</v>
      </c>
    </row>
    <row r="155" spans="1:7">
      <c r="A155" s="36">
        <v>152</v>
      </c>
      <c r="B155" s="37"/>
      <c r="C155" s="37" t="s">
        <v>231</v>
      </c>
      <c r="D155" s="33">
        <v>1644.4</v>
      </c>
      <c r="E155">
        <f t="shared" si="7"/>
        <v>1524.8284181799986</v>
      </c>
      <c r="F155" s="70">
        <f t="shared" si="8"/>
        <v>1575.9436838598792</v>
      </c>
      <c r="G155" s="72">
        <f t="shared" si="9"/>
        <v>68.456316140120862</v>
      </c>
    </row>
    <row r="156" spans="1:7">
      <c r="A156" s="36">
        <v>153</v>
      </c>
      <c r="B156" s="37"/>
      <c r="C156" s="37" t="s">
        <v>232</v>
      </c>
      <c r="D156" s="33">
        <v>1527.1</v>
      </c>
      <c r="E156">
        <f t="shared" si="7"/>
        <v>1527.6163854951983</v>
      </c>
      <c r="F156" s="70">
        <f t="shared" si="8"/>
        <v>1535.0078004357056</v>
      </c>
      <c r="G156" s="72">
        <f t="shared" si="9"/>
        <v>-7.907800435705667</v>
      </c>
    </row>
    <row r="157" spans="1:7">
      <c r="A157" s="36">
        <v>154</v>
      </c>
      <c r="B157" s="37"/>
      <c r="C157" s="37" t="s">
        <v>233</v>
      </c>
      <c r="D157" s="33">
        <v>1524</v>
      </c>
      <c r="E157">
        <f t="shared" si="7"/>
        <v>1530.404352810398</v>
      </c>
      <c r="F157" s="70">
        <f t="shared" si="8"/>
        <v>1538.2037626791996</v>
      </c>
      <c r="G157" s="72">
        <f t="shared" si="9"/>
        <v>-14.203762679199599</v>
      </c>
    </row>
    <row r="158" spans="1:7">
      <c r="A158" s="36">
        <v>155</v>
      </c>
      <c r="B158" s="37"/>
      <c r="C158" s="37" t="s">
        <v>234</v>
      </c>
      <c r="D158" s="33">
        <v>1561.6</v>
      </c>
      <c r="E158">
        <f t="shared" si="7"/>
        <v>1533.1923201255977</v>
      </c>
      <c r="F158" s="70">
        <f t="shared" si="8"/>
        <v>1557.9835296298809</v>
      </c>
      <c r="G158" s="72">
        <f t="shared" si="9"/>
        <v>3.6164703701190319</v>
      </c>
    </row>
    <row r="159" spans="1:7">
      <c r="A159" s="36">
        <v>156</v>
      </c>
      <c r="B159" s="37"/>
      <c r="C159" s="37" t="s">
        <v>235</v>
      </c>
      <c r="D159" s="33">
        <v>1513.7</v>
      </c>
      <c r="E159">
        <f t="shared" si="7"/>
        <v>1535.9802874407974</v>
      </c>
      <c r="F159" s="70">
        <f t="shared" si="8"/>
        <v>1515.263284134003</v>
      </c>
      <c r="G159" s="72">
        <f t="shared" si="9"/>
        <v>-1.5632841340029699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4F52E-CC5C-474F-AA0D-AC0B0000C7A4}">
  <sheetPr codeName="Sheet15">
    <tabColor rgb="FF007800"/>
  </sheetPr>
  <dimension ref="B1:J334"/>
  <sheetViews>
    <sheetView showGridLines="0" topLeftCell="A13" zoomScaleNormal="100" workbookViewId="0">
      <selection activeCell="B34" sqref="B34:C34"/>
    </sheetView>
  </sheetViews>
  <sheetFormatPr baseColWidth="10" defaultColWidth="12.5" defaultRowHeight="16"/>
  <cols>
    <col min="1" max="1" width="6.6640625" style="5" customWidth="1"/>
    <col min="2" max="3" width="12.5" style="5"/>
    <col min="4" max="4" width="25.1640625" style="5" bestFit="1" customWidth="1"/>
    <col min="5" max="5" width="12.5" style="5"/>
    <col min="6" max="6" width="14.6640625" style="5" bestFit="1" customWidth="1"/>
    <col min="7" max="16384" width="12.5" style="5"/>
  </cols>
  <sheetData>
    <row r="1" spans="2:7" hidden="1"/>
    <row r="2" spans="2:7" hidden="1"/>
    <row r="3" spans="2:7" hidden="1"/>
    <row r="4" spans="2:7" hidden="1"/>
    <row r="5" spans="2:7" hidden="1"/>
    <row r="6" spans="2:7" hidden="1"/>
    <row r="7" spans="2:7" hidden="1"/>
    <row r="8" spans="2:7" hidden="1"/>
    <row r="9" spans="2:7" hidden="1"/>
    <row r="10" spans="2:7" hidden="1"/>
    <row r="11" spans="2:7" ht="34.25" hidden="1" customHeight="1"/>
    <row r="12" spans="2:7" ht="21" hidden="1" customHeight="1"/>
    <row r="13" spans="2:7" s="126" customFormat="1" ht="48.75" customHeight="1">
      <c r="F13" s="127" t="s">
        <v>276</v>
      </c>
      <c r="G13" s="127" t="s">
        <v>277</v>
      </c>
    </row>
    <row r="15" spans="2:7">
      <c r="B15" s="5" t="s">
        <v>163</v>
      </c>
    </row>
    <row r="16" spans="2:7" ht="17" thickBot="1"/>
    <row r="17" spans="2:9">
      <c r="B17" s="6" t="s">
        <v>164</v>
      </c>
      <c r="C17" s="7" t="s">
        <v>165</v>
      </c>
      <c r="D17" s="7" t="s">
        <v>166</v>
      </c>
      <c r="E17" s="7" t="s">
        <v>167</v>
      </c>
      <c r="F17" s="7" t="s">
        <v>168</v>
      </c>
      <c r="G17" s="7" t="s">
        <v>169</v>
      </c>
      <c r="H17" s="7" t="s">
        <v>170</v>
      </c>
      <c r="I17" s="7" t="s">
        <v>171</v>
      </c>
    </row>
    <row r="18" spans="2:9" ht="17" thickBot="1">
      <c r="B18" s="8" t="s">
        <v>4</v>
      </c>
      <c r="C18" s="9">
        <v>156</v>
      </c>
      <c r="D18" s="9">
        <v>0</v>
      </c>
      <c r="E18" s="9">
        <v>156</v>
      </c>
      <c r="F18" s="10">
        <v>93.3</v>
      </c>
      <c r="G18" s="10">
        <v>247</v>
      </c>
      <c r="H18" s="10">
        <v>167.08333333333343</v>
      </c>
      <c r="I18" s="10">
        <v>46.897334449781063</v>
      </c>
    </row>
    <row r="21" spans="2:9">
      <c r="B21" s="11" t="s">
        <v>270</v>
      </c>
    </row>
    <row r="23" spans="2:9">
      <c r="B23" s="5" t="s">
        <v>271</v>
      </c>
    </row>
    <row r="25" spans="2:9">
      <c r="B25" s="5" t="s">
        <v>174</v>
      </c>
    </row>
    <row r="26" spans="2:9" ht="17" thickBot="1"/>
    <row r="27" spans="2:9">
      <c r="B27" s="12" t="s">
        <v>165</v>
      </c>
      <c r="C27" s="12">
        <v>143</v>
      </c>
    </row>
    <row r="28" spans="2:9">
      <c r="B28" s="13" t="s">
        <v>175</v>
      </c>
      <c r="C28" s="13">
        <v>132</v>
      </c>
    </row>
    <row r="29" spans="2:9">
      <c r="B29" s="13" t="s">
        <v>176</v>
      </c>
      <c r="C29" s="13">
        <v>5087.6487940197994</v>
      </c>
    </row>
    <row r="30" spans="2:9">
      <c r="B30" s="13" t="s">
        <v>177</v>
      </c>
      <c r="C30" s="13">
        <v>35.577963594544052</v>
      </c>
    </row>
    <row r="31" spans="2:9">
      <c r="B31" s="128" t="s">
        <v>178</v>
      </c>
      <c r="C31" s="128">
        <v>5.9647266152392984</v>
      </c>
    </row>
    <row r="32" spans="2:9">
      <c r="B32" s="13" t="s">
        <v>179</v>
      </c>
      <c r="C32" s="13">
        <v>33.840643807466684</v>
      </c>
    </row>
    <row r="33" spans="2:6">
      <c r="B33" s="13" t="s">
        <v>180</v>
      </c>
      <c r="C33" s="13">
        <v>169.88690988039698</v>
      </c>
    </row>
    <row r="34" spans="2:6">
      <c r="B34" s="128" t="s">
        <v>181</v>
      </c>
      <c r="C34" s="128">
        <v>2.2531344660357142</v>
      </c>
    </row>
    <row r="35" spans="2:6">
      <c r="B35" s="13" t="s">
        <v>182</v>
      </c>
      <c r="C35" s="13">
        <v>933.80953458504393</v>
      </c>
    </row>
    <row r="36" spans="2:6">
      <c r="B36" s="13" t="s">
        <v>183</v>
      </c>
      <c r="C36" s="13">
        <v>51.390391858785847</v>
      </c>
    </row>
    <row r="37" spans="2:6">
      <c r="B37" s="13" t="s">
        <v>184</v>
      </c>
      <c r="C37" s="13">
        <v>955.80953458504393</v>
      </c>
    </row>
    <row r="38" spans="2:6">
      <c r="B38" s="13" t="s">
        <v>185</v>
      </c>
      <c r="C38" s="13">
        <v>957.82480176061642</v>
      </c>
    </row>
    <row r="39" spans="2:6">
      <c r="B39" s="13" t="s">
        <v>186</v>
      </c>
      <c r="C39" s="13">
        <v>988.40082551790294</v>
      </c>
    </row>
    <row r="40" spans="2:6" ht="17" thickBot="1">
      <c r="B40" s="14" t="s">
        <v>187</v>
      </c>
      <c r="C40" s="14">
        <v>2501</v>
      </c>
    </row>
    <row r="43" spans="2:6">
      <c r="B43" s="5" t="s">
        <v>188</v>
      </c>
    </row>
    <row r="44" spans="2:6" ht="17" thickBot="1"/>
    <row r="45" spans="2:6">
      <c r="B45" s="6" t="s">
        <v>189</v>
      </c>
      <c r="C45" s="7" t="s">
        <v>190</v>
      </c>
      <c r="D45" s="7" t="s">
        <v>191</v>
      </c>
      <c r="E45" s="7" t="s">
        <v>192</v>
      </c>
      <c r="F45" s="7" t="s">
        <v>193</v>
      </c>
    </row>
    <row r="46" spans="2:6" ht="17" thickBot="1">
      <c r="B46" s="8" t="s">
        <v>194</v>
      </c>
      <c r="C46" s="10">
        <v>3.1791254124450427E-2</v>
      </c>
      <c r="D46" s="10">
        <v>0.14238249648699319</v>
      </c>
      <c r="E46" s="10">
        <v>-0.24727331101895694</v>
      </c>
      <c r="F46" s="10">
        <v>0.31085581926785782</v>
      </c>
    </row>
    <row r="48" spans="2:6" ht="17" thickBot="1"/>
    <row r="49" spans="2:9">
      <c r="B49" s="6" t="s">
        <v>189</v>
      </c>
      <c r="C49" s="7" t="s">
        <v>190</v>
      </c>
      <c r="D49" s="7" t="s">
        <v>191</v>
      </c>
      <c r="E49" s="7" t="s">
        <v>192</v>
      </c>
      <c r="F49" s="7" t="s">
        <v>193</v>
      </c>
      <c r="G49" s="7" t="s">
        <v>195</v>
      </c>
      <c r="H49" s="7" t="s">
        <v>192</v>
      </c>
      <c r="I49" s="7" t="s">
        <v>193</v>
      </c>
    </row>
    <row r="50" spans="2:9">
      <c r="B50" s="15" t="s">
        <v>196</v>
      </c>
      <c r="C50" s="16">
        <v>0.5669027842950819</v>
      </c>
      <c r="D50" s="16">
        <v>2.6771447651872493</v>
      </c>
      <c r="E50" s="16">
        <v>-4.680204536871865</v>
      </c>
      <c r="F50" s="16">
        <v>5.814010105462029</v>
      </c>
      <c r="G50" s="16">
        <v>5.3823484994651324E-2</v>
      </c>
      <c r="H50" s="16">
        <v>0.4614106921831333</v>
      </c>
      <c r="I50" s="16">
        <v>0.67239487640703044</v>
      </c>
    </row>
    <row r="51" spans="2:9">
      <c r="B51" s="13" t="s">
        <v>197</v>
      </c>
      <c r="C51" s="17">
        <v>-0.15192700789181468</v>
      </c>
      <c r="D51" s="17">
        <v>0.53581495048832439</v>
      </c>
      <c r="E51" s="17">
        <v>-1.2021050132270426</v>
      </c>
      <c r="F51" s="17">
        <v>0.89825099744341319</v>
      </c>
      <c r="G51" s="17">
        <v>7.7206824861655948E-2</v>
      </c>
      <c r="H51" s="17">
        <v>-0.30324960398135192</v>
      </c>
      <c r="I51" s="17">
        <v>-6.0441180227741031E-4</v>
      </c>
    </row>
    <row r="52" spans="2:9">
      <c r="B52" s="13" t="s">
        <v>199</v>
      </c>
      <c r="C52" s="17">
        <v>-0.52785111619107405</v>
      </c>
      <c r="D52" s="17"/>
      <c r="E52" s="17"/>
      <c r="F52" s="17"/>
      <c r="G52" s="17">
        <v>0.10040522327818477</v>
      </c>
      <c r="H52" s="17">
        <v>-0.7246417376760188</v>
      </c>
      <c r="I52" s="17">
        <v>-0.3310604947061293</v>
      </c>
    </row>
    <row r="53" spans="2:9">
      <c r="B53" s="13" t="s">
        <v>200</v>
      </c>
      <c r="C53" s="17">
        <v>0.27413849688492858</v>
      </c>
      <c r="D53" s="17"/>
      <c r="E53" s="17"/>
      <c r="F53" s="17"/>
      <c r="G53" s="17">
        <v>9.7657380805066321E-2</v>
      </c>
      <c r="H53" s="17">
        <v>8.2733547682485448E-2</v>
      </c>
      <c r="I53" s="17">
        <v>0.46554344608737175</v>
      </c>
    </row>
    <row r="54" spans="2:9">
      <c r="B54" s="13" t="s">
        <v>202</v>
      </c>
      <c r="C54" s="17">
        <v>-0.79513363152146821</v>
      </c>
      <c r="D54" s="17">
        <v>2.6309978196635804</v>
      </c>
      <c r="E54" s="17">
        <v>-5.9517946014654921</v>
      </c>
      <c r="F54" s="17">
        <v>4.3615273384225564</v>
      </c>
      <c r="G54" s="17">
        <v>6.2233221917685266E-2</v>
      </c>
      <c r="H54" s="17">
        <v>-0.91710850512202002</v>
      </c>
      <c r="I54" s="17">
        <v>-0.6731587579209164</v>
      </c>
    </row>
    <row r="55" spans="2:9">
      <c r="B55" s="13" t="s">
        <v>272</v>
      </c>
      <c r="C55" s="17">
        <v>0.27981647739771875</v>
      </c>
      <c r="D55" s="17">
        <v>0.99852454647376987</v>
      </c>
      <c r="E55" s="17">
        <v>-1.6772556713700613</v>
      </c>
      <c r="F55" s="17">
        <v>2.2368886261654986</v>
      </c>
      <c r="G55" s="17">
        <v>6.7058846006565018E-2</v>
      </c>
      <c r="H55" s="17">
        <v>0.14838355438003373</v>
      </c>
      <c r="I55" s="17">
        <v>0.41124940041540381</v>
      </c>
    </row>
    <row r="56" spans="2:9">
      <c r="B56" s="13" t="s">
        <v>203</v>
      </c>
      <c r="C56" s="17">
        <v>-8.814657431146479E-2</v>
      </c>
      <c r="D56" s="17"/>
      <c r="E56" s="17"/>
      <c r="F56" s="17"/>
      <c r="G56" s="17">
        <v>6.6575621483715319E-2</v>
      </c>
      <c r="H56" s="17">
        <v>-0.21863239466791784</v>
      </c>
      <c r="I56" s="17">
        <v>4.2339246044988274E-2</v>
      </c>
    </row>
    <row r="57" spans="2:9" ht="17" thickBot="1">
      <c r="B57" s="14" t="s">
        <v>273</v>
      </c>
      <c r="C57" s="18">
        <v>-0.81982214843523538</v>
      </c>
      <c r="D57" s="18"/>
      <c r="E57" s="18"/>
      <c r="F57" s="18"/>
      <c r="G57" s="18">
        <v>6.534820165610844E-2</v>
      </c>
      <c r="H57" s="18">
        <v>-0.94790227013566863</v>
      </c>
      <c r="I57" s="18">
        <v>-0.69174202673480212</v>
      </c>
    </row>
    <row r="60" spans="2:9">
      <c r="B60" s="5" t="s">
        <v>204</v>
      </c>
    </row>
    <row r="61" spans="2:9" ht="17" thickBot="1"/>
    <row r="62" spans="2:9">
      <c r="B62" s="112" t="s">
        <v>165</v>
      </c>
      <c r="C62" s="7" t="s">
        <v>4</v>
      </c>
      <c r="D62" s="116" t="s">
        <v>274</v>
      </c>
      <c r="E62" s="120" t="s">
        <v>206</v>
      </c>
      <c r="F62" s="7" t="s">
        <v>207</v>
      </c>
      <c r="G62" s="7" t="s">
        <v>212</v>
      </c>
      <c r="H62" s="7" t="s">
        <v>192</v>
      </c>
      <c r="I62" s="7" t="s">
        <v>193</v>
      </c>
    </row>
    <row r="63" spans="2:9">
      <c r="B63" s="113">
        <v>38353</v>
      </c>
      <c r="C63" s="16">
        <v>93.3</v>
      </c>
      <c r="D63" s="117">
        <v>93.3</v>
      </c>
      <c r="E63" s="121">
        <v>0</v>
      </c>
      <c r="F63" s="16">
        <v>0</v>
      </c>
      <c r="G63" s="16"/>
      <c r="H63" s="16"/>
      <c r="I63" s="16"/>
    </row>
    <row r="64" spans="2:9">
      <c r="B64" s="114">
        <v>38384</v>
      </c>
      <c r="C64" s="17">
        <v>95.7</v>
      </c>
      <c r="D64" s="118">
        <v>95.7</v>
      </c>
      <c r="E64" s="122">
        <v>0</v>
      </c>
      <c r="F64" s="17">
        <v>0</v>
      </c>
      <c r="G64" s="17"/>
      <c r="H64" s="17"/>
      <c r="I64" s="17"/>
    </row>
    <row r="65" spans="2:9">
      <c r="B65" s="114">
        <v>38412</v>
      </c>
      <c r="C65" s="17">
        <v>93.8</v>
      </c>
      <c r="D65" s="118">
        <v>93.8</v>
      </c>
      <c r="E65" s="122">
        <v>0</v>
      </c>
      <c r="F65" s="17">
        <v>0</v>
      </c>
      <c r="G65" s="17"/>
      <c r="H65" s="17"/>
      <c r="I65" s="17"/>
    </row>
    <row r="66" spans="2:9">
      <c r="B66" s="114">
        <v>38443</v>
      </c>
      <c r="C66" s="17">
        <v>99.4</v>
      </c>
      <c r="D66" s="118">
        <v>99.4</v>
      </c>
      <c r="E66" s="122">
        <v>0</v>
      </c>
      <c r="F66" s="17">
        <v>0</v>
      </c>
      <c r="G66" s="17"/>
      <c r="H66" s="17"/>
      <c r="I66" s="17"/>
    </row>
    <row r="67" spans="2:9">
      <c r="B67" s="114">
        <v>38473</v>
      </c>
      <c r="C67" s="17">
        <v>100</v>
      </c>
      <c r="D67" s="118">
        <v>100</v>
      </c>
      <c r="E67" s="122">
        <v>0</v>
      </c>
      <c r="F67" s="17">
        <v>0</v>
      </c>
      <c r="G67" s="17"/>
      <c r="H67" s="17"/>
      <c r="I67" s="17"/>
    </row>
    <row r="68" spans="2:9">
      <c r="B68" s="114">
        <v>38504</v>
      </c>
      <c r="C68" s="17">
        <v>105.6</v>
      </c>
      <c r="D68" s="118">
        <v>105.6</v>
      </c>
      <c r="E68" s="122">
        <v>0</v>
      </c>
      <c r="F68" s="17">
        <v>0</v>
      </c>
      <c r="G68" s="17"/>
      <c r="H68" s="17"/>
      <c r="I68" s="17"/>
    </row>
    <row r="69" spans="2:9">
      <c r="B69" s="114">
        <v>38534</v>
      </c>
      <c r="C69" s="17">
        <v>99.4</v>
      </c>
      <c r="D69" s="118">
        <v>99.4</v>
      </c>
      <c r="E69" s="122">
        <v>0</v>
      </c>
      <c r="F69" s="17">
        <v>0</v>
      </c>
      <c r="G69" s="17"/>
      <c r="H69" s="17"/>
      <c r="I69" s="17"/>
    </row>
    <row r="70" spans="2:9">
      <c r="B70" s="114">
        <v>38565</v>
      </c>
      <c r="C70" s="17">
        <v>106.3</v>
      </c>
      <c r="D70" s="118">
        <v>106.3</v>
      </c>
      <c r="E70" s="122">
        <v>0</v>
      </c>
      <c r="F70" s="17">
        <v>0</v>
      </c>
      <c r="G70" s="17"/>
      <c r="H70" s="17"/>
      <c r="I70" s="17"/>
    </row>
    <row r="71" spans="2:9">
      <c r="B71" s="114">
        <v>38596</v>
      </c>
      <c r="C71" s="17">
        <v>104.2</v>
      </c>
      <c r="D71" s="118">
        <v>104.2</v>
      </c>
      <c r="E71" s="122">
        <v>0</v>
      </c>
      <c r="F71" s="17">
        <v>0</v>
      </c>
      <c r="G71" s="17"/>
      <c r="H71" s="17"/>
      <c r="I71" s="17"/>
    </row>
    <row r="72" spans="2:9">
      <c r="B72" s="114">
        <v>38626</v>
      </c>
      <c r="C72" s="17">
        <v>99.5</v>
      </c>
      <c r="D72" s="118">
        <v>99.5</v>
      </c>
      <c r="E72" s="122">
        <v>0</v>
      </c>
      <c r="F72" s="17">
        <v>0</v>
      </c>
      <c r="G72" s="17"/>
      <c r="H72" s="17"/>
      <c r="I72" s="17"/>
    </row>
    <row r="73" spans="2:9">
      <c r="B73" s="114">
        <v>38657</v>
      </c>
      <c r="C73" s="17">
        <v>105.7</v>
      </c>
      <c r="D73" s="118">
        <v>105.7</v>
      </c>
      <c r="E73" s="122">
        <v>0</v>
      </c>
      <c r="F73" s="17">
        <v>0</v>
      </c>
      <c r="G73" s="17"/>
      <c r="H73" s="17"/>
      <c r="I73" s="17"/>
    </row>
    <row r="74" spans="2:9">
      <c r="B74" s="114">
        <v>38687</v>
      </c>
      <c r="C74" s="17">
        <v>97.1</v>
      </c>
      <c r="D74" s="118">
        <v>97.1</v>
      </c>
      <c r="E74" s="122">
        <v>0</v>
      </c>
      <c r="F74" s="17">
        <v>0</v>
      </c>
      <c r="G74" s="17"/>
      <c r="H74" s="17"/>
      <c r="I74" s="17"/>
    </row>
    <row r="75" spans="2:9">
      <c r="B75" s="114">
        <v>38718</v>
      </c>
      <c r="C75" s="17">
        <v>101.4</v>
      </c>
      <c r="D75" s="118">
        <v>101.4</v>
      </c>
      <c r="E75" s="122">
        <v>0</v>
      </c>
      <c r="F75" s="17">
        <v>0</v>
      </c>
      <c r="G75" s="17"/>
      <c r="H75" s="17"/>
      <c r="I75" s="17"/>
    </row>
    <row r="76" spans="2:9">
      <c r="B76" s="114">
        <v>38749</v>
      </c>
      <c r="C76" s="17">
        <v>97.7</v>
      </c>
      <c r="D76" s="118">
        <v>102.69158570620752</v>
      </c>
      <c r="E76" s="122">
        <v>-4.9915857062075162</v>
      </c>
      <c r="F76" s="17">
        <v>-0.85806309601238206</v>
      </c>
      <c r="G76" s="17"/>
      <c r="H76" s="17"/>
      <c r="I76" s="17"/>
    </row>
    <row r="77" spans="2:9">
      <c r="B77" s="114">
        <v>38777</v>
      </c>
      <c r="C77" s="17">
        <v>95.8</v>
      </c>
      <c r="D77" s="118">
        <v>96.928645733731258</v>
      </c>
      <c r="E77" s="122">
        <v>-1.1286457337312612</v>
      </c>
      <c r="F77" s="17">
        <v>-0.19401635263564701</v>
      </c>
      <c r="G77" s="17"/>
      <c r="H77" s="17"/>
      <c r="I77" s="17"/>
    </row>
    <row r="78" spans="2:9">
      <c r="B78" s="114">
        <v>38808</v>
      </c>
      <c r="C78" s="17">
        <v>103</v>
      </c>
      <c r="D78" s="118">
        <v>101.99220908430269</v>
      </c>
      <c r="E78" s="122">
        <v>1.0077909156973135</v>
      </c>
      <c r="F78" s="17">
        <v>0.17324117908683667</v>
      </c>
      <c r="G78" s="17"/>
      <c r="H78" s="17"/>
      <c r="I78" s="17"/>
    </row>
    <row r="79" spans="2:9">
      <c r="B79" s="114">
        <v>38838</v>
      </c>
      <c r="C79" s="17">
        <v>105</v>
      </c>
      <c r="D79" s="118">
        <v>103.48830923430005</v>
      </c>
      <c r="E79" s="122">
        <v>1.511690765699953</v>
      </c>
      <c r="F79" s="17">
        <v>0.25986252364989532</v>
      </c>
      <c r="G79" s="17"/>
      <c r="H79" s="17"/>
      <c r="I79" s="17"/>
    </row>
    <row r="80" spans="2:9">
      <c r="B80" s="114">
        <v>38869</v>
      </c>
      <c r="C80" s="17">
        <v>106.5</v>
      </c>
      <c r="D80" s="118">
        <v>109.48053037837512</v>
      </c>
      <c r="E80" s="122">
        <v>-2.9805303783751214</v>
      </c>
      <c r="F80" s="17">
        <v>-0.5123588524278041</v>
      </c>
      <c r="G80" s="17"/>
      <c r="H80" s="17"/>
      <c r="I80" s="17"/>
    </row>
    <row r="81" spans="2:9">
      <c r="B81" s="114">
        <v>38899</v>
      </c>
      <c r="C81" s="17">
        <v>102</v>
      </c>
      <c r="D81" s="118">
        <v>101.26727433047061</v>
      </c>
      <c r="E81" s="122">
        <v>0.73272566952938689</v>
      </c>
      <c r="F81" s="17">
        <v>0.12595693904288802</v>
      </c>
      <c r="G81" s="17"/>
      <c r="H81" s="17"/>
      <c r="I81" s="17"/>
    </row>
    <row r="82" spans="2:9">
      <c r="B82" s="114">
        <v>38930</v>
      </c>
      <c r="C82" s="17">
        <v>110.5</v>
      </c>
      <c r="D82" s="118">
        <v>109.08920764073842</v>
      </c>
      <c r="E82" s="122">
        <v>1.4107923592615776</v>
      </c>
      <c r="F82" s="17">
        <v>0.24251789528789788</v>
      </c>
      <c r="G82" s="17"/>
      <c r="H82" s="17"/>
      <c r="I82" s="17"/>
    </row>
    <row r="83" spans="2:9">
      <c r="B83" s="114">
        <v>38961</v>
      </c>
      <c r="C83" s="17">
        <v>105.5</v>
      </c>
      <c r="D83" s="118">
        <v>107.57326508426512</v>
      </c>
      <c r="E83" s="122">
        <v>-2.0732650842651168</v>
      </c>
      <c r="F83" s="17">
        <v>-0.35639821927660198</v>
      </c>
      <c r="G83" s="17"/>
      <c r="H83" s="17"/>
      <c r="I83" s="17"/>
    </row>
    <row r="84" spans="2:9">
      <c r="B84" s="114">
        <v>38991</v>
      </c>
      <c r="C84" s="17">
        <v>106.2</v>
      </c>
      <c r="D84" s="118">
        <v>102.19480586350207</v>
      </c>
      <c r="E84" s="122">
        <v>4.0051941364979342</v>
      </c>
      <c r="F84" s="17">
        <v>0.68850050528435858</v>
      </c>
      <c r="G84" s="17"/>
      <c r="H84" s="17"/>
      <c r="I84" s="17"/>
    </row>
    <row r="85" spans="2:9">
      <c r="B85" s="114">
        <v>39022</v>
      </c>
      <c r="C85" s="17">
        <v>110</v>
      </c>
      <c r="D85" s="118">
        <v>111.21622901530094</v>
      </c>
      <c r="E85" s="122">
        <v>-1.2162290153009394</v>
      </c>
      <c r="F85" s="17">
        <v>-0.20907208565634694</v>
      </c>
      <c r="G85" s="17"/>
      <c r="H85" s="17"/>
      <c r="I85" s="17"/>
    </row>
    <row r="86" spans="2:9">
      <c r="B86" s="114">
        <v>39052</v>
      </c>
      <c r="C86" s="17">
        <v>101.9</v>
      </c>
      <c r="D86" s="118">
        <v>101.72490256002122</v>
      </c>
      <c r="E86" s="122">
        <v>0.17509743997878502</v>
      </c>
      <c r="F86" s="17">
        <v>3.0099583638360624E-2</v>
      </c>
      <c r="G86" s="17"/>
      <c r="H86" s="17"/>
      <c r="I86" s="17"/>
    </row>
    <row r="87" spans="2:9">
      <c r="B87" s="114">
        <v>39083</v>
      </c>
      <c r="C87" s="17">
        <v>107.5</v>
      </c>
      <c r="D87" s="118">
        <v>106.12001356813862</v>
      </c>
      <c r="E87" s="122">
        <v>1.3799864318613828</v>
      </c>
      <c r="F87" s="17">
        <v>0.23722229765693437</v>
      </c>
      <c r="G87" s="17"/>
      <c r="H87" s="17"/>
      <c r="I87" s="17"/>
    </row>
    <row r="88" spans="2:9">
      <c r="B88" s="114">
        <v>39114</v>
      </c>
      <c r="C88" s="17">
        <v>99.7</v>
      </c>
      <c r="D88" s="118">
        <v>104.83178563968877</v>
      </c>
      <c r="E88" s="122">
        <v>-5.131785639688772</v>
      </c>
      <c r="F88" s="17">
        <v>-0.882163731775092</v>
      </c>
      <c r="G88" s="17"/>
      <c r="H88" s="17"/>
      <c r="I88" s="17"/>
    </row>
    <row r="89" spans="2:9">
      <c r="B89" s="114">
        <v>39142</v>
      </c>
      <c r="C89" s="17">
        <v>101.9</v>
      </c>
      <c r="D89" s="118">
        <v>99.483124019671465</v>
      </c>
      <c r="E89" s="122">
        <v>2.4168759803285411</v>
      </c>
      <c r="F89" s="17">
        <v>0.41546558717396354</v>
      </c>
      <c r="G89" s="17"/>
      <c r="H89" s="17"/>
      <c r="I89" s="17"/>
    </row>
    <row r="90" spans="2:9">
      <c r="B90" s="114">
        <v>39173</v>
      </c>
      <c r="C90" s="17">
        <v>106.4</v>
      </c>
      <c r="D90" s="118">
        <v>107.86513802561626</v>
      </c>
      <c r="E90" s="122">
        <v>-1.4651380256162554</v>
      </c>
      <c r="F90" s="17">
        <v>-0.2518600189078849</v>
      </c>
      <c r="G90" s="17"/>
      <c r="H90" s="17"/>
      <c r="I90" s="17"/>
    </row>
    <row r="91" spans="2:9">
      <c r="B91" s="114">
        <v>39203</v>
      </c>
      <c r="C91" s="17">
        <v>108.5</v>
      </c>
      <c r="D91" s="118">
        <v>108.22845358752187</v>
      </c>
      <c r="E91" s="122">
        <v>0.27154641247813061</v>
      </c>
      <c r="F91" s="17">
        <v>4.6679345826372828E-2</v>
      </c>
      <c r="G91" s="17"/>
      <c r="H91" s="17"/>
      <c r="I91" s="17"/>
    </row>
    <row r="92" spans="2:9">
      <c r="B92" s="114">
        <v>39234</v>
      </c>
      <c r="C92" s="17">
        <v>108.5</v>
      </c>
      <c r="D92" s="118">
        <v>110.97506531203129</v>
      </c>
      <c r="E92" s="122">
        <v>-2.4750653120312904</v>
      </c>
      <c r="F92" s="17">
        <v>-0.42546844419265795</v>
      </c>
      <c r="G92" s="17"/>
      <c r="H92" s="17"/>
      <c r="I92" s="17"/>
    </row>
    <row r="93" spans="2:9">
      <c r="B93" s="114">
        <v>39264</v>
      </c>
      <c r="C93" s="17">
        <v>111.7</v>
      </c>
      <c r="D93" s="118">
        <v>104.97187699025797</v>
      </c>
      <c r="E93" s="122">
        <v>6.7281230097420348</v>
      </c>
      <c r="F93" s="17">
        <v>1.1565771680353851</v>
      </c>
      <c r="G93" s="17"/>
      <c r="H93" s="17"/>
      <c r="I93" s="17"/>
    </row>
    <row r="94" spans="2:9">
      <c r="B94" s="114">
        <v>39295</v>
      </c>
      <c r="C94" s="17">
        <v>113.3</v>
      </c>
      <c r="D94" s="118">
        <v>117.43629371586186</v>
      </c>
      <c r="E94" s="122">
        <v>-4.1362937158618678</v>
      </c>
      <c r="F94" s="17">
        <v>-0.7110367728305701</v>
      </c>
      <c r="G94" s="17"/>
      <c r="H94" s="17"/>
      <c r="I94" s="17"/>
    </row>
    <row r="95" spans="2:9">
      <c r="B95" s="114">
        <v>39326</v>
      </c>
      <c r="C95" s="17">
        <v>109.5</v>
      </c>
      <c r="D95" s="118">
        <v>110.17298658516302</v>
      </c>
      <c r="E95" s="122">
        <v>-0.67298658516301657</v>
      </c>
      <c r="F95" s="17">
        <v>-0.11568767658775157</v>
      </c>
      <c r="G95" s="17"/>
      <c r="H95" s="17"/>
      <c r="I95" s="17"/>
    </row>
    <row r="96" spans="2:9">
      <c r="B96" s="114">
        <v>39356</v>
      </c>
      <c r="C96" s="17">
        <v>112.3</v>
      </c>
      <c r="D96" s="118">
        <v>109.29398735018368</v>
      </c>
      <c r="E96" s="122">
        <v>3.0060126498163129</v>
      </c>
      <c r="F96" s="17">
        <v>0.51673930345343011</v>
      </c>
      <c r="G96" s="17"/>
      <c r="H96" s="17"/>
      <c r="I96" s="17"/>
    </row>
    <row r="97" spans="2:9">
      <c r="B97" s="114">
        <v>39387</v>
      </c>
      <c r="C97" s="17">
        <v>113.8</v>
      </c>
      <c r="D97" s="118">
        <v>115.90146487413757</v>
      </c>
      <c r="E97" s="122">
        <v>-2.1014648741375765</v>
      </c>
      <c r="F97" s="17">
        <v>-0.36124581689969193</v>
      </c>
      <c r="G97" s="17"/>
      <c r="H97" s="17"/>
      <c r="I97" s="17"/>
    </row>
    <row r="98" spans="2:9">
      <c r="B98" s="114">
        <v>39417</v>
      </c>
      <c r="C98" s="17">
        <v>107.1</v>
      </c>
      <c r="D98" s="118">
        <v>106.14915361661191</v>
      </c>
      <c r="E98" s="122">
        <v>0.95084638338808247</v>
      </c>
      <c r="F98" s="17">
        <v>0.16345230545626446</v>
      </c>
      <c r="G98" s="17"/>
      <c r="H98" s="17"/>
      <c r="I98" s="17"/>
    </row>
    <row r="99" spans="2:9">
      <c r="B99" s="114">
        <v>39448</v>
      </c>
      <c r="C99" s="17">
        <v>113.4</v>
      </c>
      <c r="D99" s="118">
        <v>111.92000185204539</v>
      </c>
      <c r="E99" s="122">
        <v>1.4799981479546176</v>
      </c>
      <c r="F99" s="17">
        <v>0.25441450225872081</v>
      </c>
      <c r="G99" s="17"/>
      <c r="H99" s="17"/>
      <c r="I99" s="17"/>
    </row>
    <row r="100" spans="2:9">
      <c r="B100" s="114">
        <v>39479</v>
      </c>
      <c r="C100" s="17">
        <v>110.5</v>
      </c>
      <c r="D100" s="118">
        <v>108.71275645690491</v>
      </c>
      <c r="E100" s="122">
        <v>1.7872435430950873</v>
      </c>
      <c r="F100" s="17">
        <v>0.30723057124095277</v>
      </c>
      <c r="G100" s="17"/>
      <c r="H100" s="17"/>
      <c r="I100" s="17"/>
    </row>
    <row r="101" spans="2:9">
      <c r="B101" s="114">
        <v>39508</v>
      </c>
      <c r="C101" s="17">
        <v>105.5</v>
      </c>
      <c r="D101" s="118">
        <v>110.19576277703169</v>
      </c>
      <c r="E101" s="122">
        <v>-4.695762777031689</v>
      </c>
      <c r="F101" s="17">
        <v>-0.80721057069875402</v>
      </c>
      <c r="G101" s="17"/>
      <c r="H101" s="17"/>
      <c r="I101" s="17"/>
    </row>
    <row r="102" spans="2:9">
      <c r="B102" s="114">
        <v>39539</v>
      </c>
      <c r="C102" s="17">
        <v>116.5</v>
      </c>
      <c r="D102" s="118">
        <v>112.35817109365661</v>
      </c>
      <c r="E102" s="122">
        <v>4.1418289063433917</v>
      </c>
      <c r="F102" s="17">
        <v>0.7119882826234778</v>
      </c>
      <c r="G102" s="17"/>
      <c r="H102" s="17"/>
      <c r="I102" s="17"/>
    </row>
    <row r="103" spans="2:9">
      <c r="B103" s="114">
        <v>39569</v>
      </c>
      <c r="C103" s="17">
        <v>114.2</v>
      </c>
      <c r="D103" s="118">
        <v>117.05875074545537</v>
      </c>
      <c r="E103" s="122">
        <v>-2.8587507454553673</v>
      </c>
      <c r="F103" s="17">
        <v>-0.49142470143758343</v>
      </c>
      <c r="G103" s="17"/>
      <c r="H103" s="17"/>
      <c r="I103" s="17"/>
    </row>
    <row r="104" spans="2:9">
      <c r="B104" s="114">
        <v>39600</v>
      </c>
      <c r="C104" s="17">
        <v>121.8</v>
      </c>
      <c r="D104" s="118">
        <v>116.96277279985009</v>
      </c>
      <c r="E104" s="122">
        <v>4.8372272001499113</v>
      </c>
      <c r="F104" s="17">
        <v>0.8315285746399611</v>
      </c>
      <c r="G104" s="17"/>
      <c r="H104" s="17"/>
      <c r="I104" s="17"/>
    </row>
    <row r="105" spans="2:9">
      <c r="B105" s="114">
        <v>39630</v>
      </c>
      <c r="C105" s="17">
        <v>121.2</v>
      </c>
      <c r="D105" s="118">
        <v>120.38409352993041</v>
      </c>
      <c r="E105" s="122">
        <v>0.81590647006959216</v>
      </c>
      <c r="F105" s="17">
        <v>0.14025587718423979</v>
      </c>
      <c r="G105" s="17"/>
      <c r="H105" s="17"/>
      <c r="I105" s="17"/>
    </row>
    <row r="106" spans="2:9">
      <c r="B106" s="114">
        <v>39661</v>
      </c>
      <c r="C106" s="17">
        <v>117.4</v>
      </c>
      <c r="D106" s="118">
        <v>124.3708050917437</v>
      </c>
      <c r="E106" s="122">
        <v>-6.9708050917436992</v>
      </c>
      <c r="F106" s="17">
        <v>-1.1982946804423376</v>
      </c>
      <c r="G106" s="17"/>
      <c r="H106" s="17"/>
      <c r="I106" s="17"/>
    </row>
    <row r="107" spans="2:9">
      <c r="B107" s="114">
        <v>39692</v>
      </c>
      <c r="C107" s="17">
        <v>123.5</v>
      </c>
      <c r="D107" s="118">
        <v>116.44977311611156</v>
      </c>
      <c r="E107" s="122">
        <v>7.0502268838884419</v>
      </c>
      <c r="F107" s="17">
        <v>1.2119474378764772</v>
      </c>
      <c r="G107" s="17"/>
      <c r="H107" s="17"/>
      <c r="I107" s="17"/>
    </row>
    <row r="108" spans="2:9">
      <c r="B108" s="114">
        <v>39722</v>
      </c>
      <c r="C108" s="17">
        <v>120.1</v>
      </c>
      <c r="D108" s="118">
        <v>122.27927881546083</v>
      </c>
      <c r="E108" s="122">
        <v>-2.1792788154608331</v>
      </c>
      <c r="F108" s="17">
        <v>-0.37462218171332728</v>
      </c>
      <c r="G108" s="17"/>
      <c r="H108" s="17"/>
      <c r="I108" s="17"/>
    </row>
    <row r="109" spans="2:9">
      <c r="B109" s="114">
        <v>39753</v>
      </c>
      <c r="C109" s="17">
        <v>117.5</v>
      </c>
      <c r="D109" s="118">
        <v>123.06826381673488</v>
      </c>
      <c r="E109" s="122">
        <v>-5.5682638167348841</v>
      </c>
      <c r="F109" s="17">
        <v>-0.95719516226265611</v>
      </c>
      <c r="G109" s="17"/>
      <c r="H109" s="17"/>
      <c r="I109" s="17"/>
    </row>
    <row r="110" spans="2:9">
      <c r="B110" s="114">
        <v>39783</v>
      </c>
      <c r="C110" s="17">
        <v>118.2</v>
      </c>
      <c r="D110" s="118">
        <v>112.20335198297973</v>
      </c>
      <c r="E110" s="122">
        <v>5.9966480170202772</v>
      </c>
      <c r="F110" s="17">
        <v>1.0308352227193063</v>
      </c>
      <c r="G110" s="17"/>
      <c r="H110" s="17"/>
      <c r="I110" s="17"/>
    </row>
    <row r="111" spans="2:9">
      <c r="B111" s="114">
        <v>39814</v>
      </c>
      <c r="C111" s="17">
        <v>109</v>
      </c>
      <c r="D111" s="118">
        <v>121.06714495687703</v>
      </c>
      <c r="E111" s="122">
        <v>-12.06714495687703</v>
      </c>
      <c r="F111" s="17">
        <v>-2.0743652160177177</v>
      </c>
      <c r="G111" s="17"/>
      <c r="H111" s="17"/>
      <c r="I111" s="17"/>
    </row>
    <row r="112" spans="2:9">
      <c r="B112" s="114">
        <v>39845</v>
      </c>
      <c r="C112" s="17">
        <v>109.7</v>
      </c>
      <c r="D112" s="118">
        <v>109.18751739717094</v>
      </c>
      <c r="E112" s="122">
        <v>0.51248260282906699</v>
      </c>
      <c r="F112" s="17">
        <v>8.8096736131191997E-2</v>
      </c>
      <c r="G112" s="17"/>
      <c r="H112" s="17"/>
      <c r="I112" s="17"/>
    </row>
    <row r="113" spans="2:9">
      <c r="B113" s="114">
        <v>39873</v>
      </c>
      <c r="C113" s="17">
        <v>106.3</v>
      </c>
      <c r="D113" s="118">
        <v>106.65374980360343</v>
      </c>
      <c r="E113" s="122">
        <v>-0.353749803603435</v>
      </c>
      <c r="F113" s="17">
        <v>-6.0810265426526657E-2</v>
      </c>
      <c r="G113" s="17"/>
      <c r="H113" s="17"/>
      <c r="I113" s="17"/>
    </row>
    <row r="114" spans="2:9">
      <c r="B114" s="114">
        <v>39904</v>
      </c>
      <c r="C114" s="17">
        <v>117.6</v>
      </c>
      <c r="D114" s="118">
        <v>114.91068295803628</v>
      </c>
      <c r="E114" s="122">
        <v>2.6893170419637187</v>
      </c>
      <c r="F114" s="17">
        <v>0.46229872489548218</v>
      </c>
      <c r="G114" s="17"/>
      <c r="H114" s="17"/>
      <c r="I114" s="17"/>
    </row>
    <row r="115" spans="2:9">
      <c r="B115" s="114">
        <v>39934</v>
      </c>
      <c r="C115" s="17">
        <v>112.5</v>
      </c>
      <c r="D115" s="118">
        <v>115.98650466682128</v>
      </c>
      <c r="E115" s="122">
        <v>-3.4865046668212756</v>
      </c>
      <c r="F115" s="17">
        <v>-0.59933679691283059</v>
      </c>
      <c r="G115" s="17"/>
      <c r="H115" s="17"/>
      <c r="I115" s="17"/>
    </row>
    <row r="116" spans="2:9">
      <c r="B116" s="114">
        <v>39965</v>
      </c>
      <c r="C116" s="17">
        <v>123.2</v>
      </c>
      <c r="D116" s="118">
        <v>119.03249525801267</v>
      </c>
      <c r="E116" s="122">
        <v>4.1675047419873295</v>
      </c>
      <c r="F116" s="17">
        <v>0.71640200770445639</v>
      </c>
      <c r="G116" s="17"/>
      <c r="H116" s="17"/>
      <c r="I116" s="17"/>
    </row>
    <row r="117" spans="2:9">
      <c r="B117" s="114">
        <v>39995</v>
      </c>
      <c r="C117" s="17">
        <v>119.9</v>
      </c>
      <c r="D117" s="118">
        <v>120.50790312705327</v>
      </c>
      <c r="E117" s="122">
        <v>-0.60790312705326244</v>
      </c>
      <c r="F117" s="17">
        <v>-0.10449970610065799</v>
      </c>
      <c r="G117" s="17"/>
      <c r="H117" s="17"/>
      <c r="I117" s="17"/>
    </row>
    <row r="118" spans="2:9">
      <c r="B118" s="114">
        <v>40026</v>
      </c>
      <c r="C118" s="17">
        <v>129.1</v>
      </c>
      <c r="D118" s="118">
        <v>121.32210285979964</v>
      </c>
      <c r="E118" s="122">
        <v>7.7778971402003521</v>
      </c>
      <c r="F118" s="17">
        <v>1.3370353417525214</v>
      </c>
      <c r="G118" s="17"/>
      <c r="H118" s="17"/>
      <c r="I118" s="17"/>
    </row>
    <row r="119" spans="2:9">
      <c r="B119" s="114">
        <v>40057</v>
      </c>
      <c r="C119" s="17">
        <v>172.3</v>
      </c>
      <c r="D119" s="118">
        <v>131.96011802455843</v>
      </c>
      <c r="E119" s="122">
        <v>40.339881975441585</v>
      </c>
      <c r="F119" s="17">
        <v>6.9345025925479868</v>
      </c>
      <c r="G119" s="17"/>
      <c r="H119" s="17"/>
      <c r="I119" s="17"/>
    </row>
    <row r="120" spans="2:9">
      <c r="B120" s="114">
        <v>40087</v>
      </c>
      <c r="C120" s="17">
        <v>171.8</v>
      </c>
      <c r="D120" s="118">
        <v>161.03181354732683</v>
      </c>
      <c r="E120" s="122">
        <v>10.768186452673177</v>
      </c>
      <c r="F120" s="17">
        <v>1.851071773550593</v>
      </c>
      <c r="G120" s="17"/>
      <c r="H120" s="17"/>
      <c r="I120" s="17"/>
    </row>
    <row r="121" spans="2:9">
      <c r="B121" s="114">
        <v>40118</v>
      </c>
      <c r="C121" s="17">
        <v>167.3</v>
      </c>
      <c r="D121" s="118">
        <v>169.83297503513941</v>
      </c>
      <c r="E121" s="122">
        <v>-2.5329750351394011</v>
      </c>
      <c r="F121" s="17">
        <v>-0.43542323596104743</v>
      </c>
      <c r="G121" s="17"/>
      <c r="H121" s="17"/>
      <c r="I121" s="17"/>
    </row>
    <row r="122" spans="2:9">
      <c r="B122" s="114">
        <v>40148</v>
      </c>
      <c r="C122" s="17">
        <v>169.1</v>
      </c>
      <c r="D122" s="118">
        <v>166.48930692475196</v>
      </c>
      <c r="E122" s="122">
        <v>2.6106930752480366</v>
      </c>
      <c r="F122" s="17">
        <v>0.44878311517311797</v>
      </c>
      <c r="G122" s="17"/>
      <c r="H122" s="17"/>
      <c r="I122" s="17"/>
    </row>
    <row r="123" spans="2:9">
      <c r="B123" s="114">
        <v>40179</v>
      </c>
      <c r="C123" s="17">
        <v>163.80000000000001</v>
      </c>
      <c r="D123" s="118">
        <v>166.82319872023595</v>
      </c>
      <c r="E123" s="122">
        <v>-3.0231987202359392</v>
      </c>
      <c r="F123" s="17">
        <v>-0.51969362171229772</v>
      </c>
      <c r="G123" s="17"/>
      <c r="H123" s="17"/>
      <c r="I123" s="17"/>
    </row>
    <row r="124" spans="2:9">
      <c r="B124" s="114">
        <v>40210</v>
      </c>
      <c r="C124" s="17">
        <v>166.3</v>
      </c>
      <c r="D124" s="118">
        <v>164.21975583270449</v>
      </c>
      <c r="E124" s="122">
        <v>2.0802441672955183</v>
      </c>
      <c r="F124" s="17">
        <v>0.35759793695047593</v>
      </c>
      <c r="G124" s="17"/>
      <c r="H124" s="17"/>
      <c r="I124" s="17"/>
    </row>
    <row r="125" spans="2:9">
      <c r="B125" s="114">
        <v>40238</v>
      </c>
      <c r="C125" s="17">
        <v>165</v>
      </c>
      <c r="D125" s="118">
        <v>163.63075365642138</v>
      </c>
      <c r="E125" s="122">
        <v>1.3692463435786237</v>
      </c>
      <c r="F125" s="17">
        <v>0.23537605601234235</v>
      </c>
      <c r="G125" s="17"/>
      <c r="H125" s="17"/>
      <c r="I125" s="17"/>
    </row>
    <row r="126" spans="2:9">
      <c r="B126" s="114">
        <v>40269</v>
      </c>
      <c r="C126" s="17">
        <v>173.6</v>
      </c>
      <c r="D126" s="118">
        <v>173.66483809169182</v>
      </c>
      <c r="E126" s="122">
        <v>-6.4838091691825639E-2</v>
      </c>
      <c r="F126" s="17">
        <v>-1.1145791532224907E-2</v>
      </c>
      <c r="G126" s="17"/>
      <c r="H126" s="17"/>
      <c r="I126" s="17"/>
    </row>
    <row r="127" spans="2:9">
      <c r="B127" s="114">
        <v>40299</v>
      </c>
      <c r="C127" s="17">
        <v>167.3</v>
      </c>
      <c r="D127" s="118">
        <v>171.23074145978623</v>
      </c>
      <c r="E127" s="122">
        <v>-3.9307414597862191</v>
      </c>
      <c r="F127" s="17">
        <v>-0.67570194826344721</v>
      </c>
      <c r="G127" s="17"/>
      <c r="H127" s="17"/>
      <c r="I127" s="17"/>
    </row>
    <row r="128" spans="2:9">
      <c r="B128" s="114">
        <v>40330</v>
      </c>
      <c r="C128" s="17">
        <v>181</v>
      </c>
      <c r="D128" s="118">
        <v>175.93186731983448</v>
      </c>
      <c r="E128" s="122">
        <v>5.0681326801655189</v>
      </c>
      <c r="F128" s="17">
        <v>0.87122166672130552</v>
      </c>
      <c r="G128" s="17"/>
      <c r="H128" s="17"/>
      <c r="I128" s="17"/>
    </row>
    <row r="129" spans="2:9">
      <c r="B129" s="114">
        <v>40360</v>
      </c>
      <c r="C129" s="17">
        <v>173.4</v>
      </c>
      <c r="D129" s="118">
        <v>176.86302955353932</v>
      </c>
      <c r="E129" s="122">
        <v>-3.4630295535393145</v>
      </c>
      <c r="F129" s="17">
        <v>-0.59530138020007928</v>
      </c>
      <c r="G129" s="17"/>
      <c r="H129" s="17"/>
      <c r="I129" s="17"/>
    </row>
    <row r="130" spans="2:9">
      <c r="B130" s="114">
        <v>40391</v>
      </c>
      <c r="C130" s="17">
        <v>182.8</v>
      </c>
      <c r="D130" s="118">
        <v>180.80105165929123</v>
      </c>
      <c r="E130" s="122">
        <v>1.9989483407087789</v>
      </c>
      <c r="F130" s="17">
        <v>0.34362302942416539</v>
      </c>
      <c r="G130" s="17"/>
      <c r="H130" s="17"/>
      <c r="I130" s="17"/>
    </row>
    <row r="131" spans="2:9">
      <c r="B131" s="114">
        <v>40422</v>
      </c>
      <c r="C131" s="17">
        <v>181.1</v>
      </c>
      <c r="D131" s="118">
        <v>202.42290935730009</v>
      </c>
      <c r="E131" s="122">
        <v>-21.322909357300091</v>
      </c>
      <c r="F131" s="17">
        <v>-3.6654487563667346</v>
      </c>
      <c r="G131" s="17"/>
      <c r="H131" s="17"/>
      <c r="I131" s="17"/>
    </row>
    <row r="132" spans="2:9">
      <c r="B132" s="114">
        <v>40452</v>
      </c>
      <c r="C132" s="17">
        <v>174.9</v>
      </c>
      <c r="D132" s="118">
        <v>184.75648633772136</v>
      </c>
      <c r="E132" s="122">
        <v>-9.8564863377213499</v>
      </c>
      <c r="F132" s="17">
        <v>-1.6943487862446656</v>
      </c>
      <c r="G132" s="17"/>
      <c r="H132" s="17"/>
      <c r="I132" s="17"/>
    </row>
    <row r="133" spans="2:9">
      <c r="B133" s="114">
        <v>40483</v>
      </c>
      <c r="C133" s="17">
        <v>185.5</v>
      </c>
      <c r="D133" s="118">
        <v>177.01327754420092</v>
      </c>
      <c r="E133" s="122">
        <v>8.4867224557990824</v>
      </c>
      <c r="F133" s="17">
        <v>1.4588837644047106</v>
      </c>
      <c r="G133" s="17"/>
      <c r="H133" s="17"/>
      <c r="I133" s="17"/>
    </row>
    <row r="134" spans="2:9">
      <c r="B134" s="114">
        <v>40513</v>
      </c>
      <c r="C134" s="17">
        <v>183.7</v>
      </c>
      <c r="D134" s="118">
        <v>180.81340536478041</v>
      </c>
      <c r="E134" s="122">
        <v>2.8865946352195806</v>
      </c>
      <c r="F134" s="17">
        <v>0.49621111915378063</v>
      </c>
      <c r="G134" s="17"/>
      <c r="H134" s="17"/>
      <c r="I134" s="17"/>
    </row>
    <row r="135" spans="2:9">
      <c r="B135" s="114">
        <v>40544</v>
      </c>
      <c r="C135" s="17">
        <v>176.9</v>
      </c>
      <c r="D135" s="118">
        <v>180.45277508886383</v>
      </c>
      <c r="E135" s="122">
        <v>-3.5527750888638252</v>
      </c>
      <c r="F135" s="17">
        <v>-0.61072880876212354</v>
      </c>
      <c r="G135" s="17"/>
      <c r="H135" s="17"/>
      <c r="I135" s="17"/>
    </row>
    <row r="136" spans="2:9">
      <c r="B136" s="114">
        <v>40575</v>
      </c>
      <c r="C136" s="17">
        <v>176.7</v>
      </c>
      <c r="D136" s="118">
        <v>177.95211596517584</v>
      </c>
      <c r="E136" s="122">
        <v>-1.2521159651758467</v>
      </c>
      <c r="F136" s="17">
        <v>-0.21524112073428014</v>
      </c>
      <c r="G136" s="17"/>
      <c r="H136" s="17"/>
      <c r="I136" s="17"/>
    </row>
    <row r="137" spans="2:9">
      <c r="B137" s="114">
        <v>40603</v>
      </c>
      <c r="C137" s="17">
        <v>166.3</v>
      </c>
      <c r="D137" s="118">
        <v>175.15747634026559</v>
      </c>
      <c r="E137" s="122">
        <v>-8.8574763402655776</v>
      </c>
      <c r="F137" s="17">
        <v>-1.5226170637384899</v>
      </c>
      <c r="G137" s="17"/>
      <c r="H137" s="17"/>
      <c r="I137" s="17"/>
    </row>
    <row r="138" spans="2:9">
      <c r="B138" s="114">
        <v>40634</v>
      </c>
      <c r="C138" s="17">
        <v>180.2</v>
      </c>
      <c r="D138" s="118">
        <v>176.83942395099382</v>
      </c>
      <c r="E138" s="122">
        <v>3.3605760490061698</v>
      </c>
      <c r="F138" s="17">
        <v>0.57768942751183783</v>
      </c>
      <c r="G138" s="17"/>
      <c r="H138" s="17"/>
      <c r="I138" s="17"/>
    </row>
    <row r="139" spans="2:9">
      <c r="B139" s="114">
        <v>40664</v>
      </c>
      <c r="C139" s="17">
        <v>184</v>
      </c>
      <c r="D139" s="118">
        <v>176.51548824130381</v>
      </c>
      <c r="E139" s="122">
        <v>7.4845117586961862</v>
      </c>
      <c r="F139" s="17">
        <v>1.2866018355292039</v>
      </c>
      <c r="G139" s="17"/>
      <c r="H139" s="17"/>
      <c r="I139" s="17"/>
    </row>
    <row r="140" spans="2:9">
      <c r="B140" s="114">
        <v>40695</v>
      </c>
      <c r="C140" s="17">
        <v>195.6</v>
      </c>
      <c r="D140" s="118">
        <v>191.37776298113661</v>
      </c>
      <c r="E140" s="122">
        <v>4.2222370188633818</v>
      </c>
      <c r="F140" s="17">
        <v>0.72581059040988172</v>
      </c>
      <c r="G140" s="17"/>
      <c r="H140" s="17"/>
      <c r="I140" s="17"/>
    </row>
    <row r="141" spans="2:9">
      <c r="B141" s="114">
        <v>40725</v>
      </c>
      <c r="C141" s="17">
        <v>186.2</v>
      </c>
      <c r="D141" s="118">
        <v>189.40121883189639</v>
      </c>
      <c r="E141" s="122">
        <v>-3.2012188318963979</v>
      </c>
      <c r="F141" s="17">
        <v>-0.55029561818285433</v>
      </c>
      <c r="G141" s="17"/>
      <c r="H141" s="17"/>
      <c r="I141" s="17"/>
    </row>
    <row r="142" spans="2:9">
      <c r="B142" s="114">
        <v>40756</v>
      </c>
      <c r="C142" s="17">
        <v>201</v>
      </c>
      <c r="D142" s="118">
        <v>194.46520839698326</v>
      </c>
      <c r="E142" s="122">
        <v>6.5347916030167426</v>
      </c>
      <c r="F142" s="17">
        <v>1.1233431307624535</v>
      </c>
      <c r="G142" s="17"/>
      <c r="H142" s="17"/>
      <c r="I142" s="17"/>
    </row>
    <row r="143" spans="2:9">
      <c r="B143" s="114">
        <v>40787</v>
      </c>
      <c r="C143" s="17">
        <v>194.1</v>
      </c>
      <c r="D143" s="118">
        <v>201.81056376787674</v>
      </c>
      <c r="E143" s="122">
        <v>-7.7105637678767494</v>
      </c>
      <c r="F143" s="17">
        <v>-1.3254606067241126</v>
      </c>
      <c r="G143" s="17"/>
      <c r="H143" s="17"/>
      <c r="I143" s="17"/>
    </row>
    <row r="144" spans="2:9">
      <c r="B144" s="114">
        <v>40817</v>
      </c>
      <c r="C144" s="17">
        <v>183.9</v>
      </c>
      <c r="D144" s="118">
        <v>191.95381472539302</v>
      </c>
      <c r="E144" s="122">
        <v>-8.0538147253930106</v>
      </c>
      <c r="F144" s="17">
        <v>-1.3844661004992349</v>
      </c>
      <c r="G144" s="17"/>
      <c r="H144" s="17"/>
      <c r="I144" s="17"/>
    </row>
    <row r="145" spans="2:9">
      <c r="B145" s="114">
        <v>40848</v>
      </c>
      <c r="C145" s="17">
        <v>196.5</v>
      </c>
      <c r="D145" s="118">
        <v>192.15881647349551</v>
      </c>
      <c r="E145" s="122">
        <v>4.3411835265044942</v>
      </c>
      <c r="F145" s="17">
        <v>0.74625772176524796</v>
      </c>
      <c r="G145" s="17"/>
      <c r="H145" s="17"/>
      <c r="I145" s="17"/>
    </row>
    <row r="146" spans="2:9">
      <c r="B146" s="114">
        <v>40878</v>
      </c>
      <c r="C146" s="17">
        <v>182.8</v>
      </c>
      <c r="D146" s="118">
        <v>191.7574111185958</v>
      </c>
      <c r="E146" s="122">
        <v>-8.9574111185957861</v>
      </c>
      <c r="F146" s="17">
        <v>-1.5397960425921819</v>
      </c>
      <c r="G146" s="17"/>
      <c r="H146" s="17"/>
      <c r="I146" s="17"/>
    </row>
    <row r="147" spans="2:9">
      <c r="B147" s="114">
        <v>40909</v>
      </c>
      <c r="C147" s="17">
        <v>187.8</v>
      </c>
      <c r="D147" s="118">
        <v>181.69914524201943</v>
      </c>
      <c r="E147" s="122">
        <v>6.100854757980585</v>
      </c>
      <c r="F147" s="17">
        <v>1.0487485600907482</v>
      </c>
      <c r="G147" s="17"/>
      <c r="H147" s="17"/>
      <c r="I147" s="17"/>
    </row>
    <row r="148" spans="2:9">
      <c r="B148" s="114">
        <v>40940</v>
      </c>
      <c r="C148" s="17">
        <v>189.8</v>
      </c>
      <c r="D148" s="118">
        <v>185.82146291171364</v>
      </c>
      <c r="E148" s="122">
        <v>3.9785370882863731</v>
      </c>
      <c r="F148" s="17">
        <v>0.68391810789298091</v>
      </c>
      <c r="G148" s="17"/>
      <c r="H148" s="17"/>
      <c r="I148" s="17"/>
    </row>
    <row r="149" spans="2:9">
      <c r="B149" s="114">
        <v>40969</v>
      </c>
      <c r="C149" s="17">
        <v>181.3</v>
      </c>
      <c r="D149" s="118">
        <v>182.80312709306222</v>
      </c>
      <c r="E149" s="122">
        <v>-1.5031270930622043</v>
      </c>
      <c r="F149" s="17">
        <v>-0.25839041200255947</v>
      </c>
      <c r="G149" s="17"/>
      <c r="H149" s="17"/>
      <c r="I149" s="17"/>
    </row>
    <row r="150" spans="2:9">
      <c r="B150" s="114">
        <v>41000</v>
      </c>
      <c r="C150" s="17">
        <v>194.9</v>
      </c>
      <c r="D150" s="118">
        <v>192.53125375644518</v>
      </c>
      <c r="E150" s="122">
        <v>2.3687462435548241</v>
      </c>
      <c r="F150" s="17">
        <v>0.40719199369545062</v>
      </c>
      <c r="G150" s="17"/>
      <c r="H150" s="17"/>
      <c r="I150" s="17"/>
    </row>
    <row r="151" spans="2:9">
      <c r="B151" s="114">
        <v>41030</v>
      </c>
      <c r="C151" s="17">
        <v>196</v>
      </c>
      <c r="D151" s="118">
        <v>195.74373784327292</v>
      </c>
      <c r="E151" s="122">
        <v>0.25626215672707531</v>
      </c>
      <c r="F151" s="17">
        <v>4.4051953133568619E-2</v>
      </c>
      <c r="G151" s="17"/>
      <c r="H151" s="17"/>
      <c r="I151" s="17"/>
    </row>
    <row r="152" spans="2:9">
      <c r="B152" s="114">
        <v>41061</v>
      </c>
      <c r="C152" s="17">
        <v>199.2</v>
      </c>
      <c r="D152" s="118">
        <v>204.66848770936429</v>
      </c>
      <c r="E152" s="122">
        <v>-5.4684877093642967</v>
      </c>
      <c r="F152" s="17">
        <v>-0.94004345924932287</v>
      </c>
      <c r="G152" s="17"/>
      <c r="H152" s="17"/>
      <c r="I152" s="17"/>
    </row>
    <row r="153" spans="2:9">
      <c r="B153" s="114">
        <v>41091</v>
      </c>
      <c r="C153" s="17">
        <v>199.1</v>
      </c>
      <c r="D153" s="118">
        <v>194.74160340273846</v>
      </c>
      <c r="E153" s="122">
        <v>4.3583965972615317</v>
      </c>
      <c r="F153" s="17">
        <v>0.74921668143357456</v>
      </c>
      <c r="G153" s="17"/>
      <c r="H153" s="17"/>
      <c r="I153" s="17"/>
    </row>
    <row r="154" spans="2:9">
      <c r="B154" s="114">
        <v>41122</v>
      </c>
      <c r="C154" s="17">
        <v>200.1</v>
      </c>
      <c r="D154" s="118">
        <v>207.76384358980241</v>
      </c>
      <c r="E154" s="122">
        <v>-7.6638435898024113</v>
      </c>
      <c r="F154" s="17">
        <v>-1.3174293190724025</v>
      </c>
      <c r="G154" s="17"/>
      <c r="H154" s="17"/>
      <c r="I154" s="17"/>
    </row>
    <row r="155" spans="2:9">
      <c r="B155" s="114">
        <v>41153</v>
      </c>
      <c r="C155" s="17">
        <v>198.9</v>
      </c>
      <c r="D155" s="118">
        <v>202.07659594255571</v>
      </c>
      <c r="E155" s="122">
        <v>-3.1765959425557071</v>
      </c>
      <c r="F155" s="17">
        <v>-0.54606289657814089</v>
      </c>
      <c r="G155" s="17"/>
      <c r="H155" s="17"/>
      <c r="I155" s="17"/>
    </row>
    <row r="156" spans="2:9">
      <c r="B156" s="114">
        <v>41183</v>
      </c>
      <c r="C156" s="17">
        <v>193.6</v>
      </c>
      <c r="D156" s="118">
        <v>194.03329478256376</v>
      </c>
      <c r="E156" s="122">
        <v>-0.43329478256376319</v>
      </c>
      <c r="F156" s="17">
        <v>-7.448419890903861E-2</v>
      </c>
      <c r="G156" s="17"/>
      <c r="H156" s="17"/>
      <c r="I156" s="17"/>
    </row>
    <row r="157" spans="2:9">
      <c r="B157" s="114">
        <v>41214</v>
      </c>
      <c r="C157" s="17">
        <v>198.5</v>
      </c>
      <c r="D157" s="118">
        <v>200.70841380202822</v>
      </c>
      <c r="E157" s="122">
        <v>-2.2084138020282182</v>
      </c>
      <c r="F157" s="17">
        <v>-0.3796305414306011</v>
      </c>
      <c r="G157" s="17"/>
      <c r="H157" s="17"/>
      <c r="I157" s="17"/>
    </row>
    <row r="158" spans="2:9">
      <c r="B158" s="114">
        <v>41244</v>
      </c>
      <c r="C158" s="17">
        <v>189.3</v>
      </c>
      <c r="D158" s="118">
        <v>190.24326457501908</v>
      </c>
      <c r="E158" s="122">
        <v>-0.94326457501907157</v>
      </c>
      <c r="F158" s="17">
        <v>-0.16214897814799134</v>
      </c>
      <c r="G158" s="17"/>
      <c r="H158" s="17"/>
      <c r="I158" s="17"/>
    </row>
    <row r="159" spans="2:9">
      <c r="B159" s="114">
        <v>41275</v>
      </c>
      <c r="C159" s="17">
        <v>197.2</v>
      </c>
      <c r="D159" s="118">
        <v>191.80037986355092</v>
      </c>
      <c r="E159" s="122">
        <v>5.399620136449073</v>
      </c>
      <c r="F159" s="17">
        <v>0.9282049922152884</v>
      </c>
      <c r="G159" s="17"/>
      <c r="H159" s="17"/>
      <c r="I159" s="17"/>
    </row>
    <row r="160" spans="2:9">
      <c r="B160" s="114">
        <v>41306</v>
      </c>
      <c r="C160" s="17">
        <v>189.6</v>
      </c>
      <c r="D160" s="118">
        <v>196.07914510414406</v>
      </c>
      <c r="E160" s="122">
        <v>-6.4791451041440666</v>
      </c>
      <c r="F160" s="17">
        <v>-1.1137773915534566</v>
      </c>
      <c r="G160" s="17"/>
      <c r="H160" s="17"/>
      <c r="I160" s="17"/>
    </row>
    <row r="161" spans="2:9">
      <c r="B161" s="114">
        <v>41334</v>
      </c>
      <c r="C161" s="17">
        <v>176.4</v>
      </c>
      <c r="D161" s="118">
        <v>185.40703109707471</v>
      </c>
      <c r="E161" s="122">
        <v>-9.0070310970747016</v>
      </c>
      <c r="F161" s="17">
        <v>-1.5483258114599663</v>
      </c>
      <c r="G161" s="17"/>
      <c r="H161" s="17"/>
      <c r="I161" s="17"/>
    </row>
    <row r="162" spans="2:9">
      <c r="B162" s="114">
        <v>41365</v>
      </c>
      <c r="C162" s="17">
        <v>198.1</v>
      </c>
      <c r="D162" s="118">
        <v>189.9365186224027</v>
      </c>
      <c r="E162" s="122">
        <v>8.163481377597293</v>
      </c>
      <c r="F162" s="17">
        <v>1.4033180070191804</v>
      </c>
      <c r="G162" s="17"/>
      <c r="H162" s="17"/>
      <c r="I162" s="17"/>
    </row>
    <row r="163" spans="2:9">
      <c r="B163" s="114">
        <v>41395</v>
      </c>
      <c r="C163" s="17">
        <v>199.8</v>
      </c>
      <c r="D163" s="118">
        <v>196.30223585482878</v>
      </c>
      <c r="E163" s="122">
        <v>3.4977641451712316</v>
      </c>
      <c r="F163" s="17">
        <v>0.6012723226998431</v>
      </c>
      <c r="G163" s="17"/>
      <c r="H163" s="17"/>
      <c r="I163" s="17"/>
    </row>
    <row r="164" spans="2:9">
      <c r="B164" s="114">
        <v>41426</v>
      </c>
      <c r="C164" s="17">
        <v>202.1</v>
      </c>
      <c r="D164" s="118">
        <v>204.00400904038412</v>
      </c>
      <c r="E164" s="122">
        <v>-1.9040090403841248</v>
      </c>
      <c r="F164" s="17">
        <v>-0.32730278276016167</v>
      </c>
      <c r="G164" s="17"/>
      <c r="H164" s="17"/>
      <c r="I164" s="17"/>
    </row>
    <row r="165" spans="2:9">
      <c r="B165" s="114">
        <v>41456</v>
      </c>
      <c r="C165" s="17">
        <v>204.5</v>
      </c>
      <c r="D165" s="118">
        <v>200.49018477043242</v>
      </c>
      <c r="E165" s="122">
        <v>4.0098152295675789</v>
      </c>
      <c r="F165" s="17">
        <v>0.68929487999004968</v>
      </c>
      <c r="G165" s="17"/>
      <c r="H165" s="17"/>
      <c r="I165" s="17"/>
    </row>
    <row r="166" spans="2:9">
      <c r="B166" s="114">
        <v>41487</v>
      </c>
      <c r="C166" s="17">
        <v>202.5</v>
      </c>
      <c r="D166" s="118">
        <v>207.70077852991398</v>
      </c>
      <c r="E166" s="122">
        <v>-5.2007785299139755</v>
      </c>
      <c r="F166" s="17">
        <v>-0.89402374109354554</v>
      </c>
      <c r="G166" s="17"/>
      <c r="H166" s="17"/>
      <c r="I166" s="17"/>
    </row>
    <row r="167" spans="2:9">
      <c r="B167" s="114">
        <v>41518</v>
      </c>
      <c r="C167" s="17">
        <v>202.7</v>
      </c>
      <c r="D167" s="118">
        <v>205.09819209443347</v>
      </c>
      <c r="E167" s="122">
        <v>-2.3981920944334831</v>
      </c>
      <c r="F167" s="17">
        <v>-0.41225379158028708</v>
      </c>
      <c r="G167" s="17"/>
      <c r="H167" s="17"/>
      <c r="I167" s="17"/>
    </row>
    <row r="168" spans="2:9">
      <c r="B168" s="114">
        <v>41548</v>
      </c>
      <c r="C168" s="17">
        <v>196.2</v>
      </c>
      <c r="D168" s="118">
        <v>199.27825231628194</v>
      </c>
      <c r="E168" s="122">
        <v>-3.0782523162819473</v>
      </c>
      <c r="F168" s="17">
        <v>-0.52915743979541829</v>
      </c>
      <c r="G168" s="17"/>
      <c r="H168" s="17"/>
      <c r="I168" s="17"/>
    </row>
    <row r="169" spans="2:9">
      <c r="B169" s="114">
        <v>41579</v>
      </c>
      <c r="C169" s="17">
        <v>203.5</v>
      </c>
      <c r="D169" s="118">
        <v>201.48663586075412</v>
      </c>
      <c r="E169" s="122">
        <v>2.0133641392458799</v>
      </c>
      <c r="F169" s="17">
        <v>0.34610113266675879</v>
      </c>
      <c r="G169" s="17"/>
      <c r="H169" s="17"/>
      <c r="I169" s="17"/>
    </row>
    <row r="170" spans="2:9">
      <c r="B170" s="114">
        <v>41609</v>
      </c>
      <c r="C170" s="17">
        <v>196.4</v>
      </c>
      <c r="D170" s="118">
        <v>195.99710532300051</v>
      </c>
      <c r="E170" s="122">
        <v>0.40289467699949455</v>
      </c>
      <c r="F170" s="17">
        <v>6.9258362825098355E-2</v>
      </c>
      <c r="G170" s="17"/>
      <c r="H170" s="17"/>
      <c r="I170" s="17"/>
    </row>
    <row r="171" spans="2:9">
      <c r="B171" s="114">
        <v>41640</v>
      </c>
      <c r="C171" s="17">
        <v>197.7</v>
      </c>
      <c r="D171" s="118">
        <v>199.50130953014997</v>
      </c>
      <c r="E171" s="122">
        <v>-1.8013095301499789</v>
      </c>
      <c r="F171" s="17">
        <v>-0.30964854122307306</v>
      </c>
      <c r="G171" s="17"/>
      <c r="H171" s="17"/>
      <c r="I171" s="17"/>
    </row>
    <row r="172" spans="2:9">
      <c r="B172" s="114">
        <v>41671</v>
      </c>
      <c r="C172" s="17">
        <v>193</v>
      </c>
      <c r="D172" s="118">
        <v>194.40196303406856</v>
      </c>
      <c r="E172" s="122">
        <v>-1.401963034068558</v>
      </c>
      <c r="F172" s="17">
        <v>-0.24100011746002228</v>
      </c>
      <c r="G172" s="17"/>
      <c r="H172" s="17"/>
      <c r="I172" s="17"/>
    </row>
    <row r="173" spans="2:9">
      <c r="B173" s="114">
        <v>41699</v>
      </c>
      <c r="C173" s="17">
        <v>180.1</v>
      </c>
      <c r="D173" s="118">
        <v>185.42612333137953</v>
      </c>
      <c r="E173" s="122">
        <v>-5.3261233313795344</v>
      </c>
      <c r="F173" s="17">
        <v>-0.91557075135139632</v>
      </c>
      <c r="G173" s="17"/>
      <c r="H173" s="17"/>
      <c r="I173" s="17"/>
    </row>
    <row r="174" spans="2:9">
      <c r="B174" s="114">
        <v>41730</v>
      </c>
      <c r="C174" s="17">
        <v>203.7</v>
      </c>
      <c r="D174" s="118">
        <v>196.38668844792844</v>
      </c>
      <c r="E174" s="122">
        <v>7.3133115520715535</v>
      </c>
      <c r="F174" s="17">
        <v>1.2571721937318876</v>
      </c>
      <c r="G174" s="17"/>
      <c r="H174" s="17"/>
      <c r="I174" s="17"/>
    </row>
    <row r="175" spans="2:9">
      <c r="B175" s="114">
        <v>41760</v>
      </c>
      <c r="C175" s="17">
        <v>202.8</v>
      </c>
      <c r="D175" s="118">
        <v>202.6146975276271</v>
      </c>
      <c r="E175" s="122">
        <v>0.18530247237291064</v>
      </c>
      <c r="F175" s="17">
        <v>3.1853848155970824E-2</v>
      </c>
      <c r="G175" s="17"/>
      <c r="H175" s="17"/>
      <c r="I175" s="17"/>
    </row>
    <row r="176" spans="2:9">
      <c r="B176" s="114">
        <v>41791</v>
      </c>
      <c r="C176" s="17">
        <v>209.1</v>
      </c>
      <c r="D176" s="118">
        <v>207.49557132013712</v>
      </c>
      <c r="E176" s="122">
        <v>1.6044286798628775</v>
      </c>
      <c r="F176" s="17">
        <v>0.27580434783722929</v>
      </c>
      <c r="G176" s="17"/>
      <c r="H176" s="17"/>
      <c r="I176" s="17"/>
    </row>
    <row r="177" spans="2:9">
      <c r="B177" s="114">
        <v>41821</v>
      </c>
      <c r="C177" s="17">
        <v>208.2</v>
      </c>
      <c r="D177" s="118">
        <v>207.90643878065706</v>
      </c>
      <c r="E177" s="122">
        <v>0.29356121934293355</v>
      </c>
      <c r="F177" s="17">
        <v>5.0463733082918544E-2</v>
      </c>
      <c r="G177" s="17"/>
      <c r="H177" s="17"/>
      <c r="I177" s="17"/>
    </row>
    <row r="178" spans="2:9">
      <c r="B178" s="114">
        <v>41852</v>
      </c>
      <c r="C178" s="17">
        <v>214.7</v>
      </c>
      <c r="D178" s="118">
        <v>211.16434802297752</v>
      </c>
      <c r="E178" s="122">
        <v>3.5356519770224679</v>
      </c>
      <c r="F178" s="17">
        <v>0.60778531320284879</v>
      </c>
      <c r="G178" s="17"/>
      <c r="H178" s="17"/>
      <c r="I178" s="17"/>
    </row>
    <row r="179" spans="2:9">
      <c r="B179" s="114">
        <v>41883</v>
      </c>
      <c r="C179" s="17">
        <v>210.1</v>
      </c>
      <c r="D179" s="118">
        <v>216.17707283759313</v>
      </c>
      <c r="E179" s="122">
        <v>-6.0770728375931355</v>
      </c>
      <c r="F179" s="17">
        <v>-1.0446604026518409</v>
      </c>
      <c r="G179" s="17"/>
      <c r="H179" s="17"/>
      <c r="I179" s="17"/>
    </row>
    <row r="180" spans="2:9">
      <c r="B180" s="114">
        <v>41913</v>
      </c>
      <c r="C180" s="17">
        <v>206.9</v>
      </c>
      <c r="D180" s="118">
        <v>206.89023662647128</v>
      </c>
      <c r="E180" s="122">
        <v>9.7633735287274703E-3</v>
      </c>
      <c r="F180" s="17">
        <v>1.6783425169214045E-3</v>
      </c>
      <c r="G180" s="17"/>
      <c r="H180" s="17"/>
      <c r="I180" s="17"/>
    </row>
    <row r="181" spans="2:9">
      <c r="B181" s="114">
        <v>41944</v>
      </c>
      <c r="C181" s="17">
        <v>210.4</v>
      </c>
      <c r="D181" s="118">
        <v>212.69269056839897</v>
      </c>
      <c r="E181" s="122">
        <v>-2.2926905683989673</v>
      </c>
      <c r="F181" s="17">
        <v>-0.39411787818694827</v>
      </c>
      <c r="G181" s="17"/>
      <c r="H181" s="17"/>
      <c r="I181" s="17"/>
    </row>
    <row r="182" spans="2:9">
      <c r="B182" s="114">
        <v>41974</v>
      </c>
      <c r="C182" s="17">
        <v>204.4</v>
      </c>
      <c r="D182" s="118">
        <v>204.39841545698422</v>
      </c>
      <c r="E182" s="122">
        <v>1.584543015781037E-3</v>
      </c>
      <c r="F182" s="17">
        <v>2.7238596428285966E-4</v>
      </c>
      <c r="G182" s="17"/>
      <c r="H182" s="17"/>
      <c r="I182" s="17"/>
    </row>
    <row r="183" spans="2:9">
      <c r="B183" s="114">
        <v>42005</v>
      </c>
      <c r="C183" s="17">
        <v>203.9</v>
      </c>
      <c r="D183" s="118">
        <v>205.56853534350151</v>
      </c>
      <c r="E183" s="122">
        <v>-1.6685353435015031</v>
      </c>
      <c r="F183" s="17">
        <v>-0.28682440549313137</v>
      </c>
      <c r="G183" s="17"/>
      <c r="H183" s="17"/>
      <c r="I183" s="17"/>
    </row>
    <row r="184" spans="2:9">
      <c r="B184" s="114">
        <v>42036</v>
      </c>
      <c r="C184" s="17">
        <v>199.1</v>
      </c>
      <c r="D184" s="118">
        <v>201.53528752280386</v>
      </c>
      <c r="E184" s="122">
        <v>-2.4352875228038613</v>
      </c>
      <c r="F184" s="17">
        <v>-0.41863056641474666</v>
      </c>
      <c r="G184" s="17"/>
      <c r="H184" s="17"/>
      <c r="I184" s="17"/>
    </row>
    <row r="185" spans="2:9">
      <c r="B185" s="114">
        <v>42064</v>
      </c>
      <c r="C185" s="17">
        <v>183.1</v>
      </c>
      <c r="D185" s="118">
        <v>191.35988211255562</v>
      </c>
      <c r="E185" s="122">
        <v>-8.2598821125556299</v>
      </c>
      <c r="F185" s="17">
        <v>-1.4198894770819606</v>
      </c>
      <c r="G185" s="17"/>
      <c r="H185" s="17"/>
      <c r="I185" s="17"/>
    </row>
    <row r="186" spans="2:9">
      <c r="B186" s="114">
        <v>42095</v>
      </c>
      <c r="C186" s="17">
        <v>206.2</v>
      </c>
      <c r="D186" s="118">
        <v>201.35390932766009</v>
      </c>
      <c r="E186" s="122">
        <v>4.8460906723398978</v>
      </c>
      <c r="F186" s="17">
        <v>0.83305222240169374</v>
      </c>
      <c r="G186" s="17"/>
      <c r="H186" s="17"/>
      <c r="I186" s="17"/>
    </row>
    <row r="187" spans="2:9">
      <c r="B187" s="114">
        <v>42125</v>
      </c>
      <c r="C187" s="17">
        <v>204</v>
      </c>
      <c r="D187" s="118">
        <v>204.47639791863793</v>
      </c>
      <c r="E187" s="122">
        <v>-0.4763979186379288</v>
      </c>
      <c r="F187" s="17">
        <v>-8.1893710147450657E-2</v>
      </c>
      <c r="G187" s="17"/>
      <c r="H187" s="17"/>
      <c r="I187" s="17"/>
    </row>
    <row r="188" spans="2:9">
      <c r="B188" s="114">
        <v>42156</v>
      </c>
      <c r="C188" s="17">
        <v>207.7</v>
      </c>
      <c r="D188" s="118">
        <v>210.10542234283108</v>
      </c>
      <c r="E188" s="122">
        <v>-2.4054223428310877</v>
      </c>
      <c r="F188" s="17">
        <v>-0.41349668505946185</v>
      </c>
      <c r="G188" s="17"/>
      <c r="H188" s="17"/>
      <c r="I188" s="17"/>
    </row>
    <row r="189" spans="2:9">
      <c r="B189" s="114">
        <v>42186</v>
      </c>
      <c r="C189" s="17">
        <v>204.9</v>
      </c>
      <c r="D189" s="118">
        <v>206.20751348217223</v>
      </c>
      <c r="E189" s="122">
        <v>-1.3075134821722258</v>
      </c>
      <c r="F189" s="17">
        <v>-0.22476405948422445</v>
      </c>
      <c r="G189" s="17"/>
      <c r="H189" s="17"/>
      <c r="I189" s="17"/>
    </row>
    <row r="190" spans="2:9">
      <c r="B190" s="114">
        <v>42217</v>
      </c>
      <c r="C190" s="17">
        <v>210</v>
      </c>
      <c r="D190" s="118">
        <v>210.9872495532407</v>
      </c>
      <c r="E190" s="122">
        <v>-0.98724955324070152</v>
      </c>
      <c r="F190" s="17">
        <v>-0.16971007973219399</v>
      </c>
      <c r="G190" s="17"/>
      <c r="H190" s="17"/>
      <c r="I190" s="17"/>
    </row>
    <row r="191" spans="2:9">
      <c r="B191" s="114">
        <v>42248</v>
      </c>
      <c r="C191" s="17">
        <v>206.7</v>
      </c>
      <c r="D191" s="118">
        <v>209.65096765102172</v>
      </c>
      <c r="E191" s="122">
        <v>-2.9509676510217275</v>
      </c>
      <c r="F191" s="17">
        <v>-0.50727696325421401</v>
      </c>
      <c r="G191" s="17"/>
      <c r="H191" s="17"/>
      <c r="I191" s="17"/>
    </row>
    <row r="192" spans="2:9">
      <c r="B192" s="114">
        <v>42278</v>
      </c>
      <c r="C192" s="17">
        <v>202.5</v>
      </c>
      <c r="D192" s="118">
        <v>203.88470947447655</v>
      </c>
      <c r="E192" s="122">
        <v>-1.3847094744765513</v>
      </c>
      <c r="F192" s="17">
        <v>-0.23803419768379958</v>
      </c>
      <c r="G192" s="17"/>
      <c r="H192" s="17"/>
      <c r="I192" s="17"/>
    </row>
    <row r="193" spans="2:9">
      <c r="B193" s="114">
        <v>42309</v>
      </c>
      <c r="C193" s="17">
        <v>211.1</v>
      </c>
      <c r="D193" s="118">
        <v>207.06601056888454</v>
      </c>
      <c r="E193" s="122">
        <v>4.033989431115458</v>
      </c>
      <c r="F193" s="17">
        <v>0.69345047130805604</v>
      </c>
      <c r="G193" s="17"/>
      <c r="H193" s="17"/>
      <c r="I193" s="17"/>
    </row>
    <row r="194" spans="2:9">
      <c r="B194" s="114">
        <v>42339</v>
      </c>
      <c r="C194" s="17">
        <v>205.6</v>
      </c>
      <c r="D194" s="118">
        <v>204.25158263276873</v>
      </c>
      <c r="E194" s="122">
        <v>1.3484173672312636</v>
      </c>
      <c r="F194" s="17">
        <v>0.23179551528173678</v>
      </c>
      <c r="G194" s="17"/>
      <c r="H194" s="17"/>
      <c r="I194" s="17"/>
    </row>
    <row r="195" spans="2:9">
      <c r="B195" s="114">
        <v>42370</v>
      </c>
      <c r="C195" s="17">
        <v>214.4</v>
      </c>
      <c r="D195" s="118">
        <v>205.75678020049483</v>
      </c>
      <c r="E195" s="122">
        <v>8.6432197995051752</v>
      </c>
      <c r="F195" s="17">
        <v>1.4857859560451683</v>
      </c>
      <c r="G195" s="17"/>
      <c r="H195" s="17"/>
      <c r="I195" s="17"/>
    </row>
    <row r="196" spans="2:9">
      <c r="B196" s="114">
        <v>42401</v>
      </c>
      <c r="C196" s="17">
        <v>214.9</v>
      </c>
      <c r="D196" s="118">
        <v>209.58448785786774</v>
      </c>
      <c r="E196" s="122">
        <v>5.3155121421322633</v>
      </c>
      <c r="F196" s="17">
        <v>0.91374666769666435</v>
      </c>
      <c r="G196" s="17"/>
      <c r="H196" s="17"/>
      <c r="I196" s="17"/>
    </row>
    <row r="197" spans="2:9">
      <c r="B197" s="114">
        <v>42430</v>
      </c>
      <c r="C197" s="17">
        <v>203.6</v>
      </c>
      <c r="D197" s="118">
        <v>203.84540317399927</v>
      </c>
      <c r="E197" s="122">
        <v>-0.24540317399927858</v>
      </c>
      <c r="F197" s="17">
        <v>-4.2185273307281994E-2</v>
      </c>
      <c r="G197" s="17"/>
      <c r="H197" s="17"/>
      <c r="I197" s="17"/>
    </row>
    <row r="198" spans="2:9">
      <c r="B198" s="114">
        <v>42461</v>
      </c>
      <c r="C198" s="17">
        <v>221.9</v>
      </c>
      <c r="D198" s="118">
        <v>220.85752811656545</v>
      </c>
      <c r="E198" s="122">
        <v>1.0424718834345583</v>
      </c>
      <c r="F198" s="17">
        <v>0.17920290353690838</v>
      </c>
      <c r="G198" s="17"/>
      <c r="H198" s="17"/>
      <c r="I198" s="17"/>
    </row>
    <row r="199" spans="2:9">
      <c r="B199" s="114">
        <v>42491</v>
      </c>
      <c r="C199" s="17">
        <v>220.3</v>
      </c>
      <c r="D199" s="118">
        <v>221.1357446876172</v>
      </c>
      <c r="E199" s="122">
        <v>-0.83574468761719345</v>
      </c>
      <c r="F199" s="17">
        <v>-0.14366610458894866</v>
      </c>
      <c r="G199" s="17"/>
      <c r="H199" s="17"/>
      <c r="I199" s="17"/>
    </row>
    <row r="200" spans="2:9">
      <c r="B200" s="114">
        <v>42522</v>
      </c>
      <c r="C200" s="17">
        <v>228.4</v>
      </c>
      <c r="D200" s="118">
        <v>225.95525483978332</v>
      </c>
      <c r="E200" s="122">
        <v>2.4447451602166836</v>
      </c>
      <c r="F200" s="17">
        <v>0.42025635231066283</v>
      </c>
      <c r="G200" s="17"/>
      <c r="H200" s="17"/>
      <c r="I200" s="17"/>
    </row>
    <row r="201" spans="2:9">
      <c r="B201" s="114">
        <v>42552</v>
      </c>
      <c r="C201" s="17">
        <v>217.7</v>
      </c>
      <c r="D201" s="118">
        <v>225.07192308380041</v>
      </c>
      <c r="E201" s="122">
        <v>-7.371923083800425</v>
      </c>
      <c r="F201" s="17">
        <v>-1.267247627739714</v>
      </c>
      <c r="G201" s="17"/>
      <c r="H201" s="17"/>
      <c r="I201" s="17"/>
    </row>
    <row r="202" spans="2:9">
      <c r="B202" s="114">
        <v>42583</v>
      </c>
      <c r="C202" s="17">
        <v>226.7</v>
      </c>
      <c r="D202" s="118">
        <v>224.81485621787903</v>
      </c>
      <c r="E202" s="122">
        <v>1.8851437821209629</v>
      </c>
      <c r="F202" s="17">
        <v>0.32405980891074321</v>
      </c>
      <c r="G202" s="17"/>
      <c r="H202" s="17"/>
      <c r="I202" s="17"/>
    </row>
    <row r="203" spans="2:9">
      <c r="B203" s="114">
        <v>42614</v>
      </c>
      <c r="C203" s="17">
        <v>218.6</v>
      </c>
      <c r="D203" s="118">
        <v>226.46201860001847</v>
      </c>
      <c r="E203" s="122">
        <v>-7.8620186000184731</v>
      </c>
      <c r="F203" s="17">
        <v>-1.3514959810164837</v>
      </c>
      <c r="G203" s="17"/>
      <c r="H203" s="17"/>
      <c r="I203" s="17"/>
    </row>
    <row r="204" spans="2:9">
      <c r="B204" s="114">
        <v>42644</v>
      </c>
      <c r="C204" s="17">
        <v>220.4</v>
      </c>
      <c r="D204" s="118">
        <v>216.45222818737489</v>
      </c>
      <c r="E204" s="122">
        <v>3.9477718126251204</v>
      </c>
      <c r="F204" s="17">
        <v>0.67862949837341691</v>
      </c>
      <c r="G204" s="17"/>
      <c r="H204" s="17"/>
      <c r="I204" s="17"/>
    </row>
    <row r="205" spans="2:9">
      <c r="B205" s="114">
        <v>42675</v>
      </c>
      <c r="C205" s="17">
        <v>233.8</v>
      </c>
      <c r="D205" s="118">
        <v>226.00869468934087</v>
      </c>
      <c r="E205" s="122">
        <v>7.7913053106591406</v>
      </c>
      <c r="F205" s="17">
        <v>1.3393402318080847</v>
      </c>
      <c r="G205" s="17"/>
      <c r="H205" s="17"/>
      <c r="I205" s="17"/>
    </row>
    <row r="206" spans="2:9">
      <c r="B206" s="114">
        <v>42705</v>
      </c>
      <c r="C206" s="17">
        <v>217.1</v>
      </c>
      <c r="D206" s="118">
        <v>225.7830073778517</v>
      </c>
      <c r="E206" s="122">
        <v>-8.683007377851709</v>
      </c>
      <c r="F206" s="17">
        <v>-1.49262551659131</v>
      </c>
      <c r="G206" s="17"/>
      <c r="H206" s="17"/>
      <c r="I206" s="17"/>
    </row>
    <row r="207" spans="2:9">
      <c r="B207" s="114">
        <v>42736</v>
      </c>
      <c r="C207" s="17">
        <v>226.1</v>
      </c>
      <c r="D207" s="118">
        <v>223.61155858823733</v>
      </c>
      <c r="E207" s="122">
        <v>2.4884414117626648</v>
      </c>
      <c r="F207" s="17">
        <v>0.42776782122905743</v>
      </c>
      <c r="G207" s="17"/>
      <c r="H207" s="17"/>
      <c r="I207" s="17"/>
    </row>
    <row r="208" spans="2:9">
      <c r="B208" s="114">
        <v>42767</v>
      </c>
      <c r="C208" s="17">
        <v>222.6</v>
      </c>
      <c r="D208" s="118">
        <v>225.06921202189685</v>
      </c>
      <c r="E208" s="122">
        <v>-2.4692120218968512</v>
      </c>
      <c r="F208" s="17">
        <v>-0.4244622524631701</v>
      </c>
      <c r="G208" s="17"/>
      <c r="H208" s="17"/>
      <c r="I208" s="17"/>
    </row>
    <row r="209" spans="2:9">
      <c r="B209" s="114">
        <v>42795</v>
      </c>
      <c r="C209" s="17">
        <v>209.7</v>
      </c>
      <c r="D209" s="118">
        <v>214.64755038618705</v>
      </c>
      <c r="E209" s="122">
        <v>-4.9475503861870607</v>
      </c>
      <c r="F209" s="17">
        <v>-0.85049334057701842</v>
      </c>
      <c r="G209" s="17"/>
      <c r="H209" s="17"/>
      <c r="I209" s="17"/>
    </row>
    <row r="210" spans="2:9">
      <c r="B210" s="114">
        <v>42826</v>
      </c>
      <c r="C210" s="17">
        <v>220.9</v>
      </c>
      <c r="D210" s="118">
        <v>226.05110243529754</v>
      </c>
      <c r="E210" s="122">
        <v>-5.1511024352975312</v>
      </c>
      <c r="F210" s="17">
        <v>-0.88548432575477221</v>
      </c>
      <c r="G210" s="17"/>
      <c r="H210" s="17"/>
      <c r="I210" s="17"/>
    </row>
    <row r="211" spans="2:9">
      <c r="B211" s="114">
        <v>42856</v>
      </c>
      <c r="C211" s="17">
        <v>230</v>
      </c>
      <c r="D211" s="118">
        <v>221.32525319159166</v>
      </c>
      <c r="E211" s="122">
        <v>8.6747468084083437</v>
      </c>
      <c r="F211" s="17">
        <v>1.4912055089607519</v>
      </c>
      <c r="G211" s="17"/>
      <c r="H211" s="17"/>
      <c r="I211" s="17"/>
    </row>
    <row r="212" spans="2:9">
      <c r="B212" s="114">
        <v>42887</v>
      </c>
      <c r="C212" s="17">
        <v>228.9</v>
      </c>
      <c r="D212" s="118">
        <v>234.74936655137304</v>
      </c>
      <c r="E212" s="122">
        <v>-5.8493665513730377</v>
      </c>
      <c r="F212" s="17">
        <v>-1.0055172580810652</v>
      </c>
      <c r="G212" s="17"/>
      <c r="H212" s="17"/>
      <c r="I212" s="17"/>
    </row>
    <row r="213" spans="2:9">
      <c r="B213" s="114">
        <v>42917</v>
      </c>
      <c r="C213" s="17">
        <v>232.2</v>
      </c>
      <c r="D213" s="118">
        <v>224.11373929286862</v>
      </c>
      <c r="E213" s="122">
        <v>8.0862607071313732</v>
      </c>
      <c r="F213" s="17">
        <v>1.3900436265965948</v>
      </c>
      <c r="G213" s="17"/>
      <c r="H213" s="17"/>
      <c r="I213" s="17"/>
    </row>
    <row r="214" spans="2:9">
      <c r="B214" s="114">
        <v>42948</v>
      </c>
      <c r="C214" s="17">
        <v>242.1</v>
      </c>
      <c r="D214" s="118">
        <v>237.51699280378412</v>
      </c>
      <c r="E214" s="122">
        <v>4.583007196215874</v>
      </c>
      <c r="F214" s="17">
        <v>0.7878276714635124</v>
      </c>
      <c r="G214" s="17"/>
      <c r="H214" s="17"/>
      <c r="I214" s="17"/>
    </row>
    <row r="215" spans="2:9">
      <c r="B215" s="114">
        <v>42979</v>
      </c>
      <c r="C215" s="17">
        <v>231.9</v>
      </c>
      <c r="D215" s="118">
        <v>238.33710316913385</v>
      </c>
      <c r="E215" s="122">
        <v>-6.4371031691338487</v>
      </c>
      <c r="F215" s="17">
        <v>-1.1065503028004062</v>
      </c>
      <c r="G215" s="17"/>
      <c r="H215" s="17"/>
      <c r="I215" s="17"/>
    </row>
    <row r="216" spans="2:9">
      <c r="B216" s="114">
        <v>43009</v>
      </c>
      <c r="C216" s="17">
        <v>235</v>
      </c>
      <c r="D216" s="118">
        <v>232.39946217033255</v>
      </c>
      <c r="E216" s="122">
        <v>2.6005378296674451</v>
      </c>
      <c r="F216" s="17">
        <v>0.44703740910363948</v>
      </c>
      <c r="G216" s="17"/>
      <c r="H216" s="17"/>
      <c r="I216" s="17"/>
    </row>
    <row r="217" spans="2:9">
      <c r="B217" s="114">
        <v>43040</v>
      </c>
      <c r="C217" s="17">
        <v>247</v>
      </c>
      <c r="D217" s="118">
        <v>243.28358902114243</v>
      </c>
      <c r="E217" s="122">
        <v>3.7164109788575672</v>
      </c>
      <c r="F217" s="17">
        <v>0.63885813011428605</v>
      </c>
      <c r="G217" s="17"/>
      <c r="H217" s="17"/>
      <c r="I217" s="17"/>
    </row>
    <row r="218" spans="2:9">
      <c r="B218" s="114">
        <v>43070</v>
      </c>
      <c r="C218" s="17">
        <v>241.5</v>
      </c>
      <c r="D218" s="118">
        <v>235.85007203955712</v>
      </c>
      <c r="E218" s="122">
        <v>5.6499279604428807</v>
      </c>
      <c r="F218" s="17">
        <v>0.97123338420406058</v>
      </c>
      <c r="G218" s="17"/>
      <c r="H218" s="17"/>
      <c r="I218" s="17"/>
    </row>
    <row r="219" spans="2:9">
      <c r="B219" s="114">
        <v>43101</v>
      </c>
      <c r="C219" s="17"/>
      <c r="D219" s="118">
        <v>245.04482846036103</v>
      </c>
      <c r="E219" s="17"/>
      <c r="F219" s="17"/>
      <c r="G219" s="17">
        <v>5.8172711650280391</v>
      </c>
      <c r="H219" s="17">
        <v>233.64318648860271</v>
      </c>
      <c r="I219" s="17">
        <v>256.44647043211933</v>
      </c>
    </row>
    <row r="220" spans="2:9">
      <c r="B220" s="114">
        <v>43132</v>
      </c>
      <c r="C220" s="17"/>
      <c r="D220" s="118">
        <v>242.69784025092076</v>
      </c>
      <c r="E220" s="17"/>
      <c r="F220" s="17"/>
      <c r="G220" s="17">
        <v>7.3482695999010632</v>
      </c>
      <c r="H220" s="17">
        <v>228.29549648642413</v>
      </c>
      <c r="I220" s="17">
        <v>257.10018401541737</v>
      </c>
    </row>
    <row r="221" spans="2:9">
      <c r="B221" s="114">
        <v>43160</v>
      </c>
      <c r="C221" s="17"/>
      <c r="D221" s="118">
        <v>233.52777278464785</v>
      </c>
      <c r="E221" s="17"/>
      <c r="F221" s="17"/>
      <c r="G221" s="17">
        <v>8.6067102640635458</v>
      </c>
      <c r="H221" s="17">
        <v>216.65893064171209</v>
      </c>
      <c r="I221" s="17">
        <v>250.39661492758361</v>
      </c>
    </row>
    <row r="222" spans="2:9">
      <c r="B222" s="114">
        <v>43191</v>
      </c>
      <c r="C222" s="17"/>
      <c r="D222" s="118">
        <v>246.39578416940924</v>
      </c>
      <c r="E222" s="17"/>
      <c r="F222" s="17"/>
      <c r="G222" s="17">
        <v>9.7957171785969415</v>
      </c>
      <c r="H222" s="17">
        <v>227.19653129661893</v>
      </c>
      <c r="I222" s="17">
        <v>265.59503704219958</v>
      </c>
    </row>
    <row r="223" spans="2:9">
      <c r="B223" s="114">
        <v>43221</v>
      </c>
      <c r="C223" s="17"/>
      <c r="D223" s="118">
        <v>250.07356318280645</v>
      </c>
      <c r="E223" s="17"/>
      <c r="F223" s="17"/>
      <c r="G223" s="17">
        <v>10.904376492516555</v>
      </c>
      <c r="H223" s="17">
        <v>228.70137798360881</v>
      </c>
      <c r="I223" s="17">
        <v>271.44574838200407</v>
      </c>
    </row>
    <row r="224" spans="2:9" ht="17" thickBot="1">
      <c r="B224" s="115">
        <v>43252</v>
      </c>
      <c r="C224" s="18"/>
      <c r="D224" s="119">
        <v>253.30133670304804</v>
      </c>
      <c r="E224" s="18"/>
      <c r="F224" s="18"/>
      <c r="G224" s="18">
        <v>11.924034411720692</v>
      </c>
      <c r="H224" s="18">
        <v>229.93065870565923</v>
      </c>
      <c r="I224" s="18">
        <v>276.67201470043682</v>
      </c>
    </row>
    <row r="242" spans="2:10">
      <c r="F242" s="5" t="s">
        <v>208</v>
      </c>
    </row>
    <row r="245" spans="2:10">
      <c r="B245" s="5" t="s">
        <v>275</v>
      </c>
    </row>
    <row r="246" spans="2:10" ht="17" thickBot="1"/>
    <row r="247" spans="2:10">
      <c r="B247" s="7" t="s">
        <v>210</v>
      </c>
      <c r="C247" s="7" t="s">
        <v>211</v>
      </c>
      <c r="D247" s="7" t="s">
        <v>212</v>
      </c>
      <c r="E247" s="7" t="s">
        <v>192</v>
      </c>
      <c r="F247" s="7" t="s">
        <v>193</v>
      </c>
      <c r="G247" s="7" t="s">
        <v>213</v>
      </c>
      <c r="H247" s="7" t="s">
        <v>212</v>
      </c>
      <c r="I247" s="7" t="s">
        <v>192</v>
      </c>
      <c r="J247" s="7" t="s">
        <v>193</v>
      </c>
    </row>
    <row r="248" spans="2:10">
      <c r="B248" s="23">
        <v>0</v>
      </c>
      <c r="C248" s="16">
        <v>1</v>
      </c>
      <c r="D248" s="16">
        <v>0</v>
      </c>
      <c r="E248" s="16"/>
      <c r="F248" s="16"/>
      <c r="G248" s="16">
        <v>1</v>
      </c>
      <c r="H248" s="16">
        <v>0</v>
      </c>
      <c r="I248" s="16"/>
      <c r="J248" s="16"/>
    </row>
    <row r="249" spans="2:10">
      <c r="B249" s="24">
        <v>1</v>
      </c>
      <c r="C249" s="17">
        <v>0.96792673884986813</v>
      </c>
      <c r="D249" s="17">
        <v>8.0064076902543566E-2</v>
      </c>
      <c r="E249" s="17">
        <v>-0.15692270718443055</v>
      </c>
      <c r="F249" s="17">
        <v>0.15692270718443055</v>
      </c>
      <c r="G249" s="17">
        <v>0.96792673884986813</v>
      </c>
      <c r="H249" s="17">
        <v>8.0064076902543566E-2</v>
      </c>
      <c r="I249" s="17">
        <v>-0.15692270718443055</v>
      </c>
      <c r="J249" s="17">
        <v>0.15692270718443055</v>
      </c>
    </row>
    <row r="250" spans="2:10">
      <c r="B250" s="24">
        <v>2</v>
      </c>
      <c r="C250" s="17">
        <v>0.94705142258769237</v>
      </c>
      <c r="D250" s="17">
        <v>0.13572607083710456</v>
      </c>
      <c r="E250" s="17">
        <v>-0.266018210603857</v>
      </c>
      <c r="F250" s="17">
        <v>0.266018210603857</v>
      </c>
      <c r="G250" s="17">
        <v>0.16111534718516227</v>
      </c>
      <c r="H250" s="17">
        <v>8.0064076902543566E-2</v>
      </c>
      <c r="I250" s="17">
        <v>-0.15692270718443055</v>
      </c>
      <c r="J250" s="17">
        <v>0.15692270718443055</v>
      </c>
    </row>
    <row r="251" spans="2:10">
      <c r="B251" s="24">
        <v>3</v>
      </c>
      <c r="C251" s="17">
        <v>0.92590568063500878</v>
      </c>
      <c r="D251" s="17">
        <v>0.17297504521387608</v>
      </c>
      <c r="E251" s="17">
        <v>-0.33902485884338451</v>
      </c>
      <c r="F251" s="17">
        <v>0.33902485884338451</v>
      </c>
      <c r="G251" s="17">
        <v>1.5811289790784545E-2</v>
      </c>
      <c r="H251" s="17">
        <v>8.0064076902543566E-2</v>
      </c>
      <c r="I251" s="17">
        <v>-0.15692270718443055</v>
      </c>
      <c r="J251" s="17">
        <v>0.15692270718443055</v>
      </c>
    </row>
    <row r="252" spans="2:10">
      <c r="B252" s="24">
        <v>4</v>
      </c>
      <c r="C252" s="17">
        <v>0.90220479162727518</v>
      </c>
      <c r="D252" s="17">
        <v>0.20226568901267067</v>
      </c>
      <c r="E252" s="17">
        <v>-0.39643346577301336</v>
      </c>
      <c r="F252" s="17">
        <v>0.39643346577301336</v>
      </c>
      <c r="G252" s="17">
        <v>-4.8522902781820546E-2</v>
      </c>
      <c r="H252" s="17">
        <v>8.0064076902543566E-2</v>
      </c>
      <c r="I252" s="17">
        <v>-0.15692270718443055</v>
      </c>
      <c r="J252" s="17">
        <v>0.15692270718443055</v>
      </c>
    </row>
    <row r="253" spans="2:10">
      <c r="B253" s="24">
        <v>5</v>
      </c>
      <c r="C253" s="17">
        <v>0.88384882999377079</v>
      </c>
      <c r="D253" s="17">
        <v>0.2265986903427343</v>
      </c>
      <c r="E253" s="17">
        <v>-0.44412527201570329</v>
      </c>
      <c r="F253" s="17">
        <v>0.44412527201570329</v>
      </c>
      <c r="G253" s="17">
        <v>6.0791738934388127E-2</v>
      </c>
      <c r="H253" s="17">
        <v>8.0064076902543566E-2</v>
      </c>
      <c r="I253" s="17">
        <v>-0.15692270718443055</v>
      </c>
      <c r="J253" s="17">
        <v>0.15692270718443055</v>
      </c>
    </row>
    <row r="254" spans="2:10">
      <c r="B254" s="24">
        <v>6</v>
      </c>
      <c r="C254" s="17">
        <v>0.86401610931993589</v>
      </c>
      <c r="D254" s="17">
        <v>0.24771396186841582</v>
      </c>
      <c r="E254" s="17">
        <v>-0.48551044372982316</v>
      </c>
      <c r="F254" s="17">
        <v>0.48551044372982316</v>
      </c>
      <c r="G254" s="17">
        <v>-6.9970519909836743E-3</v>
      </c>
      <c r="H254" s="17">
        <v>8.0064076902543566E-2</v>
      </c>
      <c r="I254" s="17">
        <v>-0.15692270718443055</v>
      </c>
      <c r="J254" s="17">
        <v>0.15692270718443055</v>
      </c>
    </row>
    <row r="255" spans="2:10">
      <c r="B255" s="24">
        <v>7</v>
      </c>
      <c r="C255" s="17">
        <v>0.84734503667940608</v>
      </c>
      <c r="D255" s="17">
        <v>0.26633254650855398</v>
      </c>
      <c r="E255" s="17">
        <v>-0.52200219906760459</v>
      </c>
      <c r="F255" s="17">
        <v>0.52200219906760459</v>
      </c>
      <c r="G255" s="17">
        <v>4.0131941015118855E-2</v>
      </c>
      <c r="H255" s="17">
        <v>8.0064076902543566E-2</v>
      </c>
      <c r="I255" s="17">
        <v>-0.15692270718443055</v>
      </c>
      <c r="J255" s="17">
        <v>0.15692270718443055</v>
      </c>
    </row>
    <row r="256" spans="2:10">
      <c r="B256" s="24">
        <v>8</v>
      </c>
      <c r="C256" s="17">
        <v>0.82843456377698821</v>
      </c>
      <c r="D256" s="17">
        <v>0.28308668571124557</v>
      </c>
      <c r="E256" s="17">
        <v>-0.55483970849685071</v>
      </c>
      <c r="F256" s="17">
        <v>0.55483970849685071</v>
      </c>
      <c r="G256" s="17">
        <v>-3.4044070258391068E-2</v>
      </c>
      <c r="H256" s="17">
        <v>8.0064076902543566E-2</v>
      </c>
      <c r="I256" s="17">
        <v>-0.15692270718443055</v>
      </c>
      <c r="J256" s="17">
        <v>0.15692270718443055</v>
      </c>
    </row>
    <row r="257" spans="2:10">
      <c r="B257" s="24">
        <v>9</v>
      </c>
      <c r="C257" s="17">
        <v>0.81820607899430065</v>
      </c>
      <c r="D257" s="17">
        <v>0.29822280032365012</v>
      </c>
      <c r="E257" s="17">
        <v>-0.58450594800303413</v>
      </c>
      <c r="F257" s="17">
        <v>0.58450594800303413</v>
      </c>
      <c r="G257" s="17">
        <v>0.12916316240384965</v>
      </c>
      <c r="H257" s="17">
        <v>8.0064076902543566E-2</v>
      </c>
      <c r="I257" s="17">
        <v>-0.15692270718443055</v>
      </c>
      <c r="J257" s="17">
        <v>0.15692270718443055</v>
      </c>
    </row>
    <row r="258" spans="2:10">
      <c r="B258" s="24">
        <v>10</v>
      </c>
      <c r="C258" s="17">
        <v>0.80463211948362234</v>
      </c>
      <c r="D258" s="17">
        <v>0.31228140254050457</v>
      </c>
      <c r="E258" s="17">
        <v>-0.61206030202104378</v>
      </c>
      <c r="F258" s="17">
        <v>0.61206030202104378</v>
      </c>
      <c r="G258" s="17">
        <v>-1.9035147508833814E-2</v>
      </c>
      <c r="H258" s="17">
        <v>8.0064076902543566E-2</v>
      </c>
      <c r="I258" s="17">
        <v>-0.15692270718443055</v>
      </c>
      <c r="J258" s="17">
        <v>0.15692270718443055</v>
      </c>
    </row>
    <row r="259" spans="2:10">
      <c r="B259" s="24">
        <v>11</v>
      </c>
      <c r="C259" s="17">
        <v>0.78965417870328081</v>
      </c>
      <c r="D259" s="17">
        <v>0.32530000844925283</v>
      </c>
      <c r="E259" s="17">
        <v>-0.63757630073111071</v>
      </c>
      <c r="F259" s="17">
        <v>0.63757630073111071</v>
      </c>
      <c r="G259" s="17">
        <v>-2.9436591687847614E-2</v>
      </c>
      <c r="H259" s="17">
        <v>8.0064076902543566E-2</v>
      </c>
      <c r="I259" s="17">
        <v>-0.15692270718443055</v>
      </c>
      <c r="J259" s="17">
        <v>0.15692270718443055</v>
      </c>
    </row>
    <row r="260" spans="2:10">
      <c r="B260" s="24">
        <v>12</v>
      </c>
      <c r="C260" s="17">
        <v>0.77954068827393619</v>
      </c>
      <c r="D260" s="17">
        <v>0.33736385992506635</v>
      </c>
      <c r="E260" s="17">
        <v>-0.66122101513854559</v>
      </c>
      <c r="F260" s="17">
        <v>0.66122101513854559</v>
      </c>
      <c r="G260" s="17">
        <v>4.982173320725574E-2</v>
      </c>
      <c r="H260" s="17">
        <v>8.0064076902543566E-2</v>
      </c>
      <c r="I260" s="17">
        <v>-0.15692270718443055</v>
      </c>
      <c r="J260" s="17">
        <v>0.15692270718443055</v>
      </c>
    </row>
    <row r="261" spans="2:10">
      <c r="B261" s="24">
        <v>13</v>
      </c>
      <c r="C261" s="17">
        <v>0.75318625115041182</v>
      </c>
      <c r="D261" s="17">
        <v>0.34871935772728047</v>
      </c>
      <c r="E261" s="17">
        <v>-0.68347738185740892</v>
      </c>
      <c r="F261" s="17">
        <v>0.68347738185740892</v>
      </c>
      <c r="G261" s="17">
        <v>-0.2279486029887583</v>
      </c>
      <c r="H261" s="17">
        <v>8.0064076902543566E-2</v>
      </c>
      <c r="I261" s="17">
        <v>-0.15692270718443055</v>
      </c>
      <c r="J261" s="17">
        <v>0.15692270718443055</v>
      </c>
    </row>
    <row r="262" spans="2:10">
      <c r="B262" s="24">
        <v>14</v>
      </c>
      <c r="C262" s="17">
        <v>0.73437337262244273</v>
      </c>
      <c r="D262" s="17">
        <v>0.35899600712572599</v>
      </c>
      <c r="E262" s="17">
        <v>-0.70361924456010738</v>
      </c>
      <c r="F262" s="17">
        <v>0.70361924456010738</v>
      </c>
      <c r="G262" s="17">
        <v>2.9659759203923393E-2</v>
      </c>
      <c r="H262" s="17">
        <v>8.0064076902543566E-2</v>
      </c>
      <c r="I262" s="17">
        <v>-0.15692270718443055</v>
      </c>
      <c r="J262" s="17">
        <v>0.15692270718443055</v>
      </c>
    </row>
    <row r="263" spans="2:10">
      <c r="B263" s="24">
        <v>15</v>
      </c>
      <c r="C263" s="17">
        <v>0.71172552212379159</v>
      </c>
      <c r="D263" s="17">
        <v>0.36850005453030904</v>
      </c>
      <c r="E263" s="17">
        <v>-0.72224683518045152</v>
      </c>
      <c r="F263" s="17">
        <v>0.72224683518045152</v>
      </c>
      <c r="G263" s="17">
        <v>-5.3074142893298343E-2</v>
      </c>
      <c r="H263" s="17">
        <v>8.0064076902543566E-2</v>
      </c>
      <c r="I263" s="17">
        <v>-0.15692270718443055</v>
      </c>
      <c r="J263" s="17">
        <v>0.15692270718443055</v>
      </c>
    </row>
    <row r="264" spans="2:10">
      <c r="B264" s="24">
        <v>16</v>
      </c>
      <c r="C264" s="17">
        <v>0.68990257436150759</v>
      </c>
      <c r="D264" s="17">
        <v>0.37720891058574102</v>
      </c>
      <c r="E264" s="17">
        <v>-0.73931587939564181</v>
      </c>
      <c r="F264" s="17">
        <v>0.73931587939564181</v>
      </c>
      <c r="G264" s="17">
        <v>4.6887190723633653E-3</v>
      </c>
      <c r="H264" s="17">
        <v>8.0064076902543566E-2</v>
      </c>
      <c r="I264" s="17">
        <v>-0.15692270718443055</v>
      </c>
      <c r="J264" s="17">
        <v>0.15692270718443055</v>
      </c>
    </row>
    <row r="265" spans="2:10">
      <c r="B265" s="24">
        <v>17</v>
      </c>
      <c r="C265" s="17">
        <v>0.67259373064859351</v>
      </c>
      <c r="D265" s="17">
        <v>0.38521251902870912</v>
      </c>
      <c r="E265" s="17">
        <v>-0.75500266369021996</v>
      </c>
      <c r="F265" s="17">
        <v>0.75500266369021996</v>
      </c>
      <c r="G265" s="17">
        <v>4.6551413194453842E-2</v>
      </c>
      <c r="H265" s="17">
        <v>8.0064076902543566E-2</v>
      </c>
      <c r="I265" s="17">
        <v>-0.15692270718443055</v>
      </c>
      <c r="J265" s="17">
        <v>0.15692270718443055</v>
      </c>
    </row>
    <row r="266" spans="2:10">
      <c r="B266" s="24">
        <v>18</v>
      </c>
      <c r="C266" s="17">
        <v>0.6518050329382723</v>
      </c>
      <c r="D266" s="17">
        <v>0.39266838201364029</v>
      </c>
      <c r="E266" s="17">
        <v>-0.76961588661435032</v>
      </c>
      <c r="F266" s="17">
        <v>0.76961588661435032</v>
      </c>
      <c r="G266" s="17">
        <v>-3.9357638923995852E-2</v>
      </c>
      <c r="H266" s="17">
        <v>8.0064076902543566E-2</v>
      </c>
      <c r="I266" s="17">
        <v>-0.15692270718443055</v>
      </c>
      <c r="J266" s="17">
        <v>0.15692270718443055</v>
      </c>
    </row>
    <row r="267" spans="2:10">
      <c r="B267" s="24">
        <v>19</v>
      </c>
      <c r="C267" s="17">
        <v>0.63444022475264406</v>
      </c>
      <c r="D267" s="17">
        <v>0.39954380304699644</v>
      </c>
      <c r="E267" s="17">
        <v>-0.78309146421827758</v>
      </c>
      <c r="F267" s="17">
        <v>0.78309146421827758</v>
      </c>
      <c r="G267" s="17">
        <v>5.2502429311890256E-3</v>
      </c>
      <c r="H267" s="17">
        <v>8.0064076902543566E-2</v>
      </c>
      <c r="I267" s="17">
        <v>-0.15692270718443055</v>
      </c>
      <c r="J267" s="17">
        <v>0.15692270718443055</v>
      </c>
    </row>
    <row r="268" spans="2:10">
      <c r="B268" s="24">
        <v>20</v>
      </c>
      <c r="C268" s="17">
        <v>0.61661367911082421</v>
      </c>
      <c r="D268" s="17">
        <v>0.40595035603298929</v>
      </c>
      <c r="E268" s="17">
        <v>-0.79564807733587106</v>
      </c>
      <c r="F268" s="17">
        <v>0.79564807733587106</v>
      </c>
      <c r="G268" s="17">
        <v>1.6164698413878277E-2</v>
      </c>
      <c r="H268" s="17">
        <v>8.0064076902543566E-2</v>
      </c>
      <c r="I268" s="17">
        <v>-0.15692270718443055</v>
      </c>
      <c r="J268" s="17">
        <v>0.15692270718443055</v>
      </c>
    </row>
    <row r="269" spans="2:10">
      <c r="B269" s="24">
        <v>21</v>
      </c>
      <c r="C269" s="17">
        <v>0.59967488929012858</v>
      </c>
      <c r="D269" s="17">
        <v>0.41191043915788461</v>
      </c>
      <c r="E269" s="17">
        <v>-0.8073296256055309</v>
      </c>
      <c r="F269" s="17">
        <v>0.8073296256055309</v>
      </c>
      <c r="G269" s="17">
        <v>-5.3402634348283289E-2</v>
      </c>
      <c r="H269" s="17">
        <v>8.0064076902543566E-2</v>
      </c>
      <c r="I269" s="17">
        <v>-0.15692270718443055</v>
      </c>
      <c r="J269" s="17">
        <v>0.15692270718443055</v>
      </c>
    </row>
    <row r="270" spans="2:10" ht="17" thickBot="1">
      <c r="B270" s="25">
        <v>22</v>
      </c>
      <c r="C270" s="18">
        <v>0.58479697272113207</v>
      </c>
      <c r="D270" s="18">
        <v>0.41746927330581662</v>
      </c>
      <c r="E270" s="18">
        <v>-0.81822474033150894</v>
      </c>
      <c r="F270" s="18">
        <v>0.81822474033150894</v>
      </c>
      <c r="G270" s="18">
        <v>5.2321744124920765E-2</v>
      </c>
      <c r="H270" s="18">
        <v>8.0064076902543566E-2</v>
      </c>
      <c r="I270" s="18">
        <v>-0.15692270718443055</v>
      </c>
      <c r="J270" s="18">
        <v>0.15692270718443055</v>
      </c>
    </row>
    <row r="288" spans="6:6">
      <c r="F288" s="5" t="s">
        <v>208</v>
      </c>
    </row>
    <row r="291" spans="2:10">
      <c r="B291" s="5" t="s">
        <v>214</v>
      </c>
    </row>
    <row r="292" spans="2:10" ht="17" thickBot="1"/>
    <row r="293" spans="2:10">
      <c r="B293" s="7" t="s">
        <v>210</v>
      </c>
      <c r="C293" s="7" t="s">
        <v>211</v>
      </c>
      <c r="D293" s="7" t="s">
        <v>212</v>
      </c>
      <c r="E293" s="7" t="s">
        <v>192</v>
      </c>
      <c r="F293" s="7" t="s">
        <v>193</v>
      </c>
      <c r="G293" s="7" t="s">
        <v>213</v>
      </c>
      <c r="H293" s="7" t="s">
        <v>212</v>
      </c>
      <c r="I293" s="7" t="s">
        <v>192</v>
      </c>
      <c r="J293" s="7" t="s">
        <v>193</v>
      </c>
    </row>
    <row r="294" spans="2:10">
      <c r="B294" s="23">
        <v>0</v>
      </c>
      <c r="C294" s="16">
        <v>1</v>
      </c>
      <c r="D294" s="16">
        <v>0</v>
      </c>
      <c r="E294" s="16"/>
      <c r="F294" s="16"/>
      <c r="G294" s="16">
        <v>1</v>
      </c>
      <c r="H294" s="16">
        <v>0</v>
      </c>
      <c r="I294" s="16"/>
      <c r="J294" s="16"/>
    </row>
    <row r="295" spans="2:10">
      <c r="B295" s="24">
        <v>1</v>
      </c>
      <c r="C295" s="17">
        <v>3.9112760781258799E-3</v>
      </c>
      <c r="D295" s="17">
        <v>8.0064076902543566E-2</v>
      </c>
      <c r="E295" s="17">
        <v>-0.15692270718443055</v>
      </c>
      <c r="F295" s="17">
        <v>0.15692270718443055</v>
      </c>
      <c r="G295" s="17">
        <v>3.9112760781258799E-3</v>
      </c>
      <c r="H295" s="17">
        <v>8.0064076902543566E-2</v>
      </c>
      <c r="I295" s="17">
        <v>-0.15692270718443055</v>
      </c>
      <c r="J295" s="17">
        <v>0.15692270718443055</v>
      </c>
    </row>
    <row r="296" spans="2:10">
      <c r="B296" s="24">
        <v>2</v>
      </c>
      <c r="C296" s="17">
        <v>-2.7091870163890086E-2</v>
      </c>
      <c r="D296" s="17">
        <v>8.0065301719873333E-2</v>
      </c>
      <c r="E296" s="17">
        <v>-0.15692510778228455</v>
      </c>
      <c r="F296" s="17">
        <v>0.15692510778228455</v>
      </c>
      <c r="G296" s="17">
        <v>-2.7107582938436965E-2</v>
      </c>
      <c r="H296" s="17">
        <v>8.0064076902543566E-2</v>
      </c>
      <c r="I296" s="17">
        <v>-0.15692270718443055</v>
      </c>
      <c r="J296" s="17">
        <v>0.15692270718443055</v>
      </c>
    </row>
    <row r="297" spans="2:10">
      <c r="B297" s="24">
        <v>3</v>
      </c>
      <c r="C297" s="17">
        <v>8.5544013385038059E-2</v>
      </c>
      <c r="D297" s="17">
        <v>8.0124043856812516E-2</v>
      </c>
      <c r="E297" s="17">
        <v>-0.15704024025506028</v>
      </c>
      <c r="F297" s="17">
        <v>0.15704024025506028</v>
      </c>
      <c r="G297" s="17">
        <v>8.5823251529746514E-2</v>
      </c>
      <c r="H297" s="17">
        <v>8.0064076902543566E-2</v>
      </c>
      <c r="I297" s="17">
        <v>-0.15692270718443055</v>
      </c>
      <c r="J297" s="17">
        <v>0.15692270718443055</v>
      </c>
    </row>
    <row r="298" spans="2:10">
      <c r="B298" s="24">
        <v>4</v>
      </c>
      <c r="C298" s="17">
        <v>-0.13047058710098541</v>
      </c>
      <c r="D298" s="17">
        <v>8.070737310514306E-2</v>
      </c>
      <c r="E298" s="17">
        <v>-0.15818354457291695</v>
      </c>
      <c r="F298" s="17">
        <v>0.15818354457291695</v>
      </c>
      <c r="G298" s="17">
        <v>-0.1331727314753792</v>
      </c>
      <c r="H298" s="17">
        <v>8.0064076902543566E-2</v>
      </c>
      <c r="I298" s="17">
        <v>-0.15692270718443055</v>
      </c>
      <c r="J298" s="17">
        <v>0.15692270718443055</v>
      </c>
    </row>
    <row r="299" spans="2:10">
      <c r="B299" s="24">
        <v>5</v>
      </c>
      <c r="C299" s="17">
        <v>2.1591951162731486E-2</v>
      </c>
      <c r="D299" s="17">
        <v>8.2048267519798407E-2</v>
      </c>
      <c r="E299" s="17">
        <v>-0.16081164933271236</v>
      </c>
      <c r="F299" s="17">
        <v>0.16081164933271236</v>
      </c>
      <c r="G299" s="17">
        <v>3.0217445872268486E-2</v>
      </c>
      <c r="H299" s="17">
        <v>8.0064076902543566E-2</v>
      </c>
      <c r="I299" s="17">
        <v>-0.15692270718443055</v>
      </c>
      <c r="J299" s="17">
        <v>0.15692270718443055</v>
      </c>
    </row>
    <row r="300" spans="2:10">
      <c r="B300" s="24">
        <v>6</v>
      </c>
      <c r="C300" s="17">
        <v>0.14978532981410961</v>
      </c>
      <c r="D300" s="17">
        <v>8.2084683616829177E-2</v>
      </c>
      <c r="E300" s="17">
        <v>-0.16088302357135018</v>
      </c>
      <c r="F300" s="17">
        <v>0.16088302357135018</v>
      </c>
      <c r="G300" s="17">
        <v>0.13733106782996618</v>
      </c>
      <c r="H300" s="17">
        <v>8.0064076902543566E-2</v>
      </c>
      <c r="I300" s="17">
        <v>-0.15692270718443055</v>
      </c>
      <c r="J300" s="17">
        <v>0.15692270718443055</v>
      </c>
    </row>
    <row r="301" spans="2:10">
      <c r="B301" s="24">
        <v>7</v>
      </c>
      <c r="C301" s="17">
        <v>-0.1205491915948273</v>
      </c>
      <c r="D301" s="17">
        <v>8.3818445220528628E-2</v>
      </c>
      <c r="E301" s="17">
        <v>-0.1642811338723795</v>
      </c>
      <c r="F301" s="17">
        <v>0.1642811338723795</v>
      </c>
      <c r="G301" s="17">
        <v>-0.10654718028270893</v>
      </c>
      <c r="H301" s="17">
        <v>8.0064076902543566E-2</v>
      </c>
      <c r="I301" s="17">
        <v>-0.15692270718443055</v>
      </c>
      <c r="J301" s="17">
        <v>0.15692270718443055</v>
      </c>
    </row>
    <row r="302" spans="2:10">
      <c r="B302" s="24">
        <v>8</v>
      </c>
      <c r="C302" s="17">
        <v>-0.16601364666346313</v>
      </c>
      <c r="D302" s="17">
        <v>8.4922557844820237E-2</v>
      </c>
      <c r="E302" s="17">
        <v>-0.16644515485086706</v>
      </c>
      <c r="F302" s="17">
        <v>0.16644515485086706</v>
      </c>
      <c r="G302" s="17">
        <v>-0.18574409011201615</v>
      </c>
      <c r="H302" s="17">
        <v>8.0064076902543566E-2</v>
      </c>
      <c r="I302" s="17">
        <v>-0.15692270718443055</v>
      </c>
      <c r="J302" s="17">
        <v>0.15692270718443055</v>
      </c>
    </row>
    <row r="303" spans="2:10">
      <c r="B303" s="24">
        <v>9</v>
      </c>
      <c r="C303" s="17">
        <v>0.13464812151926767</v>
      </c>
      <c r="D303" s="17">
        <v>8.6978048784591644E-2</v>
      </c>
      <c r="E303" s="17">
        <v>-0.17047384306336741</v>
      </c>
      <c r="F303" s="17">
        <v>0.17047384306336741</v>
      </c>
      <c r="G303" s="17">
        <v>0.13447387436134051</v>
      </c>
      <c r="H303" s="17">
        <v>8.0064076902543566E-2</v>
      </c>
      <c r="I303" s="17">
        <v>-0.15692270718443055</v>
      </c>
      <c r="J303" s="17">
        <v>0.15692270718443055</v>
      </c>
    </row>
    <row r="304" spans="2:10">
      <c r="B304" s="24">
        <v>10</v>
      </c>
      <c r="C304" s="17">
        <v>-0.15295809116408102</v>
      </c>
      <c r="D304" s="17">
        <v>8.8304124269764583E-2</v>
      </c>
      <c r="E304" s="17">
        <v>-0.17307290325508784</v>
      </c>
      <c r="F304" s="17">
        <v>0.17307290325508784</v>
      </c>
      <c r="G304" s="17">
        <v>-0.11937546276335458</v>
      </c>
      <c r="H304" s="17">
        <v>8.0064076902543566E-2</v>
      </c>
      <c r="I304" s="17">
        <v>-0.15692270718443055</v>
      </c>
      <c r="J304" s="17">
        <v>0.15692270718443055</v>
      </c>
    </row>
    <row r="305" spans="2:10">
      <c r="B305" s="24">
        <v>11</v>
      </c>
      <c r="C305" s="17">
        <v>-6.8205708712597513E-2</v>
      </c>
      <c r="D305" s="17">
        <v>8.9986495423455964E-2</v>
      </c>
      <c r="E305" s="17">
        <v>-0.17637029012495206</v>
      </c>
      <c r="F305" s="17">
        <v>0.17637029012495206</v>
      </c>
      <c r="G305" s="17">
        <v>-8.5185967279301708E-2</v>
      </c>
      <c r="H305" s="17">
        <v>8.0064076902543566E-2</v>
      </c>
      <c r="I305" s="17">
        <v>-0.15692270718443055</v>
      </c>
      <c r="J305" s="17">
        <v>0.15692270718443055</v>
      </c>
    </row>
    <row r="306" spans="2:10">
      <c r="B306" s="24">
        <v>12</v>
      </c>
      <c r="C306" s="17">
        <v>-1.7575612747268068E-2</v>
      </c>
      <c r="D306" s="17">
        <v>9.03172775497188E-2</v>
      </c>
      <c r="E306" s="17">
        <v>-0.17701861117915679</v>
      </c>
      <c r="F306" s="17">
        <v>0.17701861117915679</v>
      </c>
      <c r="G306" s="17">
        <v>-9.4635309253571845E-2</v>
      </c>
      <c r="H306" s="17">
        <v>8.0064076902543566E-2</v>
      </c>
      <c r="I306" s="17">
        <v>-0.15692270718443055</v>
      </c>
      <c r="J306" s="17">
        <v>0.15692270718443055</v>
      </c>
    </row>
    <row r="307" spans="2:10">
      <c r="B307" s="24">
        <v>13</v>
      </c>
      <c r="C307" s="17">
        <v>-0.23949075119927266</v>
      </c>
      <c r="D307" s="17">
        <v>9.0339199178095603E-2</v>
      </c>
      <c r="E307" s="17">
        <v>-0.17706157678125781</v>
      </c>
      <c r="F307" s="17">
        <v>0.17706157678125781</v>
      </c>
      <c r="G307" s="17">
        <v>-0.16218589209104387</v>
      </c>
      <c r="H307" s="17">
        <v>8.0064076902543566E-2</v>
      </c>
      <c r="I307" s="17">
        <v>-0.15692270718443055</v>
      </c>
      <c r="J307" s="17">
        <v>0.15692270718443055</v>
      </c>
    </row>
    <row r="308" spans="2:10">
      <c r="B308" s="24">
        <v>14</v>
      </c>
      <c r="C308" s="17">
        <v>0.11649562356216531</v>
      </c>
      <c r="D308" s="17">
        <v>9.4321269778490077E-2</v>
      </c>
      <c r="E308" s="17">
        <v>-0.18486629174192676</v>
      </c>
      <c r="F308" s="17">
        <v>0.18486629174192676</v>
      </c>
      <c r="G308" s="17">
        <v>0.14431787244442701</v>
      </c>
      <c r="H308" s="17">
        <v>8.0064076902543566E-2</v>
      </c>
      <c r="I308" s="17">
        <v>-0.15692270718443055</v>
      </c>
      <c r="J308" s="17">
        <v>0.15692270718443055</v>
      </c>
    </row>
    <row r="309" spans="2:10">
      <c r="B309" s="24">
        <v>15</v>
      </c>
      <c r="C309" s="17">
        <v>6.5130060527345254E-2</v>
      </c>
      <c r="D309" s="17">
        <v>9.5239130953590379E-2</v>
      </c>
      <c r="E309" s="17">
        <v>-0.18666526658793095</v>
      </c>
      <c r="F309" s="17">
        <v>0.18666526658793095</v>
      </c>
      <c r="G309" s="17">
        <v>-2.5692760007709585E-2</v>
      </c>
      <c r="H309" s="17">
        <v>8.0064076902543566E-2</v>
      </c>
      <c r="I309" s="17">
        <v>-0.15692270718443055</v>
      </c>
      <c r="J309" s="17">
        <v>0.15692270718443055</v>
      </c>
    </row>
    <row r="310" spans="2:10">
      <c r="B310" s="24">
        <v>16</v>
      </c>
      <c r="C310" s="17">
        <v>-0.10663507884222359</v>
      </c>
      <c r="D310" s="17">
        <v>9.5524215337661117E-2</v>
      </c>
      <c r="E310" s="17">
        <v>-0.18722402171326438</v>
      </c>
      <c r="F310" s="17">
        <v>0.18722402171326438</v>
      </c>
      <c r="G310" s="17">
        <v>-8.6956669770159617E-2</v>
      </c>
      <c r="H310" s="17">
        <v>8.0064076902543566E-2</v>
      </c>
      <c r="I310" s="17">
        <v>-0.15692270718443055</v>
      </c>
      <c r="J310" s="17">
        <v>0.15692270718443055</v>
      </c>
    </row>
    <row r="311" spans="2:10">
      <c r="B311" s="24">
        <v>17</v>
      </c>
      <c r="C311" s="17">
        <v>9.8018485677920947E-3</v>
      </c>
      <c r="D311" s="17">
        <v>9.6284257698168021E-2</v>
      </c>
      <c r="E311" s="17">
        <v>-0.18871367736658273</v>
      </c>
      <c r="F311" s="17">
        <v>0.18871367736658273</v>
      </c>
      <c r="G311" s="17">
        <v>-8.4107964110280786E-5</v>
      </c>
      <c r="H311" s="17">
        <v>8.0064076902543566E-2</v>
      </c>
      <c r="I311" s="17">
        <v>-0.15692270718443055</v>
      </c>
      <c r="J311" s="17">
        <v>0.15692270718443055</v>
      </c>
    </row>
    <row r="312" spans="2:10">
      <c r="B312" s="24">
        <v>18</v>
      </c>
      <c r="C312" s="17">
        <v>-2.1205083748515739E-2</v>
      </c>
      <c r="D312" s="17">
        <v>9.6290653892754444E-2</v>
      </c>
      <c r="E312" s="17">
        <v>-0.18872621367761022</v>
      </c>
      <c r="F312" s="17">
        <v>0.18872621367761022</v>
      </c>
      <c r="G312" s="17">
        <v>-4.9971750632712274E-2</v>
      </c>
      <c r="H312" s="17">
        <v>8.0064076902543566E-2</v>
      </c>
      <c r="I312" s="17">
        <v>-0.15692270718443055</v>
      </c>
      <c r="J312" s="17">
        <v>0.15692270718443055</v>
      </c>
    </row>
    <row r="313" spans="2:10">
      <c r="B313" s="24">
        <v>19</v>
      </c>
      <c r="C313" s="17">
        <v>-2.3321969699648979E-2</v>
      </c>
      <c r="D313" s="17">
        <v>9.6320583688955963E-2</v>
      </c>
      <c r="E313" s="17">
        <v>-0.18878487500022983</v>
      </c>
      <c r="F313" s="17">
        <v>0.18878487500022983</v>
      </c>
      <c r="G313" s="17">
        <v>3.7440697984720765E-2</v>
      </c>
      <c r="H313" s="17">
        <v>8.0064076902543566E-2</v>
      </c>
      <c r="I313" s="17">
        <v>-0.15692270718443055</v>
      </c>
      <c r="J313" s="17">
        <v>0.15692270718443055</v>
      </c>
    </row>
    <row r="314" spans="2:10">
      <c r="B314" s="24">
        <v>20</v>
      </c>
      <c r="C314" s="17">
        <v>0.15967136445108718</v>
      </c>
      <c r="D314" s="17">
        <v>9.6356775070887316E-2</v>
      </c>
      <c r="E314" s="17">
        <v>-0.18885580880536601</v>
      </c>
      <c r="F314" s="17">
        <v>0.18885580880536601</v>
      </c>
      <c r="G314" s="17">
        <v>6.0962838240315897E-2</v>
      </c>
      <c r="H314" s="17">
        <v>8.0064076902543566E-2</v>
      </c>
      <c r="I314" s="17">
        <v>-0.15692270718443055</v>
      </c>
      <c r="J314" s="17">
        <v>0.15692270718443055</v>
      </c>
    </row>
    <row r="315" spans="2:10">
      <c r="B315" s="24">
        <v>21</v>
      </c>
      <c r="C315" s="17">
        <v>8.5463863324017161E-2</v>
      </c>
      <c r="D315" s="17">
        <v>9.8038188306869806E-2</v>
      </c>
      <c r="E315" s="17">
        <v>-0.19215131819102063</v>
      </c>
      <c r="F315" s="17">
        <v>0.19215131819102063</v>
      </c>
      <c r="G315" s="17">
        <v>2.1265761727793837E-2</v>
      </c>
      <c r="H315" s="17">
        <v>8.0064076902543566E-2</v>
      </c>
      <c r="I315" s="17">
        <v>-0.15692270718443055</v>
      </c>
      <c r="J315" s="17">
        <v>0.15692270718443055</v>
      </c>
    </row>
    <row r="316" spans="2:10" ht="17" thickBot="1">
      <c r="B316" s="25">
        <v>22</v>
      </c>
      <c r="C316" s="18">
        <v>-9.3971711420126919E-2</v>
      </c>
      <c r="D316" s="18">
        <v>9.8514609649373683E-2</v>
      </c>
      <c r="E316" s="18">
        <v>-0.19308508686379447</v>
      </c>
      <c r="F316" s="18">
        <v>0.19308508686379447</v>
      </c>
      <c r="G316" s="18">
        <v>-6.0414328764575136E-3</v>
      </c>
      <c r="H316" s="18">
        <v>8.0064076902543566E-2</v>
      </c>
      <c r="I316" s="18">
        <v>-0.15692270718443055</v>
      </c>
      <c r="J316" s="18">
        <v>0.15692270718443055</v>
      </c>
    </row>
    <row r="334" spans="6:6">
      <c r="F334" s="5" t="s">
        <v>208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DD726251">
              <controlPr defaultSize="0" autoFill="0" autoPict="0" macro="[3]!GoToResultsNew1310184575231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41F9A-5F72-4F28-A17E-C6B96BA5DB0B}">
  <sheetPr codeName="Sheet15">
    <tabColor rgb="FF007800"/>
  </sheetPr>
  <dimension ref="B1:J327"/>
  <sheetViews>
    <sheetView showGridLines="0" topLeftCell="A11" zoomScaleNormal="100" workbookViewId="0">
      <selection activeCell="K19" sqref="K19"/>
    </sheetView>
  </sheetViews>
  <sheetFormatPr baseColWidth="10" defaultColWidth="8.83203125" defaultRowHeight="15"/>
  <cols>
    <col min="1" max="1" width="5" customWidth="1"/>
    <col min="2" max="2" width="12.5" customWidth="1"/>
    <col min="3" max="3" width="13.6640625" customWidth="1"/>
    <col min="4" max="4" width="19.33203125" customWidth="1"/>
    <col min="6" max="6" width="9.1640625" customWidth="1"/>
    <col min="7" max="7" width="14.33203125" customWidth="1"/>
    <col min="8" max="8" width="13.83203125" customWidth="1"/>
  </cols>
  <sheetData>
    <row r="1" spans="2:8" hidden="1"/>
    <row r="2" spans="2:8" hidden="1"/>
    <row r="3" spans="2:8" hidden="1"/>
    <row r="4" spans="2:8" hidden="1"/>
    <row r="5" spans="2:8" hidden="1"/>
    <row r="6" spans="2:8" hidden="1"/>
    <row r="7" spans="2:8" hidden="1"/>
    <row r="8" spans="2:8" hidden="1"/>
    <row r="9" spans="2:8" hidden="1"/>
    <row r="10" spans="2:8" hidden="1"/>
    <row r="11" spans="2:8" s="124" customFormat="1" ht="34.25" customHeight="1">
      <c r="G11" s="125" t="s">
        <v>256</v>
      </c>
      <c r="H11" s="125" t="s">
        <v>269</v>
      </c>
    </row>
    <row r="12" spans="2:8" ht="16.25" customHeight="1"/>
    <row r="15" spans="2:8">
      <c r="B15" t="s">
        <v>163</v>
      </c>
    </row>
    <row r="16" spans="2:8" ht="16" thickBot="1"/>
    <row r="17" spans="2:9">
      <c r="B17" s="55" t="s">
        <v>164</v>
      </c>
      <c r="C17" s="49" t="s">
        <v>165</v>
      </c>
      <c r="D17" s="49" t="s">
        <v>166</v>
      </c>
      <c r="E17" s="49" t="s">
        <v>167</v>
      </c>
      <c r="F17" s="49" t="s">
        <v>168</v>
      </c>
      <c r="G17" s="49" t="s">
        <v>169</v>
      </c>
      <c r="H17" s="49" t="s">
        <v>170</v>
      </c>
      <c r="I17" s="49" t="s">
        <v>171</v>
      </c>
    </row>
    <row r="18" spans="2:9" ht="16" thickBot="1">
      <c r="B18" s="87" t="s">
        <v>5</v>
      </c>
      <c r="C18" s="90">
        <v>156</v>
      </c>
      <c r="D18" s="90">
        <v>0</v>
      </c>
      <c r="E18" s="90">
        <v>156</v>
      </c>
      <c r="F18" s="86">
        <v>437.1</v>
      </c>
      <c r="G18" s="86">
        <v>708.4</v>
      </c>
      <c r="H18" s="86">
        <v>554.00064102564113</v>
      </c>
      <c r="I18" s="86">
        <v>57.957320778694594</v>
      </c>
    </row>
    <row r="21" spans="2:9">
      <c r="B21" s="74" t="s">
        <v>255</v>
      </c>
    </row>
    <row r="23" spans="2:9">
      <c r="B23" t="s">
        <v>254</v>
      </c>
    </row>
    <row r="25" spans="2:9">
      <c r="B25" s="73" t="s">
        <v>174</v>
      </c>
      <c r="C25" s="73"/>
      <c r="D25" s="73"/>
    </row>
    <row r="26" spans="2:9" ht="16" thickBot="1"/>
    <row r="27" spans="2:9">
      <c r="B27" s="89" t="s">
        <v>165</v>
      </c>
      <c r="C27" s="89">
        <v>131</v>
      </c>
    </row>
    <row r="28" spans="2:9">
      <c r="B28" s="84" t="s">
        <v>175</v>
      </c>
      <c r="C28" s="84">
        <v>125</v>
      </c>
    </row>
    <row r="29" spans="2:9">
      <c r="B29" s="84" t="s">
        <v>176</v>
      </c>
      <c r="C29" s="84">
        <v>38410.143412472353</v>
      </c>
    </row>
    <row r="30" spans="2:9">
      <c r="B30" s="84" t="s">
        <v>177</v>
      </c>
      <c r="C30" s="84">
        <v>307.28114729977881</v>
      </c>
    </row>
    <row r="31" spans="2:9">
      <c r="B31" s="88" t="s">
        <v>178</v>
      </c>
      <c r="C31" s="88">
        <v>17.52943659390623</v>
      </c>
    </row>
    <row r="32" spans="2:9">
      <c r="B32" s="84" t="s">
        <v>179</v>
      </c>
      <c r="C32" s="84">
        <v>307.28114729977881</v>
      </c>
    </row>
    <row r="33" spans="2:6">
      <c r="B33" s="84" t="s">
        <v>180</v>
      </c>
      <c r="C33" s="84">
        <v>155.63363295549269</v>
      </c>
    </row>
    <row r="34" spans="2:6">
      <c r="B34" s="88" t="s">
        <v>181</v>
      </c>
      <c r="C34" s="88">
        <v>2.0941803107428618</v>
      </c>
    </row>
    <row r="35" spans="2:6">
      <c r="B35" s="84" t="s">
        <v>182</v>
      </c>
      <c r="C35" s="84">
        <v>1130.4057484867833</v>
      </c>
    </row>
    <row r="36" spans="2:6">
      <c r="B36" s="84" t="s">
        <v>183</v>
      </c>
      <c r="C36" s="84">
        <v>459.45847739109786</v>
      </c>
    </row>
    <row r="37" spans="2:6">
      <c r="B37" s="84" t="s">
        <v>184</v>
      </c>
      <c r="C37" s="84">
        <v>1142.4057484867833</v>
      </c>
    </row>
    <row r="38" spans="2:6">
      <c r="B38" s="84" t="s">
        <v>185</v>
      </c>
      <c r="C38" s="84">
        <v>1143.0831678416221</v>
      </c>
    </row>
    <row r="39" spans="2:6">
      <c r="B39" s="84" t="s">
        <v>186</v>
      </c>
      <c r="C39" s="84">
        <v>1159.6569324259901</v>
      </c>
    </row>
    <row r="40" spans="2:6" ht="16" thickBot="1">
      <c r="B40" s="83" t="s">
        <v>187</v>
      </c>
      <c r="C40" s="83">
        <v>27</v>
      </c>
    </row>
    <row r="43" spans="2:6">
      <c r="B43" t="s">
        <v>188</v>
      </c>
    </row>
    <row r="44" spans="2:6" ht="16" thickBot="1"/>
    <row r="45" spans="2:6">
      <c r="B45" s="55" t="s">
        <v>189</v>
      </c>
      <c r="C45" s="49" t="s">
        <v>190</v>
      </c>
      <c r="D45" s="49" t="s">
        <v>191</v>
      </c>
      <c r="E45" s="49" t="s">
        <v>192</v>
      </c>
      <c r="F45" s="49" t="s">
        <v>193</v>
      </c>
    </row>
    <row r="46" spans="2:6" ht="16" thickBot="1">
      <c r="B46" s="87" t="s">
        <v>194</v>
      </c>
      <c r="C46" s="86">
        <v>7.8148392065730488E-2</v>
      </c>
      <c r="D46" s="86">
        <v>2.7002360801614942E-3</v>
      </c>
      <c r="E46" s="86">
        <v>7.2856026598858356E-2</v>
      </c>
      <c r="F46" s="86">
        <v>8.3440757532602619E-2</v>
      </c>
    </row>
    <row r="48" spans="2:6" ht="16" thickBot="1"/>
    <row r="49" spans="2:9">
      <c r="B49" s="55" t="s">
        <v>189</v>
      </c>
      <c r="C49" s="49" t="s">
        <v>190</v>
      </c>
      <c r="D49" s="49" t="s">
        <v>191</v>
      </c>
      <c r="E49" s="49" t="s">
        <v>192</v>
      </c>
      <c r="F49" s="49" t="s">
        <v>193</v>
      </c>
      <c r="G49" s="49" t="s">
        <v>195</v>
      </c>
      <c r="H49" s="49" t="s">
        <v>192</v>
      </c>
      <c r="I49" s="49" t="s">
        <v>193</v>
      </c>
    </row>
    <row r="50" spans="2:9">
      <c r="B50" s="85" t="s">
        <v>196</v>
      </c>
      <c r="C50" s="46">
        <v>5.6930620742313288E-2</v>
      </c>
      <c r="D50" s="46">
        <v>7.6560777140548777E-2</v>
      </c>
      <c r="E50" s="46">
        <v>-9.3125745081559741E-2</v>
      </c>
      <c r="F50" s="46">
        <v>0.2069869865661863</v>
      </c>
      <c r="G50" s="46">
        <v>8.6450943986065301E-2</v>
      </c>
      <c r="H50" s="46">
        <v>-0.11251011589986426</v>
      </c>
      <c r="I50" s="46">
        <v>0.22637135738449082</v>
      </c>
    </row>
    <row r="51" spans="2:9">
      <c r="B51" s="84" t="s">
        <v>197</v>
      </c>
      <c r="C51" s="44">
        <v>-0.52181466224930007</v>
      </c>
      <c r="D51" s="44">
        <v>7.9080780821061722E-2</v>
      </c>
      <c r="E51" s="44">
        <v>-0.6768101445278869</v>
      </c>
      <c r="F51" s="44">
        <v>-0.36681917997071328</v>
      </c>
      <c r="G51" s="44">
        <v>8.6582934398881817E-2</v>
      </c>
      <c r="H51" s="44">
        <v>-0.69151409534690256</v>
      </c>
      <c r="I51" s="44">
        <v>-0.35211522915169757</v>
      </c>
    </row>
    <row r="52" spans="2:9">
      <c r="B52" s="84" t="s">
        <v>199</v>
      </c>
      <c r="C52" s="44">
        <v>-0.79110263317908269</v>
      </c>
      <c r="D52" s="44">
        <v>9.6535444648557511E-2</v>
      </c>
      <c r="E52" s="44">
        <v>-0.98030862792181528</v>
      </c>
      <c r="F52" s="44">
        <v>-0.60189663843635011</v>
      </c>
      <c r="G52" s="44">
        <v>9.4806139612620979E-2</v>
      </c>
      <c r="H52" s="44">
        <v>-0.97691925233309596</v>
      </c>
      <c r="I52" s="44">
        <v>-0.60528601402506943</v>
      </c>
    </row>
    <row r="53" spans="2:9" ht="16" thickBot="1">
      <c r="B53" s="83" t="s">
        <v>200</v>
      </c>
      <c r="C53" s="41">
        <v>-0.27729225894848225</v>
      </c>
      <c r="D53" s="41">
        <v>9.6106285755902812E-2</v>
      </c>
      <c r="E53" s="41">
        <v>-0.46565711771796653</v>
      </c>
      <c r="F53" s="41">
        <v>-8.8927400178997973E-2</v>
      </c>
      <c r="G53" s="41">
        <v>9.4806139612620979E-2</v>
      </c>
      <c r="H53" s="41">
        <v>-0.46310887810249546</v>
      </c>
      <c r="I53" s="41">
        <v>-9.1475639794469016E-2</v>
      </c>
    </row>
    <row r="56" spans="2:9">
      <c r="B56" t="s">
        <v>204</v>
      </c>
    </row>
    <row r="57" spans="2:9" ht="16" thickBot="1"/>
    <row r="58" spans="2:9">
      <c r="B58" s="82" t="s">
        <v>165</v>
      </c>
      <c r="C58" s="81" t="s">
        <v>5</v>
      </c>
      <c r="D58" s="64" t="s">
        <v>253</v>
      </c>
      <c r="E58" s="91" t="s">
        <v>206</v>
      </c>
      <c r="F58" s="49" t="s">
        <v>207</v>
      </c>
      <c r="G58" s="49" t="s">
        <v>212</v>
      </c>
      <c r="H58" s="49" t="s">
        <v>192</v>
      </c>
      <c r="I58" s="49" t="s">
        <v>193</v>
      </c>
    </row>
    <row r="59" spans="2:9">
      <c r="B59" s="80">
        <v>1</v>
      </c>
      <c r="C59" s="79">
        <v>447.8</v>
      </c>
      <c r="D59" s="65">
        <v>447.8</v>
      </c>
      <c r="E59" s="92">
        <v>0</v>
      </c>
      <c r="F59" s="46">
        <v>0</v>
      </c>
      <c r="G59" s="46"/>
      <c r="H59" s="46"/>
      <c r="I59" s="46"/>
    </row>
    <row r="60" spans="2:9">
      <c r="B60" s="78">
        <v>2</v>
      </c>
      <c r="C60" s="77">
        <v>437.1</v>
      </c>
      <c r="D60" s="62">
        <v>437.1</v>
      </c>
      <c r="E60" s="93">
        <v>0</v>
      </c>
      <c r="F60" s="44">
        <v>0</v>
      </c>
      <c r="G60" s="44"/>
      <c r="H60" s="44"/>
      <c r="I60" s="44"/>
    </row>
    <row r="61" spans="2:9">
      <c r="B61" s="78">
        <v>3</v>
      </c>
      <c r="C61" s="77">
        <v>479.7</v>
      </c>
      <c r="D61" s="62">
        <v>479.7</v>
      </c>
      <c r="E61" s="93">
        <v>0</v>
      </c>
      <c r="F61" s="44">
        <v>0</v>
      </c>
      <c r="G61" s="44"/>
      <c r="H61" s="44"/>
      <c r="I61" s="44"/>
    </row>
    <row r="62" spans="2:9">
      <c r="B62" s="78">
        <v>4</v>
      </c>
      <c r="C62" s="77">
        <v>533.6</v>
      </c>
      <c r="D62" s="62">
        <v>533.6</v>
      </c>
      <c r="E62" s="93">
        <v>0</v>
      </c>
      <c r="F62" s="44">
        <v>0</v>
      </c>
      <c r="G62" s="44"/>
      <c r="H62" s="44"/>
      <c r="I62" s="44"/>
    </row>
    <row r="63" spans="2:9">
      <c r="B63" s="78">
        <v>5</v>
      </c>
      <c r="C63" s="77">
        <v>535</v>
      </c>
      <c r="D63" s="62">
        <v>535</v>
      </c>
      <c r="E63" s="93">
        <v>0</v>
      </c>
      <c r="F63" s="44">
        <v>0</v>
      </c>
      <c r="G63" s="44"/>
      <c r="H63" s="44"/>
      <c r="I63" s="44"/>
    </row>
    <row r="64" spans="2:9">
      <c r="B64" s="78">
        <v>6</v>
      </c>
      <c r="C64" s="77">
        <v>560.20000000000005</v>
      </c>
      <c r="D64" s="62">
        <v>560.20000000000005</v>
      </c>
      <c r="E64" s="93">
        <v>0</v>
      </c>
      <c r="F64" s="44">
        <v>0</v>
      </c>
      <c r="G64" s="44"/>
      <c r="H64" s="44"/>
      <c r="I64" s="44"/>
    </row>
    <row r="65" spans="2:9">
      <c r="B65" s="78">
        <v>7</v>
      </c>
      <c r="C65" s="77">
        <v>537.4</v>
      </c>
      <c r="D65" s="62">
        <v>537.4</v>
      </c>
      <c r="E65" s="93">
        <v>0</v>
      </c>
      <c r="F65" s="44">
        <v>0</v>
      </c>
      <c r="G65" s="44"/>
      <c r="H65" s="44"/>
      <c r="I65" s="44"/>
    </row>
    <row r="66" spans="2:9">
      <c r="B66" s="78">
        <v>8</v>
      </c>
      <c r="C66" s="77">
        <v>528.79999999999995</v>
      </c>
      <c r="D66" s="62">
        <v>528.79999999999995</v>
      </c>
      <c r="E66" s="93">
        <v>0</v>
      </c>
      <c r="F66" s="44">
        <v>0</v>
      </c>
      <c r="G66" s="44"/>
      <c r="H66" s="44"/>
      <c r="I66" s="44"/>
    </row>
    <row r="67" spans="2:9">
      <c r="B67" s="78">
        <v>9</v>
      </c>
      <c r="C67" s="77">
        <v>516.29999999999995</v>
      </c>
      <c r="D67" s="62">
        <v>516.29999999999995</v>
      </c>
      <c r="E67" s="93">
        <v>0</v>
      </c>
      <c r="F67" s="44">
        <v>0</v>
      </c>
      <c r="G67" s="44"/>
      <c r="H67" s="44"/>
      <c r="I67" s="44"/>
    </row>
    <row r="68" spans="2:9">
      <c r="B68" s="78">
        <v>10</v>
      </c>
      <c r="C68" s="77">
        <v>520</v>
      </c>
      <c r="D68" s="62">
        <v>520</v>
      </c>
      <c r="E68" s="93">
        <v>0</v>
      </c>
      <c r="F68" s="44">
        <v>0</v>
      </c>
      <c r="G68" s="44"/>
      <c r="H68" s="44"/>
      <c r="I68" s="44"/>
    </row>
    <row r="69" spans="2:9">
      <c r="B69" s="78">
        <v>11</v>
      </c>
      <c r="C69" s="77">
        <v>518.6</v>
      </c>
      <c r="D69" s="62">
        <v>518.6</v>
      </c>
      <c r="E69" s="93">
        <v>0</v>
      </c>
      <c r="F69" s="44">
        <v>0</v>
      </c>
      <c r="G69" s="44"/>
      <c r="H69" s="44"/>
      <c r="I69" s="44"/>
    </row>
    <row r="70" spans="2:9">
      <c r="B70" s="78">
        <v>12</v>
      </c>
      <c r="C70" s="77">
        <v>478</v>
      </c>
      <c r="D70" s="62">
        <v>478</v>
      </c>
      <c r="E70" s="93">
        <v>0</v>
      </c>
      <c r="F70" s="44">
        <v>0</v>
      </c>
      <c r="G70" s="44"/>
      <c r="H70" s="44"/>
      <c r="I70" s="44"/>
    </row>
    <row r="71" spans="2:9">
      <c r="B71" s="78">
        <v>13</v>
      </c>
      <c r="C71" s="77">
        <v>465.5</v>
      </c>
      <c r="D71" s="62">
        <v>465.5</v>
      </c>
      <c r="E71" s="93">
        <v>0</v>
      </c>
      <c r="F71" s="44">
        <v>0</v>
      </c>
      <c r="G71" s="44"/>
      <c r="H71" s="44"/>
      <c r="I71" s="44"/>
    </row>
    <row r="72" spans="2:9">
      <c r="B72" s="78">
        <v>14</v>
      </c>
      <c r="C72" s="77">
        <v>452.3</v>
      </c>
      <c r="D72" s="62">
        <v>453.97638533377949</v>
      </c>
      <c r="E72" s="93">
        <v>-1.6763853337794785</v>
      </c>
      <c r="F72" s="44">
        <v>-9.5632584926445469E-2</v>
      </c>
      <c r="G72" s="44"/>
      <c r="H72" s="44"/>
      <c r="I72" s="44"/>
    </row>
    <row r="73" spans="2:9">
      <c r="B73" s="78">
        <v>15</v>
      </c>
      <c r="C73" s="77">
        <v>470</v>
      </c>
      <c r="D73" s="62">
        <v>486.1861626437414</v>
      </c>
      <c r="E73" s="93">
        <v>-16.186162643741397</v>
      </c>
      <c r="F73" s="44">
        <v>-0.92337038655128278</v>
      </c>
      <c r="G73" s="44"/>
      <c r="H73" s="44"/>
      <c r="I73" s="44"/>
    </row>
    <row r="74" spans="2:9">
      <c r="B74" s="78">
        <v>16</v>
      </c>
      <c r="C74" s="77">
        <v>511.3</v>
      </c>
      <c r="D74" s="62">
        <v>520.6796533980845</v>
      </c>
      <c r="E74" s="93">
        <v>-9.3796533980844856</v>
      </c>
      <c r="F74" s="44">
        <v>-0.53508014064440279</v>
      </c>
      <c r="G74" s="44"/>
      <c r="H74" s="44"/>
      <c r="I74" s="44"/>
    </row>
    <row r="75" spans="2:9">
      <c r="B75" s="78">
        <v>17</v>
      </c>
      <c r="C75" s="77">
        <v>522</v>
      </c>
      <c r="D75" s="62">
        <v>524.03924127987875</v>
      </c>
      <c r="E75" s="93">
        <v>-2.0392412798787518</v>
      </c>
      <c r="F75" s="44">
        <v>-0.11633239145790086</v>
      </c>
      <c r="G75" s="44"/>
      <c r="H75" s="44"/>
      <c r="I75" s="44"/>
    </row>
    <row r="76" spans="2:9">
      <c r="B76" s="78">
        <v>18</v>
      </c>
      <c r="C76" s="77">
        <v>533.20000000000005</v>
      </c>
      <c r="D76" s="62">
        <v>549.42388737221938</v>
      </c>
      <c r="E76" s="93">
        <v>-16.223887372219338</v>
      </c>
      <c r="F76" s="44">
        <v>-0.92552246532893467</v>
      </c>
      <c r="G76" s="44"/>
      <c r="H76" s="44"/>
      <c r="I76" s="44"/>
    </row>
    <row r="77" spans="2:9">
      <c r="B77" s="78">
        <v>19</v>
      </c>
      <c r="C77" s="77">
        <v>513.20000000000005</v>
      </c>
      <c r="D77" s="62">
        <v>507.48409780839421</v>
      </c>
      <c r="E77" s="93">
        <v>5.715902191605835</v>
      </c>
      <c r="F77" s="44">
        <v>0.32607449537727062</v>
      </c>
      <c r="G77" s="44"/>
      <c r="H77" s="44"/>
      <c r="I77" s="44"/>
    </row>
    <row r="78" spans="2:9">
      <c r="B78" s="78">
        <v>20</v>
      </c>
      <c r="C78" s="77">
        <v>544.20000000000005</v>
      </c>
      <c r="D78" s="62">
        <v>519.59690959432908</v>
      </c>
      <c r="E78" s="93">
        <v>24.603090405670969</v>
      </c>
      <c r="F78" s="44">
        <v>1.4035300150048038</v>
      </c>
      <c r="G78" s="44"/>
      <c r="H78" s="44"/>
      <c r="I78" s="44"/>
    </row>
    <row r="79" spans="2:9">
      <c r="B79" s="78">
        <v>21</v>
      </c>
      <c r="C79" s="77">
        <v>541.4</v>
      </c>
      <c r="D79" s="62">
        <v>533.63493878788586</v>
      </c>
      <c r="E79" s="93">
        <v>7.7650612121141194</v>
      </c>
      <c r="F79" s="44">
        <v>0.44297266318379525</v>
      </c>
      <c r="G79" s="44"/>
      <c r="H79" s="44"/>
      <c r="I79" s="44"/>
    </row>
    <row r="80" spans="2:9">
      <c r="B80" s="78">
        <v>22</v>
      </c>
      <c r="C80" s="77">
        <v>525.70000000000005</v>
      </c>
      <c r="D80" s="62">
        <v>526.10701384412698</v>
      </c>
      <c r="E80" s="93">
        <v>-0.40701384412693642</v>
      </c>
      <c r="F80" s="44">
        <v>-2.3218877683064094E-2</v>
      </c>
      <c r="G80" s="44"/>
      <c r="H80" s="44"/>
      <c r="I80" s="44"/>
    </row>
    <row r="81" spans="2:9">
      <c r="B81" s="78">
        <v>23</v>
      </c>
      <c r="C81" s="77">
        <v>535.20000000000005</v>
      </c>
      <c r="D81" s="62">
        <v>524.60639968802832</v>
      </c>
      <c r="E81" s="93">
        <v>10.593600311971727</v>
      </c>
      <c r="F81" s="44">
        <v>0.60433204770850357</v>
      </c>
      <c r="G81" s="44"/>
      <c r="H81" s="44"/>
      <c r="I81" s="44"/>
    </row>
    <row r="82" spans="2:9">
      <c r="B82" s="78">
        <v>24</v>
      </c>
      <c r="C82" s="77">
        <v>495</v>
      </c>
      <c r="D82" s="62">
        <v>501.69438303791736</v>
      </c>
      <c r="E82" s="93">
        <v>-6.6943830379173619</v>
      </c>
      <c r="F82" s="44">
        <v>-0.38189379345166946</v>
      </c>
      <c r="G82" s="44"/>
      <c r="H82" s="44"/>
      <c r="I82" s="44"/>
    </row>
    <row r="83" spans="2:9">
      <c r="B83" s="78">
        <v>25</v>
      </c>
      <c r="C83" s="77">
        <v>473.6</v>
      </c>
      <c r="D83" s="62">
        <v>471.89763602864946</v>
      </c>
      <c r="E83" s="93">
        <v>1.7023639713505645</v>
      </c>
      <c r="F83" s="44">
        <v>9.7114585641751794E-2</v>
      </c>
      <c r="G83" s="44"/>
      <c r="H83" s="44"/>
      <c r="I83" s="44"/>
    </row>
    <row r="84" spans="2:9">
      <c r="B84" s="78">
        <v>26</v>
      </c>
      <c r="C84" s="77">
        <v>444.4</v>
      </c>
      <c r="D84" s="62">
        <v>459.97349401760204</v>
      </c>
      <c r="E84" s="93">
        <v>-15.573494017602059</v>
      </c>
      <c r="F84" s="44">
        <v>-0.88841954127697886</v>
      </c>
      <c r="G84" s="44"/>
      <c r="H84" s="44"/>
      <c r="I84" s="44"/>
    </row>
    <row r="85" spans="2:9">
      <c r="B85" s="78">
        <v>27</v>
      </c>
      <c r="C85" s="77">
        <v>451.8</v>
      </c>
      <c r="D85" s="62">
        <v>474.90729686790621</v>
      </c>
      <c r="E85" s="93">
        <v>-23.1072968679062</v>
      </c>
      <c r="F85" s="44">
        <v>-1.3181996320371761</v>
      </c>
      <c r="G85" s="44"/>
      <c r="H85" s="44"/>
      <c r="I85" s="44"/>
    </row>
    <row r="86" spans="2:9">
      <c r="B86" s="78">
        <v>28</v>
      </c>
      <c r="C86" s="77">
        <v>511</v>
      </c>
      <c r="D86" s="62">
        <v>508.7146788348773</v>
      </c>
      <c r="E86" s="93">
        <v>2.2853211651226957</v>
      </c>
      <c r="F86" s="44">
        <v>0.13037048583279301</v>
      </c>
      <c r="G86" s="44"/>
      <c r="H86" s="44"/>
      <c r="I86" s="44"/>
    </row>
    <row r="87" spans="2:9">
      <c r="B87" s="78">
        <v>29</v>
      </c>
      <c r="C87" s="77">
        <v>542.79999999999995</v>
      </c>
      <c r="D87" s="62">
        <v>530.45233608914918</v>
      </c>
      <c r="E87" s="93">
        <v>12.34766391085077</v>
      </c>
      <c r="F87" s="44">
        <v>0.7043959367834558</v>
      </c>
      <c r="G87" s="44"/>
      <c r="H87" s="44"/>
      <c r="I87" s="44"/>
    </row>
    <row r="88" spans="2:9">
      <c r="B88" s="78">
        <v>30</v>
      </c>
      <c r="C88" s="77">
        <v>556</v>
      </c>
      <c r="D88" s="62">
        <v>559.27257711150207</v>
      </c>
      <c r="E88" s="93">
        <v>-3.2725771115020734</v>
      </c>
      <c r="F88" s="44">
        <v>-0.18669037615502837</v>
      </c>
      <c r="G88" s="44"/>
      <c r="H88" s="44"/>
      <c r="I88" s="44"/>
    </row>
    <row r="89" spans="2:9">
      <c r="B89" s="78">
        <v>31</v>
      </c>
      <c r="C89" s="77">
        <v>563.1</v>
      </c>
      <c r="D89" s="62">
        <v>522.087842836959</v>
      </c>
      <c r="E89" s="93">
        <v>41.012157163041024</v>
      </c>
      <c r="F89" s="44">
        <v>2.3396163900269396</v>
      </c>
      <c r="G89" s="44"/>
      <c r="H89" s="44"/>
      <c r="I89" s="44"/>
    </row>
    <row r="90" spans="2:9">
      <c r="B90" s="78">
        <v>32</v>
      </c>
      <c r="C90" s="77">
        <v>555</v>
      </c>
      <c r="D90" s="62">
        <v>573.61174854128785</v>
      </c>
      <c r="E90" s="93">
        <v>-18.611748541287852</v>
      </c>
      <c r="F90" s="44">
        <v>-1.061742540416722</v>
      </c>
      <c r="G90" s="44"/>
      <c r="H90" s="44"/>
      <c r="I90" s="44"/>
    </row>
    <row r="91" spans="2:9">
      <c r="B91" s="78">
        <v>33</v>
      </c>
      <c r="C91" s="77">
        <v>513.6</v>
      </c>
      <c r="D91" s="62">
        <v>529.14417920917447</v>
      </c>
      <c r="E91" s="93">
        <v>-15.544179209174445</v>
      </c>
      <c r="F91" s="44">
        <v>-0.88674722235956394</v>
      </c>
      <c r="G91" s="44"/>
      <c r="H91" s="44"/>
      <c r="I91" s="44"/>
    </row>
    <row r="92" spans="2:9">
      <c r="B92" s="78">
        <v>34</v>
      </c>
      <c r="C92" s="77">
        <v>514.70000000000005</v>
      </c>
      <c r="D92" s="62">
        <v>516.65806573162786</v>
      </c>
      <c r="E92" s="93">
        <v>-1.9580657316278121</v>
      </c>
      <c r="F92" s="44">
        <v>-0.11170157815046354</v>
      </c>
      <c r="G92" s="44"/>
      <c r="H92" s="44"/>
      <c r="I92" s="44"/>
    </row>
    <row r="93" spans="2:9">
      <c r="B93" s="78">
        <v>35</v>
      </c>
      <c r="C93" s="77">
        <v>547.9</v>
      </c>
      <c r="D93" s="62">
        <v>536.80516773853788</v>
      </c>
      <c r="E93" s="93">
        <v>11.094832261462102</v>
      </c>
      <c r="F93" s="44">
        <v>0.63292577613812218</v>
      </c>
      <c r="G93" s="44"/>
      <c r="H93" s="44"/>
      <c r="I93" s="44"/>
    </row>
    <row r="94" spans="2:9">
      <c r="B94" s="78">
        <v>36</v>
      </c>
      <c r="C94" s="77">
        <v>489.9</v>
      </c>
      <c r="D94" s="62">
        <v>504.82119252608652</v>
      </c>
      <c r="E94" s="93">
        <v>-14.921192526086543</v>
      </c>
      <c r="F94" s="44">
        <v>-0.85120776393199127</v>
      </c>
      <c r="G94" s="44"/>
      <c r="H94" s="44"/>
      <c r="I94" s="44"/>
    </row>
    <row r="95" spans="2:9">
      <c r="B95" s="78">
        <v>37</v>
      </c>
      <c r="C95" s="77">
        <v>467.1</v>
      </c>
      <c r="D95" s="62">
        <v>454.82295712154416</v>
      </c>
      <c r="E95" s="93">
        <v>12.277042878455859</v>
      </c>
      <c r="F95" s="44">
        <v>0.70036722587671396</v>
      </c>
      <c r="G95" s="44"/>
      <c r="H95" s="44"/>
      <c r="I95" s="44"/>
    </row>
    <row r="96" spans="2:9">
      <c r="B96" s="78">
        <v>38</v>
      </c>
      <c r="C96" s="77">
        <v>472.7</v>
      </c>
      <c r="D96" s="62">
        <v>459.09571561764443</v>
      </c>
      <c r="E96" s="93">
        <v>13.604284382355559</v>
      </c>
      <c r="F96" s="44">
        <v>0.77608223798161458</v>
      </c>
      <c r="G96" s="44"/>
      <c r="H96" s="44"/>
      <c r="I96" s="44"/>
    </row>
    <row r="97" spans="2:9">
      <c r="B97" s="78">
        <v>39</v>
      </c>
      <c r="C97" s="77">
        <v>449.5</v>
      </c>
      <c r="D97" s="62">
        <v>497.31882319431202</v>
      </c>
      <c r="E97" s="93">
        <v>-47.818823194312017</v>
      </c>
      <c r="F97" s="44">
        <v>-2.7279155800669206</v>
      </c>
      <c r="G97" s="44"/>
      <c r="H97" s="44"/>
      <c r="I97" s="44"/>
    </row>
    <row r="98" spans="2:9">
      <c r="B98" s="78">
        <v>40</v>
      </c>
      <c r="C98" s="77">
        <v>491.5</v>
      </c>
      <c r="D98" s="62">
        <v>484.47841275772026</v>
      </c>
      <c r="E98" s="93">
        <v>7.0215872422797361</v>
      </c>
      <c r="F98" s="44">
        <v>0.40055977867084763</v>
      </c>
      <c r="G98" s="44"/>
      <c r="H98" s="44"/>
      <c r="I98" s="44"/>
    </row>
    <row r="99" spans="2:9">
      <c r="B99" s="78">
        <v>41</v>
      </c>
      <c r="C99" s="77">
        <v>544</v>
      </c>
      <c r="D99" s="62">
        <v>527.71613733948072</v>
      </c>
      <c r="E99" s="93">
        <v>16.283862660519276</v>
      </c>
      <c r="F99" s="44">
        <v>0.92894386954684249</v>
      </c>
      <c r="G99" s="44"/>
      <c r="H99" s="44"/>
      <c r="I99" s="44"/>
    </row>
    <row r="100" spans="2:9">
      <c r="B100" s="78">
        <v>42</v>
      </c>
      <c r="C100" s="77">
        <v>572.5</v>
      </c>
      <c r="D100" s="62">
        <v>565.42134237941275</v>
      </c>
      <c r="E100" s="93">
        <v>7.0786576205872507</v>
      </c>
      <c r="F100" s="44">
        <v>0.40381546678163116</v>
      </c>
      <c r="G100" s="44"/>
      <c r="H100" s="44"/>
      <c r="I100" s="44"/>
    </row>
    <row r="101" spans="2:9">
      <c r="B101" s="78">
        <v>43</v>
      </c>
      <c r="C101" s="77">
        <v>525.79999999999995</v>
      </c>
      <c r="D101" s="62">
        <v>537.50409378117649</v>
      </c>
      <c r="E101" s="93">
        <v>-11.704093781176539</v>
      </c>
      <c r="F101" s="44">
        <v>-0.66768225655610869</v>
      </c>
      <c r="G101" s="44"/>
      <c r="H101" s="44"/>
      <c r="I101" s="44"/>
    </row>
    <row r="102" spans="2:9">
      <c r="B102" s="78">
        <v>44</v>
      </c>
      <c r="C102" s="77">
        <v>510.1</v>
      </c>
      <c r="D102" s="62">
        <v>529.30633939719087</v>
      </c>
      <c r="E102" s="93">
        <v>-19.206339397190845</v>
      </c>
      <c r="F102" s="44">
        <v>-1.0956621049570732</v>
      </c>
      <c r="G102" s="44"/>
      <c r="H102" s="44"/>
      <c r="I102" s="44"/>
    </row>
    <row r="103" spans="2:9">
      <c r="B103" s="78">
        <v>45</v>
      </c>
      <c r="C103" s="77">
        <v>519.1</v>
      </c>
      <c r="D103" s="62">
        <v>511.69645799426644</v>
      </c>
      <c r="E103" s="93">
        <v>7.4035420057335841</v>
      </c>
      <c r="F103" s="44">
        <v>0.42234911350814791</v>
      </c>
      <c r="G103" s="44"/>
      <c r="H103" s="44"/>
      <c r="I103" s="44"/>
    </row>
    <row r="104" spans="2:9">
      <c r="B104" s="78">
        <v>46</v>
      </c>
      <c r="C104" s="77">
        <v>522.1</v>
      </c>
      <c r="D104" s="62">
        <v>528.18639105547652</v>
      </c>
      <c r="E104" s="93">
        <v>-6.0863910554764971</v>
      </c>
      <c r="F104" s="44">
        <v>-0.34720973619838491</v>
      </c>
      <c r="G104" s="44"/>
      <c r="H104" s="44"/>
      <c r="I104" s="44"/>
    </row>
    <row r="105" spans="2:9">
      <c r="B105" s="78">
        <v>47</v>
      </c>
      <c r="C105" s="77">
        <v>535.6</v>
      </c>
      <c r="D105" s="62">
        <v>522.55514129393839</v>
      </c>
      <c r="E105" s="93">
        <v>13.044858706061632</v>
      </c>
      <c r="F105" s="44">
        <v>0.74416873789294657</v>
      </c>
      <c r="G105" s="44"/>
      <c r="H105" s="44"/>
      <c r="I105" s="44"/>
    </row>
    <row r="106" spans="2:9">
      <c r="B106" s="78">
        <v>48</v>
      </c>
      <c r="C106" s="77">
        <v>484</v>
      </c>
      <c r="D106" s="62">
        <v>486.80588282009177</v>
      </c>
      <c r="E106" s="93">
        <v>-2.8058828200917674</v>
      </c>
      <c r="F106" s="44">
        <v>-0.16006691401976825</v>
      </c>
      <c r="G106" s="44"/>
      <c r="H106" s="44"/>
      <c r="I106" s="44"/>
    </row>
    <row r="107" spans="2:9">
      <c r="B107" s="78">
        <v>49</v>
      </c>
      <c r="C107" s="77">
        <v>476.4</v>
      </c>
      <c r="D107" s="62">
        <v>463.50022530916834</v>
      </c>
      <c r="E107" s="93">
        <v>12.899774690831634</v>
      </c>
      <c r="F107" s="44">
        <v>0.73589214472049791</v>
      </c>
      <c r="G107" s="44"/>
      <c r="H107" s="44"/>
      <c r="I107" s="44"/>
    </row>
    <row r="108" spans="2:9">
      <c r="B108" s="78">
        <v>50</v>
      </c>
      <c r="C108" s="77">
        <v>460.5</v>
      </c>
      <c r="D108" s="62">
        <v>463.75539151487078</v>
      </c>
      <c r="E108" s="93">
        <v>-3.2553915148707802</v>
      </c>
      <c r="F108" s="44">
        <v>-0.18570999115866932</v>
      </c>
      <c r="G108" s="44"/>
      <c r="H108" s="44"/>
      <c r="I108" s="44"/>
    </row>
    <row r="109" spans="2:9">
      <c r="B109" s="78">
        <v>51</v>
      </c>
      <c r="C109" s="77">
        <v>461.2</v>
      </c>
      <c r="D109" s="62">
        <v>458.62550396392652</v>
      </c>
      <c r="E109" s="93">
        <v>2.5744960360734694</v>
      </c>
      <c r="F109" s="44">
        <v>0.14686701550741474</v>
      </c>
      <c r="G109" s="44"/>
      <c r="H109" s="44"/>
      <c r="I109" s="44"/>
    </row>
    <row r="110" spans="2:9">
      <c r="B110" s="78">
        <v>52</v>
      </c>
      <c r="C110" s="77">
        <v>510.5</v>
      </c>
      <c r="D110" s="62">
        <v>511.06848658651199</v>
      </c>
      <c r="E110" s="93">
        <v>-0.56848658651199457</v>
      </c>
      <c r="F110" s="44">
        <v>-3.2430396919295057E-2</v>
      </c>
      <c r="G110" s="44"/>
      <c r="H110" s="44"/>
      <c r="I110" s="44"/>
    </row>
    <row r="111" spans="2:9">
      <c r="B111" s="78">
        <v>53</v>
      </c>
      <c r="C111" s="77">
        <v>556.6</v>
      </c>
      <c r="D111" s="62">
        <v>542.5845564628288</v>
      </c>
      <c r="E111" s="93">
        <v>14.015443537171222</v>
      </c>
      <c r="F111" s="44">
        <v>0.79953759278512238</v>
      </c>
      <c r="G111" s="44"/>
      <c r="H111" s="44"/>
      <c r="I111" s="44"/>
    </row>
    <row r="112" spans="2:9">
      <c r="B112" s="78">
        <v>54</v>
      </c>
      <c r="C112" s="77">
        <v>609.5</v>
      </c>
      <c r="D112" s="62">
        <v>574.28037842867559</v>
      </c>
      <c r="E112" s="93">
        <v>35.21962157132441</v>
      </c>
      <c r="F112" s="44">
        <v>2.0091701968087117</v>
      </c>
      <c r="G112" s="44"/>
      <c r="H112" s="44"/>
      <c r="I112" s="44"/>
    </row>
    <row r="113" spans="2:9">
      <c r="B113" s="78">
        <v>55</v>
      </c>
      <c r="C113" s="77">
        <v>592.70000000000005</v>
      </c>
      <c r="D113" s="62">
        <v>591.93464917364884</v>
      </c>
      <c r="E113" s="93">
        <v>0.76535082635120943</v>
      </c>
      <c r="F113" s="44">
        <v>4.3660891338473985E-2</v>
      </c>
      <c r="G113" s="44"/>
      <c r="H113" s="44"/>
      <c r="I113" s="44"/>
    </row>
    <row r="114" spans="2:9">
      <c r="B114" s="78">
        <v>56</v>
      </c>
      <c r="C114" s="77">
        <v>572.1</v>
      </c>
      <c r="D114" s="62">
        <v>574.46064374904017</v>
      </c>
      <c r="E114" s="93">
        <v>-2.3606437490401504</v>
      </c>
      <c r="F114" s="44">
        <v>-0.13466740567467997</v>
      </c>
      <c r="G114" s="44"/>
      <c r="H114" s="44"/>
      <c r="I114" s="44"/>
    </row>
    <row r="115" spans="2:9">
      <c r="B115" s="78">
        <v>57</v>
      </c>
      <c r="C115" s="77">
        <v>554.9</v>
      </c>
      <c r="D115" s="62">
        <v>553.61582155209453</v>
      </c>
      <c r="E115" s="93">
        <v>1.2841784479054468</v>
      </c>
      <c r="F115" s="44">
        <v>7.3258398296261656E-2</v>
      </c>
      <c r="G115" s="44"/>
      <c r="H115" s="44"/>
      <c r="I115" s="44"/>
    </row>
    <row r="116" spans="2:9">
      <c r="B116" s="78">
        <v>58</v>
      </c>
      <c r="C116" s="77">
        <v>557.4</v>
      </c>
      <c r="D116" s="62">
        <v>563.49597763558734</v>
      </c>
      <c r="E116" s="93">
        <v>-6.0959776355873601</v>
      </c>
      <c r="F116" s="44">
        <v>-0.34775662086632658</v>
      </c>
      <c r="G116" s="44"/>
      <c r="H116" s="44"/>
      <c r="I116" s="44"/>
    </row>
    <row r="117" spans="2:9">
      <c r="B117" s="78">
        <v>59</v>
      </c>
      <c r="C117" s="77">
        <v>562.9</v>
      </c>
      <c r="D117" s="62">
        <v>578.92320674657969</v>
      </c>
      <c r="E117" s="93">
        <v>-16.023206746579717</v>
      </c>
      <c r="F117" s="44">
        <v>-0.91407425793421537</v>
      </c>
      <c r="G117" s="44"/>
      <c r="H117" s="44"/>
      <c r="I117" s="44"/>
    </row>
    <row r="118" spans="2:9">
      <c r="B118" s="78">
        <v>60</v>
      </c>
      <c r="C118" s="77">
        <v>516</v>
      </c>
      <c r="D118" s="62">
        <v>507.4866685862778</v>
      </c>
      <c r="E118" s="93">
        <v>8.5133314137221987</v>
      </c>
      <c r="F118" s="44">
        <v>0.48565915784661867</v>
      </c>
      <c r="G118" s="44"/>
      <c r="H118" s="44"/>
      <c r="I118" s="44"/>
    </row>
    <row r="119" spans="2:9">
      <c r="B119" s="78">
        <v>61</v>
      </c>
      <c r="C119" s="77">
        <v>490.6</v>
      </c>
      <c r="D119" s="62">
        <v>506.15263237344953</v>
      </c>
      <c r="E119" s="93">
        <v>-15.552632373449512</v>
      </c>
      <c r="F119" s="44">
        <v>-0.88722944916872482</v>
      </c>
      <c r="G119" s="44"/>
      <c r="H119" s="44"/>
      <c r="I119" s="44"/>
    </row>
    <row r="120" spans="2:9">
      <c r="B120" s="78">
        <v>62</v>
      </c>
      <c r="C120" s="77">
        <v>503.9</v>
      </c>
      <c r="D120" s="62">
        <v>479.42590116343888</v>
      </c>
      <c r="E120" s="93">
        <v>24.474098836561097</v>
      </c>
      <c r="F120" s="44">
        <v>1.3961714459818433</v>
      </c>
      <c r="G120" s="44"/>
      <c r="H120" s="44"/>
      <c r="I120" s="44"/>
    </row>
    <row r="121" spans="2:9">
      <c r="B121" s="78">
        <v>63</v>
      </c>
      <c r="C121" s="77">
        <v>547.6</v>
      </c>
      <c r="D121" s="62">
        <v>498.87418005027797</v>
      </c>
      <c r="E121" s="93">
        <v>48.725819949722052</v>
      </c>
      <c r="F121" s="44">
        <v>2.7796569324230673</v>
      </c>
      <c r="G121" s="44"/>
      <c r="H121" s="44"/>
      <c r="I121" s="44"/>
    </row>
    <row r="122" spans="2:9">
      <c r="B122" s="78">
        <v>64</v>
      </c>
      <c r="C122" s="77">
        <v>585</v>
      </c>
      <c r="D122" s="62">
        <v>587.77553616226555</v>
      </c>
      <c r="E122" s="93">
        <v>-2.7755361622655528</v>
      </c>
      <c r="F122" s="44">
        <v>-0.15833573129386339</v>
      </c>
      <c r="G122" s="44"/>
      <c r="H122" s="44"/>
      <c r="I122" s="44"/>
    </row>
    <row r="123" spans="2:9">
      <c r="B123" s="78">
        <v>65</v>
      </c>
      <c r="C123" s="77">
        <v>573.5</v>
      </c>
      <c r="D123" s="62">
        <v>602.16317744077094</v>
      </c>
      <c r="E123" s="93">
        <v>-28.663177440770937</v>
      </c>
      <c r="F123" s="44">
        <v>-1.6351453902822604</v>
      </c>
      <c r="G123" s="44"/>
      <c r="H123" s="44"/>
      <c r="I123" s="44"/>
    </row>
    <row r="124" spans="2:9">
      <c r="B124" s="78">
        <v>66</v>
      </c>
      <c r="C124" s="77">
        <v>606</v>
      </c>
      <c r="D124" s="62">
        <v>605.53548874949774</v>
      </c>
      <c r="E124" s="93">
        <v>0.46451125050225528</v>
      </c>
      <c r="F124" s="44">
        <v>2.6498926420928649E-2</v>
      </c>
      <c r="G124" s="44"/>
      <c r="H124" s="44"/>
      <c r="I124" s="44"/>
    </row>
    <row r="125" spans="2:9">
      <c r="B125" s="78">
        <v>67</v>
      </c>
      <c r="C125" s="77">
        <v>575.20000000000005</v>
      </c>
      <c r="D125" s="62">
        <v>610.58352698931174</v>
      </c>
      <c r="E125" s="93">
        <v>-35.38352698931169</v>
      </c>
      <c r="F125" s="44">
        <v>-2.0185204926444751</v>
      </c>
      <c r="G125" s="44"/>
      <c r="H125" s="44"/>
      <c r="I125" s="44"/>
    </row>
    <row r="126" spans="2:9">
      <c r="B126" s="78">
        <v>68</v>
      </c>
      <c r="C126" s="77">
        <v>539.70000000000005</v>
      </c>
      <c r="D126" s="62">
        <v>558.87955208387734</v>
      </c>
      <c r="E126" s="93">
        <v>-19.179552083877297</v>
      </c>
      <c r="F126" s="44">
        <v>-1.0941339717983121</v>
      </c>
      <c r="G126" s="44"/>
      <c r="H126" s="44"/>
      <c r="I126" s="44"/>
    </row>
    <row r="127" spans="2:9">
      <c r="B127" s="78">
        <v>69</v>
      </c>
      <c r="C127" s="77">
        <v>539.20000000000005</v>
      </c>
      <c r="D127" s="62">
        <v>531.04623399008142</v>
      </c>
      <c r="E127" s="93">
        <v>8.1537660099186269</v>
      </c>
      <c r="F127" s="44">
        <v>0.46514706654936794</v>
      </c>
      <c r="G127" s="44"/>
      <c r="H127" s="44"/>
      <c r="I127" s="44"/>
    </row>
    <row r="128" spans="2:9">
      <c r="B128" s="78">
        <v>70</v>
      </c>
      <c r="C128" s="77">
        <v>557.79999999999995</v>
      </c>
      <c r="D128" s="62">
        <v>553.26935032626261</v>
      </c>
      <c r="E128" s="93">
        <v>4.5306496737373436</v>
      </c>
      <c r="F128" s="44">
        <v>0.25845951462651895</v>
      </c>
      <c r="G128" s="44"/>
      <c r="H128" s="44"/>
      <c r="I128" s="44"/>
    </row>
    <row r="129" spans="2:9">
      <c r="B129" s="78">
        <v>71</v>
      </c>
      <c r="C129" s="77">
        <v>581.4</v>
      </c>
      <c r="D129" s="62">
        <v>571.06097650441041</v>
      </c>
      <c r="E129" s="93">
        <v>10.339023495589572</v>
      </c>
      <c r="F129" s="44">
        <v>0.58980922976062644</v>
      </c>
      <c r="G129" s="44"/>
      <c r="H129" s="44"/>
      <c r="I129" s="44"/>
    </row>
    <row r="130" spans="2:9">
      <c r="B130" s="78">
        <v>72</v>
      </c>
      <c r="C130" s="77">
        <v>536.20000000000005</v>
      </c>
      <c r="D130" s="62">
        <v>521.13334920416423</v>
      </c>
      <c r="E130" s="93">
        <v>15.066650795835812</v>
      </c>
      <c r="F130" s="44">
        <v>0.8595057071642247</v>
      </c>
      <c r="G130" s="44"/>
      <c r="H130" s="44"/>
      <c r="I130" s="44"/>
    </row>
    <row r="131" spans="2:9">
      <c r="B131" s="78">
        <v>73</v>
      </c>
      <c r="C131" s="77">
        <v>499.3</v>
      </c>
      <c r="D131" s="62">
        <v>518.02118552828188</v>
      </c>
      <c r="E131" s="93">
        <v>-18.721185528281865</v>
      </c>
      <c r="F131" s="44">
        <v>-1.0679855811675045</v>
      </c>
      <c r="G131" s="44"/>
      <c r="H131" s="44"/>
      <c r="I131" s="44"/>
    </row>
    <row r="132" spans="2:9">
      <c r="B132" s="78">
        <v>74</v>
      </c>
      <c r="C132" s="77">
        <v>461.7</v>
      </c>
      <c r="D132" s="62">
        <v>490.72861269798022</v>
      </c>
      <c r="E132" s="93">
        <v>-29.028612697980236</v>
      </c>
      <c r="F132" s="44">
        <v>-1.6559923385142608</v>
      </c>
      <c r="G132" s="44"/>
      <c r="H132" s="44"/>
      <c r="I132" s="44"/>
    </row>
    <row r="133" spans="2:9">
      <c r="B133" s="78">
        <v>75</v>
      </c>
      <c r="C133" s="77">
        <v>465.7</v>
      </c>
      <c r="D133" s="62">
        <v>474.21952155084421</v>
      </c>
      <c r="E133" s="93">
        <v>-8.5195215508442175</v>
      </c>
      <c r="F133" s="44">
        <v>-0.48601228597420321</v>
      </c>
      <c r="G133" s="44"/>
      <c r="H133" s="44"/>
      <c r="I133" s="44"/>
    </row>
    <row r="134" spans="2:9">
      <c r="B134" s="78">
        <v>76</v>
      </c>
      <c r="C134" s="77">
        <v>524.4</v>
      </c>
      <c r="D134" s="62">
        <v>528.39774744801741</v>
      </c>
      <c r="E134" s="93">
        <v>-3.9977474480174351</v>
      </c>
      <c r="F134" s="44">
        <v>-0.22805909514554362</v>
      </c>
      <c r="G134" s="44"/>
      <c r="H134" s="44"/>
      <c r="I134" s="44"/>
    </row>
    <row r="135" spans="2:9">
      <c r="B135" s="78">
        <v>77</v>
      </c>
      <c r="C135" s="77">
        <v>565.1</v>
      </c>
      <c r="D135" s="62">
        <v>560.77792246571698</v>
      </c>
      <c r="E135" s="93">
        <v>4.3220775342830393</v>
      </c>
      <c r="F135" s="44">
        <v>0.24656112083976084</v>
      </c>
      <c r="G135" s="44"/>
      <c r="H135" s="44"/>
      <c r="I135" s="44"/>
    </row>
    <row r="136" spans="2:9">
      <c r="B136" s="78">
        <v>78</v>
      </c>
      <c r="C136" s="77">
        <v>602.79999999999995</v>
      </c>
      <c r="D136" s="62">
        <v>600.22740710713504</v>
      </c>
      <c r="E136" s="93">
        <v>2.5725928928649182</v>
      </c>
      <c r="F136" s="44">
        <v>0.14675844708889449</v>
      </c>
      <c r="G136" s="44"/>
      <c r="H136" s="44"/>
      <c r="I136" s="44"/>
    </row>
    <row r="137" spans="2:9">
      <c r="B137" s="78">
        <v>79</v>
      </c>
      <c r="C137" s="77">
        <v>586</v>
      </c>
      <c r="D137" s="62">
        <v>572.24875754919185</v>
      </c>
      <c r="E137" s="93">
        <v>13.751242450808149</v>
      </c>
      <c r="F137" s="44">
        <v>0.78446574007909098</v>
      </c>
      <c r="G137" s="44"/>
      <c r="H137" s="44"/>
      <c r="I137" s="44"/>
    </row>
    <row r="138" spans="2:9">
      <c r="B138" s="78">
        <v>80</v>
      </c>
      <c r="C138" s="77">
        <v>590.6</v>
      </c>
      <c r="D138" s="62">
        <v>566.69876320981064</v>
      </c>
      <c r="E138" s="93">
        <v>23.901236790189387</v>
      </c>
      <c r="F138" s="44">
        <v>1.3634914426455778</v>
      </c>
      <c r="G138" s="44"/>
      <c r="H138" s="44"/>
      <c r="I138" s="44"/>
    </row>
    <row r="139" spans="2:9">
      <c r="B139" s="78">
        <v>81</v>
      </c>
      <c r="C139" s="77">
        <v>582.6</v>
      </c>
      <c r="D139" s="62">
        <v>580.07246297520896</v>
      </c>
      <c r="E139" s="93">
        <v>2.5275370247910587</v>
      </c>
      <c r="F139" s="44">
        <v>0.14418814953069903</v>
      </c>
      <c r="G139" s="44"/>
      <c r="H139" s="44"/>
      <c r="I139" s="44"/>
    </row>
    <row r="140" spans="2:9">
      <c r="B140" s="78">
        <v>82</v>
      </c>
      <c r="C140" s="77">
        <v>557.70000000000005</v>
      </c>
      <c r="D140" s="62">
        <v>574.68532202503752</v>
      </c>
      <c r="E140" s="93">
        <v>-16.985322025037476</v>
      </c>
      <c r="F140" s="44">
        <v>-0.96895995111115529</v>
      </c>
      <c r="G140" s="44"/>
      <c r="H140" s="44"/>
      <c r="I140" s="44"/>
    </row>
    <row r="141" spans="2:9">
      <c r="B141" s="78">
        <v>83</v>
      </c>
      <c r="C141" s="77">
        <v>541.1</v>
      </c>
      <c r="D141" s="62">
        <v>568.48761662366201</v>
      </c>
      <c r="E141" s="93">
        <v>-27.387616623661984</v>
      </c>
      <c r="F141" s="44">
        <v>-1.5623786011002065</v>
      </c>
      <c r="G141" s="44"/>
      <c r="H141" s="44"/>
      <c r="I141" s="44"/>
    </row>
    <row r="142" spans="2:9">
      <c r="B142" s="78">
        <v>84</v>
      </c>
      <c r="C142" s="77">
        <v>505.9</v>
      </c>
      <c r="D142" s="62">
        <v>508.013984377616</v>
      </c>
      <c r="E142" s="93">
        <v>-2.1139843776160205</v>
      </c>
      <c r="F142" s="44">
        <v>-0.12059625341015845</v>
      </c>
      <c r="G142" s="44"/>
      <c r="H142" s="44"/>
      <c r="I142" s="44"/>
    </row>
    <row r="143" spans="2:9">
      <c r="B143" s="78">
        <v>85</v>
      </c>
      <c r="C143" s="77">
        <v>503.3</v>
      </c>
      <c r="D143" s="62">
        <v>498.65300450965765</v>
      </c>
      <c r="E143" s="93">
        <v>4.6469954903423627</v>
      </c>
      <c r="F143" s="44">
        <v>0.26509668268276237</v>
      </c>
      <c r="G143" s="44"/>
      <c r="H143" s="44"/>
      <c r="I143" s="44"/>
    </row>
    <row r="144" spans="2:9">
      <c r="B144" s="78">
        <v>86</v>
      </c>
      <c r="C144" s="77">
        <v>505</v>
      </c>
      <c r="D144" s="62">
        <v>492.66077276214071</v>
      </c>
      <c r="E144" s="93">
        <v>12.339227237859291</v>
      </c>
      <c r="F144" s="44">
        <v>0.70391465075088522</v>
      </c>
      <c r="G144" s="44"/>
      <c r="H144" s="44"/>
      <c r="I144" s="44"/>
    </row>
    <row r="145" spans="2:9">
      <c r="B145" s="78">
        <v>87</v>
      </c>
      <c r="C145" s="77">
        <v>508.6</v>
      </c>
      <c r="D145" s="62">
        <v>518.55053231665397</v>
      </c>
      <c r="E145" s="93">
        <v>-9.9505323166539483</v>
      </c>
      <c r="F145" s="44">
        <v>-0.56764701268910489</v>
      </c>
      <c r="G145" s="44"/>
      <c r="H145" s="44"/>
      <c r="I145" s="44"/>
    </row>
    <row r="146" spans="2:9">
      <c r="B146" s="78">
        <v>88</v>
      </c>
      <c r="C146" s="77">
        <v>540.9</v>
      </c>
      <c r="D146" s="62">
        <v>549.13367549119425</v>
      </c>
      <c r="E146" s="93">
        <v>-8.2336754911942762</v>
      </c>
      <c r="F146" s="44">
        <v>-0.46970565466185915</v>
      </c>
      <c r="G146" s="44"/>
      <c r="H146" s="44"/>
      <c r="I146" s="44"/>
    </row>
    <row r="147" spans="2:9">
      <c r="B147" s="78">
        <v>89</v>
      </c>
      <c r="C147" s="77">
        <v>557.1</v>
      </c>
      <c r="D147" s="62">
        <v>566.15709405864698</v>
      </c>
      <c r="E147" s="93">
        <v>-9.0570940586469533</v>
      </c>
      <c r="F147" s="44">
        <v>-0.51667913056575232</v>
      </c>
      <c r="G147" s="44"/>
      <c r="H147" s="44"/>
      <c r="I147" s="44"/>
    </row>
    <row r="148" spans="2:9">
      <c r="B148" s="78">
        <v>90</v>
      </c>
      <c r="C148" s="77">
        <v>607.9</v>
      </c>
      <c r="D148" s="62">
        <v>603.33164734080219</v>
      </c>
      <c r="E148" s="93">
        <v>4.5683526591977852</v>
      </c>
      <c r="F148" s="44">
        <v>0.26061035303244628</v>
      </c>
      <c r="G148" s="44"/>
      <c r="H148" s="44"/>
      <c r="I148" s="44"/>
    </row>
    <row r="149" spans="2:9">
      <c r="B149" s="78">
        <v>91</v>
      </c>
      <c r="C149" s="77">
        <v>594.79999999999995</v>
      </c>
      <c r="D149" s="62">
        <v>584.37166017473987</v>
      </c>
      <c r="E149" s="93">
        <v>10.428339825260082</v>
      </c>
      <c r="F149" s="44">
        <v>0.59490444940399811</v>
      </c>
      <c r="G149" s="44"/>
      <c r="H149" s="44"/>
      <c r="I149" s="44"/>
    </row>
    <row r="150" spans="2:9">
      <c r="B150" s="78">
        <v>92</v>
      </c>
      <c r="C150" s="77">
        <v>585.6</v>
      </c>
      <c r="D150" s="62">
        <v>566.63479313500204</v>
      </c>
      <c r="E150" s="93">
        <v>18.965206864997981</v>
      </c>
      <c r="F150" s="44">
        <v>1.0819062417323138</v>
      </c>
      <c r="G150" s="44"/>
      <c r="H150" s="44"/>
      <c r="I150" s="44"/>
    </row>
    <row r="151" spans="2:9">
      <c r="B151" s="78">
        <v>93</v>
      </c>
      <c r="C151" s="77">
        <v>573.20000000000005</v>
      </c>
      <c r="D151" s="62">
        <v>574.24013028051218</v>
      </c>
      <c r="E151" s="93">
        <v>-1.0401302805121304</v>
      </c>
      <c r="F151" s="44">
        <v>-5.9336207124518286E-2</v>
      </c>
      <c r="G151" s="44"/>
      <c r="H151" s="44"/>
      <c r="I151" s="44"/>
    </row>
    <row r="152" spans="2:9">
      <c r="B152" s="78">
        <v>94</v>
      </c>
      <c r="C152" s="77">
        <v>560.20000000000005</v>
      </c>
      <c r="D152" s="62">
        <v>570.96406062259302</v>
      </c>
      <c r="E152" s="93">
        <v>-10.764060622592979</v>
      </c>
      <c r="F152" s="44">
        <v>-0.61405627984272448</v>
      </c>
      <c r="G152" s="44"/>
      <c r="H152" s="44"/>
      <c r="I152" s="44"/>
    </row>
    <row r="153" spans="2:9">
      <c r="B153" s="78">
        <v>95</v>
      </c>
      <c r="C153" s="77">
        <v>568.1</v>
      </c>
      <c r="D153" s="62">
        <v>572.56824907179725</v>
      </c>
      <c r="E153" s="93">
        <v>-4.4682490717972314</v>
      </c>
      <c r="F153" s="44">
        <v>-0.25489975378618457</v>
      </c>
      <c r="G153" s="44"/>
      <c r="H153" s="44"/>
      <c r="I153" s="44"/>
    </row>
    <row r="154" spans="2:9">
      <c r="B154" s="78">
        <v>96</v>
      </c>
      <c r="C154" s="77">
        <v>524.79999999999995</v>
      </c>
      <c r="D154" s="62">
        <v>534.04237430163266</v>
      </c>
      <c r="E154" s="93">
        <v>-9.242374301632708</v>
      </c>
      <c r="F154" s="44">
        <v>-0.52724879388568835</v>
      </c>
      <c r="G154" s="44"/>
      <c r="H154" s="44"/>
      <c r="I154" s="44"/>
    </row>
    <row r="155" spans="2:9">
      <c r="B155" s="78">
        <v>97</v>
      </c>
      <c r="C155" s="77">
        <v>513.1</v>
      </c>
      <c r="D155" s="62">
        <v>499.69838377070198</v>
      </c>
      <c r="E155" s="93">
        <v>13.401616229298043</v>
      </c>
      <c r="F155" s="44">
        <v>0.76452064831090216</v>
      </c>
      <c r="G155" s="44"/>
      <c r="H155" s="44"/>
      <c r="I155" s="44"/>
    </row>
    <row r="156" spans="2:9">
      <c r="B156" s="78">
        <v>98</v>
      </c>
      <c r="C156" s="77">
        <v>498</v>
      </c>
      <c r="D156" s="62">
        <v>498.75844602318756</v>
      </c>
      <c r="E156" s="93">
        <v>-0.7584460231875596</v>
      </c>
      <c r="F156" s="44">
        <v>-4.3266993729348877E-2</v>
      </c>
      <c r="G156" s="44"/>
      <c r="H156" s="44"/>
      <c r="I156" s="44"/>
    </row>
    <row r="157" spans="2:9">
      <c r="B157" s="78">
        <v>99</v>
      </c>
      <c r="C157" s="77">
        <v>498.3</v>
      </c>
      <c r="D157" s="62">
        <v>505.42491962871634</v>
      </c>
      <c r="E157" s="93">
        <v>-7.1249196287163272</v>
      </c>
      <c r="F157" s="44">
        <v>-0.40645457088981218</v>
      </c>
      <c r="G157" s="44"/>
      <c r="H157" s="44"/>
      <c r="I157" s="44"/>
    </row>
    <row r="158" spans="2:9">
      <c r="B158" s="78">
        <v>100</v>
      </c>
      <c r="C158" s="77">
        <v>568.29999999999995</v>
      </c>
      <c r="D158" s="62">
        <v>544.8910421050922</v>
      </c>
      <c r="E158" s="93">
        <v>23.408957894907758</v>
      </c>
      <c r="F158" s="44">
        <v>1.3354084581957089</v>
      </c>
      <c r="G158" s="44"/>
      <c r="H158" s="44"/>
      <c r="I158" s="44"/>
    </row>
    <row r="159" spans="2:9">
      <c r="B159" s="78">
        <v>101</v>
      </c>
      <c r="C159" s="77">
        <v>601.79999999999995</v>
      </c>
      <c r="D159" s="62">
        <v>598.56918797662013</v>
      </c>
      <c r="E159" s="93">
        <v>3.2308120233798263</v>
      </c>
      <c r="F159" s="44">
        <v>0.18430780738857036</v>
      </c>
      <c r="G159" s="44"/>
      <c r="H159" s="44"/>
      <c r="I159" s="44"/>
    </row>
    <row r="160" spans="2:9">
      <c r="B160" s="78">
        <v>102</v>
      </c>
      <c r="C160" s="77">
        <v>629.6</v>
      </c>
      <c r="D160" s="62">
        <v>629.88067948057221</v>
      </c>
      <c r="E160" s="93">
        <v>-0.28067948057218928</v>
      </c>
      <c r="F160" s="44">
        <v>-1.6011893997195669E-2</v>
      </c>
      <c r="G160" s="44"/>
      <c r="H160" s="44"/>
      <c r="I160" s="44"/>
    </row>
    <row r="161" spans="2:9">
      <c r="B161" s="78">
        <v>103</v>
      </c>
      <c r="C161" s="77">
        <v>612</v>
      </c>
      <c r="D161" s="62">
        <v>602.82363547851241</v>
      </c>
      <c r="E161" s="93">
        <v>9.1763645214875851</v>
      </c>
      <c r="F161" s="44">
        <v>0.52348314062059309</v>
      </c>
      <c r="G161" s="44"/>
      <c r="H161" s="44"/>
      <c r="I161" s="44"/>
    </row>
    <row r="162" spans="2:9">
      <c r="B162" s="78">
        <v>104</v>
      </c>
      <c r="C162" s="77">
        <v>617.5</v>
      </c>
      <c r="D162" s="62">
        <v>608.8075707889227</v>
      </c>
      <c r="E162" s="93">
        <v>8.6924292110772967</v>
      </c>
      <c r="F162" s="44">
        <v>0.49587613181470147</v>
      </c>
      <c r="G162" s="44"/>
      <c r="H162" s="44"/>
      <c r="I162" s="44"/>
    </row>
    <row r="163" spans="2:9">
      <c r="B163" s="78">
        <v>105</v>
      </c>
      <c r="C163" s="77">
        <v>560.6</v>
      </c>
      <c r="D163" s="62">
        <v>610.54076212984103</v>
      </c>
      <c r="E163" s="93">
        <v>-49.940762129841005</v>
      </c>
      <c r="F163" s="44">
        <v>-2.848965616339429</v>
      </c>
      <c r="G163" s="44"/>
      <c r="H163" s="44"/>
      <c r="I163" s="44"/>
    </row>
    <row r="164" spans="2:9">
      <c r="B164" s="78">
        <v>106</v>
      </c>
      <c r="C164" s="77">
        <v>555</v>
      </c>
      <c r="D164" s="62">
        <v>539.85871235612194</v>
      </c>
      <c r="E164" s="93">
        <v>15.141287643878059</v>
      </c>
      <c r="F164" s="44">
        <v>0.86376350790085488</v>
      </c>
      <c r="G164" s="44"/>
      <c r="H164" s="44"/>
      <c r="I164" s="44"/>
    </row>
    <row r="165" spans="2:9">
      <c r="B165" s="78">
        <v>107</v>
      </c>
      <c r="C165" s="77">
        <v>570.70000000000005</v>
      </c>
      <c r="D165" s="62">
        <v>581.29477538415119</v>
      </c>
      <c r="E165" s="93">
        <v>-10.594775384151149</v>
      </c>
      <c r="F165" s="44">
        <v>-0.60439908193251446</v>
      </c>
      <c r="G165" s="44"/>
      <c r="H165" s="44"/>
      <c r="I165" s="44"/>
    </row>
    <row r="166" spans="2:9">
      <c r="B166" s="78">
        <v>108</v>
      </c>
      <c r="C166" s="77">
        <v>530.1</v>
      </c>
      <c r="D166" s="62">
        <v>529.70505469038983</v>
      </c>
      <c r="E166" s="93">
        <v>0.39494530961019336</v>
      </c>
      <c r="F166" s="44">
        <v>2.2530405212651757E-2</v>
      </c>
      <c r="G166" s="44"/>
      <c r="H166" s="44"/>
      <c r="I166" s="44"/>
    </row>
    <row r="167" spans="2:9">
      <c r="B167" s="78">
        <v>109</v>
      </c>
      <c r="C167" s="77">
        <v>509.7</v>
      </c>
      <c r="D167" s="62">
        <v>507.90423721897321</v>
      </c>
      <c r="E167" s="93">
        <v>1.7957627810267809</v>
      </c>
      <c r="F167" s="44">
        <v>0.10244269810993487</v>
      </c>
      <c r="G167" s="44"/>
      <c r="H167" s="44"/>
      <c r="I167" s="44"/>
    </row>
    <row r="168" spans="2:9">
      <c r="B168" s="78">
        <v>110</v>
      </c>
      <c r="C168" s="77">
        <v>489.3</v>
      </c>
      <c r="D168" s="62">
        <v>497.3539584762803</v>
      </c>
      <c r="E168" s="93">
        <v>-8.053958476280286</v>
      </c>
      <c r="F168" s="44">
        <v>-0.45945335625219635</v>
      </c>
      <c r="G168" s="44"/>
      <c r="H168" s="44"/>
      <c r="I168" s="44"/>
    </row>
    <row r="169" spans="2:9">
      <c r="B169" s="78">
        <v>111</v>
      </c>
      <c r="C169" s="77">
        <v>488.7</v>
      </c>
      <c r="D169" s="62">
        <v>495.45368305696098</v>
      </c>
      <c r="E169" s="93">
        <v>-6.7536830569609947</v>
      </c>
      <c r="F169" s="44">
        <v>-0.38527667565247259</v>
      </c>
      <c r="G169" s="44"/>
      <c r="H169" s="44"/>
      <c r="I169" s="44"/>
    </row>
    <row r="170" spans="2:9">
      <c r="B170" s="78">
        <v>112</v>
      </c>
      <c r="C170" s="77">
        <v>568.1</v>
      </c>
      <c r="D170" s="62">
        <v>540.24084344002324</v>
      </c>
      <c r="E170" s="93">
        <v>27.859156559976782</v>
      </c>
      <c r="F170" s="44">
        <v>1.5892784922512273</v>
      </c>
      <c r="G170" s="44"/>
      <c r="H170" s="44"/>
      <c r="I170" s="44"/>
    </row>
    <row r="171" spans="2:9">
      <c r="B171" s="78">
        <v>113</v>
      </c>
      <c r="C171" s="77">
        <v>609.5</v>
      </c>
      <c r="D171" s="62">
        <v>598.65046957447828</v>
      </c>
      <c r="E171" s="93">
        <v>10.849530425521721</v>
      </c>
      <c r="F171" s="44">
        <v>0.61893206706331627</v>
      </c>
      <c r="G171" s="44"/>
      <c r="H171" s="44"/>
      <c r="I171" s="44"/>
    </row>
    <row r="172" spans="2:9">
      <c r="B172" s="78">
        <v>114</v>
      </c>
      <c r="C172" s="77">
        <v>639</v>
      </c>
      <c r="D172" s="62">
        <v>636.29375677734402</v>
      </c>
      <c r="E172" s="93">
        <v>2.7062432226559849</v>
      </c>
      <c r="F172" s="44">
        <v>0.15438278396219296</v>
      </c>
      <c r="G172" s="44"/>
      <c r="H172" s="44"/>
      <c r="I172" s="44"/>
    </row>
    <row r="173" spans="2:9">
      <c r="B173" s="78">
        <v>115</v>
      </c>
      <c r="C173" s="77">
        <v>628.1</v>
      </c>
      <c r="D173" s="62">
        <v>615.71957873406586</v>
      </c>
      <c r="E173" s="93">
        <v>12.38042126593416</v>
      </c>
      <c r="F173" s="44">
        <v>0.70626464231246167</v>
      </c>
      <c r="G173" s="44"/>
      <c r="H173" s="44"/>
      <c r="I173" s="44"/>
    </row>
    <row r="174" spans="2:9">
      <c r="B174" s="78">
        <v>116</v>
      </c>
      <c r="C174" s="77">
        <v>635.5</v>
      </c>
      <c r="D174" s="62">
        <v>632.98339926088772</v>
      </c>
      <c r="E174" s="93">
        <v>2.5166007391122776</v>
      </c>
      <c r="F174" s="44">
        <v>0.14356426834545985</v>
      </c>
      <c r="G174" s="44"/>
      <c r="H174" s="44"/>
      <c r="I174" s="44"/>
    </row>
    <row r="175" spans="2:9">
      <c r="B175" s="78">
        <v>117</v>
      </c>
      <c r="C175" s="77">
        <v>592.4</v>
      </c>
      <c r="D175" s="62">
        <v>613.63942309890479</v>
      </c>
      <c r="E175" s="93">
        <v>-21.239423098904808</v>
      </c>
      <c r="F175" s="44">
        <v>-1.2116432256749361</v>
      </c>
      <c r="G175" s="44"/>
      <c r="H175" s="44"/>
      <c r="I175" s="44"/>
    </row>
    <row r="176" spans="2:9">
      <c r="B176" s="78">
        <v>118</v>
      </c>
      <c r="C176" s="77">
        <v>580.9</v>
      </c>
      <c r="D176" s="62">
        <v>571.53189577499313</v>
      </c>
      <c r="E176" s="93">
        <v>9.3681042250068458</v>
      </c>
      <c r="F176" s="44">
        <v>0.53442129613358402</v>
      </c>
      <c r="G176" s="44"/>
      <c r="H176" s="44"/>
      <c r="I176" s="44"/>
    </row>
    <row r="177" spans="2:9">
      <c r="B177" s="78">
        <v>119</v>
      </c>
      <c r="C177" s="77">
        <v>611.5</v>
      </c>
      <c r="D177" s="62">
        <v>595.86338900595467</v>
      </c>
      <c r="E177" s="93">
        <v>15.636610994045327</v>
      </c>
      <c r="F177" s="44">
        <v>0.89202016906128589</v>
      </c>
      <c r="G177" s="44"/>
      <c r="H177" s="44"/>
      <c r="I177" s="44"/>
    </row>
    <row r="178" spans="2:9">
      <c r="B178" s="78">
        <v>120</v>
      </c>
      <c r="C178" s="77">
        <v>571.79999999999995</v>
      </c>
      <c r="D178" s="62">
        <v>571.13525402635719</v>
      </c>
      <c r="E178" s="93">
        <v>0.66474597364276633</v>
      </c>
      <c r="F178" s="44">
        <v>3.7921696460789418E-2</v>
      </c>
      <c r="G178" s="44"/>
      <c r="H178" s="44"/>
      <c r="I178" s="44"/>
    </row>
    <row r="179" spans="2:9">
      <c r="B179" s="78">
        <v>121</v>
      </c>
      <c r="C179" s="77">
        <v>525.20000000000005</v>
      </c>
      <c r="D179" s="62">
        <v>546.54772903752439</v>
      </c>
      <c r="E179" s="93">
        <v>-21.347729037524346</v>
      </c>
      <c r="F179" s="44">
        <v>-1.2178217436232646</v>
      </c>
      <c r="G179" s="44"/>
      <c r="H179" s="44"/>
      <c r="I179" s="44"/>
    </row>
    <row r="180" spans="2:9">
      <c r="B180" s="78">
        <v>122</v>
      </c>
      <c r="C180" s="77">
        <v>493.6</v>
      </c>
      <c r="D180" s="62">
        <v>511.44888480642504</v>
      </c>
      <c r="E180" s="93">
        <v>-17.848884806425019</v>
      </c>
      <c r="F180" s="44">
        <v>-1.0182235299353455</v>
      </c>
      <c r="G180" s="44"/>
      <c r="H180" s="44"/>
      <c r="I180" s="44"/>
    </row>
    <row r="181" spans="2:9">
      <c r="B181" s="78">
        <v>123</v>
      </c>
      <c r="C181" s="77">
        <v>513.9</v>
      </c>
      <c r="D181" s="62">
        <v>512.30201525743246</v>
      </c>
      <c r="E181" s="93">
        <v>1.5979847425675189</v>
      </c>
      <c r="F181" s="44">
        <v>9.1160074313114403E-2</v>
      </c>
      <c r="G181" s="44"/>
      <c r="H181" s="44"/>
      <c r="I181" s="44"/>
    </row>
    <row r="182" spans="2:9">
      <c r="B182" s="78">
        <v>124</v>
      </c>
      <c r="C182" s="77">
        <v>594.20000000000005</v>
      </c>
      <c r="D182" s="62">
        <v>587.20681456848286</v>
      </c>
      <c r="E182" s="93">
        <v>6.9931854315171904</v>
      </c>
      <c r="F182" s="44">
        <v>0.39893954343907645</v>
      </c>
      <c r="G182" s="44"/>
      <c r="H182" s="44"/>
      <c r="I182" s="44"/>
    </row>
    <row r="183" spans="2:9">
      <c r="B183" s="78">
        <v>125</v>
      </c>
      <c r="C183" s="77">
        <v>610.70000000000005</v>
      </c>
      <c r="D183" s="62">
        <v>615.80275765258671</v>
      </c>
      <c r="E183" s="93">
        <v>-5.1027576525866607</v>
      </c>
      <c r="F183" s="44">
        <v>-0.29109650074894799</v>
      </c>
      <c r="G183" s="44"/>
      <c r="H183" s="44"/>
      <c r="I183" s="44"/>
    </row>
    <row r="184" spans="2:9">
      <c r="B184" s="78">
        <v>126</v>
      </c>
      <c r="C184" s="77">
        <v>632.29999999999995</v>
      </c>
      <c r="D184" s="62">
        <v>634.87592127731807</v>
      </c>
      <c r="E184" s="93">
        <v>-2.5759212773181162</v>
      </c>
      <c r="F184" s="44">
        <v>-0.14694832110083819</v>
      </c>
      <c r="G184" s="44"/>
      <c r="H184" s="44"/>
      <c r="I184" s="44"/>
    </row>
    <row r="185" spans="2:9">
      <c r="B185" s="78">
        <v>127</v>
      </c>
      <c r="C185" s="77">
        <v>647</v>
      </c>
      <c r="D185" s="62">
        <v>624.07670686511233</v>
      </c>
      <c r="E185" s="93">
        <v>22.923293134887672</v>
      </c>
      <c r="F185" s="44">
        <v>1.3077027896524931</v>
      </c>
      <c r="G185" s="44"/>
      <c r="H185" s="44"/>
      <c r="I185" s="44"/>
    </row>
    <row r="186" spans="2:9">
      <c r="B186" s="78">
        <v>128</v>
      </c>
      <c r="C186" s="77">
        <v>656.7</v>
      </c>
      <c r="D186" s="62">
        <v>657.4941839855403</v>
      </c>
      <c r="E186" s="93">
        <v>-0.79418398554025771</v>
      </c>
      <c r="F186" s="44">
        <v>-4.5305733660392741E-2</v>
      </c>
      <c r="G186" s="44"/>
      <c r="H186" s="44"/>
      <c r="I186" s="44"/>
    </row>
    <row r="187" spans="2:9">
      <c r="B187" s="78">
        <v>129</v>
      </c>
      <c r="C187" s="77">
        <v>635.70000000000005</v>
      </c>
      <c r="D187" s="62">
        <v>600.23450143099092</v>
      </c>
      <c r="E187" s="93">
        <v>35.465498569009128</v>
      </c>
      <c r="F187" s="44">
        <v>2.0231967170774916</v>
      </c>
      <c r="G187" s="44"/>
      <c r="H187" s="44"/>
      <c r="I187" s="44"/>
    </row>
    <row r="188" spans="2:9">
      <c r="B188" s="78">
        <v>130</v>
      </c>
      <c r="C188" s="77">
        <v>643.6</v>
      </c>
      <c r="D188" s="62">
        <v>624.11799444846326</v>
      </c>
      <c r="E188" s="93">
        <v>19.482005551536759</v>
      </c>
      <c r="F188" s="44">
        <v>1.1113880042390696</v>
      </c>
      <c r="G188" s="44"/>
      <c r="H188" s="44"/>
      <c r="I188" s="44"/>
    </row>
    <row r="189" spans="2:9">
      <c r="B189" s="78">
        <v>131</v>
      </c>
      <c r="C189" s="77">
        <v>645.70000000000005</v>
      </c>
      <c r="D189" s="62">
        <v>650.6520944251065</v>
      </c>
      <c r="E189" s="93">
        <v>-4.952094425106452</v>
      </c>
      <c r="F189" s="44">
        <v>-0.28250163081841162</v>
      </c>
      <c r="G189" s="44"/>
      <c r="H189" s="44"/>
      <c r="I189" s="44"/>
    </row>
    <row r="190" spans="2:9">
      <c r="B190" s="78">
        <v>132</v>
      </c>
      <c r="C190" s="77">
        <v>622.4</v>
      </c>
      <c r="D190" s="62">
        <v>595.1894061257849</v>
      </c>
      <c r="E190" s="93">
        <v>27.210593874215078</v>
      </c>
      <c r="F190" s="44">
        <v>1.5522800021806928</v>
      </c>
      <c r="G190" s="44"/>
      <c r="H190" s="44"/>
      <c r="I190" s="44"/>
    </row>
    <row r="191" spans="2:9">
      <c r="B191" s="78">
        <v>133</v>
      </c>
      <c r="C191" s="77">
        <v>570.29999999999995</v>
      </c>
      <c r="D191" s="62">
        <v>607.78517989415957</v>
      </c>
      <c r="E191" s="93">
        <v>-37.485179894159614</v>
      </c>
      <c r="F191" s="44">
        <v>-2.1384132737723363</v>
      </c>
      <c r="G191" s="44"/>
      <c r="H191" s="44"/>
      <c r="I191" s="44"/>
    </row>
    <row r="192" spans="2:9">
      <c r="B192" s="78">
        <v>134</v>
      </c>
      <c r="C192" s="77">
        <v>580.4</v>
      </c>
      <c r="D192" s="62">
        <v>538.31636446570928</v>
      </c>
      <c r="E192" s="93">
        <v>42.083635534290693</v>
      </c>
      <c r="F192" s="44">
        <v>2.4007409085195732</v>
      </c>
      <c r="G192" s="44"/>
      <c r="H192" s="44"/>
      <c r="I192" s="44"/>
    </row>
    <row r="193" spans="2:9">
      <c r="B193" s="78">
        <v>135</v>
      </c>
      <c r="C193" s="77">
        <v>585.4</v>
      </c>
      <c r="D193" s="62">
        <v>601.38264122564055</v>
      </c>
      <c r="E193" s="93">
        <v>-15.982641225640577</v>
      </c>
      <c r="F193" s="44">
        <v>-0.91176012075577118</v>
      </c>
      <c r="G193" s="44"/>
      <c r="H193" s="44"/>
      <c r="I193" s="44"/>
    </row>
    <row r="194" spans="2:9">
      <c r="B194" s="78">
        <v>136</v>
      </c>
      <c r="C194" s="77">
        <v>648.70000000000005</v>
      </c>
      <c r="D194" s="62">
        <v>646.30496720917301</v>
      </c>
      <c r="E194" s="93">
        <v>2.395032790827031</v>
      </c>
      <c r="F194" s="44">
        <v>0.13662919387036193</v>
      </c>
      <c r="G194" s="44"/>
      <c r="H194" s="44"/>
      <c r="I194" s="44"/>
    </row>
    <row r="195" spans="2:9">
      <c r="B195" s="78">
        <v>137</v>
      </c>
      <c r="C195" s="77">
        <v>689.1</v>
      </c>
      <c r="D195" s="62">
        <v>681.65202194294454</v>
      </c>
      <c r="E195" s="93">
        <v>7.4479780570554794</v>
      </c>
      <c r="F195" s="44">
        <v>0.4248840524426567</v>
      </c>
      <c r="G195" s="44"/>
      <c r="H195" s="44"/>
      <c r="I195" s="44"/>
    </row>
    <row r="196" spans="2:9">
      <c r="B196" s="78">
        <v>138</v>
      </c>
      <c r="C196" s="77">
        <v>708.4</v>
      </c>
      <c r="D196" s="62">
        <v>724.21819624962313</v>
      </c>
      <c r="E196" s="93">
        <v>-15.818196249623156</v>
      </c>
      <c r="F196" s="44">
        <v>-0.90237904480752373</v>
      </c>
      <c r="G196" s="44"/>
      <c r="H196" s="44"/>
      <c r="I196" s="44"/>
    </row>
    <row r="197" spans="2:9">
      <c r="B197" s="78">
        <v>139</v>
      </c>
      <c r="C197" s="77">
        <v>642.20000000000005</v>
      </c>
      <c r="D197" s="62">
        <v>697.43127812066143</v>
      </c>
      <c r="E197" s="93">
        <v>-55.231278120661386</v>
      </c>
      <c r="F197" s="44">
        <v>-3.1507731480577919</v>
      </c>
      <c r="G197" s="44"/>
      <c r="H197" s="44"/>
      <c r="I197" s="44"/>
    </row>
    <row r="198" spans="2:9">
      <c r="B198" s="78">
        <v>140</v>
      </c>
      <c r="C198" s="77">
        <v>647.1</v>
      </c>
      <c r="D198" s="62">
        <v>650.65883139792061</v>
      </c>
      <c r="E198" s="93">
        <v>-3.558831397920585</v>
      </c>
      <c r="F198" s="44">
        <v>-0.20302029553863379</v>
      </c>
      <c r="G198" s="44"/>
      <c r="H198" s="44"/>
      <c r="I198" s="44"/>
    </row>
    <row r="199" spans="2:9">
      <c r="B199" s="78">
        <v>141</v>
      </c>
      <c r="C199" s="77">
        <v>647.79999999999995</v>
      </c>
      <c r="D199" s="62">
        <v>635.56453892300874</v>
      </c>
      <c r="E199" s="93">
        <v>12.235461076991214</v>
      </c>
      <c r="F199" s="44">
        <v>0.69799511304571171</v>
      </c>
      <c r="G199" s="44"/>
      <c r="H199" s="44"/>
      <c r="I199" s="44"/>
    </row>
    <row r="200" spans="2:9">
      <c r="B200" s="78">
        <v>142</v>
      </c>
      <c r="C200" s="77">
        <v>650.4</v>
      </c>
      <c r="D200" s="62">
        <v>645.95433468793885</v>
      </c>
      <c r="E200" s="93">
        <v>4.4456653120611236</v>
      </c>
      <c r="F200" s="44">
        <v>0.2536114203240607</v>
      </c>
      <c r="G200" s="44"/>
      <c r="H200" s="44"/>
      <c r="I200" s="44"/>
    </row>
    <row r="201" spans="2:9">
      <c r="B201" s="78">
        <v>143</v>
      </c>
      <c r="C201" s="77">
        <v>644.70000000000005</v>
      </c>
      <c r="D201" s="62">
        <v>649.18717177945291</v>
      </c>
      <c r="E201" s="93">
        <v>-4.4871717794528649</v>
      </c>
      <c r="F201" s="44">
        <v>-0.25597923557981</v>
      </c>
      <c r="G201" s="44"/>
      <c r="H201" s="44"/>
      <c r="I201" s="44"/>
    </row>
    <row r="202" spans="2:9">
      <c r="B202" s="78">
        <v>144</v>
      </c>
      <c r="C202" s="77">
        <v>575.20000000000005</v>
      </c>
      <c r="D202" s="62">
        <v>602.53154252728018</v>
      </c>
      <c r="E202" s="93">
        <v>-27.331542527280135</v>
      </c>
      <c r="F202" s="44">
        <v>-1.5591797477838745</v>
      </c>
      <c r="G202" s="44"/>
      <c r="H202" s="44"/>
      <c r="I202" s="44"/>
    </row>
    <row r="203" spans="2:9">
      <c r="B203" s="78">
        <v>145</v>
      </c>
      <c r="C203" s="77">
        <v>567.1</v>
      </c>
      <c r="D203" s="62">
        <v>546.67664693778204</v>
      </c>
      <c r="E203" s="93">
        <v>20.423353062217984</v>
      </c>
      <c r="F203" s="44">
        <v>1.1650889606639023</v>
      </c>
      <c r="G203" s="44">
        <v>17.52943659390623</v>
      </c>
      <c r="H203" s="44">
        <v>512.31958254444737</v>
      </c>
      <c r="I203" s="44">
        <v>581.03371133111671</v>
      </c>
    </row>
    <row r="204" spans="2:9">
      <c r="B204" s="78">
        <v>146</v>
      </c>
      <c r="C204" s="77">
        <v>574</v>
      </c>
      <c r="D204" s="62">
        <v>544.94489251631433</v>
      </c>
      <c r="E204" s="93">
        <v>29.055107483685674</v>
      </c>
      <c r="F204" s="44">
        <v>1.657503783880089</v>
      </c>
      <c r="G204" s="44">
        <v>25.505796107623834</v>
      </c>
      <c r="H204" s="44">
        <v>494.9544507483497</v>
      </c>
      <c r="I204" s="44">
        <v>594.93533428427895</v>
      </c>
    </row>
    <row r="205" spans="2:9">
      <c r="B205" s="78">
        <v>147</v>
      </c>
      <c r="C205" s="77">
        <v>533.1</v>
      </c>
      <c r="D205" s="62">
        <v>551.16217126838569</v>
      </c>
      <c r="E205" s="93">
        <v>-18.062171268385669</v>
      </c>
      <c r="F205" s="44">
        <v>-1.0303908612022723</v>
      </c>
      <c r="G205" s="44">
        <v>27.195669012854012</v>
      </c>
      <c r="H205" s="44">
        <v>497.85963946771989</v>
      </c>
      <c r="I205" s="44">
        <v>604.46470306905155</v>
      </c>
    </row>
    <row r="206" spans="2:9">
      <c r="B206" s="78">
        <v>148</v>
      </c>
      <c r="C206" s="77">
        <v>583.70000000000005</v>
      </c>
      <c r="D206" s="62">
        <v>618.07425228537625</v>
      </c>
      <c r="E206" s="93">
        <v>-34.374252285376201</v>
      </c>
      <c r="F206" s="44">
        <v>-1.9609445004824484</v>
      </c>
      <c r="G206" s="44">
        <v>28.463041452454593</v>
      </c>
      <c r="H206" s="44">
        <v>562.28771614809466</v>
      </c>
      <c r="I206" s="44">
        <v>673.86078842265783</v>
      </c>
    </row>
    <row r="207" spans="2:9">
      <c r="B207" s="78">
        <v>149</v>
      </c>
      <c r="C207" s="77">
        <v>619.9</v>
      </c>
      <c r="D207" s="62">
        <v>648.70463917747372</v>
      </c>
      <c r="E207" s="93">
        <v>-28.804639177473746</v>
      </c>
      <c r="F207" s="44">
        <v>-1.6432153436971912</v>
      </c>
      <c r="G207" s="44">
        <v>31.325933687530654</v>
      </c>
      <c r="H207" s="44">
        <v>587.30693736782359</v>
      </c>
      <c r="I207" s="44">
        <v>710.10234098712385</v>
      </c>
    </row>
    <row r="208" spans="2:9">
      <c r="B208" s="78">
        <v>150</v>
      </c>
      <c r="C208" s="77">
        <v>649</v>
      </c>
      <c r="D208" s="62">
        <v>677.26691719784901</v>
      </c>
      <c r="E208" s="93">
        <v>-28.266917197849011</v>
      </c>
      <c r="F208" s="44">
        <v>-1.6125399722016998</v>
      </c>
      <c r="G208" s="44">
        <v>34.267940226277879</v>
      </c>
      <c r="H208" s="44">
        <v>610.102988529973</v>
      </c>
      <c r="I208" s="44">
        <v>744.43084586572502</v>
      </c>
    </row>
    <row r="209" spans="2:9">
      <c r="B209" s="78">
        <v>151</v>
      </c>
      <c r="C209" s="77">
        <v>698.1</v>
      </c>
      <c r="D209" s="62">
        <v>667.22445668120736</v>
      </c>
      <c r="E209" s="93">
        <v>30.875543318792666</v>
      </c>
      <c r="F209" s="44">
        <v>1.7613540032157082</v>
      </c>
      <c r="G209" s="44">
        <v>36.143986914970789</v>
      </c>
      <c r="H209" s="44">
        <v>596.38354407017766</v>
      </c>
      <c r="I209" s="44">
        <v>738.06536929223705</v>
      </c>
    </row>
    <row r="210" spans="2:9">
      <c r="B210" s="78">
        <v>152</v>
      </c>
      <c r="C210" s="77">
        <v>630.20000000000005</v>
      </c>
      <c r="D210" s="62">
        <v>672.62328978056632</v>
      </c>
      <c r="E210" s="93">
        <v>-42.423289780566279</v>
      </c>
      <c r="F210" s="44">
        <v>-2.4201171300231015</v>
      </c>
      <c r="G210" s="44">
        <v>37.761882460945827</v>
      </c>
      <c r="H210" s="44">
        <v>598.61136016867772</v>
      </c>
      <c r="I210" s="44">
        <v>746.63521939245493</v>
      </c>
    </row>
    <row r="211" spans="2:9">
      <c r="B211" s="78">
        <v>153</v>
      </c>
      <c r="C211" s="77">
        <v>613.1</v>
      </c>
      <c r="D211" s="62">
        <v>650.38725776694343</v>
      </c>
      <c r="E211" s="93">
        <v>-37.287257766943412</v>
      </c>
      <c r="F211" s="44">
        <v>-2.1271224301587428</v>
      </c>
      <c r="G211" s="44">
        <v>39.669810591598818</v>
      </c>
      <c r="H211" s="44">
        <v>572.63585773388422</v>
      </c>
      <c r="I211" s="44">
        <v>728.13865780000265</v>
      </c>
    </row>
    <row r="212" spans="2:9">
      <c r="B212" s="78">
        <v>154</v>
      </c>
      <c r="C212" s="77">
        <v>622</v>
      </c>
      <c r="D212" s="62">
        <v>653.33176680261806</v>
      </c>
      <c r="E212" s="93">
        <v>-31.331766802618063</v>
      </c>
      <c r="F212" s="44">
        <v>-1.7873801382475663</v>
      </c>
      <c r="G212" s="44">
        <v>41.597229404964914</v>
      </c>
      <c r="H212" s="44">
        <v>571.80269531223632</v>
      </c>
      <c r="I212" s="44">
        <v>734.8608382929998</v>
      </c>
    </row>
    <row r="213" spans="2:9">
      <c r="B213" s="78">
        <v>155</v>
      </c>
      <c r="C213" s="77">
        <v>622.1</v>
      </c>
      <c r="D213" s="62">
        <v>661.72731358016813</v>
      </c>
      <c r="E213" s="93">
        <v>-39.627313580168106</v>
      </c>
      <c r="F213" s="44">
        <v>-2.2606153579370472</v>
      </c>
      <c r="G213" s="44">
        <v>43.26577929407901</v>
      </c>
      <c r="H213" s="44">
        <v>576.92794440071452</v>
      </c>
      <c r="I213" s="44">
        <v>746.52668275962174</v>
      </c>
    </row>
    <row r="214" spans="2:9" ht="16" thickBot="1">
      <c r="B214" s="76">
        <v>156</v>
      </c>
      <c r="C214" s="75">
        <v>583.1</v>
      </c>
      <c r="D214" s="66">
        <v>623.55326073589549</v>
      </c>
      <c r="E214" s="94">
        <v>-40.453260735895469</v>
      </c>
      <c r="F214" s="41">
        <v>-2.3077330819610178</v>
      </c>
      <c r="G214" s="41">
        <v>44.813616942084195</v>
      </c>
      <c r="H214" s="41">
        <v>535.7201855124365</v>
      </c>
      <c r="I214" s="41">
        <v>711.38633595935448</v>
      </c>
    </row>
    <row r="233" spans="2:10">
      <c r="G233" t="s">
        <v>208</v>
      </c>
    </row>
    <row r="236" spans="2:10">
      <c r="B236" t="s">
        <v>252</v>
      </c>
    </row>
    <row r="237" spans="2:10" ht="16" thickBot="1"/>
    <row r="238" spans="2:10">
      <c r="B238" s="49" t="s">
        <v>210</v>
      </c>
      <c r="C238" s="49" t="s">
        <v>211</v>
      </c>
      <c r="D238" s="49" t="s">
        <v>212</v>
      </c>
      <c r="E238" s="49" t="s">
        <v>192</v>
      </c>
      <c r="F238" s="49" t="s">
        <v>193</v>
      </c>
      <c r="G238" s="49" t="s">
        <v>213</v>
      </c>
      <c r="H238" s="49" t="s">
        <v>212</v>
      </c>
      <c r="I238" s="49" t="s">
        <v>192</v>
      </c>
      <c r="J238" s="49" t="s">
        <v>193</v>
      </c>
    </row>
    <row r="239" spans="2:10">
      <c r="B239" s="47">
        <v>0</v>
      </c>
      <c r="C239" s="46">
        <v>1</v>
      </c>
      <c r="D239" s="46">
        <v>0</v>
      </c>
      <c r="E239" s="46"/>
      <c r="F239" s="46"/>
      <c r="G239" s="46">
        <v>1</v>
      </c>
      <c r="H239" s="46">
        <v>0</v>
      </c>
      <c r="I239" s="46"/>
      <c r="J239" s="46"/>
    </row>
    <row r="240" spans="2:10">
      <c r="B240" s="45">
        <v>1</v>
      </c>
      <c r="C240" s="44">
        <v>0.844025822436129</v>
      </c>
      <c r="D240" s="44">
        <v>8.0064076902543566E-2</v>
      </c>
      <c r="E240" s="44">
        <v>-0.15692270718443055</v>
      </c>
      <c r="F240" s="44">
        <v>0.15692270718443055</v>
      </c>
      <c r="G240" s="44">
        <v>0.844025822436129</v>
      </c>
      <c r="H240" s="44">
        <v>8.0064076902543566E-2</v>
      </c>
      <c r="I240" s="44">
        <v>-0.15692270718443055</v>
      </c>
      <c r="J240" s="44">
        <v>0.15692270718443055</v>
      </c>
    </row>
    <row r="241" spans="2:10">
      <c r="B241" s="45">
        <v>2</v>
      </c>
      <c r="C241" s="44">
        <v>0.61128531725508339</v>
      </c>
      <c r="D241" s="44">
        <v>0.12467288423438477</v>
      </c>
      <c r="E241" s="44">
        <v>-0.2443543629481256</v>
      </c>
      <c r="F241" s="44">
        <v>0.2443543629481256</v>
      </c>
      <c r="G241" s="44">
        <v>-0.35148503999062269</v>
      </c>
      <c r="H241" s="44">
        <v>8.0064076902543566E-2</v>
      </c>
      <c r="I241" s="44">
        <v>-0.15692270718443055</v>
      </c>
      <c r="J241" s="44">
        <v>0.15692270718443055</v>
      </c>
    </row>
    <row r="242" spans="2:10">
      <c r="B242" s="45">
        <v>3</v>
      </c>
      <c r="C242" s="44">
        <v>0.39822857269078249</v>
      </c>
      <c r="D242" s="44">
        <v>0.1425972150639081</v>
      </c>
      <c r="E242" s="44">
        <v>-0.27948540582097225</v>
      </c>
      <c r="F242" s="44">
        <v>0.27948540582097225</v>
      </c>
      <c r="G242" s="44">
        <v>-9.5005577720003228E-3</v>
      </c>
      <c r="H242" s="44">
        <v>8.0064076902543566E-2</v>
      </c>
      <c r="I242" s="44">
        <v>-0.15692270718443055</v>
      </c>
      <c r="J242" s="44">
        <v>0.15692270718443055</v>
      </c>
    </row>
    <row r="243" spans="2:10">
      <c r="B243" s="45">
        <v>4</v>
      </c>
      <c r="C243" s="44">
        <v>0.25669999619287914</v>
      </c>
      <c r="D243" s="44">
        <v>0.14955640922484861</v>
      </c>
      <c r="E243" s="44">
        <v>-0.29312517573783708</v>
      </c>
      <c r="F243" s="44">
        <v>0.29312517573783708</v>
      </c>
      <c r="G243" s="44">
        <v>7.9451456243552834E-2</v>
      </c>
      <c r="H243" s="44">
        <v>8.0064076902543566E-2</v>
      </c>
      <c r="I243" s="44">
        <v>-0.15692270718443055</v>
      </c>
      <c r="J243" s="44">
        <v>0.15692270718443055</v>
      </c>
    </row>
    <row r="244" spans="2:10">
      <c r="B244" s="45">
        <v>5</v>
      </c>
      <c r="C244" s="44">
        <v>0.20285903458719909</v>
      </c>
      <c r="D244" s="44">
        <v>0.15235460543489651</v>
      </c>
      <c r="E244" s="44">
        <v>-0.29860953953120745</v>
      </c>
      <c r="F244" s="44">
        <v>0.29860953953120745</v>
      </c>
      <c r="G244" s="44">
        <v>0.11806500284411817</v>
      </c>
      <c r="H244" s="44">
        <v>8.0064076902543566E-2</v>
      </c>
      <c r="I244" s="44">
        <v>-0.15692270718443055</v>
      </c>
      <c r="J244" s="44">
        <v>0.15692270718443055</v>
      </c>
    </row>
    <row r="245" spans="2:10">
      <c r="B245" s="45">
        <v>6</v>
      </c>
      <c r="C245" s="44">
        <v>0.17577368965751591</v>
      </c>
      <c r="D245" s="44">
        <v>0.15407632141817568</v>
      </c>
      <c r="E245" s="44">
        <v>-0.3019840408500416</v>
      </c>
      <c r="F245" s="44">
        <v>0.3019840408500416</v>
      </c>
      <c r="G245" s="44">
        <v>-6.7946509620923995E-2</v>
      </c>
      <c r="H245" s="44">
        <v>8.0064076902543566E-2</v>
      </c>
      <c r="I245" s="44">
        <v>-0.15692270718443055</v>
      </c>
      <c r="J245" s="44">
        <v>0.15692270718443055</v>
      </c>
    </row>
    <row r="246" spans="2:10">
      <c r="B246" s="45">
        <v>7</v>
      </c>
      <c r="C246" s="44">
        <v>0.19002708210837738</v>
      </c>
      <c r="D246" s="44">
        <v>0.15535643013904996</v>
      </c>
      <c r="E246" s="44">
        <v>-0.30449300783925082</v>
      </c>
      <c r="F246" s="44">
        <v>0.30449300783925082</v>
      </c>
      <c r="G246" s="44">
        <v>0.15357485337038024</v>
      </c>
      <c r="H246" s="44">
        <v>8.0064076902543566E-2</v>
      </c>
      <c r="I246" s="44">
        <v>-0.15692270718443055</v>
      </c>
      <c r="J246" s="44">
        <v>0.15692270718443055</v>
      </c>
    </row>
    <row r="247" spans="2:10">
      <c r="B247" s="45">
        <v>8</v>
      </c>
      <c r="C247" s="44">
        <v>0.23179194248726187</v>
      </c>
      <c r="D247" s="44">
        <v>0.15683932174760834</v>
      </c>
      <c r="E247" s="44">
        <v>-0.30739942198500192</v>
      </c>
      <c r="F247" s="44">
        <v>0.30739942198500192</v>
      </c>
      <c r="G247" s="44">
        <v>9.6327782239726059E-2</v>
      </c>
      <c r="H247" s="44">
        <v>8.0064076902543566E-2</v>
      </c>
      <c r="I247" s="44">
        <v>-0.15692270718443055</v>
      </c>
      <c r="J247" s="44">
        <v>0.15692270718443055</v>
      </c>
    </row>
    <row r="248" spans="2:10">
      <c r="B248" s="45">
        <v>9</v>
      </c>
      <c r="C248" s="44">
        <v>0.34551448920014566</v>
      </c>
      <c r="D248" s="44">
        <v>0.15902008366182602</v>
      </c>
      <c r="E248" s="44">
        <v>-0.31167363679572518</v>
      </c>
      <c r="F248" s="44">
        <v>0.31167363679572518</v>
      </c>
      <c r="G248" s="44">
        <v>0.33974653462180476</v>
      </c>
      <c r="H248" s="44">
        <v>8.0064076902543566E-2</v>
      </c>
      <c r="I248" s="44">
        <v>-0.15692270718443055</v>
      </c>
      <c r="J248" s="44">
        <v>0.15692270718443055</v>
      </c>
    </row>
    <row r="249" spans="2:10">
      <c r="B249" s="45">
        <v>10</v>
      </c>
      <c r="C249" s="44">
        <v>0.51911053194272694</v>
      </c>
      <c r="D249" s="44">
        <v>0.16376172687924073</v>
      </c>
      <c r="E249" s="44">
        <v>-0.32096708672939667</v>
      </c>
      <c r="F249" s="44">
        <v>0.32096708672939667</v>
      </c>
      <c r="G249" s="44">
        <v>0.30648576843746927</v>
      </c>
      <c r="H249" s="44">
        <v>8.0064076902543566E-2</v>
      </c>
      <c r="I249" s="44">
        <v>-0.15692270718443055</v>
      </c>
      <c r="J249" s="44">
        <v>0.15692270718443055</v>
      </c>
    </row>
    <row r="250" spans="2:10">
      <c r="B250" s="45">
        <v>11</v>
      </c>
      <c r="C250" s="44">
        <v>0.67628708577754493</v>
      </c>
      <c r="D250" s="44">
        <v>0.17399057568165396</v>
      </c>
      <c r="E250" s="44">
        <v>-0.34101526198543225</v>
      </c>
      <c r="F250" s="44">
        <v>0.34101526198543225</v>
      </c>
      <c r="G250" s="44">
        <v>0.22114019109767977</v>
      </c>
      <c r="H250" s="44">
        <v>8.0064076902543566E-2</v>
      </c>
      <c r="I250" s="44">
        <v>-0.15692270718443055</v>
      </c>
      <c r="J250" s="44">
        <v>0.15692270718443055</v>
      </c>
    </row>
    <row r="251" spans="2:10">
      <c r="B251" s="45">
        <v>12</v>
      </c>
      <c r="C251" s="44">
        <v>0.76427583760208873</v>
      </c>
      <c r="D251" s="44">
        <v>0.19009567144683126</v>
      </c>
      <c r="E251" s="44">
        <v>-0.37258066965274828</v>
      </c>
      <c r="F251" s="44">
        <v>0.37258066965274828</v>
      </c>
      <c r="G251" s="44">
        <v>0.17968495386398589</v>
      </c>
      <c r="H251" s="44">
        <v>8.0064076902543566E-2</v>
      </c>
      <c r="I251" s="44">
        <v>-0.15692270718443055</v>
      </c>
      <c r="J251" s="44">
        <v>0.15692270718443055</v>
      </c>
    </row>
    <row r="252" spans="2:10">
      <c r="B252" s="45">
        <v>13</v>
      </c>
      <c r="C252" s="44">
        <v>0.67440309849227054</v>
      </c>
      <c r="D252" s="44">
        <v>0.20886610763229979</v>
      </c>
      <c r="E252" s="44">
        <v>-0.40937004855037396</v>
      </c>
      <c r="F252" s="44">
        <v>0.40937004855037396</v>
      </c>
      <c r="G252" s="44">
        <v>-0.27531213916256836</v>
      </c>
      <c r="H252" s="44">
        <v>8.0064076902543566E-2</v>
      </c>
      <c r="I252" s="44">
        <v>-0.15692270718443055</v>
      </c>
      <c r="J252" s="44">
        <v>0.15692270718443055</v>
      </c>
    </row>
    <row r="253" spans="2:10">
      <c r="B253" s="45">
        <v>14</v>
      </c>
      <c r="C253" s="44">
        <v>0.49929819595188601</v>
      </c>
      <c r="D253" s="44">
        <v>0.2223872088307203</v>
      </c>
      <c r="E253" s="44">
        <v>-0.43587091993059957</v>
      </c>
      <c r="F253" s="44">
        <v>0.43587091993059957</v>
      </c>
      <c r="G253" s="44">
        <v>-2.0973801392201407E-2</v>
      </c>
      <c r="H253" s="44">
        <v>8.0064076902543566E-2</v>
      </c>
      <c r="I253" s="44">
        <v>-0.15692270718443055</v>
      </c>
      <c r="J253" s="44">
        <v>0.15692270718443055</v>
      </c>
    </row>
    <row r="254" spans="2:10">
      <c r="B254" s="45">
        <v>15</v>
      </c>
      <c r="C254" s="44">
        <v>0.29664746638104122</v>
      </c>
      <c r="D254" s="44">
        <v>0.22946068875370271</v>
      </c>
      <c r="E254" s="44">
        <v>-0.44973468582501219</v>
      </c>
      <c r="F254" s="44">
        <v>0.44973468582501219</v>
      </c>
      <c r="G254" s="44">
        <v>-0.20265657719363753</v>
      </c>
      <c r="H254" s="44">
        <v>8.0064076902543566E-2</v>
      </c>
      <c r="I254" s="44">
        <v>-0.15692270718443055</v>
      </c>
      <c r="J254" s="44">
        <v>0.15692270718443055</v>
      </c>
    </row>
    <row r="255" spans="2:10">
      <c r="B255" s="45">
        <v>16</v>
      </c>
      <c r="C255" s="44">
        <v>0.15678571615483741</v>
      </c>
      <c r="D255" s="44">
        <v>0.23190603530943896</v>
      </c>
      <c r="E255" s="44">
        <v>-0.45452747700397433</v>
      </c>
      <c r="F255" s="44">
        <v>0.45452747700397433</v>
      </c>
      <c r="G255" s="44">
        <v>4.2915319852546333E-2</v>
      </c>
      <c r="H255" s="44">
        <v>8.0064076902543566E-2</v>
      </c>
      <c r="I255" s="44">
        <v>-0.15692270718443055</v>
      </c>
      <c r="J255" s="44">
        <v>0.15692270718443055</v>
      </c>
    </row>
    <row r="256" spans="2:10">
      <c r="B256" s="45">
        <v>17</v>
      </c>
      <c r="C256" s="44">
        <v>0.1069940596807844</v>
      </c>
      <c r="D256" s="44">
        <v>0.23258452225439269</v>
      </c>
      <c r="E256" s="44">
        <v>-0.45585728698006422</v>
      </c>
      <c r="F256" s="44">
        <v>0.45585728698006422</v>
      </c>
      <c r="G256" s="44">
        <v>-9.9522024065763944E-3</v>
      </c>
      <c r="H256" s="44">
        <v>8.0064076902543566E-2</v>
      </c>
      <c r="I256" s="44">
        <v>-0.15692270718443055</v>
      </c>
      <c r="J256" s="44">
        <v>0.15692270718443055</v>
      </c>
    </row>
    <row r="257" spans="2:10">
      <c r="B257" s="45">
        <v>18</v>
      </c>
      <c r="C257" s="44">
        <v>6.5601480509497184E-2</v>
      </c>
      <c r="D257" s="44">
        <v>0.23289981912023822</v>
      </c>
      <c r="E257" s="44">
        <v>-0.45647525748155982</v>
      </c>
      <c r="F257" s="44">
        <v>0.45647525748155982</v>
      </c>
      <c r="G257" s="44">
        <v>-0.18290294948194319</v>
      </c>
      <c r="H257" s="44">
        <v>8.0064076902543566E-2</v>
      </c>
      <c r="I257" s="44">
        <v>-0.15692270718443055</v>
      </c>
      <c r="J257" s="44">
        <v>0.15692270718443055</v>
      </c>
    </row>
    <row r="258" spans="2:10">
      <c r="B258" s="45">
        <v>19</v>
      </c>
      <c r="C258" s="44">
        <v>5.3125093542414174E-2</v>
      </c>
      <c r="D258" s="44">
        <v>0.23301823859649259</v>
      </c>
      <c r="E258" s="44">
        <v>-0.4567073553900865</v>
      </c>
      <c r="F258" s="44">
        <v>0.4567073553900865</v>
      </c>
      <c r="G258" s="44">
        <v>-9.778903266764942E-2</v>
      </c>
      <c r="H258" s="44">
        <v>8.0064076902543566E-2</v>
      </c>
      <c r="I258" s="44">
        <v>-0.15692270718443055</v>
      </c>
      <c r="J258" s="44">
        <v>0.15692270718443055</v>
      </c>
    </row>
    <row r="259" spans="2:10">
      <c r="B259" s="45">
        <v>20</v>
      </c>
      <c r="C259" s="44">
        <v>7.7756551612399555E-2</v>
      </c>
      <c r="D259" s="44">
        <v>0.23309586555462933</v>
      </c>
      <c r="E259" s="44">
        <v>-0.45685950143226389</v>
      </c>
      <c r="F259" s="44">
        <v>0.45685950143226389</v>
      </c>
      <c r="G259" s="44">
        <v>-3.9411187618873654E-2</v>
      </c>
      <c r="H259" s="44">
        <v>8.0064076902543566E-2</v>
      </c>
      <c r="I259" s="44">
        <v>-0.15692270718443055</v>
      </c>
      <c r="J259" s="44">
        <v>0.15692270718443055</v>
      </c>
    </row>
    <row r="260" spans="2:10">
      <c r="B260" s="45">
        <v>21</v>
      </c>
      <c r="C260" s="44">
        <v>0.19976230902882333</v>
      </c>
      <c r="D260" s="44">
        <v>0.23326207664710838</v>
      </c>
      <c r="E260" s="44">
        <v>-0.45718526918735392</v>
      </c>
      <c r="F260" s="44">
        <v>0.45718526918735392</v>
      </c>
      <c r="G260" s="44">
        <v>0.18370276262220436</v>
      </c>
      <c r="H260" s="44">
        <v>8.0064076902543566E-2</v>
      </c>
      <c r="I260" s="44">
        <v>-0.15692270718443055</v>
      </c>
      <c r="J260" s="44">
        <v>0.15692270718443055</v>
      </c>
    </row>
    <row r="261" spans="2:10" ht="16" thickBot="1">
      <c r="B261" s="42">
        <v>22</v>
      </c>
      <c r="C261" s="41">
        <v>0.37960930536712717</v>
      </c>
      <c r="D261" s="41">
        <v>0.23435613649060943</v>
      </c>
      <c r="E261" s="41">
        <v>-0.45932958707754751</v>
      </c>
      <c r="F261" s="41">
        <v>0.45932958707754751</v>
      </c>
      <c r="G261" s="41">
        <v>3.8086576705665794E-2</v>
      </c>
      <c r="H261" s="41">
        <v>8.0064076902543566E-2</v>
      </c>
      <c r="I261" s="41">
        <v>-0.15692270718443055</v>
      </c>
      <c r="J261" s="41">
        <v>0.15692270718443055</v>
      </c>
    </row>
    <row r="280" spans="2:10">
      <c r="G280" t="s">
        <v>208</v>
      </c>
    </row>
    <row r="283" spans="2:10">
      <c r="B283" t="s">
        <v>214</v>
      </c>
    </row>
    <row r="284" spans="2:10" ht="16" thickBot="1"/>
    <row r="285" spans="2:10">
      <c r="B285" s="49" t="s">
        <v>210</v>
      </c>
      <c r="C285" s="49" t="s">
        <v>211</v>
      </c>
      <c r="D285" s="49" t="s">
        <v>212</v>
      </c>
      <c r="E285" s="49" t="s">
        <v>192</v>
      </c>
      <c r="F285" s="49" t="s">
        <v>193</v>
      </c>
      <c r="G285" s="49" t="s">
        <v>213</v>
      </c>
      <c r="H285" s="49" t="s">
        <v>212</v>
      </c>
      <c r="I285" s="49" t="s">
        <v>192</v>
      </c>
      <c r="J285" s="49" t="s">
        <v>193</v>
      </c>
    </row>
    <row r="286" spans="2:10">
      <c r="B286" s="47">
        <v>0</v>
      </c>
      <c r="C286" s="46">
        <v>1</v>
      </c>
      <c r="D286" s="46">
        <v>0</v>
      </c>
      <c r="E286" s="46"/>
      <c r="F286" s="46"/>
      <c r="G286" s="46">
        <v>1</v>
      </c>
      <c r="H286" s="46">
        <v>0</v>
      </c>
      <c r="I286" s="46"/>
      <c r="J286" s="46"/>
    </row>
    <row r="287" spans="2:10">
      <c r="B287" s="45">
        <v>1</v>
      </c>
      <c r="C287" s="44">
        <v>9.1219891172439851E-2</v>
      </c>
      <c r="D287" s="44">
        <v>8.0064076902543566E-2</v>
      </c>
      <c r="E287" s="44">
        <v>-0.15692270718443055</v>
      </c>
      <c r="F287" s="44">
        <v>0.15692270718443055</v>
      </c>
      <c r="G287" s="44">
        <v>9.1219891172439851E-2</v>
      </c>
      <c r="H287" s="44">
        <v>8.0064076902543566E-2</v>
      </c>
      <c r="I287" s="44">
        <v>-0.15692270718443055</v>
      </c>
      <c r="J287" s="44">
        <v>0.15692270718443055</v>
      </c>
    </row>
    <row r="288" spans="2:10">
      <c r="B288" s="45">
        <v>2</v>
      </c>
      <c r="C288" s="44">
        <v>-2.3417574548050036E-2</v>
      </c>
      <c r="D288" s="44">
        <v>8.0727546576274137E-2</v>
      </c>
      <c r="E288" s="44">
        <v>-0.15822308384977701</v>
      </c>
      <c r="F288" s="44">
        <v>0.15822308384977701</v>
      </c>
      <c r="G288" s="44">
        <v>-3.2004958547431246E-2</v>
      </c>
      <c r="H288" s="44">
        <v>8.0064076902543566E-2</v>
      </c>
      <c r="I288" s="44">
        <v>-0.15692270718443055</v>
      </c>
      <c r="J288" s="44">
        <v>0.15692270718443055</v>
      </c>
    </row>
    <row r="289" spans="2:10">
      <c r="B289" s="45">
        <v>3</v>
      </c>
      <c r="C289" s="44">
        <v>9.136358462949714E-3</v>
      </c>
      <c r="D289" s="44">
        <v>8.077107975577115E-2</v>
      </c>
      <c r="E289" s="44">
        <v>-0.15830840731372367</v>
      </c>
      <c r="F289" s="44">
        <v>0.15830840731372367</v>
      </c>
      <c r="G289" s="44">
        <v>1.4394765191212059E-2</v>
      </c>
      <c r="H289" s="44">
        <v>8.0064076902543566E-2</v>
      </c>
      <c r="I289" s="44">
        <v>-0.15692270718443055</v>
      </c>
      <c r="J289" s="44">
        <v>0.15692270718443055</v>
      </c>
    </row>
    <row r="290" spans="2:10">
      <c r="B290" s="45">
        <v>4</v>
      </c>
      <c r="C290" s="44">
        <v>-6.1080778028779537E-2</v>
      </c>
      <c r="D290" s="44">
        <v>8.0777704177384779E-2</v>
      </c>
      <c r="E290" s="44">
        <v>-0.1583213909415048</v>
      </c>
      <c r="F290" s="44">
        <v>0.1583213909415048</v>
      </c>
      <c r="G290" s="44">
        <v>-6.4656338860655305E-2</v>
      </c>
      <c r="H290" s="44">
        <v>8.0064076902543566E-2</v>
      </c>
      <c r="I290" s="44">
        <v>-0.15692270718443055</v>
      </c>
      <c r="J290" s="44">
        <v>0.15692270718443055</v>
      </c>
    </row>
    <row r="291" spans="2:10">
      <c r="B291" s="45">
        <v>5</v>
      </c>
      <c r="C291" s="44">
        <v>-1.4096535323790918E-3</v>
      </c>
      <c r="D291" s="44">
        <v>8.1073232630450548E-2</v>
      </c>
      <c r="E291" s="44">
        <v>-0.15890061606592054</v>
      </c>
      <c r="F291" s="44">
        <v>0.15890061606592054</v>
      </c>
      <c r="G291" s="44">
        <v>1.1282582240762862E-2</v>
      </c>
      <c r="H291" s="44">
        <v>8.0064076902543566E-2</v>
      </c>
      <c r="I291" s="44">
        <v>-0.15692270718443055</v>
      </c>
      <c r="J291" s="44">
        <v>0.15692270718443055</v>
      </c>
    </row>
    <row r="292" spans="2:10">
      <c r="B292" s="45">
        <v>6</v>
      </c>
      <c r="C292" s="44">
        <v>0.13595948477442615</v>
      </c>
      <c r="D292" s="44">
        <v>8.107338974711796E-2</v>
      </c>
      <c r="E292" s="44">
        <v>-0.15890092400893005</v>
      </c>
      <c r="F292" s="44">
        <v>0.15890092400893005</v>
      </c>
      <c r="G292" s="44">
        <v>0.13298838213019076</v>
      </c>
      <c r="H292" s="44">
        <v>8.0064076902543566E-2</v>
      </c>
      <c r="I292" s="44">
        <v>-0.15692270718443055</v>
      </c>
      <c r="J292" s="44">
        <v>0.15692270718443055</v>
      </c>
    </row>
    <row r="293" spans="2:10">
      <c r="B293" s="45">
        <v>7</v>
      </c>
      <c r="C293" s="44">
        <v>-4.4206235751061765E-2</v>
      </c>
      <c r="D293" s="44">
        <v>8.2522005958395234E-2</v>
      </c>
      <c r="E293" s="44">
        <v>-0.16174015961045435</v>
      </c>
      <c r="F293" s="44">
        <v>0.16174015961045435</v>
      </c>
      <c r="G293" s="44">
        <v>-6.9811579835991663E-2</v>
      </c>
      <c r="H293" s="44">
        <v>8.0064076902543566E-2</v>
      </c>
      <c r="I293" s="44">
        <v>-0.15692270718443055</v>
      </c>
      <c r="J293" s="44">
        <v>0.15692270718443055</v>
      </c>
    </row>
    <row r="294" spans="2:10">
      <c r="B294" s="45">
        <v>8</v>
      </c>
      <c r="C294" s="44">
        <v>3.0547827585478324E-3</v>
      </c>
      <c r="D294" s="44">
        <v>8.2673666918476163E-2</v>
      </c>
      <c r="E294" s="44">
        <v>-0.16203740963007374</v>
      </c>
      <c r="F294" s="44">
        <v>0.16203740963007374</v>
      </c>
      <c r="G294" s="44">
        <v>1.802958551637189E-2</v>
      </c>
      <c r="H294" s="44">
        <v>8.0064076902543566E-2</v>
      </c>
      <c r="I294" s="44">
        <v>-0.15692270718443055</v>
      </c>
      <c r="J294" s="44">
        <v>0.15692270718443055</v>
      </c>
    </row>
    <row r="295" spans="2:10">
      <c r="B295" s="45">
        <v>9</v>
      </c>
      <c r="C295" s="44">
        <v>0.14230885608366595</v>
      </c>
      <c r="D295" s="44">
        <v>8.26743904658339E-2</v>
      </c>
      <c r="E295" s="44">
        <v>-0.16203882775683603</v>
      </c>
      <c r="F295" s="44">
        <v>0.16203882775683603</v>
      </c>
      <c r="G295" s="44">
        <v>0.13891397982605874</v>
      </c>
      <c r="H295" s="44">
        <v>8.0064076902543566E-2</v>
      </c>
      <c r="I295" s="44">
        <v>-0.15692270718443055</v>
      </c>
      <c r="J295" s="44">
        <v>0.15692270718443055</v>
      </c>
    </row>
    <row r="296" spans="2:10">
      <c r="B296" s="45">
        <v>10</v>
      </c>
      <c r="C296" s="44">
        <v>-6.9858362105083435E-2</v>
      </c>
      <c r="D296" s="44">
        <v>8.4230003177640872E-2</v>
      </c>
      <c r="E296" s="44">
        <v>-0.16508777264587038</v>
      </c>
      <c r="F296" s="44">
        <v>0.16508777264587038</v>
      </c>
      <c r="G296" s="44">
        <v>-8.4960715456092573E-2</v>
      </c>
      <c r="H296" s="44">
        <v>8.0064076902543566E-2</v>
      </c>
      <c r="I296" s="44">
        <v>-0.15692270718443055</v>
      </c>
      <c r="J296" s="44">
        <v>0.15692270718443055</v>
      </c>
    </row>
    <row r="297" spans="2:10">
      <c r="B297" s="45">
        <v>11</v>
      </c>
      <c r="C297" s="44">
        <v>3.0416697941002643E-2</v>
      </c>
      <c r="D297" s="44">
        <v>8.4600590916726462E-2</v>
      </c>
      <c r="E297" s="44">
        <v>-0.16581411126759024</v>
      </c>
      <c r="F297" s="44">
        <v>0.16581411126759024</v>
      </c>
      <c r="G297" s="44">
        <v>4.8732471373934855E-2</v>
      </c>
      <c r="H297" s="44">
        <v>8.0064076902543566E-2</v>
      </c>
      <c r="I297" s="44">
        <v>-0.15692270718443055</v>
      </c>
      <c r="J297" s="44">
        <v>0.15692270718443055</v>
      </c>
    </row>
    <row r="298" spans="2:10">
      <c r="B298" s="45">
        <v>12</v>
      </c>
      <c r="C298" s="44">
        <v>-3.0120967045638085E-3</v>
      </c>
      <c r="D298" s="44">
        <v>8.4670663207471519E-2</v>
      </c>
      <c r="E298" s="44">
        <v>-0.16595145043376477</v>
      </c>
      <c r="F298" s="44">
        <v>0.16595145043376477</v>
      </c>
      <c r="G298" s="44">
        <v>-3.4999493253392334E-2</v>
      </c>
      <c r="H298" s="44">
        <v>8.0064076902543566E-2</v>
      </c>
      <c r="I298" s="44">
        <v>-0.15692270718443055</v>
      </c>
      <c r="J298" s="44">
        <v>0.15692270718443055</v>
      </c>
    </row>
    <row r="299" spans="2:10">
      <c r="B299" s="45">
        <v>13</v>
      </c>
      <c r="C299" s="44">
        <v>-8.4277052327900365E-2</v>
      </c>
      <c r="D299" s="44">
        <v>8.4671350083722063E-2</v>
      </c>
      <c r="E299" s="44">
        <v>-0.16595279668647769</v>
      </c>
      <c r="F299" s="44">
        <v>0.16595279668647769</v>
      </c>
      <c r="G299" s="44">
        <v>-5.1290957806592971E-2</v>
      </c>
      <c r="H299" s="44">
        <v>8.0064076902543566E-2</v>
      </c>
      <c r="I299" s="44">
        <v>-0.15692270718443055</v>
      </c>
      <c r="J299" s="44">
        <v>0.15692270718443055</v>
      </c>
    </row>
    <row r="300" spans="2:10">
      <c r="B300" s="45">
        <v>14</v>
      </c>
      <c r="C300" s="44">
        <v>2.1936014260052192E-2</v>
      </c>
      <c r="D300" s="44">
        <v>8.5207375124630197E-2</v>
      </c>
      <c r="E300" s="44">
        <v>-0.16700338646146923</v>
      </c>
      <c r="F300" s="44">
        <v>0.16700338646146923</v>
      </c>
      <c r="G300" s="44">
        <v>2.7144654154504049E-2</v>
      </c>
      <c r="H300" s="44">
        <v>8.0064076902543566E-2</v>
      </c>
      <c r="I300" s="44">
        <v>-0.15692270718443055</v>
      </c>
      <c r="J300" s="44">
        <v>0.15692270718443055</v>
      </c>
    </row>
    <row r="301" spans="2:10">
      <c r="B301" s="45">
        <v>15</v>
      </c>
      <c r="C301" s="44">
        <v>2.993349971293852E-2</v>
      </c>
      <c r="D301" s="44">
        <v>8.5243567861769065E-2</v>
      </c>
      <c r="E301" s="44">
        <v>-0.16707432292276334</v>
      </c>
      <c r="F301" s="44">
        <v>0.16707432292276334</v>
      </c>
      <c r="G301" s="44">
        <v>-1.4910440085283494E-2</v>
      </c>
      <c r="H301" s="44">
        <v>8.0064076902543566E-2</v>
      </c>
      <c r="I301" s="44">
        <v>-0.15692270718443055</v>
      </c>
      <c r="J301" s="44">
        <v>0.15692270718443055</v>
      </c>
    </row>
    <row r="302" spans="2:10">
      <c r="B302" s="45">
        <v>16</v>
      </c>
      <c r="C302" s="44">
        <v>0.12078757661230996</v>
      </c>
      <c r="D302" s="44">
        <v>8.5310920906830692E-2</v>
      </c>
      <c r="E302" s="44">
        <v>-0.16720633246533323</v>
      </c>
      <c r="F302" s="44">
        <v>0.16720633246533323</v>
      </c>
      <c r="G302" s="44">
        <v>0.16571538450670378</v>
      </c>
      <c r="H302" s="44">
        <v>8.0064076902543566E-2</v>
      </c>
      <c r="I302" s="44">
        <v>-0.15692270718443055</v>
      </c>
      <c r="J302" s="44">
        <v>0.15692270718443055</v>
      </c>
    </row>
    <row r="303" spans="2:10">
      <c r="B303" s="45">
        <v>17</v>
      </c>
      <c r="C303" s="44">
        <v>0.18621375760954462</v>
      </c>
      <c r="D303" s="44">
        <v>8.6400230760735677E-2</v>
      </c>
      <c r="E303" s="44">
        <v>-0.1693413405469916</v>
      </c>
      <c r="F303" s="44">
        <v>0.1693413405469916</v>
      </c>
      <c r="G303" s="44">
        <v>0.14130094316672481</v>
      </c>
      <c r="H303" s="44">
        <v>8.0064076902543566E-2</v>
      </c>
      <c r="I303" s="44">
        <v>-0.15692270718443055</v>
      </c>
      <c r="J303" s="44">
        <v>0.15692270718443055</v>
      </c>
    </row>
    <row r="304" spans="2:10">
      <c r="B304" s="45">
        <v>18</v>
      </c>
      <c r="C304" s="44">
        <v>-1.2314863629289142E-2</v>
      </c>
      <c r="D304" s="44">
        <v>8.8935698019492443E-2</v>
      </c>
      <c r="E304" s="44">
        <v>-0.17431076505813536</v>
      </c>
      <c r="F304" s="44">
        <v>0.17431076505813536</v>
      </c>
      <c r="G304" s="44">
        <v>-5.9267954174444137E-2</v>
      </c>
      <c r="H304" s="44">
        <v>8.0064076902543566E-2</v>
      </c>
      <c r="I304" s="44">
        <v>-0.15692270718443055</v>
      </c>
      <c r="J304" s="44">
        <v>0.15692270718443055</v>
      </c>
    </row>
    <row r="305" spans="2:10">
      <c r="B305" s="45">
        <v>19</v>
      </c>
      <c r="C305" s="44">
        <v>-0.10611766389247837</v>
      </c>
      <c r="D305" s="44">
        <v>8.8946628312664991E-2</v>
      </c>
      <c r="E305" s="44">
        <v>-0.174332188039094</v>
      </c>
      <c r="F305" s="44">
        <v>0.174332188039094</v>
      </c>
      <c r="G305" s="44">
        <v>-5.4489674020035274E-2</v>
      </c>
      <c r="H305" s="44">
        <v>8.0064076902543566E-2</v>
      </c>
      <c r="I305" s="44">
        <v>-0.15692270718443055</v>
      </c>
      <c r="J305" s="44">
        <v>0.15692270718443055</v>
      </c>
    </row>
    <row r="306" spans="2:10">
      <c r="B306" s="45">
        <v>20</v>
      </c>
      <c r="C306" s="44">
        <v>-0.1336436185377316</v>
      </c>
      <c r="D306" s="44">
        <v>8.9754520511034427E-2</v>
      </c>
      <c r="E306" s="44">
        <v>-0.17591562765128899</v>
      </c>
      <c r="F306" s="44">
        <v>0.17591562765128899</v>
      </c>
      <c r="G306" s="44">
        <v>-0.15651201430613731</v>
      </c>
      <c r="H306" s="44">
        <v>8.0064076902543566E-2</v>
      </c>
      <c r="I306" s="44">
        <v>-0.15692270718443055</v>
      </c>
      <c r="J306" s="44">
        <v>0.15692270718443055</v>
      </c>
    </row>
    <row r="307" spans="2:10">
      <c r="B307" s="45">
        <v>21</v>
      </c>
      <c r="C307" s="44">
        <v>-4.7266599880777818E-2</v>
      </c>
      <c r="D307" s="44">
        <v>9.1021185547777078E-2</v>
      </c>
      <c r="E307" s="44">
        <v>-0.17839824550378069</v>
      </c>
      <c r="F307" s="44">
        <v>0.17839824550378069</v>
      </c>
      <c r="G307" s="44">
        <v>7.7514298956684637E-4</v>
      </c>
      <c r="H307" s="44">
        <v>8.0064076902543566E-2</v>
      </c>
      <c r="I307" s="44">
        <v>-0.15692270718443055</v>
      </c>
      <c r="J307" s="44">
        <v>0.15692270718443055</v>
      </c>
    </row>
    <row r="308" spans="2:10" ht="16" thickBot="1">
      <c r="B308" s="42">
        <v>22</v>
      </c>
      <c r="C308" s="41">
        <v>9.1994769934622009E-2</v>
      </c>
      <c r="D308" s="41">
        <v>9.1178390694305944E-2</v>
      </c>
      <c r="E308" s="41">
        <v>-0.17870636192916162</v>
      </c>
      <c r="F308" s="41">
        <v>0.17870636192916162</v>
      </c>
      <c r="G308" s="41">
        <v>8.8183461558637752E-2</v>
      </c>
      <c r="H308" s="41">
        <v>8.0064076902543566E-2</v>
      </c>
      <c r="I308" s="41">
        <v>-0.15692270718443055</v>
      </c>
      <c r="J308" s="41">
        <v>0.15692270718443055</v>
      </c>
    </row>
    <row r="327" spans="7:7">
      <c r="G327" t="s">
        <v>208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D858005">
              <controlPr defaultSize="0" autoFill="0" autoPict="0" macro="[0]!GoToResultsNew101220183403661">
                <anchor moveWithCells="1">
                  <from>
                    <xdr:col>0</xdr:col>
                    <xdr:colOff>330200</xdr:colOff>
                    <xdr:row>11</xdr:row>
                    <xdr:rowOff>0</xdr:rowOff>
                  </from>
                  <to>
                    <xdr:col>3</xdr:col>
                    <xdr:colOff>673100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27EDF-9671-49C3-BE20-BB4E42A52E5C}">
  <sheetPr codeName="Sheet6">
    <tabColor rgb="FF007800"/>
  </sheetPr>
  <dimension ref="B1:J324"/>
  <sheetViews>
    <sheetView showGridLines="0" topLeftCell="A12" zoomScaleNormal="100" workbookViewId="0">
      <selection activeCell="M23" sqref="M23"/>
    </sheetView>
  </sheetViews>
  <sheetFormatPr baseColWidth="10" defaultColWidth="8.83203125" defaultRowHeight="15"/>
  <cols>
    <col min="1" max="1" width="5" customWidth="1"/>
    <col min="4" max="4" width="21.1640625" bestFit="1" customWidth="1"/>
    <col min="6" max="6" width="15.6640625" customWidth="1"/>
  </cols>
  <sheetData>
    <row r="1" spans="2:9" hidden="1"/>
    <row r="2" spans="2:9" hidden="1"/>
    <row r="3" spans="2:9" hidden="1"/>
    <row r="4" spans="2:9" hidden="1"/>
    <row r="5" spans="2:9" hidden="1"/>
    <row r="6" spans="2:9" hidden="1"/>
    <row r="7" spans="2:9" hidden="1"/>
    <row r="8" spans="2:9" hidden="1"/>
    <row r="9" spans="2:9" hidden="1"/>
    <row r="10" spans="2:9" ht="34.25" hidden="1" customHeight="1"/>
    <row r="11" spans="2:9" ht="16.25" hidden="1" customHeight="1"/>
    <row r="12" spans="2:9" s="124" customFormat="1" ht="35.25" customHeight="1">
      <c r="F12" s="125" t="s">
        <v>256</v>
      </c>
      <c r="G12" s="125" t="s">
        <v>6</v>
      </c>
    </row>
    <row r="14" spans="2:9">
      <c r="B14" t="s">
        <v>163</v>
      </c>
    </row>
    <row r="15" spans="2:9" ht="16" thickBot="1"/>
    <row r="16" spans="2:9">
      <c r="B16" s="55" t="s">
        <v>164</v>
      </c>
      <c r="C16" s="49" t="s">
        <v>165</v>
      </c>
      <c r="D16" s="49" t="s">
        <v>166</v>
      </c>
      <c r="E16" s="49" t="s">
        <v>167</v>
      </c>
      <c r="F16" s="49" t="s">
        <v>168</v>
      </c>
      <c r="G16" s="49" t="s">
        <v>169</v>
      </c>
      <c r="H16" s="49" t="s">
        <v>170</v>
      </c>
      <c r="I16" s="49" t="s">
        <v>171</v>
      </c>
    </row>
    <row r="17" spans="2:9" ht="16" thickBot="1">
      <c r="B17" s="87" t="s">
        <v>6</v>
      </c>
      <c r="C17" s="90">
        <v>156</v>
      </c>
      <c r="D17" s="90">
        <v>0</v>
      </c>
      <c r="E17" s="90">
        <v>156</v>
      </c>
      <c r="F17" s="86">
        <v>17.899999999999999</v>
      </c>
      <c r="G17" s="86">
        <v>54.2</v>
      </c>
      <c r="H17" s="86">
        <v>31.433974358974371</v>
      </c>
      <c r="I17" s="86">
        <v>9.8384990777335712</v>
      </c>
    </row>
    <row r="20" spans="2:9">
      <c r="B20" s="74" t="s">
        <v>257</v>
      </c>
    </row>
    <row r="22" spans="2:9">
      <c r="B22" t="s">
        <v>258</v>
      </c>
    </row>
    <row r="24" spans="2:9">
      <c r="B24" s="96" t="s">
        <v>174</v>
      </c>
      <c r="C24" s="96"/>
      <c r="D24" s="96"/>
    </row>
    <row r="25" spans="2:9" ht="16" thickBot="1"/>
    <row r="26" spans="2:9">
      <c r="B26" s="89" t="s">
        <v>165</v>
      </c>
      <c r="C26" s="89">
        <v>131</v>
      </c>
    </row>
    <row r="27" spans="2:9">
      <c r="B27" s="84" t="s">
        <v>175</v>
      </c>
      <c r="C27" s="84">
        <v>127</v>
      </c>
    </row>
    <row r="28" spans="2:9">
      <c r="B28" s="84" t="s">
        <v>176</v>
      </c>
      <c r="C28" s="84">
        <v>436.57788645553234</v>
      </c>
    </row>
    <row r="29" spans="2:9">
      <c r="B29" s="84" t="s">
        <v>177</v>
      </c>
      <c r="C29" s="84">
        <v>3.3326556217979566</v>
      </c>
    </row>
    <row r="30" spans="2:9">
      <c r="B30" s="95" t="s">
        <v>178</v>
      </c>
      <c r="C30" s="95">
        <v>1.8255562499681999</v>
      </c>
    </row>
    <row r="31" spans="2:9">
      <c r="B31" s="84" t="s">
        <v>179</v>
      </c>
      <c r="C31" s="84">
        <v>3.3326556217979566</v>
      </c>
    </row>
    <row r="32" spans="2:9">
      <c r="B32" s="84" t="s">
        <v>180</v>
      </c>
      <c r="C32" s="84">
        <v>68659619818740.422</v>
      </c>
    </row>
    <row r="33" spans="2:9">
      <c r="B33" s="95" t="s">
        <v>181</v>
      </c>
      <c r="C33" s="95">
        <v>3.6418036689089894</v>
      </c>
    </row>
    <row r="34" spans="2:9">
      <c r="B34" s="84" t="s">
        <v>182</v>
      </c>
      <c r="C34" s="84">
        <v>530.77068787214409</v>
      </c>
    </row>
    <row r="35" spans="2:9">
      <c r="B35" s="84" t="s">
        <v>183</v>
      </c>
      <c r="C35" s="84">
        <v>4.0669695723636083</v>
      </c>
    </row>
    <row r="36" spans="2:9">
      <c r="B36" s="84" t="s">
        <v>184</v>
      </c>
      <c r="C36" s="84">
        <v>538.77068787214409</v>
      </c>
    </row>
    <row r="37" spans="2:9">
      <c r="B37" s="84" t="s">
        <v>185</v>
      </c>
      <c r="C37" s="84">
        <v>539.08814818960445</v>
      </c>
    </row>
    <row r="38" spans="2:9">
      <c r="B38" s="84" t="s">
        <v>186</v>
      </c>
      <c r="C38" s="84">
        <v>550.27147716494869</v>
      </c>
    </row>
    <row r="39" spans="2:9" ht="16" thickBot="1">
      <c r="B39" s="83" t="s">
        <v>187</v>
      </c>
      <c r="C39" s="83">
        <v>32</v>
      </c>
    </row>
    <row r="42" spans="2:9">
      <c r="B42" t="s">
        <v>188</v>
      </c>
    </row>
    <row r="43" spans="2:9" ht="16" thickBot="1"/>
    <row r="44" spans="2:9">
      <c r="B44" s="55" t="s">
        <v>189</v>
      </c>
      <c r="C44" s="49" t="s">
        <v>190</v>
      </c>
      <c r="D44" s="49" t="s">
        <v>191</v>
      </c>
      <c r="E44" s="49" t="s">
        <v>192</v>
      </c>
      <c r="F44" s="49" t="s">
        <v>193</v>
      </c>
    </row>
    <row r="45" spans="2:9" ht="16" thickBot="1">
      <c r="B45" s="87" t="s">
        <v>194</v>
      </c>
      <c r="C45" s="86">
        <v>5.2444907432587944E-2</v>
      </c>
      <c r="D45" s="86">
        <v>8.3868642762459547E-2</v>
      </c>
      <c r="E45" s="86">
        <v>-0.11193461181408859</v>
      </c>
      <c r="F45" s="86">
        <v>0.21682442667926449</v>
      </c>
    </row>
    <row r="47" spans="2:9" ht="16" thickBot="1"/>
    <row r="48" spans="2:9">
      <c r="B48" s="55" t="s">
        <v>189</v>
      </c>
      <c r="C48" s="49" t="s">
        <v>190</v>
      </c>
      <c r="D48" s="49" t="s">
        <v>191</v>
      </c>
      <c r="E48" s="49" t="s">
        <v>192</v>
      </c>
      <c r="F48" s="49" t="s">
        <v>193</v>
      </c>
      <c r="G48" s="49" t="s">
        <v>195</v>
      </c>
      <c r="H48" s="49" t="s">
        <v>192</v>
      </c>
      <c r="I48" s="49" t="s">
        <v>193</v>
      </c>
    </row>
    <row r="49" spans="2:9">
      <c r="B49" s="85" t="s">
        <v>196</v>
      </c>
      <c r="C49" s="46">
        <v>-0.51691931895829624</v>
      </c>
      <c r="D49" s="46">
        <v>7.4496096004735404E-2</v>
      </c>
      <c r="E49" s="46">
        <v>-0.66292898411641588</v>
      </c>
      <c r="F49" s="46">
        <v>-0.37090965380017665</v>
      </c>
      <c r="G49" s="46">
        <v>8.6428154223370815E-2</v>
      </c>
      <c r="H49" s="46">
        <v>-0.68631538848637641</v>
      </c>
      <c r="I49" s="46">
        <v>-0.34752324943021612</v>
      </c>
    </row>
    <row r="50" spans="2:9" ht="16" thickBot="1">
      <c r="B50" s="83" t="s">
        <v>199</v>
      </c>
      <c r="C50" s="41">
        <v>-0.28334749444863377</v>
      </c>
      <c r="D50" s="41">
        <v>8.2619504795301807E-2</v>
      </c>
      <c r="E50" s="41">
        <v>-0.44527874826795955</v>
      </c>
      <c r="F50" s="41">
        <v>-0.12141624062930798</v>
      </c>
      <c r="G50" s="41">
        <v>9.4322289994476963E-2</v>
      </c>
      <c r="H50" s="41">
        <v>-0.46821578577715128</v>
      </c>
      <c r="I50" s="41">
        <v>-9.8479203120116265E-2</v>
      </c>
    </row>
    <row r="53" spans="2:9">
      <c r="B53" t="s">
        <v>204</v>
      </c>
    </row>
    <row r="54" spans="2:9" ht="16" thickBot="1"/>
    <row r="55" spans="2:9">
      <c r="B55" s="50" t="s">
        <v>165</v>
      </c>
      <c r="C55" s="49" t="s">
        <v>6</v>
      </c>
      <c r="D55" s="97" t="s">
        <v>259</v>
      </c>
      <c r="E55" s="91" t="s">
        <v>206</v>
      </c>
      <c r="F55" s="49" t="s">
        <v>207</v>
      </c>
      <c r="G55" s="49" t="s">
        <v>212</v>
      </c>
      <c r="H55" s="49" t="s">
        <v>192</v>
      </c>
      <c r="I55" s="49" t="s">
        <v>193</v>
      </c>
    </row>
    <row r="56" spans="2:9">
      <c r="B56" s="47">
        <v>1</v>
      </c>
      <c r="C56" s="46">
        <v>53.1</v>
      </c>
      <c r="D56" s="98">
        <v>53.1</v>
      </c>
      <c r="E56" s="92">
        <v>0</v>
      </c>
      <c r="F56" s="46">
        <v>0</v>
      </c>
      <c r="G56" s="46"/>
      <c r="H56" s="46"/>
      <c r="I56" s="46"/>
    </row>
    <row r="57" spans="2:9">
      <c r="B57" s="45">
        <v>2</v>
      </c>
      <c r="C57" s="44">
        <v>50.8</v>
      </c>
      <c r="D57" s="63">
        <v>50.8</v>
      </c>
      <c r="E57" s="93">
        <v>0</v>
      </c>
      <c r="F57" s="44">
        <v>0</v>
      </c>
      <c r="G57" s="44"/>
      <c r="H57" s="44"/>
      <c r="I57" s="44"/>
    </row>
    <row r="58" spans="2:9">
      <c r="B58" s="45">
        <v>3</v>
      </c>
      <c r="C58" s="44">
        <v>50.1</v>
      </c>
      <c r="D58" s="63">
        <v>50.1</v>
      </c>
      <c r="E58" s="93">
        <v>0</v>
      </c>
      <c r="F58" s="44">
        <v>0</v>
      </c>
      <c r="G58" s="44"/>
      <c r="H58" s="44"/>
      <c r="I58" s="44"/>
    </row>
    <row r="59" spans="2:9">
      <c r="B59" s="45">
        <v>4</v>
      </c>
      <c r="C59" s="44">
        <v>51.8</v>
      </c>
      <c r="D59" s="63">
        <v>51.8</v>
      </c>
      <c r="E59" s="93">
        <v>0</v>
      </c>
      <c r="F59" s="44">
        <v>0</v>
      </c>
      <c r="G59" s="44"/>
      <c r="H59" s="44"/>
      <c r="I59" s="44"/>
    </row>
    <row r="60" spans="2:9">
      <c r="B60" s="45">
        <v>5</v>
      </c>
      <c r="C60" s="44">
        <v>53.9</v>
      </c>
      <c r="D60" s="63">
        <v>53.9</v>
      </c>
      <c r="E60" s="93">
        <v>0</v>
      </c>
      <c r="F60" s="44">
        <v>0</v>
      </c>
      <c r="G60" s="44"/>
      <c r="H60" s="44"/>
      <c r="I60" s="44"/>
    </row>
    <row r="61" spans="2:9">
      <c r="B61" s="45">
        <v>6</v>
      </c>
      <c r="C61" s="44">
        <v>54.2</v>
      </c>
      <c r="D61" s="63">
        <v>54.2</v>
      </c>
      <c r="E61" s="93">
        <v>0</v>
      </c>
      <c r="F61" s="44">
        <v>0</v>
      </c>
      <c r="G61" s="44"/>
      <c r="H61" s="44"/>
      <c r="I61" s="44"/>
    </row>
    <row r="62" spans="2:9">
      <c r="B62" s="45">
        <v>7</v>
      </c>
      <c r="C62" s="44">
        <v>50.2</v>
      </c>
      <c r="D62" s="63">
        <v>50.2</v>
      </c>
      <c r="E62" s="93">
        <v>0</v>
      </c>
      <c r="F62" s="44">
        <v>0</v>
      </c>
      <c r="G62" s="44"/>
      <c r="H62" s="44"/>
      <c r="I62" s="44"/>
    </row>
    <row r="63" spans="2:9">
      <c r="B63" s="45">
        <v>8</v>
      </c>
      <c r="C63" s="44">
        <v>53.4</v>
      </c>
      <c r="D63" s="63">
        <v>53.4</v>
      </c>
      <c r="E63" s="93">
        <v>0</v>
      </c>
      <c r="F63" s="44">
        <v>0</v>
      </c>
      <c r="G63" s="44"/>
      <c r="H63" s="44"/>
      <c r="I63" s="44"/>
    </row>
    <row r="64" spans="2:9">
      <c r="B64" s="45">
        <v>9</v>
      </c>
      <c r="C64" s="44">
        <v>50.7</v>
      </c>
      <c r="D64" s="63">
        <v>50.7</v>
      </c>
      <c r="E64" s="93">
        <v>0</v>
      </c>
      <c r="F64" s="44">
        <v>0</v>
      </c>
      <c r="G64" s="44"/>
      <c r="H64" s="44"/>
      <c r="I64" s="44"/>
    </row>
    <row r="65" spans="2:9">
      <c r="B65" s="45">
        <v>10</v>
      </c>
      <c r="C65" s="44">
        <v>48.4</v>
      </c>
      <c r="D65" s="63">
        <v>48.4</v>
      </c>
      <c r="E65" s="93">
        <v>0</v>
      </c>
      <c r="F65" s="44">
        <v>0</v>
      </c>
      <c r="G65" s="44"/>
      <c r="H65" s="44"/>
      <c r="I65" s="44"/>
    </row>
    <row r="66" spans="2:9">
      <c r="B66" s="45">
        <v>11</v>
      </c>
      <c r="C66" s="44">
        <v>50.9</v>
      </c>
      <c r="D66" s="63">
        <v>50.9</v>
      </c>
      <c r="E66" s="93">
        <v>0</v>
      </c>
      <c r="F66" s="44">
        <v>0</v>
      </c>
      <c r="G66" s="44"/>
      <c r="H66" s="44"/>
      <c r="I66" s="44"/>
    </row>
    <row r="67" spans="2:9">
      <c r="B67" s="45">
        <v>12</v>
      </c>
      <c r="C67" s="44">
        <v>44.7</v>
      </c>
      <c r="D67" s="63">
        <v>44.7</v>
      </c>
      <c r="E67" s="93">
        <v>0</v>
      </c>
      <c r="F67" s="44">
        <v>0</v>
      </c>
      <c r="G67" s="44"/>
      <c r="H67" s="44"/>
      <c r="I67" s="44"/>
    </row>
    <row r="68" spans="2:9">
      <c r="B68" s="45">
        <v>13</v>
      </c>
      <c r="C68" s="44">
        <v>46</v>
      </c>
      <c r="D68" s="63">
        <v>46</v>
      </c>
      <c r="E68" s="93">
        <v>0</v>
      </c>
      <c r="F68" s="44">
        <v>0</v>
      </c>
      <c r="G68" s="44"/>
      <c r="H68" s="44"/>
      <c r="I68" s="44"/>
    </row>
    <row r="69" spans="2:9">
      <c r="B69" s="45">
        <v>14</v>
      </c>
      <c r="C69" s="44">
        <v>44.7</v>
      </c>
      <c r="D69" s="63">
        <v>43.922022958254956</v>
      </c>
      <c r="E69" s="93">
        <v>0.77797704174504645</v>
      </c>
      <c r="F69" s="44">
        <v>0.42615889910738075</v>
      </c>
      <c r="G69" s="44"/>
      <c r="H69" s="44"/>
      <c r="I69" s="44"/>
    </row>
    <row r="70" spans="2:9">
      <c r="B70" s="45">
        <v>15</v>
      </c>
      <c r="C70" s="44">
        <v>44.7</v>
      </c>
      <c r="D70" s="63">
        <v>43.60938049255622</v>
      </c>
      <c r="E70" s="93">
        <v>1.0906195074437832</v>
      </c>
      <c r="F70" s="44">
        <v>0.59741764049329138</v>
      </c>
      <c r="G70" s="44"/>
      <c r="H70" s="44"/>
      <c r="I70" s="44"/>
    </row>
    <row r="71" spans="2:9">
      <c r="B71" s="45">
        <v>16</v>
      </c>
      <c r="C71" s="44">
        <v>45.2</v>
      </c>
      <c r="D71" s="63">
        <v>46.079843963039636</v>
      </c>
      <c r="E71" s="93">
        <v>-0.87984396303963308</v>
      </c>
      <c r="F71" s="44">
        <v>-0.48195938254707815</v>
      </c>
      <c r="G71" s="44"/>
      <c r="H71" s="44"/>
      <c r="I71" s="44"/>
    </row>
    <row r="72" spans="2:9">
      <c r="B72" s="45">
        <v>17</v>
      </c>
      <c r="C72" s="44">
        <v>47.7</v>
      </c>
      <c r="D72" s="63">
        <v>47.988065905450661</v>
      </c>
      <c r="E72" s="93">
        <v>-0.28806590545065802</v>
      </c>
      <c r="F72" s="44">
        <v>-0.15779623632833881</v>
      </c>
      <c r="G72" s="44"/>
      <c r="H72" s="44"/>
      <c r="I72" s="44"/>
    </row>
    <row r="73" spans="2:9">
      <c r="B73" s="45">
        <v>18</v>
      </c>
      <c r="C73" s="44">
        <v>46.8</v>
      </c>
      <c r="D73" s="63">
        <v>47.827860450776328</v>
      </c>
      <c r="E73" s="93">
        <v>-1.0278604507763305</v>
      </c>
      <c r="F73" s="44">
        <v>-0.56303959453138475</v>
      </c>
      <c r="G73" s="44"/>
      <c r="H73" s="44"/>
      <c r="I73" s="44"/>
    </row>
    <row r="74" spans="2:9">
      <c r="B74" s="45">
        <v>19</v>
      </c>
      <c r="C74" s="44">
        <v>43.3</v>
      </c>
      <c r="D74" s="63">
        <v>43.49352493332092</v>
      </c>
      <c r="E74" s="93">
        <v>-0.1935249333209228</v>
      </c>
      <c r="F74" s="44">
        <v>-0.10600874847011364</v>
      </c>
      <c r="G74" s="44"/>
      <c r="H74" s="44"/>
      <c r="I74" s="44"/>
    </row>
    <row r="75" spans="2:9">
      <c r="B75" s="45">
        <v>20</v>
      </c>
      <c r="C75" s="44">
        <v>49.1</v>
      </c>
      <c r="D75" s="63">
        <v>46.43135846679715</v>
      </c>
      <c r="E75" s="93">
        <v>2.6686415332028517</v>
      </c>
      <c r="F75" s="44">
        <v>1.4618237774099472</v>
      </c>
      <c r="G75" s="44"/>
      <c r="H75" s="44"/>
      <c r="I75" s="44"/>
    </row>
    <row r="76" spans="2:9">
      <c r="B76" s="45">
        <v>21</v>
      </c>
      <c r="C76" s="44">
        <v>45.2</v>
      </c>
      <c r="D76" s="63">
        <v>45.145268228006572</v>
      </c>
      <c r="E76" s="93">
        <v>5.4731771993431266E-2</v>
      </c>
      <c r="F76" s="44">
        <v>2.9980874045587289E-2</v>
      </c>
      <c r="G76" s="44"/>
      <c r="H76" s="44"/>
      <c r="I76" s="44"/>
    </row>
    <row r="77" spans="2:9">
      <c r="B77" s="45">
        <v>22</v>
      </c>
      <c r="C77" s="44">
        <v>45.2</v>
      </c>
      <c r="D77" s="63">
        <v>43.651544318449325</v>
      </c>
      <c r="E77" s="93">
        <v>1.5484556815506778</v>
      </c>
      <c r="F77" s="44">
        <v>0.84821033675497592</v>
      </c>
      <c r="G77" s="44"/>
      <c r="H77" s="44"/>
      <c r="I77" s="44"/>
    </row>
    <row r="78" spans="2:9">
      <c r="B78" s="45">
        <v>23</v>
      </c>
      <c r="C78" s="44">
        <v>46.5</v>
      </c>
      <c r="D78" s="63">
        <v>46.614313134630684</v>
      </c>
      <c r="E78" s="93">
        <v>-0.11431313463068449</v>
      </c>
      <c r="F78" s="44">
        <v>-6.2618248346319516E-2</v>
      </c>
      <c r="G78" s="44"/>
      <c r="H78" s="44"/>
      <c r="I78" s="44"/>
    </row>
    <row r="79" spans="2:9">
      <c r="B79" s="45">
        <v>24</v>
      </c>
      <c r="C79" s="44">
        <v>41.7</v>
      </c>
      <c r="D79" s="63">
        <v>40.97391610981996</v>
      </c>
      <c r="E79" s="93">
        <v>0.7260838901800426</v>
      </c>
      <c r="F79" s="44">
        <v>0.39773295958023236</v>
      </c>
      <c r="G79" s="44"/>
      <c r="H79" s="44"/>
      <c r="I79" s="44"/>
    </row>
    <row r="80" spans="2:9">
      <c r="B80" s="45">
        <v>25</v>
      </c>
      <c r="C80" s="44">
        <v>44.7</v>
      </c>
      <c r="D80" s="63">
        <v>42.543478484694717</v>
      </c>
      <c r="E80" s="93">
        <v>2.1565215153052861</v>
      </c>
      <c r="F80" s="44">
        <v>1.1812955724277745</v>
      </c>
      <c r="G80" s="44"/>
      <c r="H80" s="44"/>
      <c r="I80" s="44"/>
    </row>
    <row r="81" spans="2:9">
      <c r="B81" s="45">
        <v>26</v>
      </c>
      <c r="C81" s="44">
        <v>39.1</v>
      </c>
      <c r="D81" s="63">
        <v>42.414797905995087</v>
      </c>
      <c r="E81" s="93">
        <v>-3.3147979059950856</v>
      </c>
      <c r="F81" s="44">
        <v>-1.8157741817338291</v>
      </c>
      <c r="G81" s="44"/>
      <c r="H81" s="44"/>
      <c r="I81" s="44"/>
    </row>
    <row r="82" spans="2:9">
      <c r="B82" s="45">
        <v>27</v>
      </c>
      <c r="C82" s="44">
        <v>41.3</v>
      </c>
      <c r="D82" s="63">
        <v>41.080038347821578</v>
      </c>
      <c r="E82" s="93">
        <v>0.21996165217841934</v>
      </c>
      <c r="F82" s="44">
        <v>0.1204902079474412</v>
      </c>
      <c r="G82" s="44"/>
      <c r="H82" s="44"/>
      <c r="I82" s="44"/>
    </row>
    <row r="83" spans="2:9">
      <c r="B83" s="45">
        <v>28</v>
      </c>
      <c r="C83" s="44">
        <v>40</v>
      </c>
      <c r="D83" s="63">
        <v>41.002363352202735</v>
      </c>
      <c r="E83" s="93">
        <v>-1.0023633522027353</v>
      </c>
      <c r="F83" s="44">
        <v>-0.54907283860477918</v>
      </c>
      <c r="G83" s="44"/>
      <c r="H83" s="44"/>
      <c r="I83" s="44"/>
    </row>
    <row r="84" spans="2:9">
      <c r="B84" s="45">
        <v>29</v>
      </c>
      <c r="C84" s="44">
        <v>44.9</v>
      </c>
      <c r="D84" s="63">
        <v>43.594973445250062</v>
      </c>
      <c r="E84" s="93">
        <v>1.3050265547499365</v>
      </c>
      <c r="F84" s="44">
        <v>0.71486515672835016</v>
      </c>
      <c r="G84" s="44"/>
      <c r="H84" s="44"/>
      <c r="I84" s="44"/>
    </row>
    <row r="85" spans="2:9">
      <c r="B85" s="45">
        <v>30</v>
      </c>
      <c r="C85" s="44">
        <v>40.9</v>
      </c>
      <c r="D85" s="63">
        <v>43.14291982656875</v>
      </c>
      <c r="E85" s="93">
        <v>-2.2429198265687518</v>
      </c>
      <c r="F85" s="44">
        <v>-1.2286226878014972</v>
      </c>
      <c r="G85" s="44"/>
      <c r="H85" s="44"/>
      <c r="I85" s="44"/>
    </row>
    <row r="86" spans="2:9">
      <c r="B86" s="45">
        <v>31</v>
      </c>
      <c r="C86" s="44">
        <v>44.3</v>
      </c>
      <c r="D86" s="63">
        <v>39.138633810450983</v>
      </c>
      <c r="E86" s="93">
        <v>5.1613661895490139</v>
      </c>
      <c r="F86" s="44">
        <v>2.8272841166296145</v>
      </c>
      <c r="G86" s="44"/>
      <c r="H86" s="44"/>
      <c r="I86" s="44"/>
    </row>
    <row r="87" spans="2:9">
      <c r="B87" s="45">
        <v>32</v>
      </c>
      <c r="C87" s="44">
        <v>44.4</v>
      </c>
      <c r="D87" s="63">
        <v>45.825415632965715</v>
      </c>
      <c r="E87" s="93">
        <v>-1.4254156329657164</v>
      </c>
      <c r="F87" s="44">
        <v>-0.78081167479257152</v>
      </c>
      <c r="G87" s="44"/>
      <c r="H87" s="44"/>
      <c r="I87" s="44"/>
    </row>
    <row r="88" spans="2:9">
      <c r="B88" s="45">
        <v>33</v>
      </c>
      <c r="C88" s="44">
        <v>40.700000000000003</v>
      </c>
      <c r="D88" s="63">
        <v>43.507737163641309</v>
      </c>
      <c r="E88" s="93">
        <v>-2.8077371636413062</v>
      </c>
      <c r="F88" s="44">
        <v>-1.5380173378334496</v>
      </c>
      <c r="G88" s="44"/>
      <c r="H88" s="44"/>
      <c r="I88" s="44"/>
    </row>
    <row r="89" spans="2:9">
      <c r="B89" s="45">
        <v>34</v>
      </c>
      <c r="C89" s="44">
        <v>41.9</v>
      </c>
      <c r="D89" s="63">
        <v>40.222774567881068</v>
      </c>
      <c r="E89" s="93">
        <v>1.6772254321189308</v>
      </c>
      <c r="F89" s="44">
        <v>0.91874760481806417</v>
      </c>
      <c r="G89" s="44"/>
      <c r="H89" s="44"/>
      <c r="I89" s="44"/>
    </row>
    <row r="90" spans="2:9">
      <c r="B90" s="45">
        <v>35</v>
      </c>
      <c r="C90" s="44">
        <v>41.7</v>
      </c>
      <c r="D90" s="63">
        <v>42.684934200986746</v>
      </c>
      <c r="E90" s="93">
        <v>-0.98493420098674278</v>
      </c>
      <c r="F90" s="44">
        <v>-0.53952552872796977</v>
      </c>
      <c r="G90" s="44"/>
      <c r="H90" s="44"/>
      <c r="I90" s="44"/>
    </row>
    <row r="91" spans="2:9">
      <c r="B91" s="45">
        <v>36</v>
      </c>
      <c r="C91" s="44">
        <v>37.700000000000003</v>
      </c>
      <c r="D91" s="63">
        <v>37.556550155113946</v>
      </c>
      <c r="E91" s="93">
        <v>0.14344984488605661</v>
      </c>
      <c r="F91" s="44">
        <v>7.8578704374929795E-2</v>
      </c>
      <c r="G91" s="44"/>
      <c r="H91" s="44"/>
      <c r="I91" s="44"/>
    </row>
    <row r="92" spans="2:9">
      <c r="B92" s="45">
        <v>37</v>
      </c>
      <c r="C92" s="44">
        <v>39.700000000000003</v>
      </c>
      <c r="D92" s="63">
        <v>39.701815209142062</v>
      </c>
      <c r="E92" s="93">
        <v>-1.8152091420589045E-3</v>
      </c>
      <c r="F92" s="44">
        <v>-9.9433207938157174E-4</v>
      </c>
      <c r="G92" s="44"/>
      <c r="H92" s="44"/>
      <c r="I92" s="44"/>
    </row>
    <row r="93" spans="2:9">
      <c r="B93" s="45">
        <v>38</v>
      </c>
      <c r="C93" s="44">
        <v>36.1</v>
      </c>
      <c r="D93" s="63">
        <v>35.688414611801122</v>
      </c>
      <c r="E93" s="93">
        <v>0.4115853881988798</v>
      </c>
      <c r="F93" s="44">
        <v>0.22545752189561366</v>
      </c>
      <c r="G93" s="44"/>
      <c r="H93" s="44"/>
      <c r="I93" s="44"/>
    </row>
    <row r="94" spans="2:9">
      <c r="B94" s="45">
        <v>39</v>
      </c>
      <c r="C94" s="44">
        <v>33.1</v>
      </c>
      <c r="D94" s="63">
        <v>37.374704704163676</v>
      </c>
      <c r="E94" s="93">
        <v>-4.2747047041636748</v>
      </c>
      <c r="F94" s="44">
        <v>-2.3415902436521128</v>
      </c>
      <c r="G94" s="44"/>
      <c r="H94" s="44"/>
      <c r="I94" s="44"/>
    </row>
    <row r="95" spans="2:9">
      <c r="B95" s="45">
        <v>40</v>
      </c>
      <c r="C95" s="44">
        <v>37.200000000000003</v>
      </c>
      <c r="D95" s="63">
        <v>34.777873118374913</v>
      </c>
      <c r="E95" s="93">
        <v>2.4221268816250898</v>
      </c>
      <c r="F95" s="44">
        <v>1.3267884140339592</v>
      </c>
      <c r="G95" s="44"/>
      <c r="H95" s="44"/>
      <c r="I95" s="44"/>
    </row>
    <row r="96" spans="2:9">
      <c r="B96" s="45">
        <v>41</v>
      </c>
      <c r="C96" s="44">
        <v>36.9</v>
      </c>
      <c r="D96" s="63">
        <v>38.994340036168424</v>
      </c>
      <c r="E96" s="93">
        <v>-2.0943400361684255</v>
      </c>
      <c r="F96" s="44">
        <v>-1.1472339108723204</v>
      </c>
      <c r="G96" s="44"/>
      <c r="H96" s="44"/>
      <c r="I96" s="44"/>
    </row>
    <row r="97" spans="2:9">
      <c r="B97" s="45">
        <v>42</v>
      </c>
      <c r="C97" s="44">
        <v>38.1</v>
      </c>
      <c r="D97" s="63">
        <v>36.21693130238635</v>
      </c>
      <c r="E97" s="93">
        <v>1.8830686976136519</v>
      </c>
      <c r="F97" s="44">
        <v>1.0315040676760598</v>
      </c>
      <c r="G97" s="44"/>
      <c r="H97" s="44"/>
      <c r="I97" s="44"/>
    </row>
    <row r="98" spans="2:9">
      <c r="B98" s="45">
        <v>43</v>
      </c>
      <c r="C98" s="44">
        <v>37.6</v>
      </c>
      <c r="D98" s="63">
        <v>37.413068306957832</v>
      </c>
      <c r="E98" s="93">
        <v>0.18693169304216894</v>
      </c>
      <c r="F98" s="44">
        <v>0.10239711487686298</v>
      </c>
      <c r="G98" s="44"/>
      <c r="H98" s="44"/>
      <c r="I98" s="44"/>
    </row>
    <row r="99" spans="2:9">
      <c r="B99" s="45">
        <v>44</v>
      </c>
      <c r="C99" s="44">
        <v>38.4</v>
      </c>
      <c r="D99" s="63">
        <v>40.422534600941844</v>
      </c>
      <c r="E99" s="93">
        <v>-2.0225346009418459</v>
      </c>
      <c r="F99" s="44">
        <v>-1.107900455533527</v>
      </c>
      <c r="G99" s="44"/>
      <c r="H99" s="44"/>
      <c r="I99" s="44"/>
    </row>
    <row r="100" spans="2:9">
      <c r="B100" s="45">
        <v>45</v>
      </c>
      <c r="C100" s="44">
        <v>41.8</v>
      </c>
      <c r="D100" s="63">
        <v>35.218449719109231</v>
      </c>
      <c r="E100" s="93">
        <v>6.5815502808907667</v>
      </c>
      <c r="F100" s="44">
        <v>3.6052300667292028</v>
      </c>
      <c r="G100" s="44"/>
      <c r="H100" s="44"/>
      <c r="I100" s="44"/>
    </row>
    <row r="101" spans="2:9">
      <c r="B101" s="45">
        <v>46</v>
      </c>
      <c r="C101" s="44">
        <v>44.7</v>
      </c>
      <c r="D101" s="63">
        <v>39.062658599559825</v>
      </c>
      <c r="E101" s="93">
        <v>5.6373414004401781</v>
      </c>
      <c r="F101" s="44">
        <v>3.0880129826393339</v>
      </c>
      <c r="G101" s="44"/>
      <c r="H101" s="44"/>
      <c r="I101" s="44"/>
    </row>
    <row r="102" spans="2:9">
      <c r="B102" s="45">
        <v>47</v>
      </c>
      <c r="C102" s="44">
        <v>37.5</v>
      </c>
      <c r="D102" s="63">
        <v>43.972593363087007</v>
      </c>
      <c r="E102" s="93">
        <v>-6.4725933630870074</v>
      </c>
      <c r="F102" s="44">
        <v>-3.5455458374398248</v>
      </c>
      <c r="G102" s="44"/>
      <c r="H102" s="44"/>
      <c r="I102" s="44"/>
    </row>
    <row r="103" spans="2:9">
      <c r="B103" s="45">
        <v>48</v>
      </c>
      <c r="C103" s="44">
        <v>36.5</v>
      </c>
      <c r="D103" s="63">
        <v>37.213555244211435</v>
      </c>
      <c r="E103" s="93">
        <v>-0.71355524421143457</v>
      </c>
      <c r="F103" s="44">
        <v>-0.39087003987078695</v>
      </c>
      <c r="G103" s="44"/>
      <c r="H103" s="44"/>
      <c r="I103" s="44"/>
    </row>
    <row r="104" spans="2:9">
      <c r="B104" s="45">
        <v>49</v>
      </c>
      <c r="C104" s="44">
        <v>33.200000000000003</v>
      </c>
      <c r="D104" s="63">
        <v>37.217511618760476</v>
      </c>
      <c r="E104" s="93">
        <v>-4.0175116187604729</v>
      </c>
      <c r="F104" s="44">
        <v>-2.2007054665286021</v>
      </c>
      <c r="G104" s="44"/>
      <c r="H104" s="44"/>
      <c r="I104" s="44"/>
    </row>
    <row r="105" spans="2:9">
      <c r="B105" s="45">
        <v>50</v>
      </c>
      <c r="C105" s="44">
        <v>34</v>
      </c>
      <c r="D105" s="63">
        <v>32.021541511714503</v>
      </c>
      <c r="E105" s="93">
        <v>1.9784584882854972</v>
      </c>
      <c r="F105" s="44">
        <v>1.0837565198661836</v>
      </c>
      <c r="G105" s="44"/>
      <c r="H105" s="44"/>
      <c r="I105" s="44"/>
    </row>
    <row r="106" spans="2:9">
      <c r="B106" s="45">
        <v>51</v>
      </c>
      <c r="C106" s="44">
        <v>32.799999999999997</v>
      </c>
      <c r="D106" s="63">
        <v>30.008122696272412</v>
      </c>
      <c r="E106" s="93">
        <v>2.7918773037275848</v>
      </c>
      <c r="F106" s="44">
        <v>1.5293296515931611</v>
      </c>
      <c r="G106" s="44"/>
      <c r="H106" s="44"/>
      <c r="I106" s="44"/>
    </row>
    <row r="107" spans="2:9">
      <c r="B107" s="45">
        <v>52</v>
      </c>
      <c r="C107" s="44">
        <v>34.4</v>
      </c>
      <c r="D107" s="63">
        <v>35.303197600192739</v>
      </c>
      <c r="E107" s="93">
        <v>-0.90319760019274042</v>
      </c>
      <c r="F107" s="44">
        <v>-0.49475199693708349</v>
      </c>
      <c r="G107" s="44"/>
      <c r="H107" s="44"/>
      <c r="I107" s="44"/>
    </row>
    <row r="108" spans="2:9">
      <c r="B108" s="45">
        <v>53</v>
      </c>
      <c r="C108" s="44">
        <v>34.700000000000003</v>
      </c>
      <c r="D108" s="63">
        <v>36.176875497964296</v>
      </c>
      <c r="E108" s="93">
        <v>-1.4768754979642935</v>
      </c>
      <c r="F108" s="44">
        <v>-0.80900026936448544</v>
      </c>
      <c r="G108" s="44"/>
      <c r="H108" s="44"/>
      <c r="I108" s="44"/>
    </row>
    <row r="109" spans="2:9">
      <c r="B109" s="45">
        <v>54</v>
      </c>
      <c r="C109" s="44">
        <v>37</v>
      </c>
      <c r="D109" s="63">
        <v>34.980170281832422</v>
      </c>
      <c r="E109" s="93">
        <v>2.0198297181675784</v>
      </c>
      <c r="F109" s="44">
        <v>1.1064187795926654</v>
      </c>
      <c r="G109" s="44"/>
      <c r="H109" s="44"/>
      <c r="I109" s="44"/>
    </row>
    <row r="110" spans="2:9">
      <c r="B110" s="45">
        <v>55</v>
      </c>
      <c r="C110" s="44">
        <v>35.6</v>
      </c>
      <c r="D110" s="63">
        <v>36.376907765702995</v>
      </c>
      <c r="E110" s="93">
        <v>-0.77690776570299391</v>
      </c>
      <c r="F110" s="44">
        <v>-0.42557317295291625</v>
      </c>
      <c r="G110" s="44"/>
      <c r="H110" s="44"/>
      <c r="I110" s="44"/>
    </row>
    <row r="111" spans="2:9">
      <c r="B111" s="45">
        <v>56</v>
      </c>
      <c r="C111" s="44">
        <v>35</v>
      </c>
      <c r="D111" s="63">
        <v>37.340204853272112</v>
      </c>
      <c r="E111" s="93">
        <v>-2.3402048532721125</v>
      </c>
      <c r="F111" s="44">
        <v>-1.2819133090601167</v>
      </c>
      <c r="G111" s="44"/>
      <c r="H111" s="44"/>
      <c r="I111" s="44"/>
    </row>
    <row r="112" spans="2:9">
      <c r="B112" s="45">
        <v>57</v>
      </c>
      <c r="C112" s="44">
        <v>35.4</v>
      </c>
      <c r="D112" s="63">
        <v>37.111488696528937</v>
      </c>
      <c r="E112" s="93">
        <v>-1.7114886965289386</v>
      </c>
      <c r="F112" s="44">
        <v>-0.93751627568789064</v>
      </c>
      <c r="G112" s="44"/>
      <c r="H112" s="44"/>
      <c r="I112" s="44"/>
    </row>
    <row r="113" spans="2:9">
      <c r="B113" s="45">
        <v>58</v>
      </c>
      <c r="C113" s="44">
        <v>35.700000000000003</v>
      </c>
      <c r="D113" s="63">
        <v>38.431242196187704</v>
      </c>
      <c r="E113" s="93">
        <v>-2.7312421961877007</v>
      </c>
      <c r="F113" s="44">
        <v>-1.4961150587582701</v>
      </c>
      <c r="G113" s="44"/>
      <c r="H113" s="44"/>
      <c r="I113" s="44"/>
    </row>
    <row r="114" spans="2:9">
      <c r="B114" s="45">
        <v>59</v>
      </c>
      <c r="C114" s="44">
        <v>32.799999999999997</v>
      </c>
      <c r="D114" s="63">
        <v>31.680523757145703</v>
      </c>
      <c r="E114" s="93">
        <v>1.1194762428542937</v>
      </c>
      <c r="F114" s="44">
        <v>0.61322473239254849</v>
      </c>
      <c r="G114" s="44"/>
      <c r="H114" s="44"/>
      <c r="I114" s="44"/>
    </row>
    <row r="115" spans="2:9">
      <c r="B115" s="45">
        <v>60</v>
      </c>
      <c r="C115" s="44">
        <v>33.5</v>
      </c>
      <c r="D115" s="63">
        <v>29.854575318419791</v>
      </c>
      <c r="E115" s="93">
        <v>3.6454246815802094</v>
      </c>
      <c r="F115" s="44">
        <v>1.9968843368390925</v>
      </c>
      <c r="G115" s="44"/>
      <c r="H115" s="44"/>
      <c r="I115" s="44"/>
    </row>
    <row r="116" spans="2:9">
      <c r="B116" s="45">
        <v>61</v>
      </c>
      <c r="C116" s="44">
        <v>30.9</v>
      </c>
      <c r="D116" s="63">
        <v>30.485671813045748</v>
      </c>
      <c r="E116" s="93">
        <v>0.41432818695425055</v>
      </c>
      <c r="F116" s="44">
        <v>0.22695996738608734</v>
      </c>
      <c r="G116" s="44"/>
      <c r="H116" s="44"/>
      <c r="I116" s="44"/>
    </row>
    <row r="117" spans="2:9">
      <c r="B117" s="45">
        <v>62</v>
      </c>
      <c r="C117" s="44">
        <v>31</v>
      </c>
      <c r="D117" s="63">
        <v>30.969803124881391</v>
      </c>
      <c r="E117" s="93">
        <v>3.0196875118608801E-2</v>
      </c>
      <c r="F117" s="44">
        <v>1.6541191277526953E-2</v>
      </c>
      <c r="G117" s="44"/>
      <c r="H117" s="44"/>
      <c r="I117" s="44"/>
    </row>
    <row r="118" spans="2:9">
      <c r="B118" s="45">
        <v>63</v>
      </c>
      <c r="C118" s="44">
        <v>33.200000000000003</v>
      </c>
      <c r="D118" s="63">
        <v>29.109456056557853</v>
      </c>
      <c r="E118" s="93">
        <v>4.0905439434421496</v>
      </c>
      <c r="F118" s="44">
        <v>2.2407109852207538</v>
      </c>
      <c r="G118" s="44"/>
      <c r="H118" s="44"/>
      <c r="I118" s="44"/>
    </row>
    <row r="119" spans="2:9">
      <c r="B119" s="45">
        <v>64</v>
      </c>
      <c r="C119" s="44">
        <v>32.4</v>
      </c>
      <c r="D119" s="63">
        <v>33.58929733899118</v>
      </c>
      <c r="E119" s="93">
        <v>-1.1892973389911816</v>
      </c>
      <c r="F119" s="44">
        <v>-0.65147120994595398</v>
      </c>
      <c r="G119" s="44"/>
      <c r="H119" s="44"/>
      <c r="I119" s="44"/>
    </row>
    <row r="120" spans="2:9">
      <c r="B120" s="45">
        <v>65</v>
      </c>
      <c r="C120" s="44">
        <v>32.1</v>
      </c>
      <c r="D120" s="63">
        <v>34.238863669751929</v>
      </c>
      <c r="E120" s="93">
        <v>-2.1388636697519274</v>
      </c>
      <c r="F120" s="44">
        <v>-1.1716229887680454</v>
      </c>
      <c r="G120" s="44"/>
      <c r="H120" s="44"/>
      <c r="I120" s="44"/>
    </row>
    <row r="121" spans="2:9">
      <c r="B121" s="45">
        <v>66</v>
      </c>
      <c r="C121" s="44">
        <v>34.799999999999997</v>
      </c>
      <c r="D121" s="63">
        <v>34.412684987439995</v>
      </c>
      <c r="E121" s="93">
        <v>0.387315012560002</v>
      </c>
      <c r="F121" s="44">
        <v>0.21216273810612454</v>
      </c>
      <c r="G121" s="44"/>
      <c r="H121" s="44"/>
      <c r="I121" s="44"/>
    </row>
    <row r="122" spans="2:9">
      <c r="B122" s="45">
        <v>67</v>
      </c>
      <c r="C122" s="44">
        <v>31.7</v>
      </c>
      <c r="D122" s="63">
        <v>33.38922676044951</v>
      </c>
      <c r="E122" s="93">
        <v>-1.689226760449511</v>
      </c>
      <c r="F122" s="44">
        <v>-0.92532167139683397</v>
      </c>
      <c r="G122" s="44"/>
      <c r="H122" s="44"/>
      <c r="I122" s="44"/>
    </row>
    <row r="123" spans="2:9">
      <c r="B123" s="45">
        <v>68</v>
      </c>
      <c r="C123" s="44">
        <v>32.299999999999997</v>
      </c>
      <c r="D123" s="63">
        <v>32.609366665204099</v>
      </c>
      <c r="E123" s="93">
        <v>-0.30936666520410228</v>
      </c>
      <c r="F123" s="44">
        <v>-0.16946432913775802</v>
      </c>
      <c r="G123" s="44"/>
      <c r="H123" s="44"/>
      <c r="I123" s="44"/>
    </row>
    <row r="124" spans="2:9">
      <c r="B124" s="45">
        <v>69</v>
      </c>
      <c r="C124" s="44">
        <v>31.6</v>
      </c>
      <c r="D124" s="63">
        <v>33.236890528272312</v>
      </c>
      <c r="E124" s="93">
        <v>-1.6368905282723105</v>
      </c>
      <c r="F124" s="44">
        <v>-0.89665302194924101</v>
      </c>
      <c r="G124" s="44"/>
      <c r="H124" s="44"/>
      <c r="I124" s="44"/>
    </row>
    <row r="125" spans="2:9">
      <c r="B125" s="45">
        <v>70</v>
      </c>
      <c r="C125" s="44">
        <v>31.3</v>
      </c>
      <c r="D125" s="63">
        <v>33.746814434271229</v>
      </c>
      <c r="E125" s="93">
        <v>-2.4468144342712286</v>
      </c>
      <c r="F125" s="44">
        <v>-1.3403117183126243</v>
      </c>
      <c r="G125" s="44"/>
      <c r="H125" s="44"/>
      <c r="I125" s="44"/>
    </row>
    <row r="126" spans="2:9">
      <c r="B126" s="45">
        <v>71</v>
      </c>
      <c r="C126" s="44">
        <v>31.7</v>
      </c>
      <c r="D126" s="63">
        <v>27.974669945552932</v>
      </c>
      <c r="E126" s="93">
        <v>3.7253300544470669</v>
      </c>
      <c r="F126" s="44">
        <v>2.0406547618086051</v>
      </c>
      <c r="G126" s="44"/>
      <c r="H126" s="44"/>
      <c r="I126" s="44"/>
    </row>
    <row r="127" spans="2:9">
      <c r="B127" s="45">
        <v>72</v>
      </c>
      <c r="C127" s="44">
        <v>31.8</v>
      </c>
      <c r="D127" s="63">
        <v>29.684760309555429</v>
      </c>
      <c r="E127" s="93">
        <v>2.1152396904445716</v>
      </c>
      <c r="F127" s="44">
        <v>1.1586822868270523</v>
      </c>
      <c r="G127" s="44"/>
      <c r="H127" s="44"/>
      <c r="I127" s="44"/>
    </row>
    <row r="128" spans="2:9">
      <c r="B128" s="45">
        <v>73</v>
      </c>
      <c r="C128" s="44">
        <v>29.3</v>
      </c>
      <c r="D128" s="63">
        <v>29.16490941197463</v>
      </c>
      <c r="E128" s="93">
        <v>0.13509058802537055</v>
      </c>
      <c r="F128" s="44">
        <v>7.3999685316584324E-2</v>
      </c>
      <c r="G128" s="44"/>
      <c r="H128" s="44"/>
      <c r="I128" s="44"/>
    </row>
    <row r="129" spans="2:9">
      <c r="B129" s="45">
        <v>74</v>
      </c>
      <c r="C129" s="44">
        <v>27.9</v>
      </c>
      <c r="D129" s="63">
        <v>29.546220174790843</v>
      </c>
      <c r="E129" s="93">
        <v>-1.6462201747908445</v>
      </c>
      <c r="F129" s="44">
        <v>-0.90176359935198969</v>
      </c>
      <c r="G129" s="44"/>
      <c r="H129" s="44"/>
      <c r="I129" s="44"/>
    </row>
    <row r="130" spans="2:9">
      <c r="B130" s="45">
        <v>75</v>
      </c>
      <c r="C130" s="44">
        <v>28</v>
      </c>
      <c r="D130" s="63">
        <v>30.116621269287215</v>
      </c>
      <c r="E130" s="93">
        <v>-2.1166212692872151</v>
      </c>
      <c r="F130" s="44">
        <v>-1.1594390856617458</v>
      </c>
      <c r="G130" s="44"/>
      <c r="H130" s="44"/>
      <c r="I130" s="44"/>
    </row>
    <row r="131" spans="2:9">
      <c r="B131" s="45">
        <v>76</v>
      </c>
      <c r="C131" s="44">
        <v>28.7</v>
      </c>
      <c r="D131" s="63">
        <v>28.569670373642662</v>
      </c>
      <c r="E131" s="93">
        <v>0.13032962635733725</v>
      </c>
      <c r="F131" s="44">
        <v>7.1391734086313427E-2</v>
      </c>
      <c r="G131" s="44"/>
      <c r="H131" s="44"/>
      <c r="I131" s="44"/>
    </row>
    <row r="132" spans="2:9">
      <c r="B132" s="45">
        <v>77</v>
      </c>
      <c r="C132" s="44">
        <v>30.5</v>
      </c>
      <c r="D132" s="63">
        <v>28.248248539767037</v>
      </c>
      <c r="E132" s="93">
        <v>2.2517514602329634</v>
      </c>
      <c r="F132" s="44">
        <v>1.2334604645965785</v>
      </c>
      <c r="G132" s="44"/>
      <c r="H132" s="44"/>
      <c r="I132" s="44"/>
    </row>
    <row r="133" spans="2:9">
      <c r="B133" s="45">
        <v>78</v>
      </c>
      <c r="C133" s="44">
        <v>31.3</v>
      </c>
      <c r="D133" s="63">
        <v>32.191107424997355</v>
      </c>
      <c r="E133" s="93">
        <v>-0.89110742499735451</v>
      </c>
      <c r="F133" s="44">
        <v>-0.48812926197857615</v>
      </c>
      <c r="G133" s="44"/>
      <c r="H133" s="44"/>
      <c r="I133" s="44"/>
    </row>
    <row r="134" spans="2:9">
      <c r="B134" s="45">
        <v>79</v>
      </c>
      <c r="C134" s="44">
        <v>29.2</v>
      </c>
      <c r="D134" s="63">
        <v>29.707346645313741</v>
      </c>
      <c r="E134" s="93">
        <v>-0.50734664531374207</v>
      </c>
      <c r="F134" s="44">
        <v>-0.27791345532222289</v>
      </c>
      <c r="G134" s="44"/>
      <c r="H134" s="44"/>
      <c r="I134" s="44"/>
    </row>
    <row r="135" spans="2:9">
      <c r="B135" s="45">
        <v>80</v>
      </c>
      <c r="C135" s="44">
        <v>30.9</v>
      </c>
      <c r="D135" s="63">
        <v>29.29415525353739</v>
      </c>
      <c r="E135" s="93">
        <v>1.6058447464626084</v>
      </c>
      <c r="F135" s="44">
        <v>0.87964681805371991</v>
      </c>
      <c r="G135" s="44"/>
      <c r="H135" s="44"/>
      <c r="I135" s="44"/>
    </row>
    <row r="136" spans="2:9">
      <c r="B136" s="45">
        <v>81</v>
      </c>
      <c r="C136" s="44">
        <v>29.1</v>
      </c>
      <c r="D136" s="63">
        <v>29.869405956682535</v>
      </c>
      <c r="E136" s="93">
        <v>-0.76940595668253309</v>
      </c>
      <c r="F136" s="44">
        <v>-0.42146384516825253</v>
      </c>
      <c r="G136" s="44"/>
      <c r="H136" s="44"/>
      <c r="I136" s="44"/>
    </row>
    <row r="137" spans="2:9">
      <c r="B137" s="45">
        <v>82</v>
      </c>
      <c r="C137" s="44">
        <v>27.6</v>
      </c>
      <c r="D137" s="63">
        <v>29.801830637041995</v>
      </c>
      <c r="E137" s="93">
        <v>-2.2018306370419936</v>
      </c>
      <c r="F137" s="44">
        <v>-1.2061149236460658</v>
      </c>
      <c r="G137" s="44"/>
      <c r="H137" s="44"/>
      <c r="I137" s="44"/>
    </row>
    <row r="138" spans="2:9">
      <c r="B138" s="45">
        <v>83</v>
      </c>
      <c r="C138" s="44">
        <v>28.3</v>
      </c>
      <c r="D138" s="63">
        <v>27.87523344365869</v>
      </c>
      <c r="E138" s="93">
        <v>0.42476655634131077</v>
      </c>
      <c r="F138" s="44">
        <v>0.23267787905670392</v>
      </c>
      <c r="G138" s="44"/>
      <c r="H138" s="44"/>
      <c r="I138" s="44"/>
    </row>
    <row r="139" spans="2:9">
      <c r="B139" s="45">
        <v>84</v>
      </c>
      <c r="C139" s="44">
        <v>25.8</v>
      </c>
      <c r="D139" s="63">
        <v>28.033685297521103</v>
      </c>
      <c r="E139" s="93">
        <v>-2.2336852975211023</v>
      </c>
      <c r="F139" s="44">
        <v>-1.2235642136800835</v>
      </c>
      <c r="G139" s="44"/>
      <c r="H139" s="44"/>
      <c r="I139" s="44"/>
    </row>
    <row r="140" spans="2:9">
      <c r="B140" s="45">
        <v>85</v>
      </c>
      <c r="C140" s="44">
        <v>25.3</v>
      </c>
      <c r="D140" s="63">
        <v>24.805632472435935</v>
      </c>
      <c r="E140" s="93">
        <v>0.49436752756406577</v>
      </c>
      <c r="F140" s="44">
        <v>0.27080377697081498</v>
      </c>
      <c r="G140" s="44"/>
      <c r="H140" s="44"/>
      <c r="I140" s="44"/>
    </row>
    <row r="141" spans="2:9">
      <c r="B141" s="45">
        <v>86</v>
      </c>
      <c r="C141" s="44">
        <v>25.6</v>
      </c>
      <c r="D141" s="63">
        <v>23.378632140644338</v>
      </c>
      <c r="E141" s="93">
        <v>2.2213678593556629</v>
      </c>
      <c r="F141" s="44">
        <v>1.216816989010532</v>
      </c>
      <c r="G141" s="44"/>
      <c r="H141" s="44"/>
      <c r="I141" s="44"/>
    </row>
    <row r="142" spans="2:9">
      <c r="B142" s="45">
        <v>87</v>
      </c>
      <c r="C142" s="44">
        <v>24.1</v>
      </c>
      <c r="D142" s="63">
        <v>25.738064903175296</v>
      </c>
      <c r="E142" s="93">
        <v>-1.6380649031752945</v>
      </c>
      <c r="F142" s="44">
        <v>-0.8972963189733697</v>
      </c>
      <c r="G142" s="44"/>
      <c r="H142" s="44"/>
      <c r="I142" s="44"/>
    </row>
    <row r="143" spans="2:9">
      <c r="B143" s="45">
        <v>88</v>
      </c>
      <c r="C143" s="44">
        <v>25.8</v>
      </c>
      <c r="D143" s="63">
        <v>25.611728352037943</v>
      </c>
      <c r="E143" s="93">
        <v>0.18827164796205764</v>
      </c>
      <c r="F143" s="44">
        <v>0.10313111303217155</v>
      </c>
      <c r="G143" s="44"/>
      <c r="H143" s="44"/>
      <c r="I143" s="44"/>
    </row>
    <row r="144" spans="2:9">
      <c r="B144" s="45">
        <v>89</v>
      </c>
      <c r="C144" s="44">
        <v>26.2</v>
      </c>
      <c r="D144" s="63">
        <v>26.370445568185058</v>
      </c>
      <c r="E144" s="93">
        <v>-0.17044556818505896</v>
      </c>
      <c r="F144" s="44">
        <v>-9.3366374324553414E-2</v>
      </c>
      <c r="G144" s="44"/>
      <c r="H144" s="44"/>
      <c r="I144" s="44"/>
    </row>
    <row r="145" spans="2:9">
      <c r="B145" s="45">
        <v>90</v>
      </c>
      <c r="C145" s="44">
        <v>26.6</v>
      </c>
      <c r="D145" s="63">
        <v>28.056561235164146</v>
      </c>
      <c r="E145" s="93">
        <v>-1.4565612351641448</v>
      </c>
      <c r="F145" s="44">
        <v>-0.79787255812551228</v>
      </c>
      <c r="G145" s="44"/>
      <c r="H145" s="44"/>
      <c r="I145" s="44"/>
    </row>
    <row r="146" spans="2:9">
      <c r="B146" s="45">
        <v>91</v>
      </c>
      <c r="C146" s="44">
        <v>26</v>
      </c>
      <c r="D146" s="63">
        <v>24.803805357740519</v>
      </c>
      <c r="E146" s="93">
        <v>1.1961946422594814</v>
      </c>
      <c r="F146" s="44">
        <v>0.65524940263019471</v>
      </c>
      <c r="G146" s="44"/>
      <c r="H146" s="44"/>
      <c r="I146" s="44"/>
    </row>
    <row r="147" spans="2:9">
      <c r="B147" s="45">
        <v>92</v>
      </c>
      <c r="C147" s="44">
        <v>26.6</v>
      </c>
      <c r="D147" s="63">
        <v>26.568567300084002</v>
      </c>
      <c r="E147" s="93">
        <v>3.1432699915999507E-2</v>
      </c>
      <c r="F147" s="44">
        <v>1.7218149217011005E-2</v>
      </c>
      <c r="G147" s="44"/>
      <c r="H147" s="44"/>
      <c r="I147" s="44"/>
    </row>
    <row r="148" spans="2:9">
      <c r="B148" s="45">
        <v>93</v>
      </c>
      <c r="C148" s="44">
        <v>25.3</v>
      </c>
      <c r="D148" s="63">
        <v>25.621275237776679</v>
      </c>
      <c r="E148" s="93">
        <v>-0.32127523777667832</v>
      </c>
      <c r="F148" s="44">
        <v>-0.17598758613013143</v>
      </c>
      <c r="G148" s="44"/>
      <c r="H148" s="44"/>
      <c r="I148" s="44"/>
    </row>
    <row r="149" spans="2:9">
      <c r="B149" s="45">
        <v>94</v>
      </c>
      <c r="C149" s="44">
        <v>24.9</v>
      </c>
      <c r="D149" s="63">
        <v>24.144768223377909</v>
      </c>
      <c r="E149" s="93">
        <v>0.75523177662208951</v>
      </c>
      <c r="F149" s="44">
        <v>0.41369953768077278</v>
      </c>
      <c r="G149" s="44"/>
      <c r="H149" s="44"/>
      <c r="I149" s="44"/>
    </row>
    <row r="150" spans="2:9">
      <c r="B150" s="45">
        <v>95</v>
      </c>
      <c r="C150" s="44">
        <v>24.8</v>
      </c>
      <c r="D150" s="63">
        <v>25.224242169715868</v>
      </c>
      <c r="E150" s="93">
        <v>-0.42424216971586759</v>
      </c>
      <c r="F150" s="44">
        <v>-0.23239063147095995</v>
      </c>
      <c r="G150" s="44"/>
      <c r="H150" s="44"/>
      <c r="I150" s="44"/>
    </row>
    <row r="151" spans="2:9">
      <c r="B151" s="45">
        <v>96</v>
      </c>
      <c r="C151" s="44">
        <v>22.9</v>
      </c>
      <c r="D151" s="63">
        <v>23.508394918849277</v>
      </c>
      <c r="E151" s="93">
        <v>-0.6083949188492781</v>
      </c>
      <c r="F151" s="44">
        <v>-0.33326550132863669</v>
      </c>
      <c r="G151" s="44"/>
      <c r="H151" s="44"/>
      <c r="I151" s="44"/>
    </row>
    <row r="152" spans="2:9">
      <c r="B152" s="45">
        <v>97</v>
      </c>
      <c r="C152" s="44">
        <v>23.2</v>
      </c>
      <c r="D152" s="63">
        <v>22.006066000034838</v>
      </c>
      <c r="E152" s="93">
        <v>1.1939339999651608</v>
      </c>
      <c r="F152" s="44">
        <v>0.654011071960099</v>
      </c>
      <c r="G152" s="44"/>
      <c r="H152" s="44"/>
      <c r="I152" s="44"/>
    </row>
    <row r="153" spans="2:9">
      <c r="B153" s="45">
        <v>98</v>
      </c>
      <c r="C153" s="44">
        <v>20.8</v>
      </c>
      <c r="D153" s="63">
        <v>22.413934532826705</v>
      </c>
      <c r="E153" s="93">
        <v>-1.6139345328267041</v>
      </c>
      <c r="F153" s="44">
        <v>-0.88407822703618022</v>
      </c>
      <c r="G153" s="44"/>
      <c r="H153" s="44"/>
      <c r="I153" s="44"/>
    </row>
    <row r="154" spans="2:9">
      <c r="B154" s="45">
        <v>99</v>
      </c>
      <c r="C154" s="44">
        <v>20.7</v>
      </c>
      <c r="D154" s="63">
        <v>21.002139219018911</v>
      </c>
      <c r="E154" s="93">
        <v>-0.30213921901891183</v>
      </c>
      <c r="F154" s="44">
        <v>-0.16550529134567885</v>
      </c>
      <c r="G154" s="44"/>
      <c r="H154" s="44"/>
      <c r="I154" s="44"/>
    </row>
    <row r="155" spans="2:9">
      <c r="B155" s="45">
        <v>100</v>
      </c>
      <c r="C155" s="44">
        <v>22.4</v>
      </c>
      <c r="D155" s="63">
        <v>21.72941024545791</v>
      </c>
      <c r="E155" s="93">
        <v>0.67058975454208891</v>
      </c>
      <c r="F155" s="44">
        <v>0.36733447931487745</v>
      </c>
      <c r="G155" s="44"/>
      <c r="H155" s="44"/>
      <c r="I155" s="44"/>
    </row>
    <row r="156" spans="2:9">
      <c r="B156" s="45">
        <v>101</v>
      </c>
      <c r="C156" s="44">
        <v>23</v>
      </c>
      <c r="D156" s="63">
        <v>23.15231501464303</v>
      </c>
      <c r="E156" s="93">
        <v>-0.15231501464302966</v>
      </c>
      <c r="F156" s="44">
        <v>-8.3434851512070848E-2</v>
      </c>
      <c r="G156" s="44"/>
      <c r="H156" s="44"/>
      <c r="I156" s="44"/>
    </row>
    <row r="157" spans="2:9">
      <c r="B157" s="45">
        <v>102</v>
      </c>
      <c r="C157" s="44">
        <v>23.4</v>
      </c>
      <c r="D157" s="63">
        <v>23.717106361664168</v>
      </c>
      <c r="E157" s="93">
        <v>-0.31710636166416961</v>
      </c>
      <c r="F157" s="44">
        <v>-0.17370396648675898</v>
      </c>
      <c r="G157" s="44"/>
      <c r="H157" s="44"/>
      <c r="I157" s="44"/>
    </row>
    <row r="158" spans="2:9">
      <c r="B158" s="45">
        <v>103</v>
      </c>
      <c r="C158" s="44">
        <v>23.1</v>
      </c>
      <c r="D158" s="63">
        <v>22.535662192144493</v>
      </c>
      <c r="E158" s="93">
        <v>0.5643378078555088</v>
      </c>
      <c r="F158" s="44">
        <v>0.30913197435868617</v>
      </c>
      <c r="G158" s="44"/>
      <c r="H158" s="44"/>
      <c r="I158" s="44"/>
    </row>
    <row r="159" spans="2:9">
      <c r="B159" s="45">
        <v>104</v>
      </c>
      <c r="C159" s="44">
        <v>22.6</v>
      </c>
      <c r="D159" s="63">
        <v>23.73900107369149</v>
      </c>
      <c r="E159" s="93">
        <v>-1.1390010736914888</v>
      </c>
      <c r="F159" s="44">
        <v>-0.62392000997577013</v>
      </c>
      <c r="G159" s="44"/>
      <c r="H159" s="44"/>
      <c r="I159" s="44"/>
    </row>
    <row r="160" spans="2:9">
      <c r="B160" s="45">
        <v>105</v>
      </c>
      <c r="C160" s="44">
        <v>21.6</v>
      </c>
      <c r="D160" s="63">
        <v>21.990148393148505</v>
      </c>
      <c r="E160" s="93">
        <v>-0.39014839314850391</v>
      </c>
      <c r="F160" s="44">
        <v>-0.2137148023542414</v>
      </c>
      <c r="G160" s="44"/>
      <c r="H160" s="44"/>
      <c r="I160" s="44"/>
    </row>
    <row r="161" spans="2:9">
      <c r="B161" s="45">
        <v>106</v>
      </c>
      <c r="C161" s="44">
        <v>21.1</v>
      </c>
      <c r="D161" s="63">
        <v>20.762104379763425</v>
      </c>
      <c r="E161" s="93">
        <v>0.33789562023657638</v>
      </c>
      <c r="F161" s="44">
        <v>0.18509187007656561</v>
      </c>
      <c r="G161" s="44"/>
      <c r="H161" s="44"/>
      <c r="I161" s="44"/>
    </row>
    <row r="162" spans="2:9">
      <c r="B162" s="45">
        <v>107</v>
      </c>
      <c r="C162" s="44">
        <v>21.3</v>
      </c>
      <c r="D162" s="63">
        <v>21.219351670483793</v>
      </c>
      <c r="E162" s="93">
        <v>8.064832951620815E-2</v>
      </c>
      <c r="F162" s="44">
        <v>4.41774004595109E-2</v>
      </c>
      <c r="G162" s="44"/>
      <c r="H162" s="44"/>
      <c r="I162" s="44"/>
    </row>
    <row r="163" spans="2:9">
      <c r="B163" s="45">
        <v>108</v>
      </c>
      <c r="C163" s="44">
        <v>20.3</v>
      </c>
      <c r="D163" s="63">
        <v>19.294186259004345</v>
      </c>
      <c r="E163" s="93">
        <v>1.0058137409956558</v>
      </c>
      <c r="F163" s="44">
        <v>0.55096288652468339</v>
      </c>
      <c r="G163" s="44"/>
      <c r="H163" s="44"/>
      <c r="I163" s="44"/>
    </row>
    <row r="164" spans="2:9">
      <c r="B164" s="45">
        <v>109</v>
      </c>
      <c r="C164" s="44">
        <v>19.7</v>
      </c>
      <c r="D164" s="63">
        <v>19.922310257337145</v>
      </c>
      <c r="E164" s="93">
        <v>-0.2223102573371456</v>
      </c>
      <c r="F164" s="44">
        <v>-0.12177672276108617</v>
      </c>
      <c r="G164" s="44"/>
      <c r="H164" s="44"/>
      <c r="I164" s="44"/>
    </row>
    <row r="165" spans="2:9">
      <c r="B165" s="45">
        <v>110</v>
      </c>
      <c r="C165" s="44">
        <v>18.5</v>
      </c>
      <c r="D165" s="63">
        <v>18.515187703260512</v>
      </c>
      <c r="E165" s="93">
        <v>-1.5187703260512109E-2</v>
      </c>
      <c r="F165" s="44">
        <v>-8.3194934479705399E-3</v>
      </c>
      <c r="G165" s="44"/>
      <c r="H165" s="44"/>
      <c r="I165" s="44"/>
    </row>
    <row r="166" spans="2:9">
      <c r="B166" s="45">
        <v>111</v>
      </c>
      <c r="C166" s="44">
        <v>17.899999999999999</v>
      </c>
      <c r="D166" s="63">
        <v>17.880569684714935</v>
      </c>
      <c r="E166" s="93">
        <v>1.9430315285063671E-2</v>
      </c>
      <c r="F166" s="44">
        <v>1.064350401988552E-2</v>
      </c>
      <c r="G166" s="44"/>
      <c r="H166" s="44"/>
      <c r="I166" s="44"/>
    </row>
    <row r="167" spans="2:9">
      <c r="B167" s="45">
        <v>112</v>
      </c>
      <c r="C167" s="44">
        <v>19.899999999999999</v>
      </c>
      <c r="D167" s="63">
        <v>19.755501064350522</v>
      </c>
      <c r="E167" s="93">
        <v>0.14449893564947658</v>
      </c>
      <c r="F167" s="44">
        <v>7.9153373472876376E-2</v>
      </c>
      <c r="G167" s="44"/>
      <c r="H167" s="44"/>
      <c r="I167" s="44"/>
    </row>
    <row r="168" spans="2:9">
      <c r="B168" s="45">
        <v>113</v>
      </c>
      <c r="C168" s="44">
        <v>20.6</v>
      </c>
      <c r="D168" s="63">
        <v>20.390351021696656</v>
      </c>
      <c r="E168" s="93">
        <v>0.2096489783033455</v>
      </c>
      <c r="F168" s="44">
        <v>0.11484114954387051</v>
      </c>
      <c r="G168" s="44"/>
      <c r="H168" s="44"/>
      <c r="I168" s="44"/>
    </row>
    <row r="169" spans="2:9">
      <c r="B169" s="45">
        <v>114</v>
      </c>
      <c r="C169" s="44">
        <v>20.9</v>
      </c>
      <c r="D169" s="63">
        <v>21.021110825606257</v>
      </c>
      <c r="E169" s="93">
        <v>-0.12111082560625874</v>
      </c>
      <c r="F169" s="44">
        <v>-6.6341875583602758E-2</v>
      </c>
      <c r="G169" s="44"/>
      <c r="H169" s="44"/>
      <c r="I169" s="44"/>
    </row>
    <row r="170" spans="2:9">
      <c r="B170" s="45">
        <v>115</v>
      </c>
      <c r="C170" s="44">
        <v>20.3</v>
      </c>
      <c r="D170" s="63">
        <v>20.668783999835114</v>
      </c>
      <c r="E170" s="93">
        <v>-0.36878399983511301</v>
      </c>
      <c r="F170" s="44">
        <v>-0.20201185246498815</v>
      </c>
      <c r="G170" s="44"/>
      <c r="H170" s="44"/>
      <c r="I170" s="44"/>
    </row>
    <row r="171" spans="2:9">
      <c r="B171" s="45">
        <v>116</v>
      </c>
      <c r="C171" s="44">
        <v>21.2</v>
      </c>
      <c r="D171" s="63">
        <v>20.324914017697182</v>
      </c>
      <c r="E171" s="93">
        <v>0.8750859823028172</v>
      </c>
      <c r="F171" s="44">
        <v>0.47935306420608004</v>
      </c>
      <c r="G171" s="44"/>
      <c r="H171" s="44"/>
      <c r="I171" s="44"/>
    </row>
    <row r="172" spans="2:9">
      <c r="B172" s="45">
        <v>117</v>
      </c>
      <c r="C172" s="44">
        <v>19.8</v>
      </c>
      <c r="D172" s="63">
        <v>19.654519594642487</v>
      </c>
      <c r="E172" s="93">
        <v>0.14548040535751383</v>
      </c>
      <c r="F172" s="44">
        <v>7.9691001227734301E-2</v>
      </c>
      <c r="G172" s="44"/>
      <c r="H172" s="44"/>
      <c r="I172" s="44"/>
    </row>
    <row r="173" spans="2:9">
      <c r="B173" s="45">
        <v>118</v>
      </c>
      <c r="C173" s="44">
        <v>19.8</v>
      </c>
      <c r="D173" s="63">
        <v>19.593258455144376</v>
      </c>
      <c r="E173" s="93">
        <v>0.20674154485562468</v>
      </c>
      <c r="F173" s="44">
        <v>0.11324852075044305</v>
      </c>
      <c r="G173" s="44"/>
      <c r="H173" s="44"/>
      <c r="I173" s="44"/>
    </row>
    <row r="174" spans="2:9">
      <c r="B174" s="45">
        <v>119</v>
      </c>
      <c r="C174" s="44">
        <v>19.7</v>
      </c>
      <c r="D174" s="63">
        <v>19.773279187846029</v>
      </c>
      <c r="E174" s="93">
        <v>-7.3279187846029714E-2</v>
      </c>
      <c r="F174" s="44">
        <v>-4.0140744963244053E-2</v>
      </c>
      <c r="G174" s="44"/>
      <c r="H174" s="44"/>
      <c r="I174" s="44"/>
    </row>
    <row r="175" spans="2:9">
      <c r="B175" s="45">
        <v>120</v>
      </c>
      <c r="C175" s="44">
        <v>19.399999999999999</v>
      </c>
      <c r="D175" s="63">
        <v>18.658219028799913</v>
      </c>
      <c r="E175" s="93">
        <v>0.74178097120008601</v>
      </c>
      <c r="F175" s="44">
        <v>0.40633147908370798</v>
      </c>
      <c r="G175" s="44"/>
      <c r="H175" s="44"/>
      <c r="I175" s="44"/>
    </row>
    <row r="176" spans="2:9">
      <c r="B176" s="45">
        <v>121</v>
      </c>
      <c r="C176" s="44">
        <v>23.2</v>
      </c>
      <c r="D176" s="63">
        <v>18.663444523533798</v>
      </c>
      <c r="E176" s="93">
        <v>4.5365554764662015</v>
      </c>
      <c r="F176" s="44">
        <v>2.4850264003342684</v>
      </c>
      <c r="G176" s="44"/>
      <c r="H176" s="44"/>
      <c r="I176" s="44"/>
    </row>
    <row r="177" spans="2:9">
      <c r="B177" s="45">
        <v>122</v>
      </c>
      <c r="C177" s="44">
        <v>21.6</v>
      </c>
      <c r="D177" s="63">
        <v>19.619455333992043</v>
      </c>
      <c r="E177" s="93">
        <v>1.9805446660079582</v>
      </c>
      <c r="F177" s="44">
        <v>1.0848992826391726</v>
      </c>
      <c r="G177" s="44"/>
      <c r="H177" s="44"/>
      <c r="I177" s="44"/>
    </row>
    <row r="178" spans="2:9">
      <c r="B178" s="45">
        <v>123</v>
      </c>
      <c r="C178" s="44">
        <v>22.5</v>
      </c>
      <c r="D178" s="63">
        <v>21.274776438450793</v>
      </c>
      <c r="E178" s="93">
        <v>1.2252235615492069</v>
      </c>
      <c r="F178" s="44">
        <v>0.67115081311274283</v>
      </c>
      <c r="G178" s="44"/>
      <c r="H178" s="44"/>
      <c r="I178" s="44"/>
    </row>
    <row r="179" spans="2:9">
      <c r="B179" s="45">
        <v>124</v>
      </c>
      <c r="C179" s="44">
        <v>23.2</v>
      </c>
      <c r="D179" s="63">
        <v>23.814946986431302</v>
      </c>
      <c r="E179" s="93">
        <v>-0.61494698643130263</v>
      </c>
      <c r="F179" s="44">
        <v>-0.33685458141430297</v>
      </c>
      <c r="G179" s="44"/>
      <c r="H179" s="44"/>
      <c r="I179" s="44"/>
    </row>
    <row r="180" spans="2:9">
      <c r="B180" s="45">
        <v>125</v>
      </c>
      <c r="C180" s="44">
        <v>23.5</v>
      </c>
      <c r="D180" s="63">
        <v>24.601816343317118</v>
      </c>
      <c r="E180" s="93">
        <v>-1.1018163433171182</v>
      </c>
      <c r="F180" s="44">
        <v>-0.60355102360516755</v>
      </c>
      <c r="G180" s="44"/>
      <c r="H180" s="44"/>
      <c r="I180" s="44"/>
    </row>
    <row r="181" spans="2:9">
      <c r="B181" s="45">
        <v>126</v>
      </c>
      <c r="C181" s="44">
        <v>24.3</v>
      </c>
      <c r="D181" s="63">
        <v>24.12255201391616</v>
      </c>
      <c r="E181" s="93">
        <v>0.17744798608384116</v>
      </c>
      <c r="F181" s="44">
        <v>9.7202146516675234E-2</v>
      </c>
      <c r="G181" s="44"/>
      <c r="H181" s="44"/>
      <c r="I181" s="44"/>
    </row>
    <row r="182" spans="2:9">
      <c r="B182" s="45">
        <v>127</v>
      </c>
      <c r="C182" s="44">
        <v>23.6</v>
      </c>
      <c r="D182" s="63">
        <v>23.643287684515208</v>
      </c>
      <c r="E182" s="93">
        <v>-4.3287684515206593E-2</v>
      </c>
      <c r="F182" s="44">
        <v>-2.3712051883342754E-2</v>
      </c>
      <c r="G182" s="44"/>
      <c r="H182" s="44"/>
      <c r="I182" s="44"/>
    </row>
    <row r="183" spans="2:9">
      <c r="B183" s="45">
        <v>128</v>
      </c>
      <c r="C183" s="44">
        <v>24.4</v>
      </c>
      <c r="D183" s="63">
        <v>24.301042094099294</v>
      </c>
      <c r="E183" s="93">
        <v>9.8957905900704191E-2</v>
      </c>
      <c r="F183" s="44">
        <v>5.4206988090576766E-2</v>
      </c>
      <c r="G183" s="44"/>
      <c r="H183" s="44"/>
      <c r="I183" s="44"/>
    </row>
    <row r="184" spans="2:9">
      <c r="B184" s="45">
        <v>129</v>
      </c>
      <c r="C184" s="44">
        <v>23.5</v>
      </c>
      <c r="D184" s="63">
        <v>23.062072334546659</v>
      </c>
      <c r="E184" s="93">
        <v>0.43792766545334061</v>
      </c>
      <c r="F184" s="44">
        <v>0.23988724831731098</v>
      </c>
      <c r="G184" s="44"/>
      <c r="H184" s="44"/>
      <c r="I184" s="44"/>
    </row>
    <row r="185" spans="2:9">
      <c r="B185" s="45">
        <v>130</v>
      </c>
      <c r="C185" s="44">
        <v>23.4</v>
      </c>
      <c r="D185" s="63">
        <v>23.260550027113979</v>
      </c>
      <c r="E185" s="93">
        <v>0.13944997288601968</v>
      </c>
      <c r="F185" s="44">
        <v>7.6387661507800061E-2</v>
      </c>
      <c r="G185" s="44"/>
      <c r="H185" s="44"/>
      <c r="I185" s="44"/>
    </row>
    <row r="186" spans="2:9">
      <c r="B186" s="45">
        <v>131</v>
      </c>
      <c r="C186" s="44">
        <v>22.9</v>
      </c>
      <c r="D186" s="63">
        <v>23.465558599574827</v>
      </c>
      <c r="E186" s="93">
        <v>-0.56555859957482824</v>
      </c>
      <c r="F186" s="44">
        <v>-0.30980069750503714</v>
      </c>
      <c r="G186" s="44"/>
      <c r="H186" s="44"/>
      <c r="I186" s="44"/>
    </row>
    <row r="187" spans="2:9">
      <c r="B187" s="45">
        <v>132</v>
      </c>
      <c r="C187" s="44">
        <v>22.9</v>
      </c>
      <c r="D187" s="63">
        <v>22.754461135900822</v>
      </c>
      <c r="E187" s="93">
        <v>0.14553886409917638</v>
      </c>
      <c r="F187" s="44">
        <v>7.9723023654686934E-2</v>
      </c>
      <c r="G187" s="44"/>
      <c r="H187" s="44"/>
      <c r="I187" s="44"/>
    </row>
    <row r="188" spans="2:9">
      <c r="B188" s="45">
        <v>133</v>
      </c>
      <c r="C188" s="44">
        <v>23.4</v>
      </c>
      <c r="D188" s="63">
        <v>25.297764089311144</v>
      </c>
      <c r="E188" s="93">
        <v>-1.8977640893111456</v>
      </c>
      <c r="F188" s="44">
        <v>-1.0395538835597116</v>
      </c>
      <c r="G188" s="44"/>
      <c r="H188" s="44"/>
      <c r="I188" s="44"/>
    </row>
    <row r="189" spans="2:9">
      <c r="B189" s="45">
        <v>134</v>
      </c>
      <c r="C189" s="44">
        <v>22.5</v>
      </c>
      <c r="D189" s="63">
        <v>23.076810773636424</v>
      </c>
      <c r="E189" s="93">
        <v>-0.5768107736364243</v>
      </c>
      <c r="F189" s="44">
        <v>-0.31596439367259815</v>
      </c>
      <c r="G189" s="44"/>
      <c r="H189" s="44"/>
      <c r="I189" s="44"/>
    </row>
    <row r="190" spans="2:9">
      <c r="B190" s="45">
        <v>135</v>
      </c>
      <c r="C190" s="44">
        <v>21.5</v>
      </c>
      <c r="D190" s="63">
        <v>22.773818668873684</v>
      </c>
      <c r="E190" s="93">
        <v>-1.2738186688736839</v>
      </c>
      <c r="F190" s="44">
        <v>-0.69777015575163626</v>
      </c>
      <c r="G190" s="44"/>
      <c r="H190" s="44"/>
      <c r="I190" s="44"/>
    </row>
    <row r="191" spans="2:9">
      <c r="B191" s="45">
        <v>136</v>
      </c>
      <c r="C191" s="44">
        <v>23</v>
      </c>
      <c r="D191" s="63">
        <v>23.432893074289467</v>
      </c>
      <c r="E191" s="93">
        <v>-0.43289307428946699</v>
      </c>
      <c r="F191" s="44">
        <v>-0.23712940880184202</v>
      </c>
      <c r="G191" s="44"/>
      <c r="H191" s="44"/>
      <c r="I191" s="44"/>
    </row>
    <row r="192" spans="2:9">
      <c r="B192" s="45">
        <v>137</v>
      </c>
      <c r="C192" s="44">
        <v>24.1</v>
      </c>
      <c r="D192" s="63">
        <v>23.292307990903296</v>
      </c>
      <c r="E192" s="93">
        <v>0.80769200909670502</v>
      </c>
      <c r="F192" s="44">
        <v>0.44243611179374753</v>
      </c>
      <c r="G192" s="44"/>
      <c r="H192" s="44"/>
      <c r="I192" s="44"/>
    </row>
    <row r="193" spans="2:9">
      <c r="B193" s="45">
        <v>138</v>
      </c>
      <c r="C193" s="44">
        <v>24.4</v>
      </c>
      <c r="D193" s="63">
        <v>24.50547423142649</v>
      </c>
      <c r="E193" s="93">
        <v>-0.10547423142649137</v>
      </c>
      <c r="F193" s="44">
        <v>-5.7776489455380338E-2</v>
      </c>
      <c r="G193" s="44"/>
      <c r="H193" s="44"/>
      <c r="I193" s="44"/>
    </row>
    <row r="194" spans="2:9">
      <c r="B194" s="45">
        <v>139</v>
      </c>
      <c r="C194" s="44">
        <v>23.2</v>
      </c>
      <c r="D194" s="63">
        <v>24.015656828268423</v>
      </c>
      <c r="E194" s="93">
        <v>-0.81565682826842334</v>
      </c>
      <c r="F194" s="44">
        <v>-0.44679906646679968</v>
      </c>
      <c r="G194" s="44"/>
      <c r="H194" s="44"/>
      <c r="I194" s="44"/>
    </row>
    <row r="195" spans="2:9">
      <c r="B195" s="45">
        <v>140</v>
      </c>
      <c r="C195" s="44">
        <v>25</v>
      </c>
      <c r="D195" s="63">
        <v>24.403537504583774</v>
      </c>
      <c r="E195" s="93">
        <v>0.59646249541622609</v>
      </c>
      <c r="F195" s="44">
        <v>0.32672917935375373</v>
      </c>
      <c r="G195" s="44"/>
      <c r="H195" s="44"/>
      <c r="I195" s="44"/>
    </row>
    <row r="196" spans="2:9">
      <c r="B196" s="45">
        <v>141</v>
      </c>
      <c r="C196" s="44">
        <v>23</v>
      </c>
      <c r="D196" s="63">
        <v>23.558150029477154</v>
      </c>
      <c r="E196" s="93">
        <v>-0.55815002947715442</v>
      </c>
      <c r="F196" s="44">
        <v>-0.30574244397392691</v>
      </c>
      <c r="G196" s="44"/>
      <c r="H196" s="44"/>
      <c r="I196" s="44"/>
    </row>
    <row r="197" spans="2:9">
      <c r="B197" s="45">
        <v>142</v>
      </c>
      <c r="C197" s="44">
        <v>23.9</v>
      </c>
      <c r="D197" s="63">
        <v>23.525808419643397</v>
      </c>
      <c r="E197" s="93">
        <v>0.37419158035660161</v>
      </c>
      <c r="F197" s="44">
        <v>0.20497400743642921</v>
      </c>
      <c r="G197" s="44"/>
      <c r="H197" s="44"/>
      <c r="I197" s="44"/>
    </row>
    <row r="198" spans="2:9">
      <c r="B198" s="45">
        <v>143</v>
      </c>
      <c r="C198" s="44">
        <v>23.6</v>
      </c>
      <c r="D198" s="63">
        <v>23.113162774480923</v>
      </c>
      <c r="E198" s="93">
        <v>0.48683722551907849</v>
      </c>
      <c r="F198" s="44">
        <v>0.26667884132716202</v>
      </c>
      <c r="G198" s="44"/>
      <c r="H198" s="44"/>
      <c r="I198" s="44"/>
    </row>
    <row r="199" spans="2:9">
      <c r="B199" s="45">
        <v>144</v>
      </c>
      <c r="C199" s="44">
        <v>22.4</v>
      </c>
      <c r="D199" s="63">
        <v>23.572295321691193</v>
      </c>
      <c r="E199" s="93">
        <v>-1.1722953216911947</v>
      </c>
      <c r="F199" s="44">
        <v>-0.64215787473632513</v>
      </c>
      <c r="G199" s="44"/>
      <c r="H199" s="44"/>
      <c r="I199" s="44"/>
    </row>
    <row r="200" spans="2:9">
      <c r="B200" s="45">
        <v>145</v>
      </c>
      <c r="C200" s="44">
        <v>22.5</v>
      </c>
      <c r="D200" s="63">
        <v>24.461060985114052</v>
      </c>
      <c r="E200" s="93">
        <v>-1.9610609851140524</v>
      </c>
      <c r="F200" s="44">
        <v>-1.0742265460996958</v>
      </c>
      <c r="G200" s="44">
        <v>1.8255562499681999</v>
      </c>
      <c r="H200" s="44">
        <v>20.88303648342438</v>
      </c>
      <c r="I200" s="44">
        <v>28.039085486803724</v>
      </c>
    </row>
    <row r="201" spans="2:9">
      <c r="B201" s="45">
        <v>146</v>
      </c>
      <c r="C201" s="44">
        <v>22</v>
      </c>
      <c r="D201" s="63">
        <v>23.061660500465347</v>
      </c>
      <c r="E201" s="93">
        <v>-1.0616605004653472</v>
      </c>
      <c r="F201" s="44">
        <v>-0.58155452645397299</v>
      </c>
      <c r="G201" s="44">
        <v>2.0274090068311699</v>
      </c>
      <c r="H201" s="44">
        <v>19.088011865144136</v>
      </c>
      <c r="I201" s="44">
        <v>27.035309135786559</v>
      </c>
    </row>
    <row r="202" spans="2:9">
      <c r="B202" s="45">
        <v>147</v>
      </c>
      <c r="C202" s="44">
        <v>22.8</v>
      </c>
      <c r="D202" s="63">
        <v>22.77818466563696</v>
      </c>
      <c r="E202" s="93">
        <v>2.1815334363040506E-2</v>
      </c>
      <c r="F202" s="44">
        <v>1.1949965586335955E-2</v>
      </c>
      <c r="G202" s="44">
        <v>2.4467197156817444</v>
      </c>
      <c r="H202" s="44">
        <v>17.982702142636661</v>
      </c>
      <c r="I202" s="44">
        <v>27.573667188637259</v>
      </c>
    </row>
    <row r="203" spans="2:9">
      <c r="B203" s="45">
        <v>148</v>
      </c>
      <c r="C203" s="44">
        <v>20.399999999999999</v>
      </c>
      <c r="D203" s="63">
        <v>23.981951917940744</v>
      </c>
      <c r="E203" s="93">
        <v>-3.5819519179407457</v>
      </c>
      <c r="F203" s="44">
        <v>-1.9621153377241272</v>
      </c>
      <c r="G203" s="44">
        <v>2.6898562476984909</v>
      </c>
      <c r="H203" s="44">
        <v>18.709930548861653</v>
      </c>
      <c r="I203" s="44">
        <v>29.253973287019836</v>
      </c>
    </row>
    <row r="204" spans="2:9">
      <c r="B204" s="45">
        <v>149</v>
      </c>
      <c r="C204" s="44">
        <v>25.5</v>
      </c>
      <c r="D204" s="63">
        <v>24.913769740495365</v>
      </c>
      <c r="E204" s="93">
        <v>0.58623025950463514</v>
      </c>
      <c r="F204" s="44">
        <v>0.32112418311670587</v>
      </c>
      <c r="G204" s="44">
        <v>2.9652201278390389</v>
      </c>
      <c r="H204" s="44">
        <v>19.102045083697597</v>
      </c>
      <c r="I204" s="44">
        <v>30.725494397293133</v>
      </c>
    </row>
    <row r="205" spans="2:9">
      <c r="B205" s="45">
        <v>150</v>
      </c>
      <c r="C205" s="44">
        <v>21.5</v>
      </c>
      <c r="D205" s="63">
        <v>25.347747492266922</v>
      </c>
      <c r="E205" s="93">
        <v>-3.8477474922669224</v>
      </c>
      <c r="F205" s="44">
        <v>-2.1077123711383572</v>
      </c>
      <c r="G205" s="44">
        <v>3.1915698366007859</v>
      </c>
      <c r="H205" s="44">
        <v>19.092385558384997</v>
      </c>
      <c r="I205" s="44">
        <v>31.603109426148848</v>
      </c>
    </row>
    <row r="206" spans="2:9">
      <c r="B206" s="45">
        <v>151</v>
      </c>
      <c r="C206" s="44">
        <v>24.7</v>
      </c>
      <c r="D206" s="63">
        <v>24.315941071227783</v>
      </c>
      <c r="E206" s="93">
        <v>0.38405892877221603</v>
      </c>
      <c r="F206" s="44">
        <v>0.21037912624106</v>
      </c>
      <c r="G206" s="44">
        <v>3.4151351932865142</v>
      </c>
      <c r="H206" s="44">
        <v>17.62239909005098</v>
      </c>
      <c r="I206" s="44">
        <v>31.009483052404587</v>
      </c>
    </row>
    <row r="207" spans="2:9">
      <c r="B207" s="45">
        <v>152</v>
      </c>
      <c r="C207" s="44">
        <v>26.2</v>
      </c>
      <c r="D207" s="63">
        <v>25.841426586427406</v>
      </c>
      <c r="E207" s="93">
        <v>0.35857341357259287</v>
      </c>
      <c r="F207" s="44">
        <v>0.19641871543472791</v>
      </c>
      <c r="G207" s="44">
        <v>3.6189422045852981</v>
      </c>
      <c r="H207" s="44">
        <v>18.748430203308239</v>
      </c>
      <c r="I207" s="44">
        <v>32.934422969546574</v>
      </c>
    </row>
    <row r="208" spans="2:9">
      <c r="B208" s="45">
        <v>153</v>
      </c>
      <c r="C208" s="44">
        <v>21.2</v>
      </c>
      <c r="D208" s="63">
        <v>24.171084499997573</v>
      </c>
      <c r="E208" s="93">
        <v>-2.9710844999975734</v>
      </c>
      <c r="F208" s="44">
        <v>-1.6274954551793888</v>
      </c>
      <c r="G208" s="44">
        <v>3.8148013028487493</v>
      </c>
      <c r="H208" s="44">
        <v>16.694211338237551</v>
      </c>
      <c r="I208" s="44">
        <v>31.647957661757594</v>
      </c>
    </row>
    <row r="209" spans="2:9">
      <c r="B209" s="45">
        <v>154</v>
      </c>
      <c r="C209" s="44">
        <v>23.7</v>
      </c>
      <c r="D209" s="63">
        <v>24.800986657630251</v>
      </c>
      <c r="E209" s="93">
        <v>-1.1009866576302514</v>
      </c>
      <c r="F209" s="44">
        <v>-0.60309653983514888</v>
      </c>
      <c r="G209" s="44">
        <v>3.9996361246902139</v>
      </c>
      <c r="H209" s="44">
        <v>16.961843901972081</v>
      </c>
      <c r="I209" s="44">
        <v>32.64012941328842</v>
      </c>
    </row>
    <row r="210" spans="2:9">
      <c r="B210" s="45">
        <v>155</v>
      </c>
      <c r="C210" s="44">
        <v>23.5</v>
      </c>
      <c r="D210" s="63">
        <v>24.460009780618623</v>
      </c>
      <c r="E210" s="93">
        <v>-0.96000978061862341</v>
      </c>
      <c r="F210" s="44">
        <v>-0.5258724734640996</v>
      </c>
      <c r="G210" s="44">
        <v>4.1770147959678026</v>
      </c>
      <c r="H210" s="44">
        <v>16.273211217630809</v>
      </c>
      <c r="I210" s="44">
        <v>32.646808343606438</v>
      </c>
    </row>
    <row r="211" spans="2:9" ht="16" thickBot="1">
      <c r="B211" s="42">
        <v>156</v>
      </c>
      <c r="C211" s="41">
        <v>22.4</v>
      </c>
      <c r="D211" s="99">
        <v>23.614456577551493</v>
      </c>
      <c r="E211" s="94">
        <v>-1.2144565775514948</v>
      </c>
      <c r="F211" s="41">
        <v>-0.66525289350719807</v>
      </c>
      <c r="G211" s="41">
        <v>4.3468059124539691</v>
      </c>
      <c r="H211" s="41">
        <v>15.094873541355948</v>
      </c>
      <c r="I211" s="41">
        <v>32.134039613747035</v>
      </c>
    </row>
    <row r="230" spans="2:10">
      <c r="G230" t="s">
        <v>208</v>
      </c>
    </row>
    <row r="233" spans="2:10">
      <c r="B233" t="s">
        <v>260</v>
      </c>
    </row>
    <row r="234" spans="2:10" ht="16" thickBot="1"/>
    <row r="235" spans="2:10">
      <c r="B235" s="49" t="s">
        <v>210</v>
      </c>
      <c r="C235" s="49" t="s">
        <v>211</v>
      </c>
      <c r="D235" s="49" t="s">
        <v>212</v>
      </c>
      <c r="E235" s="49" t="s">
        <v>192</v>
      </c>
      <c r="F235" s="49" t="s">
        <v>193</v>
      </c>
      <c r="G235" s="49" t="s">
        <v>213</v>
      </c>
      <c r="H235" s="49" t="s">
        <v>212</v>
      </c>
      <c r="I235" s="49" t="s">
        <v>192</v>
      </c>
      <c r="J235" s="49" t="s">
        <v>193</v>
      </c>
    </row>
    <row r="236" spans="2:10">
      <c r="B236" s="47">
        <v>0</v>
      </c>
      <c r="C236" s="46">
        <v>1</v>
      </c>
      <c r="D236" s="46">
        <v>0</v>
      </c>
      <c r="E236" s="46"/>
      <c r="F236" s="46"/>
      <c r="G236" s="46">
        <v>1</v>
      </c>
      <c r="H236" s="46">
        <v>0</v>
      </c>
      <c r="I236" s="46"/>
      <c r="J236" s="46"/>
    </row>
    <row r="237" spans="2:10">
      <c r="B237" s="45">
        <v>1</v>
      </c>
      <c r="C237" s="44">
        <v>0.9582727848457645</v>
      </c>
      <c r="D237" s="44">
        <v>8.0064076902543566E-2</v>
      </c>
      <c r="E237" s="44">
        <v>-0.15692270718443055</v>
      </c>
      <c r="F237" s="44">
        <v>0.15692270718443055</v>
      </c>
      <c r="G237" s="44">
        <v>0.9582727848457645</v>
      </c>
      <c r="H237" s="44">
        <v>8.0064076902543566E-2</v>
      </c>
      <c r="I237" s="44">
        <v>-0.15692270718443055</v>
      </c>
      <c r="J237" s="44">
        <v>0.15692270718443055</v>
      </c>
    </row>
    <row r="238" spans="2:10">
      <c r="B238" s="45">
        <v>2</v>
      </c>
      <c r="C238" s="44">
        <v>0.94077604242618829</v>
      </c>
      <c r="D238" s="44">
        <v>0.13484495988870085</v>
      </c>
      <c r="E238" s="44">
        <v>-0.26429126487860183</v>
      </c>
      <c r="F238" s="44">
        <v>0.26429126487860183</v>
      </c>
      <c r="G238" s="44">
        <v>0.27522227783304026</v>
      </c>
      <c r="H238" s="44">
        <v>8.0064076902543566E-2</v>
      </c>
      <c r="I238" s="44">
        <v>-0.15692270718443055</v>
      </c>
      <c r="J238" s="44">
        <v>0.15692270718443055</v>
      </c>
    </row>
    <row r="239" spans="2:10">
      <c r="B239" s="45">
        <v>3</v>
      </c>
      <c r="C239" s="44">
        <v>0.91855056953419079</v>
      </c>
      <c r="D239" s="44">
        <v>0.17184318627447323</v>
      </c>
      <c r="E239" s="44">
        <v>-0.33680645608657522</v>
      </c>
      <c r="F239" s="44">
        <v>0.33680645608657522</v>
      </c>
      <c r="G239" s="44">
        <v>1.8681314977779185E-2</v>
      </c>
      <c r="H239" s="44">
        <v>8.0064076902543566E-2</v>
      </c>
      <c r="I239" s="44">
        <v>-0.15692270718443055</v>
      </c>
      <c r="J239" s="44">
        <v>0.15692270718443055</v>
      </c>
    </row>
    <row r="240" spans="2:10">
      <c r="B240" s="45">
        <v>4</v>
      </c>
      <c r="C240" s="44">
        <v>0.8878045436182862</v>
      </c>
      <c r="D240" s="44">
        <v>0.20086611949545682</v>
      </c>
      <c r="E240" s="44">
        <v>-0.39369035992541412</v>
      </c>
      <c r="F240" s="44">
        <v>0.39369035992541412</v>
      </c>
      <c r="G240" s="44">
        <v>-0.13319592097576061</v>
      </c>
      <c r="H240" s="44">
        <v>8.0064076902543566E-2</v>
      </c>
      <c r="I240" s="44">
        <v>-0.15692270718443055</v>
      </c>
      <c r="J240" s="44">
        <v>0.15692270718443055</v>
      </c>
    </row>
    <row r="241" spans="2:10">
      <c r="B241" s="45">
        <v>5</v>
      </c>
      <c r="C241" s="44">
        <v>0.86674574296078621</v>
      </c>
      <c r="D241" s="44">
        <v>0.22461586435740824</v>
      </c>
      <c r="E241" s="44">
        <v>-0.44023900449685405</v>
      </c>
      <c r="F241" s="44">
        <v>0.44023900449685405</v>
      </c>
      <c r="G241" s="44">
        <v>4.307451325376202E-2</v>
      </c>
      <c r="H241" s="44">
        <v>8.0064076902543566E-2</v>
      </c>
      <c r="I241" s="44">
        <v>-0.15692270718443055</v>
      </c>
      <c r="J241" s="44">
        <v>0.15692270718443055</v>
      </c>
    </row>
    <row r="242" spans="2:10">
      <c r="B242" s="45">
        <v>6</v>
      </c>
      <c r="C242" s="44">
        <v>0.84240096697095035</v>
      </c>
      <c r="D242" s="44">
        <v>0.24511971255246509</v>
      </c>
      <c r="E242" s="44">
        <v>-0.48042580850364208</v>
      </c>
      <c r="F242" s="44">
        <v>0.48042580850364208</v>
      </c>
      <c r="G242" s="44">
        <v>6.1321174927925588E-3</v>
      </c>
      <c r="H242" s="44">
        <v>8.0064076902543566E-2</v>
      </c>
      <c r="I242" s="44">
        <v>-0.15692270718443055</v>
      </c>
      <c r="J242" s="44">
        <v>0.15692270718443055</v>
      </c>
    </row>
    <row r="243" spans="2:10">
      <c r="B243" s="45">
        <v>7</v>
      </c>
      <c r="C243" s="44">
        <v>0.82178437406869476</v>
      </c>
      <c r="D243" s="44">
        <v>0.26302398059566284</v>
      </c>
      <c r="E243" s="44">
        <v>-0.51551752903786108</v>
      </c>
      <c r="F243" s="44">
        <v>0.51551752903786108</v>
      </c>
      <c r="G243" s="44">
        <v>3.7789757452864371E-2</v>
      </c>
      <c r="H243" s="44">
        <v>8.0064076902543566E-2</v>
      </c>
      <c r="I243" s="44">
        <v>-0.15692270718443055</v>
      </c>
      <c r="J243" s="44">
        <v>0.15692270718443055</v>
      </c>
    </row>
    <row r="244" spans="2:10">
      <c r="B244" s="45">
        <v>8</v>
      </c>
      <c r="C244" s="44">
        <v>0.80466796449893851</v>
      </c>
      <c r="D244" s="44">
        <v>0.2789976444666144</v>
      </c>
      <c r="E244" s="44">
        <v>-0.54682533492607477</v>
      </c>
      <c r="F244" s="44">
        <v>0.54682533492607477</v>
      </c>
      <c r="G244" s="44">
        <v>4.3279093950655496E-2</v>
      </c>
      <c r="H244" s="44">
        <v>8.0064076902543566E-2</v>
      </c>
      <c r="I244" s="44">
        <v>-0.15692270718443055</v>
      </c>
      <c r="J244" s="44">
        <v>0.15692270718443055</v>
      </c>
    </row>
    <row r="245" spans="2:10">
      <c r="B245" s="45">
        <v>9</v>
      </c>
      <c r="C245" s="44">
        <v>0.79223216379824668</v>
      </c>
      <c r="D245" s="44">
        <v>0.29349760867607</v>
      </c>
      <c r="E245" s="44">
        <v>-0.57524474255372759</v>
      </c>
      <c r="F245" s="44">
        <v>0.57524474255372759</v>
      </c>
      <c r="G245" s="44">
        <v>8.8396447691656277E-2</v>
      </c>
      <c r="H245" s="44">
        <v>8.0064076902543566E-2</v>
      </c>
      <c r="I245" s="44">
        <v>-0.15692270718443055</v>
      </c>
      <c r="J245" s="44">
        <v>0.15692270718443055</v>
      </c>
    </row>
    <row r="246" spans="2:10">
      <c r="B246" s="45">
        <v>10</v>
      </c>
      <c r="C246" s="44">
        <v>0.77454311013933386</v>
      </c>
      <c r="D246" s="44">
        <v>0.30689967066522483</v>
      </c>
      <c r="E246" s="44">
        <v>-0.60151230137104428</v>
      </c>
      <c r="F246" s="44">
        <v>0.60151230137104428</v>
      </c>
      <c r="G246" s="44">
        <v>-4.6852975040952531E-2</v>
      </c>
      <c r="H246" s="44">
        <v>8.0064076902543566E-2</v>
      </c>
      <c r="I246" s="44">
        <v>-0.15692270718443055</v>
      </c>
      <c r="J246" s="44">
        <v>0.15692270718443055</v>
      </c>
    </row>
    <row r="247" spans="2:10">
      <c r="B247" s="45">
        <v>11</v>
      </c>
      <c r="C247" s="44">
        <v>0.75953196837779324</v>
      </c>
      <c r="D247" s="44">
        <v>0.31918435397417999</v>
      </c>
      <c r="E247" s="44">
        <v>-0.62558983821807668</v>
      </c>
      <c r="F247" s="44">
        <v>0.62558983821807668</v>
      </c>
      <c r="G247" s="44">
        <v>-1.5644252198243443E-2</v>
      </c>
      <c r="H247" s="44">
        <v>8.0064076902543566E-2</v>
      </c>
      <c r="I247" s="44">
        <v>-0.15692270718443055</v>
      </c>
      <c r="J247" s="44">
        <v>0.15692270718443055</v>
      </c>
    </row>
    <row r="248" spans="2:10">
      <c r="B248" s="45">
        <v>12</v>
      </c>
      <c r="C248" s="44">
        <v>0.75188158619296841</v>
      </c>
      <c r="D248" s="44">
        <v>0.33056718261072848</v>
      </c>
      <c r="E248" s="44">
        <v>-0.64789977238790297</v>
      </c>
      <c r="F248" s="44">
        <v>0.64789977238790297</v>
      </c>
      <c r="G248" s="44">
        <v>9.7448898943108764E-2</v>
      </c>
      <c r="H248" s="44">
        <v>8.0064076902543566E-2</v>
      </c>
      <c r="I248" s="44">
        <v>-0.15692270718443055</v>
      </c>
      <c r="J248" s="44">
        <v>0.15692270718443055</v>
      </c>
    </row>
    <row r="249" spans="2:10">
      <c r="B249" s="45">
        <v>13</v>
      </c>
      <c r="C249" s="44">
        <v>0.7260540299205237</v>
      </c>
      <c r="D249" s="44">
        <v>0.34135381998728731</v>
      </c>
      <c r="E249" s="44">
        <v>-0.66904119316025179</v>
      </c>
      <c r="F249" s="44">
        <v>0.66904119316025179</v>
      </c>
      <c r="G249" s="44">
        <v>-0.16844218769024802</v>
      </c>
      <c r="H249" s="44">
        <v>8.0064076902543566E-2</v>
      </c>
      <c r="I249" s="44">
        <v>-0.15692270718443055</v>
      </c>
      <c r="J249" s="44">
        <v>0.15692270718443055</v>
      </c>
    </row>
    <row r="250" spans="2:10">
      <c r="B250" s="45">
        <v>14</v>
      </c>
      <c r="C250" s="44">
        <v>0.71296536821662027</v>
      </c>
      <c r="D250" s="44">
        <v>0.35111368651830605</v>
      </c>
      <c r="E250" s="44">
        <v>-0.68817018005496644</v>
      </c>
      <c r="F250" s="44">
        <v>0.68817018005496644</v>
      </c>
      <c r="G250" s="44">
        <v>2.9703408512951439E-2</v>
      </c>
      <c r="H250" s="44">
        <v>8.0064076902543566E-2</v>
      </c>
      <c r="I250" s="44">
        <v>-0.15692270718443055</v>
      </c>
      <c r="J250" s="44">
        <v>0.15692270718443055</v>
      </c>
    </row>
    <row r="251" spans="2:10">
      <c r="B251" s="45">
        <v>15</v>
      </c>
      <c r="C251" s="44">
        <v>0.69010359468140536</v>
      </c>
      <c r="D251" s="44">
        <v>0.36027453284663802</v>
      </c>
      <c r="E251" s="44">
        <v>-0.70612510892640312</v>
      </c>
      <c r="F251" s="44">
        <v>0.70612510892640312</v>
      </c>
      <c r="G251" s="44">
        <v>-7.4191701032560634E-2</v>
      </c>
      <c r="H251" s="44">
        <v>8.0064076902543566E-2</v>
      </c>
      <c r="I251" s="44">
        <v>-0.15692270718443055</v>
      </c>
      <c r="J251" s="44">
        <v>0.15692270718443055</v>
      </c>
    </row>
    <row r="252" spans="2:10">
      <c r="B252" s="45">
        <v>16</v>
      </c>
      <c r="C252" s="44">
        <v>0.66627713317864246</v>
      </c>
      <c r="D252" s="44">
        <v>0.36865080786331672</v>
      </c>
      <c r="E252" s="44">
        <v>-0.72254230628369598</v>
      </c>
      <c r="F252" s="44">
        <v>0.72254230628369598</v>
      </c>
      <c r="G252" s="44">
        <v>-2.6784052749701713E-2</v>
      </c>
      <c r="H252" s="44">
        <v>8.0064076902543566E-2</v>
      </c>
      <c r="I252" s="44">
        <v>-0.15692270718443055</v>
      </c>
      <c r="J252" s="44">
        <v>0.15692270718443055</v>
      </c>
    </row>
    <row r="253" spans="2:10">
      <c r="B253" s="45">
        <v>17</v>
      </c>
      <c r="C253" s="44">
        <v>0.64841884853443954</v>
      </c>
      <c r="D253" s="44">
        <v>0.37629080122893843</v>
      </c>
      <c r="E253" s="44">
        <v>-0.73751641812243951</v>
      </c>
      <c r="F253" s="44">
        <v>0.73751641812243951</v>
      </c>
      <c r="G253" s="44">
        <v>1.3559503785061046E-2</v>
      </c>
      <c r="H253" s="44">
        <v>8.0064076902543566E-2</v>
      </c>
      <c r="I253" s="44">
        <v>-0.15692270718443055</v>
      </c>
      <c r="J253" s="44">
        <v>0.15692270718443055</v>
      </c>
    </row>
    <row r="254" spans="2:10">
      <c r="B254" s="45">
        <v>18</v>
      </c>
      <c r="C254" s="44">
        <v>0.62420588463597593</v>
      </c>
      <c r="D254" s="44">
        <v>0.38338637597540082</v>
      </c>
      <c r="E254" s="44">
        <v>-0.75142348907511769</v>
      </c>
      <c r="F254" s="44">
        <v>0.75142348907511769</v>
      </c>
      <c r="G254" s="44">
        <v>-2.8081560517912118E-2</v>
      </c>
      <c r="H254" s="44">
        <v>8.0064076902543566E-2</v>
      </c>
      <c r="I254" s="44">
        <v>-0.15692270718443055</v>
      </c>
      <c r="J254" s="44">
        <v>0.15692270718443055</v>
      </c>
    </row>
    <row r="255" spans="2:10">
      <c r="B255" s="45">
        <v>19</v>
      </c>
      <c r="C255" s="44">
        <v>0.61043001926280616</v>
      </c>
      <c r="D255" s="44">
        <v>0.3898466467486531</v>
      </c>
      <c r="E255" s="44">
        <v>-0.76408538712106888</v>
      </c>
      <c r="F255" s="44">
        <v>0.76408538712106888</v>
      </c>
      <c r="G255" s="44">
        <v>8.8729904869582155E-2</v>
      </c>
      <c r="H255" s="44">
        <v>8.0064076902543566E-2</v>
      </c>
      <c r="I255" s="44">
        <v>-0.15692270718443055</v>
      </c>
      <c r="J255" s="44">
        <v>0.15692270718443055</v>
      </c>
    </row>
    <row r="256" spans="2:10">
      <c r="B256" s="45">
        <v>20</v>
      </c>
      <c r="C256" s="44">
        <v>0.59225027307950318</v>
      </c>
      <c r="D256" s="44">
        <v>0.39592631778491671</v>
      </c>
      <c r="E256" s="44">
        <v>-0.77600132338999683</v>
      </c>
      <c r="F256" s="44">
        <v>0.77600132338999683</v>
      </c>
      <c r="G256" s="44">
        <v>-2.5191439346306289E-2</v>
      </c>
      <c r="H256" s="44">
        <v>8.0064076902543566E-2</v>
      </c>
      <c r="I256" s="44">
        <v>-0.15692270718443055</v>
      </c>
      <c r="J256" s="44">
        <v>0.15692270718443055</v>
      </c>
    </row>
    <row r="257" spans="2:10">
      <c r="B257" s="45">
        <v>21</v>
      </c>
      <c r="C257" s="44">
        <v>0.57831690911230837</v>
      </c>
      <c r="D257" s="44">
        <v>0.40156515927043057</v>
      </c>
      <c r="E257" s="44">
        <v>-0.78705324961613432</v>
      </c>
      <c r="F257" s="44">
        <v>0.78705324961613432</v>
      </c>
      <c r="G257" s="44">
        <v>1.1743884458194787E-2</v>
      </c>
      <c r="H257" s="44">
        <v>8.0064076902543566E-2</v>
      </c>
      <c r="I257" s="44">
        <v>-0.15692270718443055</v>
      </c>
      <c r="J257" s="44">
        <v>0.15692270718443055</v>
      </c>
    </row>
    <row r="258" spans="2:10" ht="16" thickBot="1">
      <c r="B258" s="42">
        <v>22</v>
      </c>
      <c r="C258" s="41">
        <v>0.56011511235678546</v>
      </c>
      <c r="D258" s="41">
        <v>0.40686902485708865</v>
      </c>
      <c r="E258" s="41">
        <v>-0.79744863514482556</v>
      </c>
      <c r="F258" s="41">
        <v>0.79744863514482556</v>
      </c>
      <c r="G258" s="41">
        <v>-5.7385414050551253E-2</v>
      </c>
      <c r="H258" s="41">
        <v>8.0064076902543566E-2</v>
      </c>
      <c r="I258" s="41">
        <v>-0.15692270718443055</v>
      </c>
      <c r="J258" s="41">
        <v>0.15692270718443055</v>
      </c>
    </row>
    <row r="277" spans="2:10">
      <c r="G277" t="s">
        <v>208</v>
      </c>
    </row>
    <row r="280" spans="2:10">
      <c r="B280" t="s">
        <v>214</v>
      </c>
    </row>
    <row r="281" spans="2:10" ht="16" thickBot="1"/>
    <row r="282" spans="2:10">
      <c r="B282" s="49" t="s">
        <v>210</v>
      </c>
      <c r="C282" s="49" t="s">
        <v>211</v>
      </c>
      <c r="D282" s="49" t="s">
        <v>212</v>
      </c>
      <c r="E282" s="49" t="s">
        <v>192</v>
      </c>
      <c r="F282" s="49" t="s">
        <v>193</v>
      </c>
      <c r="G282" s="49" t="s">
        <v>213</v>
      </c>
      <c r="H282" s="49" t="s">
        <v>212</v>
      </c>
      <c r="I282" s="49" t="s">
        <v>192</v>
      </c>
      <c r="J282" s="49" t="s">
        <v>193</v>
      </c>
    </row>
    <row r="283" spans="2:10">
      <c r="B283" s="47">
        <v>0</v>
      </c>
      <c r="C283" s="46">
        <v>1</v>
      </c>
      <c r="D283" s="46">
        <v>0</v>
      </c>
      <c r="E283" s="46"/>
      <c r="F283" s="46"/>
      <c r="G283" s="46">
        <v>1</v>
      </c>
      <c r="H283" s="46">
        <v>0</v>
      </c>
      <c r="I283" s="46"/>
      <c r="J283" s="46"/>
    </row>
    <row r="284" spans="2:10">
      <c r="B284" s="45">
        <v>1</v>
      </c>
      <c r="C284" s="44">
        <v>-9.5693823675778972E-2</v>
      </c>
      <c r="D284" s="44">
        <v>8.0064076902543566E-2</v>
      </c>
      <c r="E284" s="44">
        <v>-0.15692270718443055</v>
      </c>
      <c r="F284" s="44">
        <v>0.15692270718443055</v>
      </c>
      <c r="G284" s="44">
        <v>-9.5693823675778972E-2</v>
      </c>
      <c r="H284" s="44">
        <v>8.0064076902543566E-2</v>
      </c>
      <c r="I284" s="44">
        <v>-0.15692270718443055</v>
      </c>
      <c r="J284" s="44">
        <v>0.15692270718443055</v>
      </c>
    </row>
    <row r="285" spans="2:10">
      <c r="B285" s="45">
        <v>2</v>
      </c>
      <c r="C285" s="44">
        <v>-0.10428602197056343</v>
      </c>
      <c r="D285" s="44">
        <v>8.0793921760597673E-2</v>
      </c>
      <c r="E285" s="44">
        <v>-0.15835317682051836</v>
      </c>
      <c r="F285" s="44">
        <v>0.15835317682051836</v>
      </c>
      <c r="G285" s="44">
        <v>-0.11449176621431351</v>
      </c>
      <c r="H285" s="44">
        <v>8.0064076902543566E-2</v>
      </c>
      <c r="I285" s="44">
        <v>-0.15692270718443055</v>
      </c>
      <c r="J285" s="44">
        <v>0.15692270718443055</v>
      </c>
    </row>
    <row r="286" spans="2:10">
      <c r="B286" s="45">
        <v>3</v>
      </c>
      <c r="C286" s="44">
        <v>4.3279953671498589E-2</v>
      </c>
      <c r="D286" s="44">
        <v>8.1652239615376571E-2</v>
      </c>
      <c r="E286" s="44">
        <v>-0.16003544890317267</v>
      </c>
      <c r="F286" s="44">
        <v>0.16003544890317267</v>
      </c>
      <c r="G286" s="44">
        <v>2.1681855229346056E-2</v>
      </c>
      <c r="H286" s="44">
        <v>8.0064076902543566E-2</v>
      </c>
      <c r="I286" s="44">
        <v>-0.15692270718443055</v>
      </c>
      <c r="J286" s="44">
        <v>0.15692270718443055</v>
      </c>
    </row>
    <row r="287" spans="2:10">
      <c r="B287" s="45">
        <v>4</v>
      </c>
      <c r="C287" s="44">
        <v>-0.1636183512169366</v>
      </c>
      <c r="D287" s="44">
        <v>8.1799162795692423E-2</v>
      </c>
      <c r="E287" s="44">
        <v>-0.16032341304508582</v>
      </c>
      <c r="F287" s="44">
        <v>0.16032341304508582</v>
      </c>
      <c r="G287" s="44">
        <v>-0.1726364089002897</v>
      </c>
      <c r="H287" s="44">
        <v>8.0064076902543566E-2</v>
      </c>
      <c r="I287" s="44">
        <v>-0.15692270718443055</v>
      </c>
      <c r="J287" s="44">
        <v>0.15692270718443055</v>
      </c>
    </row>
    <row r="288" spans="2:10">
      <c r="B288" s="45">
        <v>5</v>
      </c>
      <c r="C288" s="44">
        <v>6.649652528351005E-2</v>
      </c>
      <c r="D288" s="44">
        <v>8.3870856274492395E-2</v>
      </c>
      <c r="E288" s="44">
        <v>-0.16438385765054028</v>
      </c>
      <c r="F288" s="44">
        <v>0.16438385765054028</v>
      </c>
      <c r="G288" s="44">
        <v>4.1785796798805029E-2</v>
      </c>
      <c r="H288" s="44">
        <v>8.0064076902543566E-2</v>
      </c>
      <c r="I288" s="44">
        <v>-0.15692270718443055</v>
      </c>
      <c r="J288" s="44">
        <v>0.15692270718443055</v>
      </c>
    </row>
    <row r="289" spans="2:10">
      <c r="B289" s="45">
        <v>6</v>
      </c>
      <c r="C289" s="44">
        <v>0.11378067000096309</v>
      </c>
      <c r="D289" s="44">
        <v>8.4208135713568513E-2</v>
      </c>
      <c r="E289" s="44">
        <v>-0.16504491320385534</v>
      </c>
      <c r="F289" s="44">
        <v>0.16504491320385534</v>
      </c>
      <c r="G289" s="44">
        <v>8.9229003489042766E-2</v>
      </c>
      <c r="H289" s="44">
        <v>8.0064076902543566E-2</v>
      </c>
      <c r="I289" s="44">
        <v>-0.15692270718443055</v>
      </c>
      <c r="J289" s="44">
        <v>0.15692270718443055</v>
      </c>
    </row>
    <row r="290" spans="2:10">
      <c r="B290" s="45">
        <v>7</v>
      </c>
      <c r="C290" s="44">
        <v>-0.23881264015059137</v>
      </c>
      <c r="D290" s="44">
        <v>8.5187939306280422E-2</v>
      </c>
      <c r="E290" s="44">
        <v>-0.16696529295749363</v>
      </c>
      <c r="F290" s="44">
        <v>0.16696529295749363</v>
      </c>
      <c r="G290" s="44">
        <v>-0.21096257335986257</v>
      </c>
      <c r="H290" s="44">
        <v>8.0064076902543566E-2</v>
      </c>
      <c r="I290" s="44">
        <v>-0.15692270718443055</v>
      </c>
      <c r="J290" s="44">
        <v>0.15692270718443055</v>
      </c>
    </row>
    <row r="291" spans="2:10">
      <c r="B291" s="45">
        <v>8</v>
      </c>
      <c r="C291" s="44">
        <v>0.10827324722528904</v>
      </c>
      <c r="D291" s="44">
        <v>8.9376494597453698E-2</v>
      </c>
      <c r="E291" s="44">
        <v>-0.17517471047544791</v>
      </c>
      <c r="F291" s="44">
        <v>0.17517471047544791</v>
      </c>
      <c r="G291" s="44">
        <v>7.117659435183496E-2</v>
      </c>
      <c r="H291" s="44">
        <v>8.0064076902543566E-2</v>
      </c>
      <c r="I291" s="44">
        <v>-0.15692270718443055</v>
      </c>
      <c r="J291" s="44">
        <v>0.15692270718443055</v>
      </c>
    </row>
    <row r="292" spans="2:10">
      <c r="B292" s="45">
        <v>9</v>
      </c>
      <c r="C292" s="44">
        <v>0.28484397295154112</v>
      </c>
      <c r="D292" s="44">
        <v>9.0213379772195484E-2</v>
      </c>
      <c r="E292" s="44">
        <v>-0.17681497527713733</v>
      </c>
      <c r="F292" s="44">
        <v>0.17681497527713733</v>
      </c>
      <c r="G292" s="44">
        <v>0.29605351170007832</v>
      </c>
      <c r="H292" s="44">
        <v>8.0064076902543566E-2</v>
      </c>
      <c r="I292" s="44">
        <v>-0.15692270718443055</v>
      </c>
      <c r="J292" s="44">
        <v>0.15692270718443055</v>
      </c>
    </row>
    <row r="293" spans="2:10">
      <c r="B293" s="45">
        <v>10</v>
      </c>
      <c r="C293" s="44">
        <v>-0.12426830477211208</v>
      </c>
      <c r="D293" s="44">
        <v>9.5805324268617292E-2</v>
      </c>
      <c r="E293" s="44">
        <v>-0.18777498509367105</v>
      </c>
      <c r="F293" s="44">
        <v>0.18777498509367105</v>
      </c>
      <c r="G293" s="44">
        <v>-4.2966333212773884E-2</v>
      </c>
      <c r="H293" s="44">
        <v>8.0064076902543566E-2</v>
      </c>
      <c r="I293" s="44">
        <v>-0.15692270718443055</v>
      </c>
      <c r="J293" s="44">
        <v>0.15692270718443055</v>
      </c>
    </row>
    <row r="294" spans="2:10">
      <c r="B294" s="45">
        <v>11</v>
      </c>
      <c r="C294" s="44">
        <v>5.5743318760060612E-2</v>
      </c>
      <c r="D294" s="44">
        <v>9.683306438320681E-2</v>
      </c>
      <c r="E294" s="44">
        <v>-0.18978931870373356</v>
      </c>
      <c r="F294" s="44">
        <v>0.18978931870373356</v>
      </c>
      <c r="G294" s="44">
        <v>1.3915255745993926E-2</v>
      </c>
      <c r="H294" s="44">
        <v>8.0064076902543566E-2</v>
      </c>
      <c r="I294" s="44">
        <v>-0.15692270718443055</v>
      </c>
      <c r="J294" s="44">
        <v>0.15692270718443055</v>
      </c>
    </row>
    <row r="295" spans="2:10">
      <c r="B295" s="45">
        <v>12</v>
      </c>
      <c r="C295" s="44">
        <v>-6.0657209169259915E-2</v>
      </c>
      <c r="D295" s="44">
        <v>9.7038547818874221E-2</v>
      </c>
      <c r="E295" s="44">
        <v>-0.19019205883706125</v>
      </c>
      <c r="F295" s="44">
        <v>0.19019205883706125</v>
      </c>
      <c r="G295" s="44">
        <v>-1.4866549091293509E-2</v>
      </c>
      <c r="H295" s="44">
        <v>8.0064076902543566E-2</v>
      </c>
      <c r="I295" s="44">
        <v>-0.15692270718443055</v>
      </c>
      <c r="J295" s="44">
        <v>0.15692270718443055</v>
      </c>
    </row>
    <row r="296" spans="2:10">
      <c r="B296" s="45">
        <v>13</v>
      </c>
      <c r="C296" s="44">
        <v>-0.19773639944016036</v>
      </c>
      <c r="D296" s="44">
        <v>9.7281294386255018E-2</v>
      </c>
      <c r="E296" s="44">
        <v>-0.19066783336649834</v>
      </c>
      <c r="F296" s="44">
        <v>0.19066783336649834</v>
      </c>
      <c r="G296" s="44">
        <v>-0.11097722614385572</v>
      </c>
      <c r="H296" s="44">
        <v>8.0064076902543566E-2</v>
      </c>
      <c r="I296" s="44">
        <v>-0.15692270718443055</v>
      </c>
      <c r="J296" s="44">
        <v>0.15692270718443055</v>
      </c>
    </row>
    <row r="297" spans="2:10">
      <c r="B297" s="45">
        <v>14</v>
      </c>
      <c r="C297" s="44">
        <v>0.17627007981870962</v>
      </c>
      <c r="D297" s="44">
        <v>9.9824487141942586E-2</v>
      </c>
      <c r="E297" s="44">
        <v>-0.19565239957338915</v>
      </c>
      <c r="F297" s="44">
        <v>0.19565239957338915</v>
      </c>
      <c r="G297" s="44">
        <v>3.7686114473796738E-2</v>
      </c>
      <c r="H297" s="44">
        <v>8.0064076902543566E-2</v>
      </c>
      <c r="I297" s="44">
        <v>-0.15692270718443055</v>
      </c>
      <c r="J297" s="44">
        <v>0.15692270718443055</v>
      </c>
    </row>
    <row r="298" spans="2:10">
      <c r="B298" s="45">
        <v>15</v>
      </c>
      <c r="C298" s="44">
        <v>5.758512881269999E-2</v>
      </c>
      <c r="D298" s="44">
        <v>0.10180017777584721</v>
      </c>
      <c r="E298" s="44">
        <v>-0.1995246820604353</v>
      </c>
      <c r="F298" s="44">
        <v>0.1995246820604353</v>
      </c>
      <c r="G298" s="44">
        <v>7.5924872215966638E-2</v>
      </c>
      <c r="H298" s="44">
        <v>8.0064076902543566E-2</v>
      </c>
      <c r="I298" s="44">
        <v>-0.15692270718443055</v>
      </c>
      <c r="J298" s="44">
        <v>0.15692270718443055</v>
      </c>
    </row>
    <row r="299" spans="2:10">
      <c r="B299" s="45">
        <v>16</v>
      </c>
      <c r="C299" s="44">
        <v>-0.16978934219026454</v>
      </c>
      <c r="D299" s="44">
        <v>0.10200877226515895</v>
      </c>
      <c r="E299" s="44">
        <v>-0.19993351974685983</v>
      </c>
      <c r="F299" s="44">
        <v>0.19993351974685983</v>
      </c>
      <c r="G299" s="44">
        <v>-7.3479917478478887E-2</v>
      </c>
      <c r="H299" s="44">
        <v>8.0064076902543566E-2</v>
      </c>
      <c r="I299" s="44">
        <v>-0.15692270718443055</v>
      </c>
      <c r="J299" s="44">
        <v>0.15692270718443055</v>
      </c>
    </row>
    <row r="300" spans="2:10">
      <c r="B300" s="45">
        <v>17</v>
      </c>
      <c r="C300" s="44">
        <v>0.22918708318889408</v>
      </c>
      <c r="D300" s="44">
        <v>0.10380455075043166</v>
      </c>
      <c r="E300" s="44">
        <v>-0.20345318090220624</v>
      </c>
      <c r="F300" s="44">
        <v>0.20345318090220624</v>
      </c>
      <c r="G300" s="44">
        <v>0.13033115587654001</v>
      </c>
      <c r="H300" s="44">
        <v>8.0064076902543566E-2</v>
      </c>
      <c r="I300" s="44">
        <v>-0.15692270718443055</v>
      </c>
      <c r="J300" s="44">
        <v>0.15692270718443055</v>
      </c>
    </row>
    <row r="301" spans="2:10">
      <c r="B301" s="45">
        <v>18</v>
      </c>
      <c r="C301" s="44">
        <v>-1.0075876543228418E-2</v>
      </c>
      <c r="D301" s="44">
        <v>0.10699908519304305</v>
      </c>
      <c r="E301" s="44">
        <v>-0.20971435335709729</v>
      </c>
      <c r="F301" s="44">
        <v>0.20971435335709729</v>
      </c>
      <c r="G301" s="44">
        <v>1.1844632894563001E-2</v>
      </c>
      <c r="H301" s="44">
        <v>8.0064076902543566E-2</v>
      </c>
      <c r="I301" s="44">
        <v>-0.15692270718443055</v>
      </c>
      <c r="J301" s="44">
        <v>0.15692270718443055</v>
      </c>
    </row>
    <row r="302" spans="2:10">
      <c r="B302" s="45">
        <v>19</v>
      </c>
      <c r="C302" s="44">
        <v>-0.15435034359470678</v>
      </c>
      <c r="D302" s="44">
        <v>0.10700516722460152</v>
      </c>
      <c r="E302" s="44">
        <v>-0.20972627391990473</v>
      </c>
      <c r="F302" s="44">
        <v>0.20972627391990473</v>
      </c>
      <c r="G302" s="44">
        <v>-0.13641503985589198</v>
      </c>
      <c r="H302" s="44">
        <v>8.0064076902543566E-2</v>
      </c>
      <c r="I302" s="44">
        <v>-0.15692270718443055</v>
      </c>
      <c r="J302" s="44">
        <v>0.15692270718443055</v>
      </c>
    </row>
    <row r="303" spans="2:10">
      <c r="B303" s="45">
        <v>20</v>
      </c>
      <c r="C303" s="44">
        <v>0.13905266868555449</v>
      </c>
      <c r="D303" s="44">
        <v>0.10842297762215687</v>
      </c>
      <c r="E303" s="44">
        <v>-0.21250513123601966</v>
      </c>
      <c r="F303" s="44">
        <v>0.21250513123601966</v>
      </c>
      <c r="G303" s="44">
        <v>3.1054253133557214E-2</v>
      </c>
      <c r="H303" s="44">
        <v>8.0064076902543566E-2</v>
      </c>
      <c r="I303" s="44">
        <v>-0.15692270718443055</v>
      </c>
      <c r="J303" s="44">
        <v>0.15692270718443055</v>
      </c>
    </row>
    <row r="304" spans="2:10">
      <c r="B304" s="45">
        <v>21</v>
      </c>
      <c r="C304" s="44">
        <v>5.9403219545432859E-2</v>
      </c>
      <c r="D304" s="44">
        <v>0.1095601887403498</v>
      </c>
      <c r="E304" s="44">
        <v>-0.2147340240704963</v>
      </c>
      <c r="F304" s="44">
        <v>0.2147340240704963</v>
      </c>
      <c r="G304" s="44">
        <v>0.26079541798517458</v>
      </c>
      <c r="H304" s="44">
        <v>8.0064076902543566E-2</v>
      </c>
      <c r="I304" s="44">
        <v>-0.15692270718443055</v>
      </c>
      <c r="J304" s="44">
        <v>0.15692270718443055</v>
      </c>
    </row>
    <row r="305" spans="2:10" ht="16" thickBot="1">
      <c r="B305" s="42">
        <v>22</v>
      </c>
      <c r="C305" s="41">
        <v>-9.1222367514055158E-2</v>
      </c>
      <c r="D305" s="41">
        <v>0.10976645774181062</v>
      </c>
      <c r="E305" s="41">
        <v>-0.21513830388448657</v>
      </c>
      <c r="F305" s="41">
        <v>0.21513830388448657</v>
      </c>
      <c r="G305" s="41">
        <v>-4.0240002883519442E-2</v>
      </c>
      <c r="H305" s="41">
        <v>8.0064076902543566E-2</v>
      </c>
      <c r="I305" s="41">
        <v>-0.15692270718443055</v>
      </c>
      <c r="J305" s="41">
        <v>0.15692270718443055</v>
      </c>
    </row>
    <row r="324" spans="7:7">
      <c r="G324" t="s">
        <v>208</v>
      </c>
    </row>
  </sheetData>
  <pageMargins left="0.7" right="0.7" top="0.75" bottom="0.75" header="0.3" footer="0.3"/>
  <pageSetup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D241933">
              <controlPr defaultSize="0" autoFill="0" autoPict="0" macro="[0]!GoToResultsNew101320185045061">
                <anchor moveWithCells="1">
                  <from>
                    <xdr:col>0</xdr:col>
                    <xdr:colOff>330200</xdr:colOff>
                    <xdr:row>10</xdr:row>
                    <xdr:rowOff>0</xdr:rowOff>
                  </from>
                  <to>
                    <xdr:col>3</xdr:col>
                    <xdr:colOff>1206500</xdr:colOff>
                    <xdr:row>11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56541-E781-4A62-9E3D-CBBA73A17BEF}">
  <sheetPr codeName="Sheet5"/>
  <dimension ref="A1:K163"/>
  <sheetViews>
    <sheetView showGridLines="0" tabSelected="1" workbookViewId="0">
      <selection activeCell="Q3" sqref="Q3"/>
    </sheetView>
  </sheetViews>
  <sheetFormatPr baseColWidth="10" defaultColWidth="8.83203125" defaultRowHeight="15"/>
  <cols>
    <col min="1" max="1" width="15.1640625" bestFit="1" customWidth="1"/>
    <col min="2" max="2" width="12.5" bestFit="1" customWidth="1"/>
    <col min="3" max="3" width="12.1640625" bestFit="1" customWidth="1"/>
    <col min="4" max="4" width="15.83203125" bestFit="1" customWidth="1"/>
    <col min="5" max="5" width="15.1640625" bestFit="1" customWidth="1"/>
    <col min="6" max="6" width="10.5" bestFit="1" customWidth="1"/>
    <col min="9" max="9" width="10.5" bestFit="1" customWidth="1"/>
  </cols>
  <sheetData>
    <row r="1" spans="1:11">
      <c r="A1" s="2" t="s">
        <v>261</v>
      </c>
      <c r="B1" s="2" t="s">
        <v>262</v>
      </c>
      <c r="C1" s="2" t="s">
        <v>263</v>
      </c>
      <c r="D1" s="2" t="s">
        <v>264</v>
      </c>
      <c r="E1" s="2" t="s">
        <v>265</v>
      </c>
      <c r="F1" s="100" t="s">
        <v>266</v>
      </c>
      <c r="H1" s="101" t="s">
        <v>267</v>
      </c>
      <c r="I1" s="102" t="s">
        <v>268</v>
      </c>
    </row>
    <row r="2" spans="1:11" ht="16">
      <c r="A2" s="1">
        <v>1179.4000000000001</v>
      </c>
      <c r="B2" s="1">
        <v>1054.9174146130679</v>
      </c>
      <c r="C2" s="103">
        <v>53.1</v>
      </c>
      <c r="D2" s="1">
        <v>447.8</v>
      </c>
      <c r="E2" s="104">
        <v>93.3</v>
      </c>
      <c r="F2" s="105">
        <f>A2+B2+C2+D2+E2</f>
        <v>2828.517414613068</v>
      </c>
      <c r="H2" s="73">
        <v>2796.8</v>
      </c>
      <c r="I2" s="106">
        <f>H2-F2</f>
        <v>-31.717414613067831</v>
      </c>
      <c r="J2" s="105" t="s">
        <v>178</v>
      </c>
      <c r="K2" s="105">
        <f>SQRT(SUMSQ(I2:I157)/COUNTA(I2:I157))</f>
        <v>74.325791084061251</v>
      </c>
    </row>
    <row r="3" spans="1:11" ht="16">
      <c r="A3" s="1">
        <v>1171.2</v>
      </c>
      <c r="B3" s="1">
        <v>1049.2109323197569</v>
      </c>
      <c r="C3" s="107">
        <v>50.8</v>
      </c>
      <c r="D3" s="1">
        <v>437.1</v>
      </c>
      <c r="E3" s="108">
        <v>95.7</v>
      </c>
      <c r="F3" s="105">
        <f t="shared" ref="F3:F66" si="0">A3+B3+C3+D3+E3</f>
        <v>2804.0109323197571</v>
      </c>
      <c r="H3" s="73">
        <v>2791</v>
      </c>
      <c r="I3" s="106">
        <f t="shared" ref="I3:I66" si="1">H3-F3</f>
        <v>-13.010932319757103</v>
      </c>
    </row>
    <row r="4" spans="1:11" ht="16">
      <c r="A4" s="1">
        <v>1108.5</v>
      </c>
      <c r="B4" s="1">
        <v>1055.5574755248142</v>
      </c>
      <c r="C4" s="107">
        <v>50.1</v>
      </c>
      <c r="D4" s="1">
        <v>479.7</v>
      </c>
      <c r="E4" s="108">
        <v>93.8</v>
      </c>
      <c r="F4" s="105">
        <f t="shared" si="0"/>
        <v>2787.6574755248143</v>
      </c>
      <c r="H4" s="73">
        <v>2754.2</v>
      </c>
      <c r="I4" s="106">
        <f t="shared" si="1"/>
        <v>-33.457475524814527</v>
      </c>
    </row>
    <row r="5" spans="1:11" ht="16">
      <c r="A5" s="1">
        <v>1233.8</v>
      </c>
      <c r="B5" s="1">
        <v>1099.3799250915895</v>
      </c>
      <c r="C5" s="107">
        <v>51.8</v>
      </c>
      <c r="D5" s="1">
        <v>533.6</v>
      </c>
      <c r="E5" s="108">
        <v>99.4</v>
      </c>
      <c r="F5" s="105">
        <f t="shared" si="0"/>
        <v>3017.9799250915894</v>
      </c>
      <c r="H5" s="73">
        <v>2968.7</v>
      </c>
      <c r="I5" s="106">
        <f t="shared" si="1"/>
        <v>-49.279925091589575</v>
      </c>
    </row>
    <row r="6" spans="1:11" ht="16">
      <c r="A6" s="1">
        <v>1163.0999999999999</v>
      </c>
      <c r="B6" s="1">
        <v>1112.8227194681572</v>
      </c>
      <c r="C6" s="107">
        <v>53.9</v>
      </c>
      <c r="D6" s="1">
        <v>535</v>
      </c>
      <c r="E6" s="108">
        <v>100</v>
      </c>
      <c r="F6" s="105">
        <f t="shared" si="0"/>
        <v>2964.8227194681572</v>
      </c>
      <c r="H6" s="73">
        <v>2957.3</v>
      </c>
      <c r="I6" s="106">
        <f t="shared" si="1"/>
        <v>-7.5227194681569927</v>
      </c>
    </row>
    <row r="7" spans="1:11" ht="16">
      <c r="A7" s="1">
        <v>1220</v>
      </c>
      <c r="B7" s="1">
        <v>1144.5207746942158</v>
      </c>
      <c r="C7" s="107">
        <v>54.2</v>
      </c>
      <c r="D7" s="1">
        <v>560.20000000000005</v>
      </c>
      <c r="E7" s="108">
        <v>105.6</v>
      </c>
      <c r="F7" s="105">
        <f t="shared" si="0"/>
        <v>3084.5207746942156</v>
      </c>
      <c r="H7" s="73">
        <v>3097.4</v>
      </c>
      <c r="I7" s="106">
        <f t="shared" si="1"/>
        <v>12.87922530578453</v>
      </c>
    </row>
    <row r="8" spans="1:11" ht="16">
      <c r="A8" s="1">
        <v>1243.0999999999999</v>
      </c>
      <c r="B8" s="1">
        <v>1124.7624233895092</v>
      </c>
      <c r="C8" s="107">
        <v>50.2</v>
      </c>
      <c r="D8" s="1">
        <v>537.4</v>
      </c>
      <c r="E8" s="108">
        <v>99.4</v>
      </c>
      <c r="F8" s="105">
        <f t="shared" si="0"/>
        <v>3054.8624233895089</v>
      </c>
      <c r="H8" s="73">
        <v>2994.9</v>
      </c>
      <c r="I8" s="106">
        <f t="shared" si="1"/>
        <v>-59.962423389508785</v>
      </c>
    </row>
    <row r="9" spans="1:11" ht="16">
      <c r="A9" s="1">
        <v>1272.0999999999999</v>
      </c>
      <c r="B9" s="1">
        <v>1161.0184124332773</v>
      </c>
      <c r="C9" s="107">
        <v>53.4</v>
      </c>
      <c r="D9" s="1">
        <v>528.79999999999995</v>
      </c>
      <c r="E9" s="108">
        <v>106.3</v>
      </c>
      <c r="F9" s="105">
        <f t="shared" si="0"/>
        <v>3121.6184124332776</v>
      </c>
      <c r="H9" s="73">
        <v>3116.5</v>
      </c>
      <c r="I9" s="106">
        <f t="shared" si="1"/>
        <v>-5.1184124332776264</v>
      </c>
    </row>
    <row r="10" spans="1:11" ht="16">
      <c r="A10" s="1">
        <v>1226.3</v>
      </c>
      <c r="B10" s="1">
        <v>1131.5979962316328</v>
      </c>
      <c r="C10" s="107">
        <v>50.7</v>
      </c>
      <c r="D10" s="1">
        <v>516.29999999999995</v>
      </c>
      <c r="E10" s="108">
        <v>104.2</v>
      </c>
      <c r="F10" s="105">
        <f t="shared" si="0"/>
        <v>3029.0979962316324</v>
      </c>
      <c r="H10" s="73">
        <v>3037.8</v>
      </c>
      <c r="I10" s="106">
        <f t="shared" si="1"/>
        <v>8.7020037683678311</v>
      </c>
    </row>
    <row r="11" spans="1:11" ht="16">
      <c r="A11" s="1">
        <v>1150.0999999999999</v>
      </c>
      <c r="B11" s="1">
        <v>1134.6904688564352</v>
      </c>
      <c r="C11" s="107">
        <v>48.4</v>
      </c>
      <c r="D11" s="1">
        <v>520</v>
      </c>
      <c r="E11" s="108">
        <v>99.5</v>
      </c>
      <c r="F11" s="105">
        <f t="shared" si="0"/>
        <v>2952.690468856435</v>
      </c>
      <c r="H11" s="73">
        <v>2916.7</v>
      </c>
      <c r="I11" s="106">
        <f t="shared" si="1"/>
        <v>-35.9904688564352</v>
      </c>
    </row>
    <row r="12" spans="1:11" ht="16">
      <c r="A12" s="1">
        <v>1318.2</v>
      </c>
      <c r="B12" s="1">
        <v>1150.0246437325584</v>
      </c>
      <c r="C12" s="107">
        <v>50.9</v>
      </c>
      <c r="D12" s="1">
        <v>518.6</v>
      </c>
      <c r="E12" s="108">
        <v>105.7</v>
      </c>
      <c r="F12" s="105">
        <f t="shared" si="0"/>
        <v>3143.4246437325583</v>
      </c>
      <c r="H12" s="73">
        <v>3156.6</v>
      </c>
      <c r="I12" s="106">
        <f t="shared" si="1"/>
        <v>13.175356267441657</v>
      </c>
    </row>
    <row r="13" spans="1:11" ht="16">
      <c r="A13" s="1">
        <v>1223.2</v>
      </c>
      <c r="B13" s="1">
        <v>1119.2109034968694</v>
      </c>
      <c r="C13" s="107">
        <v>44.7</v>
      </c>
      <c r="D13" s="1">
        <v>478</v>
      </c>
      <c r="E13" s="108">
        <v>97.1</v>
      </c>
      <c r="F13" s="105">
        <f t="shared" si="0"/>
        <v>2962.2109034968694</v>
      </c>
      <c r="H13" s="73">
        <v>2901.3</v>
      </c>
      <c r="I13" s="106">
        <f t="shared" si="1"/>
        <v>-60.910903496869196</v>
      </c>
    </row>
    <row r="14" spans="1:11" ht="16">
      <c r="A14" s="1">
        <v>1266.3</v>
      </c>
      <c r="B14" s="1">
        <v>1086.8901027722354</v>
      </c>
      <c r="C14" s="107">
        <v>46</v>
      </c>
      <c r="D14" s="1">
        <v>465.5</v>
      </c>
      <c r="E14" s="108">
        <v>101.4</v>
      </c>
      <c r="F14" s="105">
        <f t="shared" si="0"/>
        <v>2966.0901027722352</v>
      </c>
      <c r="H14" s="73">
        <v>2975.3</v>
      </c>
      <c r="I14" s="106">
        <f t="shared" si="1"/>
        <v>9.2098972277649409</v>
      </c>
    </row>
    <row r="15" spans="1:11" ht="16">
      <c r="A15" s="1">
        <v>1242.7535392026186</v>
      </c>
      <c r="B15" s="1">
        <v>1080.9305532364153</v>
      </c>
      <c r="C15" s="107">
        <v>43.922022958254956</v>
      </c>
      <c r="D15" s="1">
        <v>453.97638533377949</v>
      </c>
      <c r="E15" s="108">
        <v>102.69158570620752</v>
      </c>
      <c r="F15" s="105">
        <f t="shared" si="0"/>
        <v>2924.2740864372759</v>
      </c>
      <c r="H15" s="73">
        <v>2887.4</v>
      </c>
      <c r="I15" s="106">
        <f t="shared" si="1"/>
        <v>-36.874086437275764</v>
      </c>
    </row>
    <row r="16" spans="1:11" ht="16">
      <c r="A16" s="1">
        <v>1175.1725659609799</v>
      </c>
      <c r="B16" s="1">
        <v>1087.3887710552485</v>
      </c>
      <c r="C16" s="107">
        <v>43.60938049255622</v>
      </c>
      <c r="D16" s="1">
        <v>486.1861626437414</v>
      </c>
      <c r="E16" s="108">
        <v>96.928645733731258</v>
      </c>
      <c r="F16" s="105">
        <f t="shared" si="0"/>
        <v>2889.2855258862569</v>
      </c>
      <c r="H16" s="73">
        <v>2893.8</v>
      </c>
      <c r="I16" s="106">
        <f t="shared" si="1"/>
        <v>4.5144741137432902</v>
      </c>
    </row>
    <row r="17" spans="1:9" ht="16">
      <c r="A17" s="1">
        <v>1290.1294830230781</v>
      </c>
      <c r="B17" s="1">
        <v>1132.4496225381936</v>
      </c>
      <c r="C17" s="107">
        <v>46.079843963039636</v>
      </c>
      <c r="D17" s="1">
        <v>520.6796533980845</v>
      </c>
      <c r="E17" s="108">
        <v>101.99220908430269</v>
      </c>
      <c r="F17" s="105">
        <f t="shared" si="0"/>
        <v>3091.330812006699</v>
      </c>
      <c r="H17" s="73">
        <v>3023.6</v>
      </c>
      <c r="I17" s="106">
        <f t="shared" si="1"/>
        <v>-67.730812006699125</v>
      </c>
    </row>
    <row r="18" spans="1:9" ht="16">
      <c r="A18" s="1">
        <v>1221.2680554689498</v>
      </c>
      <c r="B18" s="1">
        <v>1146.2130810502688</v>
      </c>
      <c r="C18" s="107">
        <v>47.988065905450661</v>
      </c>
      <c r="D18" s="1">
        <v>524.03924127987875</v>
      </c>
      <c r="E18" s="108">
        <v>103.48830923430005</v>
      </c>
      <c r="F18" s="105">
        <f t="shared" si="0"/>
        <v>3042.9967529388482</v>
      </c>
      <c r="H18" s="73">
        <v>3092.5</v>
      </c>
      <c r="I18" s="106">
        <f t="shared" si="1"/>
        <v>49.503247061151797</v>
      </c>
    </row>
    <row r="19" spans="1:9" ht="16">
      <c r="A19" s="1">
        <v>1290.1372977126964</v>
      </c>
      <c r="B19" s="1">
        <v>1178.7765856264257</v>
      </c>
      <c r="C19" s="107">
        <v>47.827860450776328</v>
      </c>
      <c r="D19" s="1">
        <v>549.42388737221938</v>
      </c>
      <c r="E19" s="108">
        <v>109.48053037837512</v>
      </c>
      <c r="F19" s="105">
        <f t="shared" si="0"/>
        <v>3175.6461615404928</v>
      </c>
      <c r="H19" s="73">
        <v>3182.1</v>
      </c>
      <c r="I19" s="106">
        <f t="shared" si="1"/>
        <v>6.4538384595070966</v>
      </c>
    </row>
    <row r="20" spans="1:9" ht="16">
      <c r="A20" s="1">
        <v>1303.6673639689759</v>
      </c>
      <c r="B20" s="1">
        <v>1158.3431050560712</v>
      </c>
      <c r="C20" s="107">
        <v>43.49352493332092</v>
      </c>
      <c r="D20" s="1">
        <v>507.48409780839421</v>
      </c>
      <c r="E20" s="108">
        <v>101.26727433047061</v>
      </c>
      <c r="F20" s="105">
        <f t="shared" si="0"/>
        <v>3114.255366097233</v>
      </c>
      <c r="H20" s="73">
        <v>3007.5</v>
      </c>
      <c r="I20" s="106">
        <f t="shared" si="1"/>
        <v>-106.75536609723304</v>
      </c>
    </row>
    <row r="21" spans="1:9" ht="16">
      <c r="A21" s="1">
        <v>1321.733745599536</v>
      </c>
      <c r="B21" s="1">
        <v>1195.5955183854942</v>
      </c>
      <c r="C21" s="107">
        <v>46.43135846679715</v>
      </c>
      <c r="D21" s="1">
        <v>519.59690959432908</v>
      </c>
      <c r="E21" s="108">
        <v>109.08920764073842</v>
      </c>
      <c r="F21" s="105">
        <f t="shared" si="0"/>
        <v>3192.4467396868949</v>
      </c>
      <c r="H21" s="73">
        <v>3264</v>
      </c>
      <c r="I21" s="106">
        <f t="shared" si="1"/>
        <v>71.553260313105056</v>
      </c>
    </row>
    <row r="22" spans="1:9" ht="16">
      <c r="A22" s="1">
        <v>1261.9789391004315</v>
      </c>
      <c r="B22" s="1">
        <v>1165.2154799153054</v>
      </c>
      <c r="C22" s="107">
        <v>45.145268228006572</v>
      </c>
      <c r="D22" s="1">
        <v>533.63493878788586</v>
      </c>
      <c r="E22" s="108">
        <v>107.57326508426512</v>
      </c>
      <c r="F22" s="105">
        <f t="shared" si="0"/>
        <v>3113.5478911158943</v>
      </c>
      <c r="H22" s="73">
        <v>3114</v>
      </c>
      <c r="I22" s="106">
        <f t="shared" si="1"/>
        <v>0.45210888410565531</v>
      </c>
    </row>
    <row r="23" spans="1:9" ht="16">
      <c r="A23" s="1">
        <v>1200.2309407915625</v>
      </c>
      <c r="B23" s="1">
        <v>1168.3165766749989</v>
      </c>
      <c r="C23" s="107">
        <v>43.651544318449325</v>
      </c>
      <c r="D23" s="1">
        <v>526.10701384412698</v>
      </c>
      <c r="E23" s="108">
        <v>102.19480586350207</v>
      </c>
      <c r="F23" s="105">
        <f t="shared" si="0"/>
        <v>3040.50088149264</v>
      </c>
      <c r="H23" s="73">
        <v>3107.1</v>
      </c>
      <c r="I23" s="106">
        <f t="shared" si="1"/>
        <v>66.59911850735989</v>
      </c>
    </row>
    <row r="24" spans="1:9" ht="16">
      <c r="A24" s="1">
        <v>1361.734928053834</v>
      </c>
      <c r="B24" s="1">
        <v>1184.0212175573351</v>
      </c>
      <c r="C24" s="107">
        <v>46.614313134630684</v>
      </c>
      <c r="D24" s="1">
        <v>524.60639968802832</v>
      </c>
      <c r="E24" s="108">
        <v>111.21622901530094</v>
      </c>
      <c r="F24" s="105">
        <f t="shared" si="0"/>
        <v>3228.1930874491291</v>
      </c>
      <c r="H24" s="73">
        <v>3215</v>
      </c>
      <c r="I24" s="106">
        <f t="shared" si="1"/>
        <v>-13.193087449129052</v>
      </c>
    </row>
    <row r="25" spans="1:9" ht="16">
      <c r="A25" s="1">
        <v>1262.2866987129348</v>
      </c>
      <c r="B25" s="1">
        <v>1152.2152685499636</v>
      </c>
      <c r="C25" s="107">
        <v>40.97391610981996</v>
      </c>
      <c r="D25" s="1">
        <v>501.69438303791736</v>
      </c>
      <c r="E25" s="108">
        <v>101.72490256002122</v>
      </c>
      <c r="F25" s="105">
        <f t="shared" si="0"/>
        <v>3058.8951689706573</v>
      </c>
      <c r="H25" s="73">
        <v>3039.4</v>
      </c>
      <c r="I25" s="106">
        <f t="shared" si="1"/>
        <v>-19.495168970657232</v>
      </c>
    </row>
    <row r="26" spans="1:9" ht="16">
      <c r="A26" s="1">
        <v>1297.0443445242042</v>
      </c>
      <c r="B26" s="1">
        <v>1118.8627909314032</v>
      </c>
      <c r="C26" s="107">
        <v>42.543478484694717</v>
      </c>
      <c r="D26" s="1">
        <v>471.89763602864946</v>
      </c>
      <c r="E26" s="108">
        <v>106.12001356813862</v>
      </c>
      <c r="F26" s="105">
        <f t="shared" si="0"/>
        <v>3036.4682635370905</v>
      </c>
      <c r="H26" s="73">
        <v>3166.4</v>
      </c>
      <c r="I26" s="106">
        <f t="shared" si="1"/>
        <v>129.93173646290961</v>
      </c>
    </row>
    <row r="27" spans="1:9" ht="16">
      <c r="A27" s="1">
        <v>1277.8211767766404</v>
      </c>
      <c r="B27" s="1">
        <v>1112.6501741530737</v>
      </c>
      <c r="C27" s="107">
        <v>42.414797905995087</v>
      </c>
      <c r="D27" s="1">
        <v>459.97349401760204</v>
      </c>
      <c r="E27" s="108">
        <v>104.83178563968877</v>
      </c>
      <c r="F27" s="105">
        <f t="shared" si="0"/>
        <v>2997.6914284930003</v>
      </c>
      <c r="H27" s="73">
        <v>2938.6</v>
      </c>
      <c r="I27" s="106">
        <f t="shared" si="1"/>
        <v>-59.091428493000421</v>
      </c>
    </row>
    <row r="28" spans="1:9" ht="16">
      <c r="A28" s="1">
        <v>1235.4871293333858</v>
      </c>
      <c r="B28" s="1">
        <v>1119.2200665856828</v>
      </c>
      <c r="C28" s="107">
        <v>41.080038347821578</v>
      </c>
      <c r="D28" s="1">
        <v>474.90729686790621</v>
      </c>
      <c r="E28" s="108">
        <v>99.483124019671465</v>
      </c>
      <c r="F28" s="105">
        <f t="shared" si="0"/>
        <v>2970.1776551544681</v>
      </c>
      <c r="H28" s="73">
        <v>3018.8</v>
      </c>
      <c r="I28" s="106">
        <f t="shared" si="1"/>
        <v>48.622344845532098</v>
      </c>
    </row>
    <row r="29" spans="1:9" ht="16">
      <c r="A29" s="1">
        <v>1330.2552123217415</v>
      </c>
      <c r="B29" s="1">
        <v>1165.5193199847977</v>
      </c>
      <c r="C29" s="107">
        <v>41.002363352202735</v>
      </c>
      <c r="D29" s="1">
        <v>508.7146788348773</v>
      </c>
      <c r="E29" s="108">
        <v>107.86513802561626</v>
      </c>
      <c r="F29" s="105">
        <f t="shared" si="0"/>
        <v>3153.3567125192358</v>
      </c>
      <c r="H29" s="73">
        <v>3150</v>
      </c>
      <c r="I29" s="106">
        <f t="shared" si="1"/>
        <v>-3.3567125192357707</v>
      </c>
    </row>
    <row r="30" spans="1:9" ht="16">
      <c r="A30" s="1">
        <v>1287.8414633177749</v>
      </c>
      <c r="B30" s="1">
        <v>1179.6034426323804</v>
      </c>
      <c r="C30" s="107">
        <v>43.594973445250062</v>
      </c>
      <c r="D30" s="1">
        <v>530.45233608914918</v>
      </c>
      <c r="E30" s="108">
        <v>108.22845358752187</v>
      </c>
      <c r="F30" s="105">
        <f t="shared" si="0"/>
        <v>3149.7206690720764</v>
      </c>
      <c r="H30" s="73">
        <v>3271.1</v>
      </c>
      <c r="I30" s="106">
        <f t="shared" si="1"/>
        <v>121.37933092792355</v>
      </c>
    </row>
    <row r="31" spans="1:9" ht="16">
      <c r="A31" s="1">
        <v>1359.4846851885313</v>
      </c>
      <c r="B31" s="1">
        <v>1213.0323965586358</v>
      </c>
      <c r="C31" s="107">
        <v>43.14291982656875</v>
      </c>
      <c r="D31" s="1">
        <v>559.27257711150207</v>
      </c>
      <c r="E31" s="108">
        <v>110.97506531203129</v>
      </c>
      <c r="F31" s="105">
        <f t="shared" si="0"/>
        <v>3285.9076439972691</v>
      </c>
      <c r="H31" s="73">
        <v>3222.5</v>
      </c>
      <c r="I31" s="106">
        <f t="shared" si="1"/>
        <v>-63.407643997269133</v>
      </c>
    </row>
    <row r="32" spans="1:9" ht="16">
      <c r="A32" s="1">
        <v>1312.1172730379838</v>
      </c>
      <c r="B32" s="1">
        <v>1191.9237867226332</v>
      </c>
      <c r="C32" s="107">
        <v>39.138633810450983</v>
      </c>
      <c r="D32" s="1">
        <v>522.087842836959</v>
      </c>
      <c r="E32" s="108">
        <v>104.97187699025797</v>
      </c>
      <c r="F32" s="105">
        <f t="shared" si="0"/>
        <v>3170.2394133982848</v>
      </c>
      <c r="H32" s="73">
        <v>3288.9</v>
      </c>
      <c r="I32" s="106">
        <f t="shared" si="1"/>
        <v>118.66058660171529</v>
      </c>
    </row>
    <row r="33" spans="1:9" ht="16">
      <c r="A33" s="1">
        <v>1367.2145229404077</v>
      </c>
      <c r="B33" s="1">
        <v>1230.1726243377111</v>
      </c>
      <c r="C33" s="107">
        <v>45.825415632965715</v>
      </c>
      <c r="D33" s="1">
        <v>573.61174854128785</v>
      </c>
      <c r="E33" s="108">
        <v>117.43629371586186</v>
      </c>
      <c r="F33" s="105">
        <f t="shared" si="0"/>
        <v>3334.2606051682342</v>
      </c>
      <c r="H33" s="73">
        <v>3277.4</v>
      </c>
      <c r="I33" s="106">
        <f t="shared" si="1"/>
        <v>-56.860605168234088</v>
      </c>
    </row>
    <row r="34" spans="1:9" ht="16">
      <c r="A34" s="1">
        <v>1303.3325970780836</v>
      </c>
      <c r="B34" s="1">
        <v>1198.8329635989783</v>
      </c>
      <c r="C34" s="107">
        <v>43.507737163641309</v>
      </c>
      <c r="D34" s="1">
        <v>529.14417920917447</v>
      </c>
      <c r="E34" s="108">
        <v>110.17298658516302</v>
      </c>
      <c r="F34" s="105">
        <f t="shared" si="0"/>
        <v>3184.9904636350407</v>
      </c>
      <c r="H34" s="73">
        <v>3205.8</v>
      </c>
      <c r="I34" s="106">
        <f t="shared" si="1"/>
        <v>20.809536364959513</v>
      </c>
    </row>
    <row r="35" spans="1:9" ht="16">
      <c r="A35" s="1">
        <v>1281.7176385685234</v>
      </c>
      <c r="B35" s="1">
        <v>1201.9426844935629</v>
      </c>
      <c r="C35" s="107">
        <v>40.222774567881068</v>
      </c>
      <c r="D35" s="1">
        <v>516.65806573162786</v>
      </c>
      <c r="E35" s="108">
        <v>109.29398735018368</v>
      </c>
      <c r="F35" s="105">
        <f t="shared" si="0"/>
        <v>3149.8351507117786</v>
      </c>
      <c r="H35" s="73">
        <v>3268.2</v>
      </c>
      <c r="I35" s="106">
        <f t="shared" si="1"/>
        <v>118.36484928822119</v>
      </c>
    </row>
    <row r="36" spans="1:9" ht="16">
      <c r="A36" s="1">
        <v>1408.0088430437831</v>
      </c>
      <c r="B36" s="1">
        <v>1218.0177913821124</v>
      </c>
      <c r="C36" s="107">
        <v>42.684934200986746</v>
      </c>
      <c r="D36" s="1">
        <v>536.80516773853788</v>
      </c>
      <c r="E36" s="108">
        <v>115.90146487413757</v>
      </c>
      <c r="F36" s="105">
        <f t="shared" si="0"/>
        <v>3321.4182012395577</v>
      </c>
      <c r="H36" s="73">
        <v>3378.1</v>
      </c>
      <c r="I36" s="106">
        <f t="shared" si="1"/>
        <v>56.681798760442234</v>
      </c>
    </row>
    <row r="37" spans="1:9" ht="16">
      <c r="A37" s="1">
        <v>1353.1601283938317</v>
      </c>
      <c r="B37" s="1">
        <v>1185.2196336030584</v>
      </c>
      <c r="C37" s="107">
        <v>37.556550155113946</v>
      </c>
      <c r="D37" s="1">
        <v>504.82119252608652</v>
      </c>
      <c r="E37" s="108">
        <v>106.14915361661191</v>
      </c>
      <c r="F37" s="105">
        <f t="shared" si="0"/>
        <v>3186.9066582947025</v>
      </c>
      <c r="H37" s="73">
        <v>3119.2</v>
      </c>
      <c r="I37" s="106">
        <f t="shared" si="1"/>
        <v>-67.70665829470272</v>
      </c>
    </row>
    <row r="38" spans="1:9" ht="16">
      <c r="A38" s="1">
        <v>1367.4707936235516</v>
      </c>
      <c r="B38" s="1">
        <v>1150.835479090571</v>
      </c>
      <c r="C38" s="107">
        <v>39.701815209142062</v>
      </c>
      <c r="D38" s="1">
        <v>454.82295712154416</v>
      </c>
      <c r="E38" s="108">
        <v>111.92000185204539</v>
      </c>
      <c r="F38" s="105">
        <f t="shared" si="0"/>
        <v>3124.7510468968539</v>
      </c>
      <c r="H38" s="73">
        <v>3149.8</v>
      </c>
      <c r="I38" s="106">
        <f t="shared" si="1"/>
        <v>25.048953103146232</v>
      </c>
    </row>
    <row r="39" spans="1:9" ht="16">
      <c r="A39" s="1">
        <v>1281.8816969943043</v>
      </c>
      <c r="B39" s="1">
        <v>1144.3697950697322</v>
      </c>
      <c r="C39" s="107">
        <v>35.688414611801122</v>
      </c>
      <c r="D39" s="1">
        <v>459.09571561764443</v>
      </c>
      <c r="E39" s="108">
        <v>108.71275645690491</v>
      </c>
      <c r="F39" s="105">
        <f t="shared" si="0"/>
        <v>3029.748378750387</v>
      </c>
      <c r="H39" s="73">
        <v>3166.2</v>
      </c>
      <c r="I39" s="106">
        <f t="shared" si="1"/>
        <v>136.4516212496128</v>
      </c>
    </row>
    <row r="40" spans="1:9" ht="16">
      <c r="A40" s="1">
        <v>1255.6818789908996</v>
      </c>
      <c r="B40" s="1">
        <v>1151.0513621161174</v>
      </c>
      <c r="C40" s="107">
        <v>37.374704704163676</v>
      </c>
      <c r="D40" s="1">
        <v>497.31882319431202</v>
      </c>
      <c r="E40" s="108">
        <v>110.19576277703169</v>
      </c>
      <c r="F40" s="105">
        <f t="shared" si="0"/>
        <v>3051.6225317825247</v>
      </c>
      <c r="H40" s="73">
        <v>2987.2</v>
      </c>
      <c r="I40" s="106">
        <f t="shared" si="1"/>
        <v>-64.422531782524857</v>
      </c>
    </row>
    <row r="41" spans="1:9" ht="16">
      <c r="A41" s="1">
        <v>1349.0858626241641</v>
      </c>
      <c r="B41" s="1">
        <v>1198.5890174314018</v>
      </c>
      <c r="C41" s="107">
        <v>34.777873118374913</v>
      </c>
      <c r="D41" s="1">
        <v>484.47841275772026</v>
      </c>
      <c r="E41" s="108">
        <v>112.35817109365661</v>
      </c>
      <c r="F41" s="105">
        <f t="shared" si="0"/>
        <v>3179.2893370253178</v>
      </c>
      <c r="H41" s="73">
        <v>3289</v>
      </c>
      <c r="I41" s="106">
        <f t="shared" si="1"/>
        <v>109.71066297468224</v>
      </c>
    </row>
    <row r="42" spans="1:9" ht="16">
      <c r="A42" s="1">
        <v>1334.0074432031367</v>
      </c>
      <c r="B42" s="1">
        <v>1212.9938042144922</v>
      </c>
      <c r="C42" s="107">
        <v>38.994340036168424</v>
      </c>
      <c r="D42" s="1">
        <v>527.71613733948072</v>
      </c>
      <c r="E42" s="108">
        <v>117.05875074545537</v>
      </c>
      <c r="F42" s="105">
        <f t="shared" si="0"/>
        <v>3230.7704755387335</v>
      </c>
      <c r="H42" s="73">
        <v>3279.6</v>
      </c>
      <c r="I42" s="106">
        <f t="shared" si="1"/>
        <v>48.829524461266374</v>
      </c>
    </row>
    <row r="43" spans="1:9" ht="16">
      <c r="A43" s="1">
        <v>1367.9082657278591</v>
      </c>
      <c r="B43" s="1">
        <v>1247.2882074908457</v>
      </c>
      <c r="C43" s="107">
        <v>36.21693130238635</v>
      </c>
      <c r="D43" s="1">
        <v>565.42134237941275</v>
      </c>
      <c r="E43" s="108">
        <v>116.96277279985009</v>
      </c>
      <c r="F43" s="105">
        <f t="shared" si="0"/>
        <v>3333.7975197003539</v>
      </c>
      <c r="H43" s="73">
        <v>3396.1</v>
      </c>
      <c r="I43" s="106">
        <f t="shared" si="1"/>
        <v>62.302480299646049</v>
      </c>
    </row>
    <row r="44" spans="1:9" ht="16">
      <c r="A44" s="1">
        <v>1360.9523296766911</v>
      </c>
      <c r="B44" s="1">
        <v>1225.5044683891949</v>
      </c>
      <c r="C44" s="107">
        <v>37.413068306957832</v>
      </c>
      <c r="D44" s="1">
        <v>537.50409378117649</v>
      </c>
      <c r="E44" s="108">
        <v>120.38409352993041</v>
      </c>
      <c r="F44" s="105">
        <f t="shared" si="0"/>
        <v>3281.7580536839505</v>
      </c>
      <c r="H44" s="73">
        <v>3368.5</v>
      </c>
      <c r="I44" s="106">
        <f t="shared" si="1"/>
        <v>86.741946316049507</v>
      </c>
    </row>
    <row r="45" spans="1:9" ht="16">
      <c r="A45" s="1">
        <v>1378.2446272379655</v>
      </c>
      <c r="B45" s="1">
        <v>1264.7497302899278</v>
      </c>
      <c r="C45" s="107">
        <v>40.422534600941844</v>
      </c>
      <c r="D45" s="1">
        <v>529.30633939719087</v>
      </c>
      <c r="E45" s="108">
        <v>124.3708050917437</v>
      </c>
      <c r="F45" s="105">
        <f t="shared" si="0"/>
        <v>3337.0940366177692</v>
      </c>
      <c r="H45" s="73">
        <v>3176.1</v>
      </c>
      <c r="I45" s="106">
        <f t="shared" si="1"/>
        <v>-160.99403661776932</v>
      </c>
    </row>
    <row r="46" spans="1:9" ht="16">
      <c r="A46" s="1">
        <v>1361.7585411778514</v>
      </c>
      <c r="B46" s="1">
        <v>1232.4504472826511</v>
      </c>
      <c r="C46" s="107">
        <v>35.218449719109231</v>
      </c>
      <c r="D46" s="1">
        <v>511.69645799426644</v>
      </c>
      <c r="E46" s="108">
        <v>116.44977311611156</v>
      </c>
      <c r="F46" s="105">
        <f t="shared" si="0"/>
        <v>3257.5736692899895</v>
      </c>
      <c r="H46" s="73">
        <v>3381.5</v>
      </c>
      <c r="I46" s="106">
        <f t="shared" si="1"/>
        <v>123.92633071001046</v>
      </c>
    </row>
    <row r="47" spans="1:9" ht="16">
      <c r="A47" s="1">
        <v>1342.6137877426802</v>
      </c>
      <c r="B47" s="1">
        <v>1235.5687923121266</v>
      </c>
      <c r="C47" s="107">
        <v>39.062658599559825</v>
      </c>
      <c r="D47" s="1">
        <v>528.18639105547652</v>
      </c>
      <c r="E47" s="108">
        <v>122.27927881546083</v>
      </c>
      <c r="F47" s="105">
        <f t="shared" si="0"/>
        <v>3267.7109085253037</v>
      </c>
      <c r="H47" s="73">
        <v>3364.9</v>
      </c>
      <c r="I47" s="106">
        <f t="shared" si="1"/>
        <v>97.189091474696397</v>
      </c>
    </row>
    <row r="48" spans="1:9" ht="16">
      <c r="A48" s="1">
        <v>1438.9495567458025</v>
      </c>
      <c r="B48" s="1">
        <v>1252.0143652068891</v>
      </c>
      <c r="C48" s="107">
        <v>43.972593363087007</v>
      </c>
      <c r="D48" s="1">
        <v>522.55514129393839</v>
      </c>
      <c r="E48" s="108">
        <v>123.06826381673488</v>
      </c>
      <c r="F48" s="105">
        <f t="shared" si="0"/>
        <v>3380.5599204264522</v>
      </c>
      <c r="H48" s="73">
        <v>3249</v>
      </c>
      <c r="I48" s="106">
        <f t="shared" si="1"/>
        <v>-131.55992042645221</v>
      </c>
    </row>
    <row r="49" spans="1:9" ht="16">
      <c r="A49" s="1">
        <v>1334.2687446547836</v>
      </c>
      <c r="B49" s="1">
        <v>1218.2239986561526</v>
      </c>
      <c r="C49" s="107">
        <v>37.213555244211435</v>
      </c>
      <c r="D49" s="1">
        <v>486.80588282009177</v>
      </c>
      <c r="E49" s="108">
        <v>112.20335198297973</v>
      </c>
      <c r="F49" s="105">
        <f t="shared" si="0"/>
        <v>3188.7155333582191</v>
      </c>
      <c r="H49" s="73">
        <v>3179.2</v>
      </c>
      <c r="I49" s="106">
        <f t="shared" si="1"/>
        <v>-9.5155333582192725</v>
      </c>
    </row>
    <row r="50" spans="1:9" ht="16">
      <c r="A50" s="1">
        <v>1324.6236687034432</v>
      </c>
      <c r="B50" s="1">
        <v>1182.8081672497387</v>
      </c>
      <c r="C50" s="107">
        <v>37.217511618760476</v>
      </c>
      <c r="D50" s="1">
        <v>463.50022530916834</v>
      </c>
      <c r="E50" s="108">
        <v>121.06714495687703</v>
      </c>
      <c r="F50" s="105">
        <f t="shared" si="0"/>
        <v>3129.2167178379877</v>
      </c>
      <c r="H50" s="73">
        <v>3005.9</v>
      </c>
      <c r="I50" s="106">
        <f t="shared" si="1"/>
        <v>-123.31671783798765</v>
      </c>
    </row>
    <row r="51" spans="1:9" ht="16">
      <c r="A51" s="1">
        <v>1270.7357098518887</v>
      </c>
      <c r="B51" s="1">
        <v>1176.0894159863906</v>
      </c>
      <c r="C51" s="107">
        <v>32.021541511714503</v>
      </c>
      <c r="D51" s="1">
        <v>463.75539151487078</v>
      </c>
      <c r="E51" s="108">
        <v>109.18751739717094</v>
      </c>
      <c r="F51" s="105">
        <f t="shared" si="0"/>
        <v>3051.7895762620351</v>
      </c>
      <c r="H51" s="73">
        <v>3004.8</v>
      </c>
      <c r="I51" s="106">
        <f t="shared" si="1"/>
        <v>-46.989576262034916</v>
      </c>
    </row>
    <row r="52" spans="1:9" ht="16">
      <c r="A52" s="1">
        <v>1189.1105785682248</v>
      </c>
      <c r="B52" s="1">
        <v>1182.8826576465517</v>
      </c>
      <c r="C52" s="107">
        <v>30.008122696272412</v>
      </c>
      <c r="D52" s="1">
        <v>458.62550396392652</v>
      </c>
      <c r="E52" s="108">
        <v>106.65374980360343</v>
      </c>
      <c r="F52" s="105">
        <f t="shared" si="0"/>
        <v>2967.280612678579</v>
      </c>
      <c r="H52" s="73">
        <v>2931.1</v>
      </c>
      <c r="I52" s="106">
        <f t="shared" si="1"/>
        <v>-36.180612678579109</v>
      </c>
    </row>
    <row r="53" spans="1:9" ht="16">
      <c r="A53" s="1">
        <v>1277.9193450248908</v>
      </c>
      <c r="B53" s="1">
        <v>1231.6587148780059</v>
      </c>
      <c r="C53" s="107">
        <v>35.303197600192739</v>
      </c>
      <c r="D53" s="1">
        <v>511.06848658651199</v>
      </c>
      <c r="E53" s="108">
        <v>114.91068295803628</v>
      </c>
      <c r="F53" s="105">
        <f t="shared" si="0"/>
        <v>3170.8604270476376</v>
      </c>
      <c r="H53" s="73">
        <v>3103.5</v>
      </c>
      <c r="I53" s="106">
        <f t="shared" si="1"/>
        <v>-67.360427047637586</v>
      </c>
    </row>
    <row r="54" spans="1:9" ht="16">
      <c r="A54" s="1">
        <v>1240.2218892658482</v>
      </c>
      <c r="B54" s="1">
        <v>1246.3841657966038</v>
      </c>
      <c r="C54" s="107">
        <v>36.176875497964296</v>
      </c>
      <c r="D54" s="1">
        <v>542.5845564628288</v>
      </c>
      <c r="E54" s="108">
        <v>115.98650466682128</v>
      </c>
      <c r="F54" s="105">
        <f t="shared" si="0"/>
        <v>3181.3539916900668</v>
      </c>
      <c r="H54" s="73">
        <v>3054.9</v>
      </c>
      <c r="I54" s="106">
        <f t="shared" si="1"/>
        <v>-126.45399169006669</v>
      </c>
    </row>
    <row r="55" spans="1:9" ht="16">
      <c r="A55" s="1">
        <v>1249.3029923712202</v>
      </c>
      <c r="B55" s="1">
        <v>1281.5440184230556</v>
      </c>
      <c r="C55" s="107">
        <v>34.980170281832422</v>
      </c>
      <c r="D55" s="1">
        <v>574.28037842867559</v>
      </c>
      <c r="E55" s="108">
        <v>119.03249525801267</v>
      </c>
      <c r="F55" s="105">
        <f t="shared" si="0"/>
        <v>3259.1400547627964</v>
      </c>
      <c r="H55" s="73">
        <v>3425.6</v>
      </c>
      <c r="I55" s="106">
        <f t="shared" si="1"/>
        <v>166.45994523720356</v>
      </c>
    </row>
    <row r="56" spans="1:9" ht="16">
      <c r="A56" s="1">
        <v>1294.6380257727549</v>
      </c>
      <c r="B56" s="1">
        <v>1259.0851500557569</v>
      </c>
      <c r="C56" s="107">
        <v>36.376907765702995</v>
      </c>
      <c r="D56" s="1">
        <v>591.93464917364884</v>
      </c>
      <c r="E56" s="108">
        <v>120.50790312705327</v>
      </c>
      <c r="F56" s="105">
        <f t="shared" si="0"/>
        <v>3302.5426358949167</v>
      </c>
      <c r="H56" s="73">
        <v>3414.1</v>
      </c>
      <c r="I56" s="106">
        <f t="shared" si="1"/>
        <v>111.55736410508325</v>
      </c>
    </row>
    <row r="57" spans="1:9" ht="16">
      <c r="A57" s="1">
        <v>1329.1194535952729</v>
      </c>
      <c r="B57" s="1">
        <v>1299.3268362421447</v>
      </c>
      <c r="C57" s="107">
        <v>37.340204853272112</v>
      </c>
      <c r="D57" s="1">
        <v>574.46064374904017</v>
      </c>
      <c r="E57" s="108">
        <v>121.32210285979964</v>
      </c>
      <c r="F57" s="105">
        <f t="shared" si="0"/>
        <v>3361.5692412995295</v>
      </c>
      <c r="H57" s="73">
        <v>3342.7</v>
      </c>
      <c r="I57" s="106">
        <f t="shared" si="1"/>
        <v>-18.869241299529676</v>
      </c>
    </row>
    <row r="58" spans="1:9" ht="16">
      <c r="A58" s="1">
        <v>1378.8715268327849</v>
      </c>
      <c r="B58" s="1">
        <v>1266.0679309663237</v>
      </c>
      <c r="C58" s="107">
        <v>37.111488696528937</v>
      </c>
      <c r="D58" s="1">
        <v>553.61582155209453</v>
      </c>
      <c r="E58" s="108">
        <v>131.96011802455843</v>
      </c>
      <c r="F58" s="105">
        <f t="shared" si="0"/>
        <v>3367.6268860722907</v>
      </c>
      <c r="H58" s="73">
        <v>3395.7</v>
      </c>
      <c r="I58" s="106">
        <f t="shared" si="1"/>
        <v>28.073113927709073</v>
      </c>
    </row>
    <row r="59" spans="1:9" ht="16">
      <c r="A59" s="1">
        <v>1364.5168939167027</v>
      </c>
      <c r="B59" s="1">
        <v>1269.19490013069</v>
      </c>
      <c r="C59" s="107">
        <v>38.431242196187704</v>
      </c>
      <c r="D59" s="1">
        <v>563.49597763558734</v>
      </c>
      <c r="E59" s="108">
        <v>161.03181354732683</v>
      </c>
      <c r="F59" s="105">
        <f t="shared" si="0"/>
        <v>3396.6708274264943</v>
      </c>
      <c r="H59" s="73">
        <v>3419.5</v>
      </c>
      <c r="I59" s="106">
        <f t="shared" si="1"/>
        <v>22.82917257350573</v>
      </c>
    </row>
    <row r="60" spans="1:9" ht="16">
      <c r="A60" s="1">
        <v>1405.3551482117477</v>
      </c>
      <c r="B60" s="1">
        <v>1286.0109390316659</v>
      </c>
      <c r="C60" s="107">
        <v>31.680523757145703</v>
      </c>
      <c r="D60" s="1">
        <v>578.92320674657969</v>
      </c>
      <c r="E60" s="108">
        <v>169.83297503513941</v>
      </c>
      <c r="F60" s="105">
        <f t="shared" si="0"/>
        <v>3471.8027927822786</v>
      </c>
      <c r="H60" s="73">
        <v>3379.9</v>
      </c>
      <c r="I60" s="106">
        <f t="shared" si="1"/>
        <v>-91.902792782278539</v>
      </c>
    </row>
    <row r="61" spans="1:9" ht="16">
      <c r="A61" s="1">
        <v>1337.7017665456797</v>
      </c>
      <c r="B61" s="1">
        <v>1251.2283637092471</v>
      </c>
      <c r="C61" s="107">
        <v>29.854575318419791</v>
      </c>
      <c r="D61" s="1">
        <v>507.4866685862778</v>
      </c>
      <c r="E61" s="108">
        <v>166.48930692475196</v>
      </c>
      <c r="F61" s="105">
        <f t="shared" si="0"/>
        <v>3292.7606810843763</v>
      </c>
      <c r="H61" s="73">
        <v>3345.1</v>
      </c>
      <c r="I61" s="106">
        <f t="shared" si="1"/>
        <v>52.339318915623608</v>
      </c>
    </row>
    <row r="62" spans="1:9" ht="16">
      <c r="A62" s="1">
        <v>1344.5137750973227</v>
      </c>
      <c r="B62" s="1">
        <v>1214.7808554089063</v>
      </c>
      <c r="C62" s="107">
        <v>30.485671813045748</v>
      </c>
      <c r="D62" s="1">
        <v>506.15263237344953</v>
      </c>
      <c r="E62" s="108">
        <v>166.82319872023595</v>
      </c>
      <c r="F62" s="105">
        <f t="shared" si="0"/>
        <v>3262.7561334129605</v>
      </c>
      <c r="H62" s="73">
        <v>3242.9</v>
      </c>
      <c r="I62" s="106">
        <f t="shared" si="1"/>
        <v>-19.856133412960389</v>
      </c>
    </row>
    <row r="63" spans="1:9" ht="16">
      <c r="A63" s="1">
        <v>1356.3966985471279</v>
      </c>
      <c r="B63" s="1">
        <v>1207.809036903049</v>
      </c>
      <c r="C63" s="107">
        <v>30.969803124881391</v>
      </c>
      <c r="D63" s="1">
        <v>479.42590116343888</v>
      </c>
      <c r="E63" s="108">
        <v>164.21975583270449</v>
      </c>
      <c r="F63" s="105">
        <f t="shared" si="0"/>
        <v>3238.8211955712013</v>
      </c>
      <c r="H63" s="73">
        <v>3287.1</v>
      </c>
      <c r="I63" s="106">
        <f t="shared" si="1"/>
        <v>48.278804428798594</v>
      </c>
    </row>
    <row r="64" spans="1:9" ht="16">
      <c r="A64" s="1">
        <v>1314.902091691873</v>
      </c>
      <c r="B64" s="1">
        <v>1214.713953176986</v>
      </c>
      <c r="C64" s="107">
        <v>29.109456056557853</v>
      </c>
      <c r="D64" s="1">
        <v>498.87418005027797</v>
      </c>
      <c r="E64" s="108">
        <v>163.63075365642138</v>
      </c>
      <c r="F64" s="105">
        <f t="shared" si="0"/>
        <v>3221.2304346321162</v>
      </c>
      <c r="H64" s="73">
        <v>3420.6</v>
      </c>
      <c r="I64" s="106">
        <f t="shared" si="1"/>
        <v>199.36956536788375</v>
      </c>
    </row>
    <row r="65" spans="1:9" ht="16">
      <c r="A65" s="1">
        <v>1417.9763208993456</v>
      </c>
      <c r="B65" s="1">
        <v>1264.72841232461</v>
      </c>
      <c r="C65" s="107">
        <v>33.58929733899118</v>
      </c>
      <c r="D65" s="1">
        <v>587.77553616226555</v>
      </c>
      <c r="E65" s="108">
        <v>173.66483809169182</v>
      </c>
      <c r="F65" s="105">
        <f t="shared" si="0"/>
        <v>3477.7344048169039</v>
      </c>
      <c r="H65" s="73">
        <v>3588.8</v>
      </c>
      <c r="I65" s="106">
        <f t="shared" si="1"/>
        <v>111.06559518309632</v>
      </c>
    </row>
    <row r="66" spans="1:9" ht="16">
      <c r="A66" s="1">
        <v>1391.2820696640315</v>
      </c>
      <c r="B66" s="1">
        <v>1279.7745273787154</v>
      </c>
      <c r="C66" s="107">
        <v>34.238863669751929</v>
      </c>
      <c r="D66" s="1">
        <v>602.16317744077094</v>
      </c>
      <c r="E66" s="108">
        <v>171.23074145978623</v>
      </c>
      <c r="F66" s="105">
        <f t="shared" si="0"/>
        <v>3478.6893796130562</v>
      </c>
      <c r="H66" s="73">
        <v>3479.4</v>
      </c>
      <c r="I66" s="106">
        <f t="shared" si="1"/>
        <v>0.71062038694390139</v>
      </c>
    </row>
    <row r="67" spans="1:9" ht="16">
      <c r="A67" s="1">
        <v>1503.9613681386063</v>
      </c>
      <c r="B67" s="1">
        <v>1315.7998293552655</v>
      </c>
      <c r="C67" s="107">
        <v>34.412684987439995</v>
      </c>
      <c r="D67" s="1">
        <v>605.53548874949774</v>
      </c>
      <c r="E67" s="108">
        <v>175.93186731983448</v>
      </c>
      <c r="F67" s="105">
        <f t="shared" ref="F67:F130" si="2">A67+B67+C67+D67+E67</f>
        <v>3635.6412385506442</v>
      </c>
      <c r="H67" s="73">
        <v>3718.7</v>
      </c>
      <c r="I67" s="106">
        <f t="shared" ref="I67:I130" si="3">H67-F67</f>
        <v>83.058761449355643</v>
      </c>
    </row>
    <row r="68" spans="1:9" ht="16">
      <c r="A68" s="1">
        <v>1515.7759058321826</v>
      </c>
      <c r="B68" s="1">
        <v>1292.6658317223187</v>
      </c>
      <c r="C68" s="107">
        <v>33.38922676044951</v>
      </c>
      <c r="D68" s="1">
        <v>610.58352698931174</v>
      </c>
      <c r="E68" s="108">
        <v>176.86302955353932</v>
      </c>
      <c r="F68" s="105">
        <f t="shared" si="2"/>
        <v>3629.2775208578023</v>
      </c>
      <c r="H68" s="73">
        <v>3571.7</v>
      </c>
      <c r="I68" s="106">
        <f t="shared" si="3"/>
        <v>-57.577520857802483</v>
      </c>
    </row>
    <row r="69" spans="1:9" ht="16">
      <c r="A69" s="1">
        <v>1490.3638542457602</v>
      </c>
      <c r="B69" s="1">
        <v>1333.9039421943614</v>
      </c>
      <c r="C69" s="107">
        <v>32.609366665204099</v>
      </c>
      <c r="D69" s="1">
        <v>558.87955208387734</v>
      </c>
      <c r="E69" s="108">
        <v>180.80105165929123</v>
      </c>
      <c r="F69" s="105">
        <f t="shared" si="2"/>
        <v>3596.5577668484948</v>
      </c>
      <c r="H69" s="73">
        <v>3601.5</v>
      </c>
      <c r="I69" s="106">
        <f t="shared" si="3"/>
        <v>4.9422331515052065</v>
      </c>
    </row>
    <row r="70" spans="1:9" ht="16">
      <c r="A70" s="1">
        <v>1508.2002465149817</v>
      </c>
      <c r="B70" s="1">
        <v>1299.6854146499963</v>
      </c>
      <c r="C70" s="107">
        <v>33.236890528272312</v>
      </c>
      <c r="D70" s="1">
        <v>531.04623399008142</v>
      </c>
      <c r="E70" s="108">
        <v>202.42290935730009</v>
      </c>
      <c r="F70" s="105">
        <f t="shared" si="2"/>
        <v>3574.5916950406317</v>
      </c>
      <c r="H70" s="73">
        <v>3555.8</v>
      </c>
      <c r="I70" s="106">
        <f t="shared" si="3"/>
        <v>-18.791695040631566</v>
      </c>
    </row>
    <row r="71" spans="1:9" ht="16">
      <c r="A71" s="1">
        <v>1487.4746631721193</v>
      </c>
      <c r="B71" s="1">
        <v>1302.8210079492537</v>
      </c>
      <c r="C71" s="107">
        <v>33.746814434271229</v>
      </c>
      <c r="D71" s="1">
        <v>553.26935032626261</v>
      </c>
      <c r="E71" s="108">
        <v>184.75648633772136</v>
      </c>
      <c r="F71" s="105">
        <f t="shared" si="2"/>
        <v>3562.068322219628</v>
      </c>
      <c r="H71" s="73">
        <v>3514.9</v>
      </c>
      <c r="I71" s="106">
        <f t="shared" si="3"/>
        <v>-47.168322219627953</v>
      </c>
    </row>
    <row r="72" spans="1:9" ht="16">
      <c r="A72" s="1">
        <v>1510.2650586489642</v>
      </c>
      <c r="B72" s="1">
        <v>1320.0075128564426</v>
      </c>
      <c r="C72" s="107">
        <v>27.974669945552932</v>
      </c>
      <c r="D72" s="1">
        <v>571.06097650441041</v>
      </c>
      <c r="E72" s="108">
        <v>177.01327754420092</v>
      </c>
      <c r="F72" s="105">
        <f t="shared" si="2"/>
        <v>3606.3214954995706</v>
      </c>
      <c r="H72" s="73">
        <v>3614.4</v>
      </c>
      <c r="I72" s="106">
        <f t="shared" si="3"/>
        <v>8.0785045004295171</v>
      </c>
    </row>
    <row r="73" spans="1:9" ht="16">
      <c r="A73" s="1">
        <v>1461.6381939783034</v>
      </c>
      <c r="B73" s="1">
        <v>1284.2327287623416</v>
      </c>
      <c r="C73" s="107">
        <v>29.684760309555429</v>
      </c>
      <c r="D73" s="1">
        <v>521.13334920416423</v>
      </c>
      <c r="E73" s="108">
        <v>180.81340536478041</v>
      </c>
      <c r="F73" s="105">
        <f t="shared" si="2"/>
        <v>3477.5024376191454</v>
      </c>
      <c r="H73" s="73">
        <v>3656</v>
      </c>
      <c r="I73" s="106">
        <f t="shared" si="3"/>
        <v>178.49756238085456</v>
      </c>
    </row>
    <row r="74" spans="1:9" ht="16">
      <c r="A74" s="1">
        <v>1476.874198532593</v>
      </c>
      <c r="B74" s="1">
        <v>1246.7535435680741</v>
      </c>
      <c r="C74" s="107">
        <v>29.16490941197463</v>
      </c>
      <c r="D74" s="1">
        <v>518.02118552828188</v>
      </c>
      <c r="E74" s="108">
        <v>180.45277508886383</v>
      </c>
      <c r="F74" s="105">
        <f t="shared" si="2"/>
        <v>3451.2666121297875</v>
      </c>
      <c r="H74" s="73">
        <v>3470.4</v>
      </c>
      <c r="I74" s="106">
        <f t="shared" si="3"/>
        <v>19.133387870212573</v>
      </c>
    </row>
    <row r="75" spans="1:9" ht="16">
      <c r="A75" s="1">
        <v>1477.0160424768628</v>
      </c>
      <c r="B75" s="1">
        <v>1239.5286578197074</v>
      </c>
      <c r="C75" s="107">
        <v>29.546220174790843</v>
      </c>
      <c r="D75" s="1">
        <v>490.72861269798022</v>
      </c>
      <c r="E75" s="108">
        <v>177.95211596517584</v>
      </c>
      <c r="F75" s="105">
        <f t="shared" si="2"/>
        <v>3414.7716491345172</v>
      </c>
      <c r="H75" s="73">
        <v>3426.5</v>
      </c>
      <c r="I75" s="106">
        <f t="shared" si="3"/>
        <v>11.728350865482753</v>
      </c>
    </row>
    <row r="76" spans="1:9" ht="16">
      <c r="A76" s="1">
        <v>1417.1765781150589</v>
      </c>
      <c r="B76" s="1">
        <v>1246.5452487074203</v>
      </c>
      <c r="C76" s="107">
        <v>30.116621269287215</v>
      </c>
      <c r="D76" s="1">
        <v>474.21952155084421</v>
      </c>
      <c r="E76" s="108">
        <v>175.15747634026559</v>
      </c>
      <c r="F76" s="105">
        <f t="shared" si="2"/>
        <v>3343.2154459828762</v>
      </c>
      <c r="H76" s="73">
        <v>3308</v>
      </c>
      <c r="I76" s="106">
        <f t="shared" si="3"/>
        <v>-35.21544598287619</v>
      </c>
    </row>
    <row r="77" spans="1:9" ht="16">
      <c r="A77" s="1">
        <v>1515.8196107031022</v>
      </c>
      <c r="B77" s="1">
        <v>1297.7981097712141</v>
      </c>
      <c r="C77" s="107">
        <v>28.569670373642662</v>
      </c>
      <c r="D77" s="1">
        <v>528.39774744801741</v>
      </c>
      <c r="E77" s="108">
        <v>176.83942395099382</v>
      </c>
      <c r="F77" s="105">
        <f t="shared" si="2"/>
        <v>3547.4245622469703</v>
      </c>
      <c r="H77" s="73">
        <v>3489.2</v>
      </c>
      <c r="I77" s="106">
        <f t="shared" si="3"/>
        <v>-58.224562246970436</v>
      </c>
    </row>
    <row r="78" spans="1:9" ht="16">
      <c r="A78" s="1">
        <v>1455.7769114700498</v>
      </c>
      <c r="B78" s="1">
        <v>1313.1648889608271</v>
      </c>
      <c r="C78" s="107">
        <v>28.248248539767037</v>
      </c>
      <c r="D78" s="1">
        <v>560.77792246571698</v>
      </c>
      <c r="E78" s="108">
        <v>176.51548824130381</v>
      </c>
      <c r="F78" s="105">
        <f t="shared" si="2"/>
        <v>3534.483459677665</v>
      </c>
      <c r="H78" s="73">
        <v>3552</v>
      </c>
      <c r="I78" s="106">
        <f t="shared" si="3"/>
        <v>17.516540322335004</v>
      </c>
    </row>
    <row r="79" spans="1:9" ht="16">
      <c r="A79" s="1">
        <v>1522.7264705413386</v>
      </c>
      <c r="B79" s="1">
        <v>1350.0556402874754</v>
      </c>
      <c r="C79" s="107">
        <v>32.191107424997355</v>
      </c>
      <c r="D79" s="1">
        <v>600.22740710713504</v>
      </c>
      <c r="E79" s="108">
        <v>191.37776298113661</v>
      </c>
      <c r="F79" s="105">
        <f t="shared" si="2"/>
        <v>3696.5783883420831</v>
      </c>
      <c r="H79" s="73">
        <v>3859.7</v>
      </c>
      <c r="I79" s="106">
        <f t="shared" si="3"/>
        <v>163.12161165791667</v>
      </c>
    </row>
    <row r="80" spans="1:9" ht="16">
      <c r="A80" s="1">
        <v>1544.7587571870552</v>
      </c>
      <c r="B80" s="1">
        <v>1326.2465133888804</v>
      </c>
      <c r="C80" s="107">
        <v>29.707346645313741</v>
      </c>
      <c r="D80" s="1">
        <v>572.24875754919185</v>
      </c>
      <c r="E80" s="108">
        <v>189.40121883189639</v>
      </c>
      <c r="F80" s="105">
        <f t="shared" si="2"/>
        <v>3662.3625936023377</v>
      </c>
      <c r="H80" s="73">
        <v>3639.9</v>
      </c>
      <c r="I80" s="106">
        <f t="shared" si="3"/>
        <v>-22.46259360233762</v>
      </c>
    </row>
    <row r="81" spans="1:9" ht="16">
      <c r="A81" s="1">
        <v>1572.3228849653935</v>
      </c>
      <c r="B81" s="1">
        <v>1368.4810481465781</v>
      </c>
      <c r="C81" s="107">
        <v>29.29415525353739</v>
      </c>
      <c r="D81" s="1">
        <v>566.69876320981064</v>
      </c>
      <c r="E81" s="108">
        <v>194.46520839698326</v>
      </c>
      <c r="F81" s="105">
        <f t="shared" si="2"/>
        <v>3731.2620599723032</v>
      </c>
      <c r="H81" s="73">
        <v>3854.2</v>
      </c>
      <c r="I81" s="106">
        <f t="shared" si="3"/>
        <v>122.93794002769664</v>
      </c>
    </row>
    <row r="82" spans="1:9" ht="16">
      <c r="A82" s="1">
        <v>1571.685496900649</v>
      </c>
      <c r="B82" s="1">
        <v>1333.302898333669</v>
      </c>
      <c r="C82" s="107">
        <v>29.869405956682535</v>
      </c>
      <c r="D82" s="1">
        <v>580.07246297520896</v>
      </c>
      <c r="E82" s="108">
        <v>201.81056376787674</v>
      </c>
      <c r="F82" s="105">
        <f t="shared" si="2"/>
        <v>3716.7408279340862</v>
      </c>
      <c r="H82" s="73">
        <v>3697.8</v>
      </c>
      <c r="I82" s="106">
        <f t="shared" si="3"/>
        <v>-18.940827934085974</v>
      </c>
    </row>
    <row r="83" spans="1:9" ht="16">
      <c r="A83" s="1">
        <v>1523.6525877867364</v>
      </c>
      <c r="B83" s="1">
        <v>1336.4471157678174</v>
      </c>
      <c r="C83" s="107">
        <v>29.801830637041995</v>
      </c>
      <c r="D83" s="1">
        <v>574.68532202503752</v>
      </c>
      <c r="E83" s="108">
        <v>191.95381472539302</v>
      </c>
      <c r="F83" s="105">
        <f t="shared" si="2"/>
        <v>3656.5406709420263</v>
      </c>
      <c r="H83" s="73">
        <v>3582</v>
      </c>
      <c r="I83" s="106">
        <f t="shared" si="3"/>
        <v>-74.540670942026281</v>
      </c>
    </row>
    <row r="84" spans="1:9" ht="16">
      <c r="A84" s="1">
        <v>1553.7008295625453</v>
      </c>
      <c r="B84" s="1">
        <v>1354.0040866812196</v>
      </c>
      <c r="C84" s="107">
        <v>27.87523344365869</v>
      </c>
      <c r="D84" s="1">
        <v>568.48761662366201</v>
      </c>
      <c r="E84" s="108">
        <v>192.15881647349551</v>
      </c>
      <c r="F84" s="105">
        <f t="shared" si="2"/>
        <v>3696.2265827845808</v>
      </c>
      <c r="H84" s="73">
        <v>3652.8</v>
      </c>
      <c r="I84" s="106">
        <f t="shared" si="3"/>
        <v>-43.42658278458066</v>
      </c>
    </row>
    <row r="85" spans="1:9" ht="16">
      <c r="A85" s="1">
        <v>1502.7005860794231</v>
      </c>
      <c r="B85" s="1">
        <v>1317.2370938154361</v>
      </c>
      <c r="C85" s="107">
        <v>28.033685297521103</v>
      </c>
      <c r="D85" s="1">
        <v>508.013984377616</v>
      </c>
      <c r="E85" s="108">
        <v>191.7574111185958</v>
      </c>
      <c r="F85" s="105">
        <f t="shared" si="2"/>
        <v>3547.7427606885922</v>
      </c>
      <c r="H85" s="73">
        <v>3474.7</v>
      </c>
      <c r="I85" s="106">
        <f t="shared" si="3"/>
        <v>-73.042760688592352</v>
      </c>
    </row>
    <row r="86" spans="1:9" ht="16">
      <c r="A86" s="1">
        <v>1475.8056245050627</v>
      </c>
      <c r="B86" s="1">
        <v>1278.7262317272416</v>
      </c>
      <c r="C86" s="107">
        <v>24.805632472435935</v>
      </c>
      <c r="D86" s="1">
        <v>498.65300450965765</v>
      </c>
      <c r="E86" s="108">
        <v>181.69914524201943</v>
      </c>
      <c r="F86" s="105">
        <f t="shared" si="2"/>
        <v>3459.6896384564175</v>
      </c>
      <c r="H86" s="73">
        <v>3413.9</v>
      </c>
      <c r="I86" s="106">
        <f t="shared" si="3"/>
        <v>-45.789638456417379</v>
      </c>
    </row>
    <row r="87" spans="1:9" ht="16">
      <c r="A87" s="1">
        <v>1474.5654529890805</v>
      </c>
      <c r="B87" s="1">
        <v>1271.2482787363658</v>
      </c>
      <c r="C87" s="107">
        <v>23.378632140644338</v>
      </c>
      <c r="D87" s="1">
        <v>492.66077276214071</v>
      </c>
      <c r="E87" s="108">
        <v>185.82146291171364</v>
      </c>
      <c r="F87" s="105">
        <f t="shared" si="2"/>
        <v>3447.6745995399451</v>
      </c>
      <c r="H87" s="73">
        <v>3520.9</v>
      </c>
      <c r="I87" s="106">
        <f t="shared" si="3"/>
        <v>73.225400460054971</v>
      </c>
    </row>
    <row r="88" spans="1:9" ht="16">
      <c r="A88" s="1">
        <v>1398.45524303152</v>
      </c>
      <c r="B88" s="1">
        <v>1278.3765442378547</v>
      </c>
      <c r="C88" s="107">
        <v>25.738064903175296</v>
      </c>
      <c r="D88" s="1">
        <v>518.55053231665397</v>
      </c>
      <c r="E88" s="108">
        <v>182.80312709306222</v>
      </c>
      <c r="F88" s="105">
        <f t="shared" si="2"/>
        <v>3403.9235115822662</v>
      </c>
      <c r="H88" s="73">
        <v>3464.8</v>
      </c>
      <c r="I88" s="106">
        <f t="shared" si="3"/>
        <v>60.876488417733981</v>
      </c>
    </row>
    <row r="89" spans="1:9" ht="16">
      <c r="A89" s="1">
        <v>1526.0507420081824</v>
      </c>
      <c r="B89" s="1">
        <v>1330.8678072178179</v>
      </c>
      <c r="C89" s="107">
        <v>25.611728352037943</v>
      </c>
      <c r="D89" s="1">
        <v>549.13367549119425</v>
      </c>
      <c r="E89" s="108">
        <v>192.53125375644518</v>
      </c>
      <c r="F89" s="105">
        <f t="shared" si="2"/>
        <v>3624.1952068256778</v>
      </c>
      <c r="H89" s="73">
        <v>3713.5</v>
      </c>
      <c r="I89" s="106">
        <f t="shared" si="3"/>
        <v>89.304793174322185</v>
      </c>
    </row>
    <row r="90" spans="1:9" ht="16">
      <c r="A90" s="1">
        <v>1517.6155739657722</v>
      </c>
      <c r="B90" s="1">
        <v>1346.5552505429387</v>
      </c>
      <c r="C90" s="107">
        <v>26.370445568185058</v>
      </c>
      <c r="D90" s="1">
        <v>566.15709405864698</v>
      </c>
      <c r="E90" s="108">
        <v>195.74373784327292</v>
      </c>
      <c r="F90" s="105">
        <f t="shared" si="2"/>
        <v>3652.442101978816</v>
      </c>
      <c r="H90" s="73">
        <v>3689.9</v>
      </c>
      <c r="I90" s="106">
        <f t="shared" si="3"/>
        <v>37.457898021184064</v>
      </c>
    </row>
    <row r="91" spans="1:9" ht="16">
      <c r="A91" s="1">
        <v>1615.6893389074892</v>
      </c>
      <c r="B91" s="1">
        <v>1384.3114512196851</v>
      </c>
      <c r="C91" s="107">
        <v>28.056561235164146</v>
      </c>
      <c r="D91" s="1">
        <v>603.33164734080219</v>
      </c>
      <c r="E91" s="108">
        <v>204.66848770936429</v>
      </c>
      <c r="F91" s="105">
        <f t="shared" si="2"/>
        <v>3836.0574864125051</v>
      </c>
      <c r="H91" s="73">
        <v>3820</v>
      </c>
      <c r="I91" s="106">
        <f t="shared" si="3"/>
        <v>-16.057486412505114</v>
      </c>
    </row>
    <row r="92" spans="1:9" ht="16">
      <c r="A92" s="1">
        <v>1572.6074672229438</v>
      </c>
      <c r="B92" s="1">
        <v>1359.8271950554422</v>
      </c>
      <c r="C92" s="107">
        <v>24.803805357740519</v>
      </c>
      <c r="D92" s="1">
        <v>584.37166017473987</v>
      </c>
      <c r="E92" s="108">
        <v>194.74160340273846</v>
      </c>
      <c r="F92" s="105">
        <f t="shared" si="2"/>
        <v>3736.3517312136046</v>
      </c>
      <c r="H92" s="73">
        <v>3736</v>
      </c>
      <c r="I92" s="106">
        <f t="shared" si="3"/>
        <v>-0.35173121360458026</v>
      </c>
    </row>
    <row r="93" spans="1:9" ht="16">
      <c r="A93" s="1">
        <v>1586.3340797449259</v>
      </c>
      <c r="B93" s="1">
        <v>1403.0581540987951</v>
      </c>
      <c r="C93" s="107">
        <v>26.568567300084002</v>
      </c>
      <c r="D93" s="1">
        <v>566.63479313500204</v>
      </c>
      <c r="E93" s="108">
        <v>207.76384358980241</v>
      </c>
      <c r="F93" s="105">
        <f t="shared" si="2"/>
        <v>3790.3594378686093</v>
      </c>
      <c r="H93" s="73">
        <v>3869.3</v>
      </c>
      <c r="I93" s="106">
        <f t="shared" si="3"/>
        <v>78.940562131390834</v>
      </c>
    </row>
    <row r="94" spans="1:9" ht="16">
      <c r="A94" s="1">
        <v>1577.7801251298379</v>
      </c>
      <c r="B94" s="1">
        <v>1366.9203820173418</v>
      </c>
      <c r="C94" s="107">
        <v>25.621275237776679</v>
      </c>
      <c r="D94" s="1">
        <v>574.24013028051218</v>
      </c>
      <c r="E94" s="108">
        <v>202.07659594255571</v>
      </c>
      <c r="F94" s="105">
        <f t="shared" si="2"/>
        <v>3746.638508608024</v>
      </c>
      <c r="H94" s="73">
        <v>3833.2</v>
      </c>
      <c r="I94" s="106">
        <f t="shared" si="3"/>
        <v>86.561491391975778</v>
      </c>
    </row>
    <row r="95" spans="1:9" ht="16">
      <c r="A95" s="1">
        <v>1574.6597006176901</v>
      </c>
      <c r="B95" s="1">
        <v>1370.0732235863811</v>
      </c>
      <c r="C95" s="107">
        <v>24.144768223377909</v>
      </c>
      <c r="D95" s="1">
        <v>570.96406062259302</v>
      </c>
      <c r="E95" s="108">
        <v>194.03329478256376</v>
      </c>
      <c r="F95" s="105">
        <f t="shared" si="2"/>
        <v>3733.875047832606</v>
      </c>
      <c r="H95" s="73">
        <v>3716.3</v>
      </c>
      <c r="I95" s="106">
        <f t="shared" si="3"/>
        <v>-17.575047832605833</v>
      </c>
    </row>
    <row r="96" spans="1:9" ht="16">
      <c r="A96" s="1">
        <v>1601.1574390324329</v>
      </c>
      <c r="B96" s="1">
        <v>1388.0006605059964</v>
      </c>
      <c r="C96" s="107">
        <v>25.224242169715868</v>
      </c>
      <c r="D96" s="1">
        <v>572.56824907179725</v>
      </c>
      <c r="E96" s="108">
        <v>200.70841380202822</v>
      </c>
      <c r="F96" s="105">
        <f t="shared" si="2"/>
        <v>3787.6590045819707</v>
      </c>
      <c r="H96" s="73">
        <v>3772.2</v>
      </c>
      <c r="I96" s="106">
        <f t="shared" si="3"/>
        <v>-15.45900458197093</v>
      </c>
    </row>
    <row r="97" spans="1:9" ht="16">
      <c r="A97" s="1">
        <v>1557.4555241592523</v>
      </c>
      <c r="B97" s="1">
        <v>1350.2414588685303</v>
      </c>
      <c r="C97" s="107">
        <v>23.508394918849277</v>
      </c>
      <c r="D97" s="1">
        <v>534.04237430163266</v>
      </c>
      <c r="E97" s="108">
        <v>190.24326457501908</v>
      </c>
      <c r="F97" s="105">
        <f t="shared" si="2"/>
        <v>3655.4910168232836</v>
      </c>
      <c r="H97" s="73">
        <v>3650.8</v>
      </c>
      <c r="I97" s="106">
        <f t="shared" si="3"/>
        <v>-4.6910168232834621</v>
      </c>
    </row>
    <row r="98" spans="1:9" ht="16">
      <c r="A98" s="1">
        <v>1553.8565637439847</v>
      </c>
      <c r="B98" s="1">
        <v>1310.6989198864092</v>
      </c>
      <c r="C98" s="107">
        <v>22.006066000034838</v>
      </c>
      <c r="D98" s="1">
        <v>499.69838377070198</v>
      </c>
      <c r="E98" s="108">
        <v>191.80037986355092</v>
      </c>
      <c r="F98" s="105">
        <f t="shared" si="2"/>
        <v>3578.0603132646816</v>
      </c>
      <c r="H98" s="73">
        <v>3711</v>
      </c>
      <c r="I98" s="106">
        <f t="shared" si="3"/>
        <v>132.93968673531845</v>
      </c>
    </row>
    <row r="99" spans="1:9" ht="16">
      <c r="A99" s="1">
        <v>1546.3659176175825</v>
      </c>
      <c r="B99" s="1">
        <v>1302.9678996530242</v>
      </c>
      <c r="C99" s="107">
        <v>22.413934532826705</v>
      </c>
      <c r="D99" s="1">
        <v>498.75844602318756</v>
      </c>
      <c r="E99" s="108">
        <v>196.07914510414406</v>
      </c>
      <c r="F99" s="105">
        <f t="shared" si="2"/>
        <v>3566.5853429307649</v>
      </c>
      <c r="H99" s="73">
        <v>3470.8</v>
      </c>
      <c r="I99" s="106">
        <f t="shared" si="3"/>
        <v>-95.785342930764727</v>
      </c>
    </row>
    <row r="100" spans="1:9" ht="16">
      <c r="A100" s="1">
        <v>1473.8126583538838</v>
      </c>
      <c r="B100" s="1">
        <v>1310.2078397682892</v>
      </c>
      <c r="C100" s="107">
        <v>21.002139219018911</v>
      </c>
      <c r="D100" s="1">
        <v>505.42491962871634</v>
      </c>
      <c r="E100" s="108">
        <v>185.40703109707471</v>
      </c>
      <c r="F100" s="105">
        <f t="shared" si="2"/>
        <v>3495.8545880669831</v>
      </c>
      <c r="H100" s="73">
        <v>3397.3</v>
      </c>
      <c r="I100" s="106">
        <f t="shared" si="3"/>
        <v>-98.554588066982888</v>
      </c>
    </row>
    <row r="101" spans="1:9" ht="16">
      <c r="A101" s="1">
        <v>1548.539275808396</v>
      </c>
      <c r="B101" s="1">
        <v>1363.937504664422</v>
      </c>
      <c r="C101" s="107">
        <v>21.72941024545791</v>
      </c>
      <c r="D101" s="1">
        <v>544.8910421050922</v>
      </c>
      <c r="E101" s="108">
        <v>189.9365186224027</v>
      </c>
      <c r="F101" s="105">
        <f t="shared" si="2"/>
        <v>3669.033751445771</v>
      </c>
      <c r="H101" s="73">
        <v>3772</v>
      </c>
      <c r="I101" s="106">
        <f t="shared" si="3"/>
        <v>102.96624855422897</v>
      </c>
    </row>
    <row r="102" spans="1:9" ht="16">
      <c r="A102" s="1">
        <v>1521.4882625379967</v>
      </c>
      <c r="B102" s="1">
        <v>1379.9456121250505</v>
      </c>
      <c r="C102" s="107">
        <v>23.15231501464303</v>
      </c>
      <c r="D102" s="1">
        <v>598.56918797662013</v>
      </c>
      <c r="E102" s="108">
        <v>196.30223585482878</v>
      </c>
      <c r="F102" s="105">
        <f t="shared" si="2"/>
        <v>3719.4576135091393</v>
      </c>
      <c r="H102" s="73">
        <v>3793.3</v>
      </c>
      <c r="I102" s="106">
        <f t="shared" si="3"/>
        <v>73.842386490860918</v>
      </c>
    </row>
    <row r="103" spans="1:9" ht="16">
      <c r="A103" s="1">
        <v>1632.5771835370761</v>
      </c>
      <c r="B103" s="1">
        <v>1418.567262151895</v>
      </c>
      <c r="C103" s="107">
        <v>23.717106361664168</v>
      </c>
      <c r="D103" s="1">
        <v>629.88067948057221</v>
      </c>
      <c r="E103" s="108">
        <v>204.00400904038412</v>
      </c>
      <c r="F103" s="105">
        <f t="shared" si="2"/>
        <v>3908.7462405715919</v>
      </c>
      <c r="H103" s="73">
        <v>3853.7</v>
      </c>
      <c r="I103" s="106">
        <f t="shared" si="3"/>
        <v>-55.04624057159208</v>
      </c>
    </row>
    <row r="104" spans="1:9" ht="16">
      <c r="A104" s="1">
        <v>1590.6004751709872</v>
      </c>
      <c r="B104" s="1">
        <v>1393.4078767220042</v>
      </c>
      <c r="C104" s="107">
        <v>22.535662192144493</v>
      </c>
      <c r="D104" s="1">
        <v>602.82363547851241</v>
      </c>
      <c r="E104" s="108">
        <v>200.49018477043242</v>
      </c>
      <c r="F104" s="105">
        <f t="shared" si="2"/>
        <v>3809.8578343340805</v>
      </c>
      <c r="H104" s="73">
        <v>3904.5</v>
      </c>
      <c r="I104" s="106">
        <f t="shared" si="3"/>
        <v>94.642165665919492</v>
      </c>
    </row>
    <row r="105" spans="1:9" ht="16">
      <c r="A105" s="1">
        <v>1625.2515290056876</v>
      </c>
      <c r="B105" s="1">
        <v>1437.6352600510118</v>
      </c>
      <c r="C105" s="107">
        <v>23.73900107369149</v>
      </c>
      <c r="D105" s="1">
        <v>608.8075707889227</v>
      </c>
      <c r="E105" s="108">
        <v>207.70077852991398</v>
      </c>
      <c r="F105" s="105">
        <f t="shared" si="2"/>
        <v>3903.1341394492274</v>
      </c>
      <c r="H105" s="73">
        <v>3911.2</v>
      </c>
      <c r="I105" s="106">
        <f t="shared" si="3"/>
        <v>8.0658605507724133</v>
      </c>
    </row>
    <row r="106" spans="1:9" ht="16">
      <c r="A106" s="1">
        <v>1633.0448290700442</v>
      </c>
      <c r="B106" s="1">
        <v>1400.5378657010147</v>
      </c>
      <c r="C106" s="107">
        <v>21.990148393148505</v>
      </c>
      <c r="D106" s="1">
        <v>610.54076212984103</v>
      </c>
      <c r="E106" s="108">
        <v>205.09819209443347</v>
      </c>
      <c r="F106" s="105">
        <f t="shared" si="2"/>
        <v>3871.211797388482</v>
      </c>
      <c r="H106" s="73">
        <v>3832.5</v>
      </c>
      <c r="I106" s="106">
        <f t="shared" si="3"/>
        <v>-38.711797388481955</v>
      </c>
    </row>
    <row r="107" spans="1:9" ht="16">
      <c r="A107" s="1">
        <v>1598.1617964751965</v>
      </c>
      <c r="B107" s="1">
        <v>1403.6993314049448</v>
      </c>
      <c r="C107" s="107">
        <v>20.762104379763425</v>
      </c>
      <c r="D107" s="1">
        <v>539.85871235612194</v>
      </c>
      <c r="E107" s="108">
        <v>199.27825231628194</v>
      </c>
      <c r="F107" s="105">
        <f t="shared" si="2"/>
        <v>3761.7601969323086</v>
      </c>
      <c r="H107" s="73">
        <v>3717.4</v>
      </c>
      <c r="I107" s="106">
        <f t="shared" si="3"/>
        <v>-44.360196932308554</v>
      </c>
    </row>
    <row r="108" spans="1:9" ht="16">
      <c r="A108" s="1">
        <v>1610.2995489874725</v>
      </c>
      <c r="B108" s="1">
        <v>1421.9972343307734</v>
      </c>
      <c r="C108" s="107">
        <v>21.219351670483793</v>
      </c>
      <c r="D108" s="1">
        <v>581.29477538415119</v>
      </c>
      <c r="E108" s="108">
        <v>201.48663586075412</v>
      </c>
      <c r="F108" s="105">
        <f t="shared" si="2"/>
        <v>3836.2975462336349</v>
      </c>
      <c r="H108" s="73">
        <v>3884.6</v>
      </c>
      <c r="I108" s="106">
        <f t="shared" si="3"/>
        <v>48.302453766365034</v>
      </c>
    </row>
    <row r="109" spans="1:9" ht="16">
      <c r="A109" s="1">
        <v>1567.1035597939504</v>
      </c>
      <c r="B109" s="1">
        <v>1383.2458239216251</v>
      </c>
      <c r="C109" s="107">
        <v>19.294186259004345</v>
      </c>
      <c r="D109" s="1">
        <v>529.70505469038983</v>
      </c>
      <c r="E109" s="108">
        <v>195.99710532300051</v>
      </c>
      <c r="F109" s="105">
        <f t="shared" si="2"/>
        <v>3695.3457299879701</v>
      </c>
      <c r="H109" s="73">
        <v>3700.4</v>
      </c>
      <c r="I109" s="106">
        <f t="shared" si="3"/>
        <v>5.0542700120299742</v>
      </c>
    </row>
    <row r="110" spans="1:9" ht="16">
      <c r="A110" s="1">
        <v>1597.1475609382044</v>
      </c>
      <c r="B110" s="1">
        <v>1342.6716080455772</v>
      </c>
      <c r="C110" s="107">
        <v>19.922310257337145</v>
      </c>
      <c r="D110" s="1">
        <v>507.90423721897321</v>
      </c>
      <c r="E110" s="108">
        <v>199.50130953014997</v>
      </c>
      <c r="F110" s="105">
        <f t="shared" si="2"/>
        <v>3667.1470259902421</v>
      </c>
      <c r="H110" s="73">
        <v>3726.7</v>
      </c>
      <c r="I110" s="106">
        <f t="shared" si="3"/>
        <v>59.552974009757691</v>
      </c>
    </row>
    <row r="111" spans="1:9" ht="16">
      <c r="A111" s="1">
        <v>1572.1609761283323</v>
      </c>
      <c r="B111" s="1">
        <v>1334.6875205696829</v>
      </c>
      <c r="C111" s="107">
        <v>18.515187703260512</v>
      </c>
      <c r="D111" s="1">
        <v>497.3539584762803</v>
      </c>
      <c r="E111" s="108">
        <v>194.40196303406856</v>
      </c>
      <c r="F111" s="105">
        <f t="shared" si="2"/>
        <v>3617.1196059116241</v>
      </c>
      <c r="H111" s="73">
        <v>3680.6</v>
      </c>
      <c r="I111" s="106">
        <f t="shared" si="3"/>
        <v>63.48039408837576</v>
      </c>
    </row>
    <row r="112" spans="1:9" ht="16">
      <c r="A112" s="1">
        <v>1530.2542963922072</v>
      </c>
      <c r="B112" s="1">
        <v>1342.0391352987237</v>
      </c>
      <c r="C112" s="107">
        <v>17.880569684714935</v>
      </c>
      <c r="D112" s="1">
        <v>495.45368305696098</v>
      </c>
      <c r="E112" s="108">
        <v>185.42612333137953</v>
      </c>
      <c r="F112" s="105">
        <f t="shared" si="2"/>
        <v>3571.0538077639862</v>
      </c>
      <c r="H112" s="73">
        <v>3491.4</v>
      </c>
      <c r="I112" s="106">
        <f t="shared" si="3"/>
        <v>-79.653807763986151</v>
      </c>
    </row>
    <row r="113" spans="1:9" ht="16">
      <c r="A113" s="1">
        <v>1640.3536518065969</v>
      </c>
      <c r="B113" s="1">
        <v>1397.0072021110263</v>
      </c>
      <c r="C113" s="107">
        <v>19.755501064350522</v>
      </c>
      <c r="D113" s="1">
        <v>540.24084344002324</v>
      </c>
      <c r="E113" s="108">
        <v>196.38668844792844</v>
      </c>
      <c r="F113" s="105">
        <f t="shared" si="2"/>
        <v>3793.7438868699251</v>
      </c>
      <c r="H113" s="73">
        <v>3874.3</v>
      </c>
      <c r="I113" s="106">
        <f t="shared" si="3"/>
        <v>80.556113130075119</v>
      </c>
    </row>
    <row r="114" spans="1:9" ht="16">
      <c r="A114" s="1">
        <v>1614.504173951909</v>
      </c>
      <c r="B114" s="1">
        <v>1413.3359737071623</v>
      </c>
      <c r="C114" s="107">
        <v>20.390351021696656</v>
      </c>
      <c r="D114" s="1">
        <v>598.65046957447828</v>
      </c>
      <c r="E114" s="108">
        <v>202.6146975276271</v>
      </c>
      <c r="F114" s="105">
        <f t="shared" si="2"/>
        <v>3849.4956657828734</v>
      </c>
      <c r="H114" s="73">
        <v>3931.1</v>
      </c>
      <c r="I114" s="106">
        <f t="shared" si="3"/>
        <v>81.604334217126507</v>
      </c>
    </row>
    <row r="115" spans="1:9" ht="16">
      <c r="A115" s="1">
        <v>1701.1111826911788</v>
      </c>
      <c r="B115" s="1">
        <v>1452.8230730841051</v>
      </c>
      <c r="C115" s="107">
        <v>21.021110825606257</v>
      </c>
      <c r="D115" s="1">
        <v>636.29375677734402</v>
      </c>
      <c r="E115" s="108">
        <v>207.49557132013712</v>
      </c>
      <c r="F115" s="105">
        <f t="shared" si="2"/>
        <v>4018.7446946983709</v>
      </c>
      <c r="H115" s="73">
        <v>3973</v>
      </c>
      <c r="I115" s="106">
        <f t="shared" si="3"/>
        <v>-45.744694698370949</v>
      </c>
    </row>
    <row r="116" spans="1:9" ht="16">
      <c r="A116" s="1">
        <v>1673.8289696420152</v>
      </c>
      <c r="B116" s="1">
        <v>1426.9885583885662</v>
      </c>
      <c r="C116" s="107">
        <v>20.668783999835114</v>
      </c>
      <c r="D116" s="1">
        <v>615.71957873406586</v>
      </c>
      <c r="E116" s="108">
        <v>207.90643878065706</v>
      </c>
      <c r="F116" s="105">
        <f t="shared" si="2"/>
        <v>3945.1123295451393</v>
      </c>
      <c r="H116" s="73">
        <v>3971.4</v>
      </c>
      <c r="I116" s="106">
        <f t="shared" si="3"/>
        <v>26.287670454860745</v>
      </c>
    </row>
    <row r="117" spans="1:9" ht="16">
      <c r="A117" s="1">
        <v>1697.6178188848332</v>
      </c>
      <c r="B117" s="1">
        <v>1472.2123660032287</v>
      </c>
      <c r="C117" s="107">
        <v>20.324914017697182</v>
      </c>
      <c r="D117" s="1">
        <v>632.98339926088772</v>
      </c>
      <c r="E117" s="108">
        <v>211.16434802297752</v>
      </c>
      <c r="F117" s="105">
        <f t="shared" si="2"/>
        <v>4034.3028461896247</v>
      </c>
      <c r="H117" s="73">
        <v>4103.6000000000004</v>
      </c>
      <c r="I117" s="106">
        <f t="shared" si="3"/>
        <v>69.297153810375676</v>
      </c>
    </row>
    <row r="118" spans="1:9" ht="16">
      <c r="A118" s="1">
        <v>1707.2432299854345</v>
      </c>
      <c r="B118" s="1">
        <v>1434.1553493846873</v>
      </c>
      <c r="C118" s="107">
        <v>19.654519594642487</v>
      </c>
      <c r="D118" s="1">
        <v>613.63942309890479</v>
      </c>
      <c r="E118" s="108">
        <v>216.17707283759313</v>
      </c>
      <c r="F118" s="105">
        <f t="shared" si="2"/>
        <v>3990.8695949012622</v>
      </c>
      <c r="H118" s="73">
        <v>3945.7</v>
      </c>
      <c r="I118" s="106">
        <f t="shared" si="3"/>
        <v>-45.169594901262371</v>
      </c>
    </row>
    <row r="119" spans="1:9" ht="16">
      <c r="A119" s="1">
        <v>1646.5312288352272</v>
      </c>
      <c r="B119" s="1">
        <v>1437.3254392235085</v>
      </c>
      <c r="C119" s="107">
        <v>19.593258455144376</v>
      </c>
      <c r="D119" s="1">
        <v>571.53189577499313</v>
      </c>
      <c r="E119" s="108">
        <v>206.89023662647128</v>
      </c>
      <c r="F119" s="105">
        <f t="shared" si="2"/>
        <v>3881.8720589153445</v>
      </c>
      <c r="H119" s="73">
        <v>3977.8</v>
      </c>
      <c r="I119" s="106">
        <f t="shared" si="3"/>
        <v>95.927941084655686</v>
      </c>
    </row>
    <row r="120" spans="1:9" ht="16">
      <c r="A120" s="1">
        <v>1715.3528427660492</v>
      </c>
      <c r="B120" s="1">
        <v>1455.9938081555504</v>
      </c>
      <c r="C120" s="107">
        <v>19.773279187846029</v>
      </c>
      <c r="D120" s="1">
        <v>595.86338900595467</v>
      </c>
      <c r="E120" s="108">
        <v>212.69269056839897</v>
      </c>
      <c r="F120" s="105">
        <f t="shared" si="2"/>
        <v>3999.6760096837993</v>
      </c>
      <c r="H120" s="73">
        <v>3931.2</v>
      </c>
      <c r="I120" s="106">
        <f t="shared" si="3"/>
        <v>-68.476009683799475</v>
      </c>
    </row>
    <row r="121" spans="1:9" ht="16">
      <c r="A121" s="1">
        <v>1639.0781470499001</v>
      </c>
      <c r="B121" s="1">
        <v>1416.2501889747195</v>
      </c>
      <c r="C121" s="107">
        <v>18.658219028799913</v>
      </c>
      <c r="D121" s="1">
        <v>571.13525402635719</v>
      </c>
      <c r="E121" s="108">
        <v>204.39841545698422</v>
      </c>
      <c r="F121" s="105">
        <f t="shared" si="2"/>
        <v>3849.5202245367609</v>
      </c>
      <c r="H121" s="73">
        <v>3796.3</v>
      </c>
      <c r="I121" s="106">
        <f t="shared" si="3"/>
        <v>-53.220224536760725</v>
      </c>
    </row>
    <row r="122" spans="1:9" ht="16">
      <c r="A122" s="1">
        <v>1640.2084133185426</v>
      </c>
      <c r="B122" s="1">
        <v>1374.6442962047447</v>
      </c>
      <c r="C122" s="107">
        <v>18.663444523533798</v>
      </c>
      <c r="D122" s="1">
        <v>546.54772903752439</v>
      </c>
      <c r="E122" s="108">
        <v>205.56853534350151</v>
      </c>
      <c r="F122" s="105">
        <f t="shared" si="2"/>
        <v>3785.6324184278469</v>
      </c>
      <c r="H122" s="73">
        <v>3897.3</v>
      </c>
      <c r="I122" s="106">
        <f t="shared" si="3"/>
        <v>111.66758157215327</v>
      </c>
    </row>
    <row r="123" spans="1:9" ht="16">
      <c r="A123" s="1">
        <v>1627.1188133701501</v>
      </c>
      <c r="B123" s="1">
        <v>1366.4071414863413</v>
      </c>
      <c r="C123" s="107">
        <v>19.619455333992043</v>
      </c>
      <c r="D123" s="1">
        <v>511.44888480642504</v>
      </c>
      <c r="E123" s="108">
        <v>201.53528752280386</v>
      </c>
      <c r="F123" s="105">
        <f t="shared" si="2"/>
        <v>3726.1295825197121</v>
      </c>
      <c r="H123" s="73">
        <v>3685.9</v>
      </c>
      <c r="I123" s="106">
        <f t="shared" si="3"/>
        <v>-40.229582519712039</v>
      </c>
    </row>
    <row r="124" spans="1:9" ht="16">
      <c r="A124" s="1">
        <v>1567.1173631831034</v>
      </c>
      <c r="B124" s="1">
        <v>1373.8704308291581</v>
      </c>
      <c r="C124" s="107">
        <v>21.274776438450793</v>
      </c>
      <c r="D124" s="1">
        <v>512.30201525743246</v>
      </c>
      <c r="E124" s="108">
        <v>191.35988211255562</v>
      </c>
      <c r="F124" s="105">
        <f t="shared" si="2"/>
        <v>3665.9244678207001</v>
      </c>
      <c r="H124" s="73">
        <v>3687</v>
      </c>
      <c r="I124" s="106">
        <f t="shared" si="3"/>
        <v>21.075532179299898</v>
      </c>
    </row>
    <row r="125" spans="1:9" ht="16">
      <c r="A125" s="1">
        <v>1706.2814353907183</v>
      </c>
      <c r="B125" s="1">
        <v>1430.0768995576304</v>
      </c>
      <c r="C125" s="107">
        <v>23.814946986431302</v>
      </c>
      <c r="D125" s="1">
        <v>587.20681456848286</v>
      </c>
      <c r="E125" s="108">
        <v>201.35390932766009</v>
      </c>
      <c r="F125" s="105">
        <f t="shared" si="2"/>
        <v>3948.7340058309228</v>
      </c>
      <c r="H125" s="73">
        <v>3973.2</v>
      </c>
      <c r="I125" s="106">
        <f t="shared" si="3"/>
        <v>24.465994169077021</v>
      </c>
    </row>
    <row r="126" spans="1:9" ht="16">
      <c r="A126" s="1">
        <v>1684.0319911548347</v>
      </c>
      <c r="B126" s="1">
        <v>1446.7263352892739</v>
      </c>
      <c r="C126" s="107">
        <v>24.601816343317118</v>
      </c>
      <c r="D126" s="1">
        <v>615.80275765258671</v>
      </c>
      <c r="E126" s="108">
        <v>204.47639791863793</v>
      </c>
      <c r="F126" s="105">
        <f t="shared" si="2"/>
        <v>3975.6392983586506</v>
      </c>
      <c r="H126" s="73">
        <v>3981.6</v>
      </c>
      <c r="I126" s="106">
        <f t="shared" si="3"/>
        <v>5.9607016413492602</v>
      </c>
    </row>
    <row r="127" spans="1:9" ht="16">
      <c r="A127" s="1">
        <v>1720.8156265488421</v>
      </c>
      <c r="B127" s="1">
        <v>1487.078884016315</v>
      </c>
      <c r="C127" s="107">
        <v>24.12255201391616</v>
      </c>
      <c r="D127" s="1">
        <v>634.87592127731807</v>
      </c>
      <c r="E127" s="108">
        <v>210.10542234283108</v>
      </c>
      <c r="F127" s="105">
        <f t="shared" si="2"/>
        <v>4076.9984061992222</v>
      </c>
      <c r="H127" s="73">
        <v>4030.6</v>
      </c>
      <c r="I127" s="106">
        <f t="shared" si="3"/>
        <v>-46.398406199222336</v>
      </c>
    </row>
    <row r="128" spans="1:9" ht="16">
      <c r="A128" s="1">
        <v>1692.1511123702455</v>
      </c>
      <c r="B128" s="1">
        <v>1460.5692400551279</v>
      </c>
      <c r="C128" s="107">
        <v>23.643287684515208</v>
      </c>
      <c r="D128" s="1">
        <v>624.07670686511233</v>
      </c>
      <c r="E128" s="108">
        <v>206.20751348217223</v>
      </c>
      <c r="F128" s="105">
        <f t="shared" si="2"/>
        <v>4006.6478604571735</v>
      </c>
      <c r="H128" s="73">
        <v>4030.6</v>
      </c>
      <c r="I128" s="106">
        <f t="shared" si="3"/>
        <v>23.952139542826444</v>
      </c>
    </row>
    <row r="129" spans="1:9" ht="16">
      <c r="A129" s="1">
        <v>1732.0806360001957</v>
      </c>
      <c r="B129" s="1">
        <v>1506.7894719554456</v>
      </c>
      <c r="C129" s="107">
        <v>24.301042094099294</v>
      </c>
      <c r="D129" s="1">
        <v>657.4941839855403</v>
      </c>
      <c r="E129" s="108">
        <v>210.9872495532407</v>
      </c>
      <c r="F129" s="105">
        <f t="shared" si="2"/>
        <v>4131.6525835885213</v>
      </c>
      <c r="H129" s="73">
        <v>4148.3</v>
      </c>
      <c r="I129" s="106">
        <f t="shared" si="3"/>
        <v>16.647416411478844</v>
      </c>
    </row>
    <row r="130" spans="1:9" ht="16">
      <c r="A130" s="1">
        <v>1712.738182498618</v>
      </c>
      <c r="B130" s="1">
        <v>1467.7728330683601</v>
      </c>
      <c r="C130" s="107">
        <v>23.062072334546659</v>
      </c>
      <c r="D130" s="1">
        <v>600.23450143099092</v>
      </c>
      <c r="E130" s="108">
        <v>209.65096765102172</v>
      </c>
      <c r="F130" s="105">
        <f t="shared" si="2"/>
        <v>4013.4585569835376</v>
      </c>
      <c r="H130" s="73">
        <v>4068.8</v>
      </c>
      <c r="I130" s="106">
        <f t="shared" si="3"/>
        <v>55.341443016462563</v>
      </c>
    </row>
    <row r="131" spans="1:9" ht="16">
      <c r="A131" s="1">
        <v>1691.363299071229</v>
      </c>
      <c r="B131" s="1">
        <v>1470.9515470420722</v>
      </c>
      <c r="C131" s="107">
        <v>23.260550027113979</v>
      </c>
      <c r="D131" s="1">
        <v>624.11799444846326</v>
      </c>
      <c r="E131" s="108">
        <v>203.88470947447655</v>
      </c>
      <c r="F131" s="105">
        <f t="shared" ref="F131:F157" si="4">A131+B131+C131+D131+E131</f>
        <v>4013.5781000633551</v>
      </c>
      <c r="H131" s="73">
        <v>4045.7</v>
      </c>
      <c r="I131" s="106">
        <f t="shared" ref="I131:I157" si="5">H131-F131</f>
        <v>32.121899936644695</v>
      </c>
    </row>
    <row r="132" spans="1:9" ht="16">
      <c r="A132" s="1">
        <v>1702.8688930361368</v>
      </c>
      <c r="B132" s="1">
        <v>1489.9903819803271</v>
      </c>
      <c r="C132" s="107">
        <v>23.465558599574827</v>
      </c>
      <c r="D132" s="1">
        <v>650.6520944251065</v>
      </c>
      <c r="E132" s="108">
        <v>207.06601056888454</v>
      </c>
      <c r="F132" s="105">
        <f t="shared" si="4"/>
        <v>4074.0429386100295</v>
      </c>
      <c r="H132" s="73">
        <v>4043.5</v>
      </c>
      <c r="I132" s="106">
        <f t="shared" si="5"/>
        <v>-30.542938610029523</v>
      </c>
    </row>
    <row r="133" spans="1:9" ht="16">
      <c r="A133" s="1">
        <v>1636.4396956851651</v>
      </c>
      <c r="B133" s="1">
        <v>1449.2545540278138</v>
      </c>
      <c r="C133" s="107">
        <v>22.754461135900822</v>
      </c>
      <c r="D133" s="1">
        <v>595.1894061257849</v>
      </c>
      <c r="E133" s="108">
        <v>204.25158263276873</v>
      </c>
      <c r="F133" s="105">
        <f t="shared" si="4"/>
        <v>3907.8896996074332</v>
      </c>
      <c r="H133" s="73">
        <v>3921.4</v>
      </c>
      <c r="I133" s="106">
        <f t="shared" si="5"/>
        <v>13.510300392566933</v>
      </c>
    </row>
    <row r="134" spans="1:9" ht="16">
      <c r="A134" s="1">
        <v>1693.8237308055409</v>
      </c>
      <c r="B134" s="1">
        <v>1406.6169843639125</v>
      </c>
      <c r="C134" s="107">
        <v>25.297764089311144</v>
      </c>
      <c r="D134" s="1">
        <v>607.78517989415957</v>
      </c>
      <c r="E134" s="108">
        <v>205.75678020049483</v>
      </c>
      <c r="F134" s="105">
        <f t="shared" si="4"/>
        <v>3939.2804393534184</v>
      </c>
      <c r="H134" s="73">
        <v>3876.3</v>
      </c>
      <c r="I134" s="106">
        <f t="shared" si="5"/>
        <v>-62.980439353418205</v>
      </c>
    </row>
    <row r="135" spans="1:9" ht="16">
      <c r="A135" s="1">
        <v>1633.4612764643871</v>
      </c>
      <c r="B135" s="1">
        <v>1398.1267624029997</v>
      </c>
      <c r="C135" s="107">
        <v>23.076810773636424</v>
      </c>
      <c r="D135" s="1">
        <v>538.31636446570928</v>
      </c>
      <c r="E135" s="108">
        <v>209.58448785786774</v>
      </c>
      <c r="F135" s="105">
        <f t="shared" si="4"/>
        <v>3802.5657019646001</v>
      </c>
      <c r="H135" s="73">
        <v>3928.4</v>
      </c>
      <c r="I135" s="106">
        <f t="shared" si="5"/>
        <v>125.83429803540002</v>
      </c>
    </row>
    <row r="136" spans="1:9" ht="16">
      <c r="A136" s="1">
        <v>1574.2816895423093</v>
      </c>
      <c r="B136" s="1">
        <v>1405.7017263595924</v>
      </c>
      <c r="C136" s="107">
        <v>22.773818668873684</v>
      </c>
      <c r="D136" s="1">
        <v>601.38264122564055</v>
      </c>
      <c r="E136" s="108">
        <v>203.84540317399927</v>
      </c>
      <c r="F136" s="105">
        <f t="shared" si="4"/>
        <v>3807.9852789704155</v>
      </c>
      <c r="H136" s="73">
        <v>3727.7</v>
      </c>
      <c r="I136" s="106">
        <f t="shared" si="5"/>
        <v>-80.285278970415675</v>
      </c>
    </row>
    <row r="137" spans="1:9" ht="16">
      <c r="A137" s="1">
        <v>1694.6335557404182</v>
      </c>
      <c r="B137" s="1">
        <v>1463.1465970042343</v>
      </c>
      <c r="C137" s="107">
        <v>23.432893074289467</v>
      </c>
      <c r="D137" s="1">
        <v>646.30496720917301</v>
      </c>
      <c r="E137" s="108">
        <v>220.85752811656545</v>
      </c>
      <c r="F137" s="105">
        <f t="shared" si="4"/>
        <v>4048.3755411446805</v>
      </c>
      <c r="H137" s="73">
        <v>4044.9</v>
      </c>
      <c r="I137" s="106">
        <f t="shared" si="5"/>
        <v>-3.4755411446803919</v>
      </c>
    </row>
    <row r="138" spans="1:9" ht="16">
      <c r="A138" s="1">
        <v>1661.569157036372</v>
      </c>
      <c r="B138" s="1">
        <v>1480.1166968713856</v>
      </c>
      <c r="C138" s="107">
        <v>23.292307990903296</v>
      </c>
      <c r="D138" s="1">
        <v>681.65202194294454</v>
      </c>
      <c r="E138" s="108">
        <v>221.1357446876172</v>
      </c>
      <c r="F138" s="105">
        <f t="shared" si="4"/>
        <v>4067.7659285292225</v>
      </c>
      <c r="H138" s="73">
        <v>4068.6</v>
      </c>
      <c r="I138" s="106">
        <f t="shared" si="5"/>
        <v>0.83407147077741683</v>
      </c>
    </row>
    <row r="139" spans="1:9" ht="16">
      <c r="A139" s="1">
        <v>1692.9751972284525</v>
      </c>
      <c r="B139" s="1">
        <v>1521.3346949485249</v>
      </c>
      <c r="C139" s="107">
        <v>24.50547423142649</v>
      </c>
      <c r="D139" s="1">
        <v>724.21819624962313</v>
      </c>
      <c r="E139" s="108">
        <v>225.95525483978332</v>
      </c>
      <c r="F139" s="105">
        <f t="shared" si="4"/>
        <v>4188.9888174978105</v>
      </c>
      <c r="H139" s="73">
        <v>4240.1000000000004</v>
      </c>
      <c r="I139" s="106">
        <f t="shared" si="5"/>
        <v>51.111182502189877</v>
      </c>
    </row>
    <row r="140" spans="1:9" ht="16">
      <c r="A140" s="1">
        <v>1706.9013978569128</v>
      </c>
      <c r="B140" s="1">
        <v>1494.1499217216897</v>
      </c>
      <c r="C140" s="107">
        <v>24.015656828268423</v>
      </c>
      <c r="D140" s="1">
        <v>697.43127812066143</v>
      </c>
      <c r="E140" s="108">
        <v>225.07192308380041</v>
      </c>
      <c r="F140" s="105">
        <f t="shared" si="4"/>
        <v>4147.5701776113328</v>
      </c>
      <c r="H140" s="73">
        <v>4052.5</v>
      </c>
      <c r="I140" s="106">
        <f t="shared" si="5"/>
        <v>-95.070177611332838</v>
      </c>
    </row>
    <row r="141" spans="1:9" ht="16">
      <c r="A141" s="1">
        <v>1771.8901517244392</v>
      </c>
      <c r="B141" s="1">
        <v>1541.3665779076623</v>
      </c>
      <c r="C141" s="107">
        <v>24.403537504583774</v>
      </c>
      <c r="D141" s="1">
        <v>650.65883139792061</v>
      </c>
      <c r="E141" s="108">
        <v>224.81485621787903</v>
      </c>
      <c r="F141" s="105">
        <f t="shared" si="4"/>
        <v>4213.1339547524849</v>
      </c>
      <c r="H141" s="73">
        <v>4230.7</v>
      </c>
      <c r="I141" s="106">
        <f t="shared" si="5"/>
        <v>17.566045247514921</v>
      </c>
    </row>
    <row r="142" spans="1:9" ht="16">
      <c r="A142" s="1">
        <v>1764.7843536210391</v>
      </c>
      <c r="B142" s="1">
        <v>1501.3903167520327</v>
      </c>
      <c r="C142" s="107">
        <v>23.558150029477154</v>
      </c>
      <c r="D142" s="1">
        <v>635.56453892300874</v>
      </c>
      <c r="E142" s="108">
        <v>226.46201860001847</v>
      </c>
      <c r="F142" s="105">
        <f t="shared" si="4"/>
        <v>4151.7593779255758</v>
      </c>
      <c r="H142" s="73">
        <v>4093</v>
      </c>
      <c r="I142" s="106">
        <f t="shared" si="5"/>
        <v>-58.759377925575791</v>
      </c>
    </row>
    <row r="143" spans="1:9" ht="16">
      <c r="A143" s="1">
        <v>1729.359717421059</v>
      </c>
      <c r="B143" s="1">
        <v>1504.5776548606359</v>
      </c>
      <c r="C143" s="107">
        <v>23.525808419643397</v>
      </c>
      <c r="D143" s="1">
        <v>645.95433468793885</v>
      </c>
      <c r="E143" s="108">
        <v>216.45222818737489</v>
      </c>
      <c r="F143" s="105">
        <f t="shared" si="4"/>
        <v>4119.8697435766526</v>
      </c>
      <c r="H143" s="73">
        <v>4174.1000000000004</v>
      </c>
      <c r="I143" s="106">
        <f t="shared" si="5"/>
        <v>54.230256423347782</v>
      </c>
    </row>
    <row r="144" spans="1:9" ht="16">
      <c r="A144" s="1">
        <v>1752.193346567298</v>
      </c>
      <c r="B144" s="1">
        <v>1523.9869558051039</v>
      </c>
      <c r="C144" s="107">
        <v>23.113162774480923</v>
      </c>
      <c r="D144" s="1">
        <v>649.18717177945291</v>
      </c>
      <c r="E144" s="108">
        <v>226.00869468934087</v>
      </c>
      <c r="F144" s="105">
        <f t="shared" si="4"/>
        <v>4174.4893316156767</v>
      </c>
      <c r="H144" s="73">
        <v>4192.3</v>
      </c>
      <c r="I144" s="106">
        <f t="shared" si="5"/>
        <v>17.810668384323435</v>
      </c>
    </row>
    <row r="145" spans="1:9" ht="16">
      <c r="A145" s="1">
        <v>1723.5148138202787</v>
      </c>
      <c r="B145" s="1">
        <v>1482.2589190809083</v>
      </c>
      <c r="C145" s="107">
        <v>23.572295321691193</v>
      </c>
      <c r="D145" s="1">
        <v>602.53154252728018</v>
      </c>
      <c r="E145" s="108">
        <v>225.7830073778517</v>
      </c>
      <c r="F145" s="105">
        <f t="shared" si="4"/>
        <v>4057.6605781280105</v>
      </c>
      <c r="H145" s="73">
        <v>3998.1</v>
      </c>
      <c r="I145" s="106">
        <f t="shared" si="5"/>
        <v>-59.560578128010548</v>
      </c>
    </row>
    <row r="146" spans="1:9" ht="16">
      <c r="A146" s="1">
        <v>1767.8145311010114</v>
      </c>
      <c r="B146" s="1">
        <v>1438.58967252308</v>
      </c>
      <c r="C146" s="107">
        <v>24.461060985114052</v>
      </c>
      <c r="D146" s="1">
        <v>546.67664693778204</v>
      </c>
      <c r="E146" s="108">
        <v>223.61155858823733</v>
      </c>
      <c r="F146" s="105">
        <f t="shared" si="4"/>
        <v>4001.1534701352252</v>
      </c>
      <c r="H146" s="73">
        <v>4115.8</v>
      </c>
      <c r="I146" s="106">
        <f t="shared" si="5"/>
        <v>114.64652986477495</v>
      </c>
    </row>
    <row r="147" spans="1:9" ht="16">
      <c r="A147" s="1">
        <v>1753.7925551830176</v>
      </c>
      <c r="B147" s="1">
        <v>1429.8463833196579</v>
      </c>
      <c r="C147" s="107">
        <v>23.061660500465347</v>
      </c>
      <c r="D147" s="1">
        <v>544.94489251631433</v>
      </c>
      <c r="E147" s="108">
        <v>225.06921202189685</v>
      </c>
      <c r="F147" s="105">
        <f t="shared" si="4"/>
        <v>3976.7147035413518</v>
      </c>
      <c r="H147" s="73">
        <v>4048.7</v>
      </c>
      <c r="I147" s="106">
        <f t="shared" si="5"/>
        <v>71.985296458648008</v>
      </c>
    </row>
    <row r="148" spans="1:9" ht="16">
      <c r="A148" s="1">
        <v>1680.9514584844405</v>
      </c>
      <c r="B148" s="1">
        <v>1437.5330218900267</v>
      </c>
      <c r="C148" s="107">
        <v>22.77818466563696</v>
      </c>
      <c r="D148" s="1">
        <v>551.16217126838569</v>
      </c>
      <c r="E148" s="108">
        <v>214.64755038618705</v>
      </c>
      <c r="F148" s="105">
        <f t="shared" si="4"/>
        <v>3907.0723866946769</v>
      </c>
      <c r="H148" s="73">
        <v>3854.8</v>
      </c>
      <c r="I148" s="106">
        <f t="shared" si="5"/>
        <v>-52.272386694676698</v>
      </c>
    </row>
    <row r="149" spans="1:9" ht="16">
      <c r="A149" s="1">
        <v>1784.9214286021631</v>
      </c>
      <c r="B149" s="1">
        <v>1496.2162944508384</v>
      </c>
      <c r="C149" s="107">
        <v>23.981951917940744</v>
      </c>
      <c r="D149" s="1">
        <v>618.07425228537625</v>
      </c>
      <c r="E149" s="108">
        <v>226.05110243529754</v>
      </c>
      <c r="F149" s="105">
        <f t="shared" si="4"/>
        <v>4149.2450296916159</v>
      </c>
      <c r="H149" s="73">
        <v>3930.9</v>
      </c>
      <c r="I149" s="106">
        <f t="shared" si="5"/>
        <v>-218.34502969161576</v>
      </c>
    </row>
    <row r="150" spans="1:9" ht="16">
      <c r="A150" s="1">
        <v>1719.4942927793927</v>
      </c>
      <c r="B150" s="1">
        <v>1513.5070584534972</v>
      </c>
      <c r="C150" s="107">
        <v>24.913769740495365</v>
      </c>
      <c r="D150" s="1">
        <v>648.70463917747372</v>
      </c>
      <c r="E150" s="108">
        <v>221.32525319159166</v>
      </c>
      <c r="F150" s="105">
        <f t="shared" si="4"/>
        <v>4127.9450133424507</v>
      </c>
      <c r="H150" s="73">
        <v>4169.3</v>
      </c>
      <c r="I150" s="106">
        <f t="shared" si="5"/>
        <v>41.354986657549489</v>
      </c>
    </row>
    <row r="151" spans="1:9" ht="16">
      <c r="A151" s="1">
        <v>1779.7947114792455</v>
      </c>
      <c r="B151" s="1">
        <v>1555.5905058807348</v>
      </c>
      <c r="C151" s="107">
        <v>25.347747492266922</v>
      </c>
      <c r="D151" s="1">
        <v>677.26691719784901</v>
      </c>
      <c r="E151" s="108">
        <v>234.74936655137304</v>
      </c>
      <c r="F151" s="105">
        <f t="shared" si="4"/>
        <v>4272.7492486014698</v>
      </c>
      <c r="H151" s="73">
        <v>4070.6</v>
      </c>
      <c r="I151" s="106">
        <f t="shared" si="5"/>
        <v>-202.14924860146994</v>
      </c>
    </row>
    <row r="152" spans="1:9" ht="16">
      <c r="A152" s="1">
        <v>1751.8139364512983</v>
      </c>
      <c r="B152" s="1">
        <v>1527.7306033882517</v>
      </c>
      <c r="C152" s="107">
        <v>24.315941071227783</v>
      </c>
      <c r="D152" s="1">
        <v>667.22445668120736</v>
      </c>
      <c r="E152" s="108">
        <v>224.11373929286862</v>
      </c>
      <c r="F152" s="105">
        <f t="shared" si="4"/>
        <v>4195.1986768848537</v>
      </c>
      <c r="H152" s="73">
        <v>4223.5</v>
      </c>
      <c r="I152" s="106">
        <f t="shared" si="5"/>
        <v>28.301323115146261</v>
      </c>
    </row>
    <row r="153" spans="1:9" ht="16">
      <c r="A153" s="1">
        <v>1805.9454833205305</v>
      </c>
      <c r="B153" s="1">
        <v>1575.9436838598792</v>
      </c>
      <c r="C153" s="107">
        <v>25.841426586427406</v>
      </c>
      <c r="D153" s="1">
        <v>672.62328978056632</v>
      </c>
      <c r="E153" s="108">
        <v>237.51699280378412</v>
      </c>
      <c r="F153" s="105">
        <f t="shared" si="4"/>
        <v>4317.8708763511877</v>
      </c>
      <c r="H153" s="73">
        <v>4369.3</v>
      </c>
      <c r="I153" s="106">
        <f t="shared" si="5"/>
        <v>51.429123648812492</v>
      </c>
    </row>
    <row r="154" spans="1:9" ht="16">
      <c r="A154" s="1">
        <v>1788.5056672874982</v>
      </c>
      <c r="B154" s="1">
        <v>1535.0078004357056</v>
      </c>
      <c r="C154" s="107">
        <v>24.171084499997573</v>
      </c>
      <c r="D154" s="1">
        <v>650.38725776694343</v>
      </c>
      <c r="E154" s="108">
        <v>238.33710316913385</v>
      </c>
      <c r="F154" s="105">
        <f t="shared" si="4"/>
        <v>4236.4089131592782</v>
      </c>
      <c r="H154" s="73">
        <v>4112.6000000000004</v>
      </c>
      <c r="I154" s="106">
        <f t="shared" si="5"/>
        <v>-123.80891315927784</v>
      </c>
    </row>
    <row r="155" spans="1:9" ht="16">
      <c r="A155" s="1">
        <v>1760.6640364986661</v>
      </c>
      <c r="B155" s="1">
        <v>1538.2037626791996</v>
      </c>
      <c r="C155" s="107">
        <v>24.800986657630251</v>
      </c>
      <c r="D155" s="1">
        <v>653.33176680261806</v>
      </c>
      <c r="E155" s="108">
        <v>232.39946217033255</v>
      </c>
      <c r="F155" s="105">
        <f t="shared" si="4"/>
        <v>4209.4000148084469</v>
      </c>
      <c r="H155" s="73">
        <v>4165.6000000000004</v>
      </c>
      <c r="I155" s="106">
        <f t="shared" si="5"/>
        <v>-43.800014808446576</v>
      </c>
    </row>
    <row r="156" spans="1:9" ht="16">
      <c r="A156" s="1">
        <v>1766.6382504545688</v>
      </c>
      <c r="B156" s="1">
        <v>1557.9835296298809</v>
      </c>
      <c r="C156" s="107">
        <v>24.460009780618623</v>
      </c>
      <c r="D156" s="1">
        <v>661.72731358016813</v>
      </c>
      <c r="E156" s="108">
        <v>243.28358902114243</v>
      </c>
      <c r="F156" s="105">
        <f t="shared" si="4"/>
        <v>4254.092692466379</v>
      </c>
      <c r="H156" s="73">
        <v>4212.6000000000004</v>
      </c>
      <c r="I156" s="106">
        <f t="shared" si="5"/>
        <v>-41.492692466378685</v>
      </c>
    </row>
    <row r="157" spans="1:9" ht="17" thickBot="1">
      <c r="A157" s="1">
        <v>1717.0406999467327</v>
      </c>
      <c r="B157" s="1">
        <v>1515.263284134003</v>
      </c>
      <c r="C157" s="109">
        <v>23.614456577551493</v>
      </c>
      <c r="D157" s="1">
        <v>623.55326073589549</v>
      </c>
      <c r="E157" s="108">
        <v>235.85007203955712</v>
      </c>
      <c r="F157" s="105">
        <f t="shared" si="4"/>
        <v>4115.3217734337404</v>
      </c>
      <c r="H157" s="73">
        <v>4163.5</v>
      </c>
      <c r="I157" s="106">
        <f t="shared" si="5"/>
        <v>48.178226566259582</v>
      </c>
    </row>
    <row r="158" spans="1:9" ht="16">
      <c r="E158" s="17"/>
    </row>
    <row r="159" spans="1:9" ht="16">
      <c r="E159" s="17"/>
    </row>
    <row r="160" spans="1:9" ht="16">
      <c r="E160" s="17"/>
    </row>
    <row r="161" spans="5:5" ht="16">
      <c r="E161" s="17"/>
    </row>
    <row r="162" spans="5:5" ht="16">
      <c r="E162" s="17"/>
    </row>
    <row r="163" spans="5:5" ht="17" thickBot="1">
      <c r="E163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1.Total Consmption Pred - 1</vt:lpstr>
      <vt:lpstr>2.1.Industry Consumption Pred</vt:lpstr>
      <vt:lpstr>2.2.Service Consumption Pred</vt:lpstr>
      <vt:lpstr>2.3.Transport Prediction</vt:lpstr>
      <vt:lpstr>2.4.Household Prediction</vt:lpstr>
      <vt:lpstr>2.5.Others Prediction</vt:lpstr>
      <vt:lpstr>2.6. Total Consumption Pred - 2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2018-10-15T14:16:37Z</dcterms:modified>
</cp:coreProperties>
</file>