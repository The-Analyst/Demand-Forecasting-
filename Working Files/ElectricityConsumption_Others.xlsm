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2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8.xml" ContentType="application/vnd.openxmlformats-officedocument.drawing+xml"/>
  <Override PartName="/xl/ctrlProps/ctrlProp4.xml" ContentType="application/vnd.ms-excel.controlproperties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ctrlProps/ctrlProp5.xml" ContentType="application/vnd.ms-excel.controlproperti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7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3.xml" ContentType="application/vnd.openxmlformats-officedocument.drawing+xml"/>
  <Override PartName="/xl/ctrlProps/ctrlProp8.xml" ContentType="application/vnd.ms-excel.controlpropertie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4.xml" ContentType="application/vnd.openxmlformats-officedocument.drawing+xml"/>
  <Override PartName="/xl/ctrlProps/ctrlProp9.xml" ContentType="application/vnd.ms-excel.controlproperties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5.xml" ContentType="application/vnd.openxmlformats-officedocument.drawing+xml"/>
  <Override PartName="/xl/charts/chart4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filterPrivacy="1" codeName="ThisWorkbook"/>
  <xr:revisionPtr revIDLastSave="0" documentId="13_ncr:1_{89491D08-2246-B742-AA02-61D3AB16DF61}" xr6:coauthVersionLast="37" xr6:coauthVersionMax="37" xr10:uidLastSave="{00000000-0000-0000-0000-000000000000}"/>
  <bookViews>
    <workbookView xWindow="0" yWindow="460" windowWidth="21600" windowHeight="13220" firstSheet="3" activeTab="15" xr2:uid="{00000000-000D-0000-FFFF-FFFF00000000}"/>
  </bookViews>
  <sheets>
    <sheet name="Total Data" sheetId="1" r:id="rId1"/>
    <sheet name="Final" sheetId="14" r:id="rId2"/>
    <sheet name="Household data" sheetId="2" state="hidden" r:id="rId3"/>
    <sheet name="Exponential Smoothing" sheetId="3" state="hidden" r:id="rId4"/>
    <sheet name="Decomposition" sheetId="4" state="hidden" r:id="rId5"/>
    <sheet name="ARIMA" sheetId="5" state="hidden" r:id="rId6"/>
    <sheet name="Time series transformation3" sheetId="20" r:id="rId7"/>
    <sheet name="Time series transformation2" sheetId="19" state="hidden" r:id="rId8"/>
    <sheet name="Time series transformation" sheetId="15" state="hidden" r:id="rId9"/>
    <sheet name="ARIMA1" sheetId="9" r:id="rId10"/>
    <sheet name="Dickey-Fuller_HID" sheetId="13" state="hidden" r:id="rId11"/>
    <sheet name="Time series transformation1" sheetId="16" state="hidden" r:id="rId12"/>
    <sheet name="Time series_HID" sheetId="18" state="hidden" r:id="rId13"/>
    <sheet name="Time series" sheetId="17" state="hidden" r:id="rId14"/>
    <sheet name="Dickey-Fuller" sheetId="12" r:id="rId15"/>
    <sheet name="Exponential Smoothing(Others)" sheetId="6" r:id="rId16"/>
    <sheet name="Exponential1" sheetId="11" r:id="rId17"/>
    <sheet name="Exponential" sheetId="10" r:id="rId18"/>
    <sheet name="Decomposition(Others)" sheetId="7" r:id="rId19"/>
    <sheet name="ARIMA(Others)" sheetId="8" state="hidden" r:id="rId20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6" l="1"/>
  <c r="C3" i="6"/>
  <c r="D3" i="6" l="1"/>
  <c r="C4" i="6"/>
  <c r="C2" i="7"/>
  <c r="D2" i="7" s="1"/>
  <c r="A3" i="7"/>
  <c r="A4" i="7" s="1"/>
  <c r="C4" i="7" s="1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C3" i="7" l="1"/>
  <c r="D3" i="7" s="1"/>
  <c r="C5" i="6"/>
  <c r="D4" i="6"/>
  <c r="A5" i="7"/>
  <c r="C5" i="7" s="1"/>
  <c r="C2" i="4"/>
  <c r="A3" i="4"/>
  <c r="A4" i="4" s="1"/>
  <c r="D2" i="3"/>
  <c r="C3" i="3"/>
  <c r="C4" i="3" s="1"/>
  <c r="C3" i="4" l="1"/>
  <c r="D3" i="3"/>
  <c r="C5" i="3"/>
  <c r="D4" i="3"/>
  <c r="D3" i="4"/>
  <c r="A5" i="4"/>
  <c r="C4" i="4"/>
  <c r="D2" i="4"/>
  <c r="C6" i="6"/>
  <c r="D5" i="6"/>
  <c r="D4" i="7"/>
  <c r="A6" i="7"/>
  <c r="C6" i="7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D4" i="4" l="1"/>
  <c r="A6" i="4"/>
  <c r="C5" i="4"/>
  <c r="C6" i="3"/>
  <c r="D5" i="3"/>
  <c r="C7" i="6"/>
  <c r="D6" i="6"/>
  <c r="D5" i="7"/>
  <c r="A7" i="7"/>
  <c r="C7" i="7" s="1"/>
  <c r="A7" i="4" l="1"/>
  <c r="C6" i="4"/>
  <c r="C7" i="3"/>
  <c r="D6" i="3"/>
  <c r="D5" i="4"/>
  <c r="C8" i="6"/>
  <c r="D7" i="6"/>
  <c r="A8" i="7"/>
  <c r="C8" i="7" s="1"/>
  <c r="D6" i="7"/>
  <c r="D6" i="4" l="1"/>
  <c r="C8" i="3"/>
  <c r="D7" i="3"/>
  <c r="A8" i="4"/>
  <c r="C7" i="4"/>
  <c r="C9" i="6"/>
  <c r="D8" i="6"/>
  <c r="D7" i="7"/>
  <c r="A9" i="7"/>
  <c r="C9" i="7" s="1"/>
  <c r="C9" i="3" l="1"/>
  <c r="D8" i="3"/>
  <c r="D7" i="4"/>
  <c r="A9" i="4"/>
  <c r="C8" i="4"/>
  <c r="C10" i="6"/>
  <c r="D9" i="6"/>
  <c r="A10" i="7"/>
  <c r="C10" i="7" s="1"/>
  <c r="D8" i="7"/>
  <c r="D8" i="4" l="1"/>
  <c r="A10" i="4"/>
  <c r="C9" i="4"/>
  <c r="C10" i="3"/>
  <c r="D9" i="3"/>
  <c r="C11" i="6"/>
  <c r="D10" i="6"/>
  <c r="D9" i="7"/>
  <c r="A11" i="7"/>
  <c r="C11" i="7" s="1"/>
  <c r="C11" i="3" l="1"/>
  <c r="D10" i="3"/>
  <c r="A11" i="4"/>
  <c r="C10" i="4"/>
  <c r="D9" i="4"/>
  <c r="C12" i="6"/>
  <c r="D11" i="6"/>
  <c r="A12" i="7"/>
  <c r="C12" i="7" s="1"/>
  <c r="D10" i="7"/>
  <c r="A12" i="4" l="1"/>
  <c r="C11" i="4"/>
  <c r="C12" i="3"/>
  <c r="D11" i="3"/>
  <c r="D10" i="4"/>
  <c r="C13" i="6"/>
  <c r="D12" i="6"/>
  <c r="D11" i="7"/>
  <c r="A13" i="7"/>
  <c r="C13" i="7" s="1"/>
  <c r="D11" i="4" l="1"/>
  <c r="A13" i="4"/>
  <c r="C12" i="4"/>
  <c r="C13" i="3"/>
  <c r="D12" i="3"/>
  <c r="C14" i="6"/>
  <c r="D13" i="6"/>
  <c r="D12" i="7"/>
  <c r="A14" i="7"/>
  <c r="C14" i="7" s="1"/>
  <c r="A14" i="4" l="1"/>
  <c r="C13" i="4"/>
  <c r="D12" i="4"/>
  <c r="C14" i="3"/>
  <c r="D13" i="3"/>
  <c r="C15" i="6"/>
  <c r="D14" i="6"/>
  <c r="D13" i="7"/>
  <c r="A15" i="7"/>
  <c r="C15" i="7" s="1"/>
  <c r="A15" i="4" l="1"/>
  <c r="C14" i="4"/>
  <c r="C15" i="3"/>
  <c r="D14" i="3"/>
  <c r="D13" i="4"/>
  <c r="C16" i="6"/>
  <c r="D15" i="6"/>
  <c r="D14" i="7"/>
  <c r="A16" i="7"/>
  <c r="C16" i="7" s="1"/>
  <c r="C16" i="3" l="1"/>
  <c r="D15" i="3"/>
  <c r="D14" i="4"/>
  <c r="A16" i="4"/>
  <c r="C15" i="4"/>
  <c r="C17" i="6"/>
  <c r="D16" i="6"/>
  <c r="D15" i="7"/>
  <c r="A17" i="7"/>
  <c r="C17" i="7" s="1"/>
  <c r="D15" i="4" l="1"/>
  <c r="A17" i="4"/>
  <c r="C16" i="4"/>
  <c r="C17" i="3"/>
  <c r="D16" i="3"/>
  <c r="C18" i="6"/>
  <c r="D17" i="6"/>
  <c r="D16" i="7"/>
  <c r="A18" i="7"/>
  <c r="C18" i="7" s="1"/>
  <c r="D16" i="4" l="1"/>
  <c r="A18" i="4"/>
  <c r="C17" i="4"/>
  <c r="C18" i="3"/>
  <c r="D17" i="3"/>
  <c r="C19" i="6"/>
  <c r="D18" i="6"/>
  <c r="D17" i="7"/>
  <c r="A19" i="7"/>
  <c r="C19" i="7" s="1"/>
  <c r="D17" i="4" l="1"/>
  <c r="A19" i="4"/>
  <c r="C18" i="4"/>
  <c r="C19" i="3"/>
  <c r="D18" i="3"/>
  <c r="C20" i="6"/>
  <c r="D19" i="6"/>
  <c r="D18" i="7"/>
  <c r="A20" i="7"/>
  <c r="C20" i="7" s="1"/>
  <c r="D18" i="4" l="1"/>
  <c r="A20" i="4"/>
  <c r="C19" i="4"/>
  <c r="C20" i="3"/>
  <c r="D19" i="3"/>
  <c r="C21" i="6"/>
  <c r="D20" i="6"/>
  <c r="A21" i="7"/>
  <c r="C21" i="7" s="1"/>
  <c r="D19" i="7"/>
  <c r="D19" i="4" l="1"/>
  <c r="A21" i="4"/>
  <c r="C20" i="4"/>
  <c r="C21" i="3"/>
  <c r="D20" i="3"/>
  <c r="C22" i="6"/>
  <c r="D21" i="6"/>
  <c r="D20" i="7"/>
  <c r="A22" i="7"/>
  <c r="C22" i="7" s="1"/>
  <c r="D20" i="4" l="1"/>
  <c r="A22" i="4"/>
  <c r="C21" i="4"/>
  <c r="C22" i="3"/>
  <c r="D21" i="3"/>
  <c r="C23" i="6"/>
  <c r="D22" i="6"/>
  <c r="A23" i="7"/>
  <c r="C23" i="7" s="1"/>
  <c r="D21" i="7"/>
  <c r="D21" i="4" l="1"/>
  <c r="A23" i="4"/>
  <c r="C22" i="4"/>
  <c r="C23" i="3"/>
  <c r="D22" i="3"/>
  <c r="C24" i="6"/>
  <c r="D23" i="6"/>
  <c r="D22" i="7"/>
  <c r="A24" i="7"/>
  <c r="C24" i="7" s="1"/>
  <c r="C24" i="3" l="1"/>
  <c r="D23" i="3"/>
  <c r="D22" i="4"/>
  <c r="A24" i="4"/>
  <c r="C23" i="4"/>
  <c r="C25" i="6"/>
  <c r="D24" i="6"/>
  <c r="A25" i="7"/>
  <c r="C25" i="7" s="1"/>
  <c r="D23" i="7"/>
  <c r="D23" i="4" l="1"/>
  <c r="A25" i="4"/>
  <c r="C24" i="4"/>
  <c r="C25" i="3"/>
  <c r="D24" i="3"/>
  <c r="C26" i="6"/>
  <c r="D25" i="6"/>
  <c r="D24" i="7"/>
  <c r="A26" i="7"/>
  <c r="C26" i="7" s="1"/>
  <c r="D24" i="4" l="1"/>
  <c r="A26" i="4"/>
  <c r="C25" i="4"/>
  <c r="C26" i="3"/>
  <c r="D25" i="3"/>
  <c r="C27" i="6"/>
  <c r="D26" i="6"/>
  <c r="A27" i="7"/>
  <c r="C27" i="7" s="1"/>
  <c r="D25" i="7"/>
  <c r="C27" i="3" l="1"/>
  <c r="D26" i="3"/>
  <c r="D25" i="4"/>
  <c r="A27" i="4"/>
  <c r="C26" i="4"/>
  <c r="C28" i="6"/>
  <c r="D27" i="6"/>
  <c r="D26" i="7"/>
  <c r="A28" i="7"/>
  <c r="C28" i="7" s="1"/>
  <c r="D26" i="4" l="1"/>
  <c r="A28" i="4"/>
  <c r="C27" i="4"/>
  <c r="C28" i="3"/>
  <c r="D27" i="3"/>
  <c r="C29" i="6"/>
  <c r="D28" i="6"/>
  <c r="D27" i="7"/>
  <c r="A29" i="7"/>
  <c r="C29" i="7" s="1"/>
  <c r="D27" i="4" l="1"/>
  <c r="A29" i="4"/>
  <c r="C28" i="4"/>
  <c r="C29" i="3"/>
  <c r="D28" i="3"/>
  <c r="C30" i="6"/>
  <c r="D29" i="6"/>
  <c r="A30" i="7"/>
  <c r="C30" i="7" s="1"/>
  <c r="D28" i="7"/>
  <c r="D28" i="4" l="1"/>
  <c r="A30" i="4"/>
  <c r="C29" i="4"/>
  <c r="C30" i="3"/>
  <c r="D29" i="3"/>
  <c r="C31" i="6"/>
  <c r="D30" i="6"/>
  <c r="D29" i="7"/>
  <c r="A31" i="7"/>
  <c r="C31" i="7" s="1"/>
  <c r="A31" i="4" l="1"/>
  <c r="C30" i="4"/>
  <c r="D29" i="4"/>
  <c r="C31" i="3"/>
  <c r="D30" i="3"/>
  <c r="C32" i="6"/>
  <c r="D31" i="6"/>
  <c r="D30" i="7"/>
  <c r="A32" i="7"/>
  <c r="C32" i="7" s="1"/>
  <c r="C32" i="3" l="1"/>
  <c r="D31" i="3"/>
  <c r="D30" i="4"/>
  <c r="A32" i="4"/>
  <c r="C31" i="4"/>
  <c r="C33" i="6"/>
  <c r="D32" i="6"/>
  <c r="D31" i="7"/>
  <c r="A33" i="7"/>
  <c r="C33" i="7" s="1"/>
  <c r="D31" i="4" l="1"/>
  <c r="A33" i="4"/>
  <c r="C32" i="4"/>
  <c r="C33" i="3"/>
  <c r="D32" i="3"/>
  <c r="C34" i="6"/>
  <c r="D33" i="6"/>
  <c r="D32" i="7"/>
  <c r="A34" i="7"/>
  <c r="C34" i="7" s="1"/>
  <c r="A34" i="4" l="1"/>
  <c r="C33" i="4"/>
  <c r="C34" i="3"/>
  <c r="D33" i="3"/>
  <c r="D32" i="4"/>
  <c r="C35" i="6"/>
  <c r="D34" i="6"/>
  <c r="A35" i="7"/>
  <c r="C35" i="7" s="1"/>
  <c r="D33" i="7"/>
  <c r="C35" i="3" l="1"/>
  <c r="D34" i="3"/>
  <c r="D33" i="4"/>
  <c r="A35" i="4"/>
  <c r="C34" i="4"/>
  <c r="C36" i="6"/>
  <c r="D35" i="6"/>
  <c r="D34" i="7"/>
  <c r="A36" i="7"/>
  <c r="C36" i="7" s="1"/>
  <c r="A36" i="4" l="1"/>
  <c r="C35" i="4"/>
  <c r="D34" i="4"/>
  <c r="C36" i="3"/>
  <c r="D35" i="3"/>
  <c r="C37" i="6"/>
  <c r="D36" i="6"/>
  <c r="A37" i="7"/>
  <c r="C37" i="7" s="1"/>
  <c r="D35" i="7"/>
  <c r="C37" i="3" l="1"/>
  <c r="D36" i="3"/>
  <c r="D35" i="4"/>
  <c r="A37" i="4"/>
  <c r="C36" i="4"/>
  <c r="C38" i="6"/>
  <c r="D37" i="6"/>
  <c r="D36" i="7"/>
  <c r="A38" i="7"/>
  <c r="C38" i="7" s="1"/>
  <c r="D36" i="4" l="1"/>
  <c r="A38" i="4"/>
  <c r="C37" i="4"/>
  <c r="C38" i="3"/>
  <c r="D37" i="3"/>
  <c r="C39" i="6"/>
  <c r="D38" i="6"/>
  <c r="A39" i="7"/>
  <c r="C39" i="7" s="1"/>
  <c r="D37" i="7"/>
  <c r="A39" i="4" l="1"/>
  <c r="C38" i="4"/>
  <c r="D37" i="4"/>
  <c r="C39" i="3"/>
  <c r="D38" i="3"/>
  <c r="C40" i="6"/>
  <c r="D39" i="6"/>
  <c r="D38" i="7"/>
  <c r="A40" i="7"/>
  <c r="C40" i="7" s="1"/>
  <c r="D38" i="4" l="1"/>
  <c r="C40" i="3"/>
  <c r="D39" i="3"/>
  <c r="A40" i="4"/>
  <c r="C39" i="4"/>
  <c r="C41" i="6"/>
  <c r="D40" i="6"/>
  <c r="D39" i="7"/>
  <c r="A41" i="7"/>
  <c r="C41" i="7" s="1"/>
  <c r="D39" i="4" l="1"/>
  <c r="C41" i="3"/>
  <c r="D40" i="3"/>
  <c r="A41" i="4"/>
  <c r="C40" i="4"/>
  <c r="C42" i="6"/>
  <c r="D41" i="6"/>
  <c r="D40" i="7"/>
  <c r="A42" i="7"/>
  <c r="C42" i="7" s="1"/>
  <c r="C42" i="3" l="1"/>
  <c r="D41" i="3"/>
  <c r="D40" i="4"/>
  <c r="A42" i="4"/>
  <c r="C41" i="4"/>
  <c r="C43" i="6"/>
  <c r="D42" i="6"/>
  <c r="D41" i="7"/>
  <c r="A43" i="7"/>
  <c r="C43" i="7" s="1"/>
  <c r="D41" i="4" l="1"/>
  <c r="A43" i="4"/>
  <c r="C42" i="4"/>
  <c r="C43" i="3"/>
  <c r="D42" i="3"/>
  <c r="C44" i="6"/>
  <c r="D43" i="6"/>
  <c r="D42" i="7"/>
  <c r="A44" i="7"/>
  <c r="C44" i="7" s="1"/>
  <c r="A44" i="4" l="1"/>
  <c r="C43" i="4"/>
  <c r="D42" i="4"/>
  <c r="C44" i="3"/>
  <c r="D43" i="3"/>
  <c r="C45" i="6"/>
  <c r="D44" i="6"/>
  <c r="A45" i="7"/>
  <c r="C45" i="7" s="1"/>
  <c r="D43" i="7"/>
  <c r="C45" i="3" l="1"/>
  <c r="D44" i="3"/>
  <c r="D43" i="4"/>
  <c r="A45" i="4"/>
  <c r="C44" i="4"/>
  <c r="C46" i="6"/>
  <c r="D45" i="6"/>
  <c r="A46" i="7"/>
  <c r="C46" i="7" s="1"/>
  <c r="D44" i="7"/>
  <c r="D44" i="4" l="1"/>
  <c r="A46" i="4"/>
  <c r="C45" i="4"/>
  <c r="C46" i="3"/>
  <c r="D45" i="3"/>
  <c r="C47" i="6"/>
  <c r="D46" i="6"/>
  <c r="D45" i="7"/>
  <c r="A47" i="7"/>
  <c r="C47" i="7" s="1"/>
  <c r="D45" i="4" l="1"/>
  <c r="A47" i="4"/>
  <c r="C46" i="4"/>
  <c r="C47" i="3"/>
  <c r="D46" i="3"/>
  <c r="C48" i="6"/>
  <c r="D47" i="6"/>
  <c r="D46" i="7"/>
  <c r="A48" i="7"/>
  <c r="C48" i="7" s="1"/>
  <c r="D46" i="4" l="1"/>
  <c r="A48" i="4"/>
  <c r="C47" i="4"/>
  <c r="C48" i="3"/>
  <c r="D47" i="3"/>
  <c r="C49" i="6"/>
  <c r="D48" i="6"/>
  <c r="D47" i="7"/>
  <c r="A49" i="7"/>
  <c r="C49" i="7" s="1"/>
  <c r="C49" i="3" l="1"/>
  <c r="D48" i="3"/>
  <c r="A49" i="4"/>
  <c r="C48" i="4"/>
  <c r="D47" i="4"/>
  <c r="C50" i="6"/>
  <c r="D49" i="6"/>
  <c r="D48" i="7"/>
  <c r="A50" i="7"/>
  <c r="C50" i="7" s="1"/>
  <c r="A50" i="4" l="1"/>
  <c r="C49" i="4"/>
  <c r="C50" i="3"/>
  <c r="D49" i="3"/>
  <c r="D48" i="4"/>
  <c r="C51" i="6"/>
  <c r="D50" i="6"/>
  <c r="D49" i="7"/>
  <c r="A51" i="7"/>
  <c r="C51" i="7" s="1"/>
  <c r="C51" i="3" l="1"/>
  <c r="D50" i="3"/>
  <c r="D49" i="4"/>
  <c r="A51" i="4"/>
  <c r="C50" i="4"/>
  <c r="C52" i="6"/>
  <c r="D51" i="6"/>
  <c r="D50" i="7"/>
  <c r="A52" i="7"/>
  <c r="C52" i="7" s="1"/>
  <c r="D50" i="4" l="1"/>
  <c r="A52" i="4"/>
  <c r="C51" i="4"/>
  <c r="C52" i="3"/>
  <c r="D51" i="3"/>
  <c r="C53" i="6"/>
  <c r="D52" i="6"/>
  <c r="D51" i="7"/>
  <c r="A53" i="7"/>
  <c r="C53" i="7" s="1"/>
  <c r="C53" i="3" l="1"/>
  <c r="D52" i="3"/>
  <c r="A53" i="4"/>
  <c r="C52" i="4"/>
  <c r="D51" i="4"/>
  <c r="C54" i="6"/>
  <c r="D53" i="6"/>
  <c r="D52" i="7"/>
  <c r="A54" i="7"/>
  <c r="C54" i="7" s="1"/>
  <c r="C54" i="3" l="1"/>
  <c r="D53" i="3"/>
  <c r="A54" i="4"/>
  <c r="C53" i="4"/>
  <c r="D52" i="4"/>
  <c r="C55" i="6"/>
  <c r="D54" i="6"/>
  <c r="D53" i="7"/>
  <c r="A55" i="7"/>
  <c r="C55" i="7" s="1"/>
  <c r="A55" i="4" l="1"/>
  <c r="C54" i="4"/>
  <c r="C55" i="3"/>
  <c r="D54" i="3"/>
  <c r="D53" i="4"/>
  <c r="C56" i="6"/>
  <c r="D55" i="6"/>
  <c r="D54" i="7"/>
  <c r="A56" i="7"/>
  <c r="C56" i="7" s="1"/>
  <c r="C56" i="3" l="1"/>
  <c r="D55" i="3"/>
  <c r="D54" i="4"/>
  <c r="A56" i="4"/>
  <c r="C55" i="4"/>
  <c r="C57" i="6"/>
  <c r="D56" i="6"/>
  <c r="D55" i="7"/>
  <c r="A57" i="7"/>
  <c r="C57" i="7" s="1"/>
  <c r="D55" i="4" l="1"/>
  <c r="A57" i="4"/>
  <c r="C56" i="4"/>
  <c r="C57" i="3"/>
  <c r="D56" i="3"/>
  <c r="C58" i="6"/>
  <c r="D57" i="6"/>
  <c r="D56" i="7"/>
  <c r="A58" i="7"/>
  <c r="C58" i="7" s="1"/>
  <c r="C58" i="3" l="1"/>
  <c r="D57" i="3"/>
  <c r="A58" i="4"/>
  <c r="C57" i="4"/>
  <c r="D56" i="4"/>
  <c r="C59" i="6"/>
  <c r="D58" i="6"/>
  <c r="A59" i="7"/>
  <c r="C59" i="7" s="1"/>
  <c r="D57" i="7"/>
  <c r="A59" i="4" l="1"/>
  <c r="C58" i="4"/>
  <c r="D57" i="4"/>
  <c r="C59" i="3"/>
  <c r="D58" i="3"/>
  <c r="C60" i="6"/>
  <c r="D59" i="6"/>
  <c r="D58" i="7"/>
  <c r="A60" i="7"/>
  <c r="C60" i="7" s="1"/>
  <c r="D58" i="4" l="1"/>
  <c r="C60" i="3"/>
  <c r="D59" i="3"/>
  <c r="A60" i="4"/>
  <c r="C59" i="4"/>
  <c r="C61" i="6"/>
  <c r="D60" i="6"/>
  <c r="D59" i="7"/>
  <c r="A61" i="7"/>
  <c r="C61" i="7" s="1"/>
  <c r="C61" i="3" l="1"/>
  <c r="D60" i="3"/>
  <c r="D59" i="4"/>
  <c r="A61" i="4"/>
  <c r="C60" i="4"/>
  <c r="C62" i="6"/>
  <c r="D61" i="6"/>
  <c r="D60" i="7"/>
  <c r="A62" i="7"/>
  <c r="C62" i="7" s="1"/>
  <c r="D60" i="4" l="1"/>
  <c r="A62" i="4"/>
  <c r="C61" i="4"/>
  <c r="C62" i="3"/>
  <c r="D61" i="3"/>
  <c r="C63" i="6"/>
  <c r="D62" i="6"/>
  <c r="D61" i="7"/>
  <c r="A63" i="7"/>
  <c r="C63" i="7" s="1"/>
  <c r="A63" i="4" l="1"/>
  <c r="C62" i="4"/>
  <c r="C63" i="3"/>
  <c r="D62" i="3"/>
  <c r="D61" i="4"/>
  <c r="C64" i="6"/>
  <c r="D63" i="6"/>
  <c r="D62" i="7"/>
  <c r="A64" i="7"/>
  <c r="C64" i="7" s="1"/>
  <c r="D62" i="4" l="1"/>
  <c r="C64" i="3"/>
  <c r="D63" i="3"/>
  <c r="A64" i="4"/>
  <c r="C63" i="4"/>
  <c r="C65" i="6"/>
  <c r="D64" i="6"/>
  <c r="A65" i="7"/>
  <c r="C65" i="7" s="1"/>
  <c r="D63" i="7"/>
  <c r="C65" i="3" l="1"/>
  <c r="D64" i="3"/>
  <c r="D63" i="4"/>
  <c r="A65" i="4"/>
  <c r="C64" i="4"/>
  <c r="C66" i="6"/>
  <c r="D65" i="6"/>
  <c r="D64" i="7"/>
  <c r="A66" i="7"/>
  <c r="C66" i="7" s="1"/>
  <c r="D64" i="4" l="1"/>
  <c r="A66" i="4"/>
  <c r="C65" i="4"/>
  <c r="C66" i="3"/>
  <c r="D65" i="3"/>
  <c r="C67" i="6"/>
  <c r="D66" i="6"/>
  <c r="A67" i="7"/>
  <c r="C67" i="7" s="1"/>
  <c r="D65" i="7"/>
  <c r="D65" i="4" l="1"/>
  <c r="A67" i="4"/>
  <c r="C66" i="4"/>
  <c r="C67" i="3"/>
  <c r="D66" i="3"/>
  <c r="C68" i="6"/>
  <c r="D67" i="6"/>
  <c r="D66" i="7"/>
  <c r="A68" i="7"/>
  <c r="C68" i="7" s="1"/>
  <c r="A68" i="4" l="1"/>
  <c r="C67" i="4"/>
  <c r="D66" i="4"/>
  <c r="C68" i="3"/>
  <c r="D67" i="3"/>
  <c r="C69" i="6"/>
  <c r="D68" i="6"/>
  <c r="A69" i="7"/>
  <c r="C69" i="7" s="1"/>
  <c r="D67" i="7"/>
  <c r="C69" i="3" l="1"/>
  <c r="D68" i="3"/>
  <c r="D67" i="4"/>
  <c r="A69" i="4"/>
  <c r="C68" i="4"/>
  <c r="C70" i="6"/>
  <c r="D69" i="6"/>
  <c r="D68" i="7"/>
  <c r="A70" i="7"/>
  <c r="C70" i="7" s="1"/>
  <c r="D68" i="4" l="1"/>
  <c r="A70" i="4"/>
  <c r="C69" i="4"/>
  <c r="C70" i="3"/>
  <c r="D69" i="3"/>
  <c r="C71" i="6"/>
  <c r="D70" i="6"/>
  <c r="A71" i="7"/>
  <c r="C71" i="7" s="1"/>
  <c r="D69" i="7"/>
  <c r="A71" i="4" l="1"/>
  <c r="C70" i="4"/>
  <c r="C71" i="3"/>
  <c r="D70" i="3"/>
  <c r="D69" i="4"/>
  <c r="C72" i="6"/>
  <c r="D71" i="6"/>
  <c r="D70" i="7"/>
  <c r="A72" i="7"/>
  <c r="C72" i="7" s="1"/>
  <c r="C72" i="3" l="1"/>
  <c r="D71" i="3"/>
  <c r="D70" i="4"/>
  <c r="A72" i="4"/>
  <c r="C71" i="4"/>
  <c r="C73" i="6"/>
  <c r="D72" i="6"/>
  <c r="D71" i="7"/>
  <c r="A73" i="7"/>
  <c r="C73" i="7" s="1"/>
  <c r="D71" i="4" l="1"/>
  <c r="A73" i="4"/>
  <c r="C72" i="4"/>
  <c r="C73" i="3"/>
  <c r="D72" i="3"/>
  <c r="C74" i="6"/>
  <c r="D73" i="6"/>
  <c r="D72" i="7"/>
  <c r="A74" i="7"/>
  <c r="C74" i="7" s="1"/>
  <c r="D72" i="4" l="1"/>
  <c r="A74" i="4"/>
  <c r="C73" i="4"/>
  <c r="C74" i="3"/>
  <c r="D73" i="3"/>
  <c r="C75" i="6"/>
  <c r="D74" i="6"/>
  <c r="D73" i="7"/>
  <c r="A75" i="7"/>
  <c r="C75" i="7" s="1"/>
  <c r="A75" i="4" l="1"/>
  <c r="C74" i="4"/>
  <c r="C75" i="3"/>
  <c r="D74" i="3"/>
  <c r="D73" i="4"/>
  <c r="C76" i="6"/>
  <c r="D75" i="6"/>
  <c r="D74" i="7"/>
  <c r="A76" i="7"/>
  <c r="C76" i="7" s="1"/>
  <c r="C76" i="3" l="1"/>
  <c r="D75" i="3"/>
  <c r="D74" i="4"/>
  <c r="A76" i="4"/>
  <c r="C75" i="4"/>
  <c r="C77" i="6"/>
  <c r="D76" i="6"/>
  <c r="A77" i="7"/>
  <c r="C77" i="7" s="1"/>
  <c r="D75" i="7"/>
  <c r="D75" i="4" l="1"/>
  <c r="A77" i="4"/>
  <c r="C76" i="4"/>
  <c r="C77" i="3"/>
  <c r="D76" i="3"/>
  <c r="C78" i="6"/>
  <c r="D77" i="6"/>
  <c r="A78" i="7"/>
  <c r="C78" i="7" s="1"/>
  <c r="D76" i="7"/>
  <c r="C78" i="3" l="1"/>
  <c r="D77" i="3"/>
  <c r="A78" i="4"/>
  <c r="C77" i="4"/>
  <c r="D76" i="4"/>
  <c r="C79" i="6"/>
  <c r="D78" i="6"/>
  <c r="D77" i="7"/>
  <c r="A79" i="7"/>
  <c r="C79" i="7" s="1"/>
  <c r="C79" i="3" l="1"/>
  <c r="D78" i="3"/>
  <c r="A79" i="4"/>
  <c r="C78" i="4"/>
  <c r="D77" i="4"/>
  <c r="C80" i="6"/>
  <c r="D79" i="6"/>
  <c r="A80" i="7"/>
  <c r="C80" i="7" s="1"/>
  <c r="D78" i="7"/>
  <c r="C80" i="3" l="1"/>
  <c r="D79" i="3"/>
  <c r="A80" i="4"/>
  <c r="C79" i="4"/>
  <c r="D78" i="4"/>
  <c r="C81" i="6"/>
  <c r="D80" i="6"/>
  <c r="D79" i="7"/>
  <c r="A81" i="7"/>
  <c r="C81" i="7" s="1"/>
  <c r="C81" i="3" l="1"/>
  <c r="D80" i="3"/>
  <c r="A81" i="4"/>
  <c r="C80" i="4"/>
  <c r="D79" i="4"/>
  <c r="C82" i="6"/>
  <c r="D81" i="6"/>
  <c r="D80" i="7"/>
  <c r="A82" i="7"/>
  <c r="C82" i="7" s="1"/>
  <c r="C82" i="3" l="1"/>
  <c r="D81" i="3"/>
  <c r="A82" i="4"/>
  <c r="C81" i="4"/>
  <c r="D80" i="4"/>
  <c r="C83" i="6"/>
  <c r="D82" i="6"/>
  <c r="D81" i="7"/>
  <c r="A83" i="7"/>
  <c r="C83" i="7" s="1"/>
  <c r="C83" i="3" l="1"/>
  <c r="D82" i="3"/>
  <c r="A83" i="4"/>
  <c r="C82" i="4"/>
  <c r="D81" i="4"/>
  <c r="C84" i="6"/>
  <c r="D83" i="6"/>
  <c r="D82" i="7"/>
  <c r="A84" i="7"/>
  <c r="C84" i="7" s="1"/>
  <c r="A84" i="4" l="1"/>
  <c r="C83" i="4"/>
  <c r="C84" i="3"/>
  <c r="D83" i="3"/>
  <c r="D82" i="4"/>
  <c r="C85" i="6"/>
  <c r="D84" i="6"/>
  <c r="D83" i="7"/>
  <c r="A85" i="7"/>
  <c r="C85" i="7" s="1"/>
  <c r="C85" i="3" l="1"/>
  <c r="D84" i="3"/>
  <c r="D83" i="4"/>
  <c r="A85" i="4"/>
  <c r="C84" i="4"/>
  <c r="C86" i="6"/>
  <c r="D85" i="6"/>
  <c r="A86" i="7"/>
  <c r="C86" i="7" s="1"/>
  <c r="D84" i="7"/>
  <c r="D84" i="4" l="1"/>
  <c r="A86" i="4"/>
  <c r="C85" i="4"/>
  <c r="C86" i="3"/>
  <c r="D85" i="3"/>
  <c r="C87" i="6"/>
  <c r="D86" i="6"/>
  <c r="D85" i="7"/>
  <c r="A87" i="7"/>
  <c r="C87" i="7" s="1"/>
  <c r="C87" i="3" l="1"/>
  <c r="D86" i="3"/>
  <c r="D85" i="4"/>
  <c r="A87" i="4"/>
  <c r="C86" i="4"/>
  <c r="C88" i="6"/>
  <c r="D87" i="6"/>
  <c r="D86" i="7"/>
  <c r="A88" i="7"/>
  <c r="C88" i="7" s="1"/>
  <c r="D86" i="4" l="1"/>
  <c r="A88" i="4"/>
  <c r="C87" i="4"/>
  <c r="C88" i="3"/>
  <c r="D87" i="3"/>
  <c r="C89" i="6"/>
  <c r="D88" i="6"/>
  <c r="A89" i="7"/>
  <c r="C89" i="7" s="1"/>
  <c r="D87" i="7"/>
  <c r="C89" i="3" l="1"/>
  <c r="D88" i="3"/>
  <c r="A89" i="4"/>
  <c r="C88" i="4"/>
  <c r="D87" i="4"/>
  <c r="C90" i="6"/>
  <c r="D89" i="6"/>
  <c r="D88" i="7"/>
  <c r="A90" i="7"/>
  <c r="C90" i="7" s="1"/>
  <c r="C90" i="3" l="1"/>
  <c r="D89" i="3"/>
  <c r="A90" i="4"/>
  <c r="C89" i="4"/>
  <c r="D88" i="4"/>
  <c r="C91" i="6"/>
  <c r="D90" i="6"/>
  <c r="D89" i="7"/>
  <c r="A91" i="7"/>
  <c r="C91" i="7" s="1"/>
  <c r="C91" i="3" l="1"/>
  <c r="D90" i="3"/>
  <c r="A91" i="4"/>
  <c r="C90" i="4"/>
  <c r="D89" i="4"/>
  <c r="C92" i="6"/>
  <c r="D91" i="6"/>
  <c r="A92" i="7"/>
  <c r="C92" i="7" s="1"/>
  <c r="D90" i="7"/>
  <c r="C92" i="3" l="1"/>
  <c r="D91" i="3"/>
  <c r="A92" i="4"/>
  <c r="C91" i="4"/>
  <c r="D90" i="4"/>
  <c r="C93" i="6"/>
  <c r="D92" i="6"/>
  <c r="D91" i="7"/>
  <c r="A93" i="7"/>
  <c r="C93" i="7" s="1"/>
  <c r="D91" i="4" l="1"/>
  <c r="A93" i="4"/>
  <c r="C92" i="4"/>
  <c r="C93" i="3"/>
  <c r="D92" i="3"/>
  <c r="C94" i="6"/>
  <c r="D93" i="6"/>
  <c r="D92" i="7"/>
  <c r="A94" i="7"/>
  <c r="C94" i="7" s="1"/>
  <c r="C94" i="3" l="1"/>
  <c r="D93" i="3"/>
  <c r="D92" i="4"/>
  <c r="A94" i="4"/>
  <c r="C93" i="4"/>
  <c r="C95" i="6"/>
  <c r="D94" i="6"/>
  <c r="A95" i="7"/>
  <c r="C95" i="7" s="1"/>
  <c r="D93" i="7"/>
  <c r="D93" i="4" l="1"/>
  <c r="A95" i="4"/>
  <c r="C94" i="4"/>
  <c r="C95" i="3"/>
  <c r="D94" i="3"/>
  <c r="C96" i="6"/>
  <c r="D95" i="6"/>
  <c r="D94" i="7"/>
  <c r="A96" i="7"/>
  <c r="C96" i="7" s="1"/>
  <c r="D94" i="4" l="1"/>
  <c r="A96" i="4"/>
  <c r="C95" i="4"/>
  <c r="C96" i="3"/>
  <c r="D95" i="3"/>
  <c r="C97" i="6"/>
  <c r="D96" i="6"/>
  <c r="D95" i="7"/>
  <c r="A97" i="7"/>
  <c r="C97" i="7" s="1"/>
  <c r="D95" i="4" l="1"/>
  <c r="A97" i="4"/>
  <c r="C96" i="4"/>
  <c r="C97" i="3"/>
  <c r="D96" i="3"/>
  <c r="C98" i="6"/>
  <c r="D97" i="6"/>
  <c r="A98" i="7"/>
  <c r="C98" i="7" s="1"/>
  <c r="D96" i="7"/>
  <c r="A98" i="4" l="1"/>
  <c r="C97" i="4"/>
  <c r="D96" i="4"/>
  <c r="C98" i="3"/>
  <c r="D97" i="3"/>
  <c r="C99" i="6"/>
  <c r="D98" i="6"/>
  <c r="D97" i="7"/>
  <c r="A99" i="7"/>
  <c r="C99" i="7" s="1"/>
  <c r="C99" i="3" l="1"/>
  <c r="D98" i="3"/>
  <c r="D97" i="4"/>
  <c r="A99" i="4"/>
  <c r="C98" i="4"/>
  <c r="C100" i="6"/>
  <c r="D99" i="6"/>
  <c r="A100" i="7"/>
  <c r="C100" i="7" s="1"/>
  <c r="D98" i="7"/>
  <c r="D98" i="4" l="1"/>
  <c r="A100" i="4"/>
  <c r="C99" i="4"/>
  <c r="C100" i="3"/>
  <c r="D99" i="3"/>
  <c r="C101" i="6"/>
  <c r="D100" i="6"/>
  <c r="D99" i="7"/>
  <c r="A101" i="7"/>
  <c r="C101" i="7" s="1"/>
  <c r="D99" i="4" l="1"/>
  <c r="A101" i="4"/>
  <c r="C100" i="4"/>
  <c r="C101" i="3"/>
  <c r="D100" i="3"/>
  <c r="C102" i="6"/>
  <c r="D101" i="6"/>
  <c r="A102" i="7"/>
  <c r="C102" i="7" s="1"/>
  <c r="D100" i="7"/>
  <c r="C102" i="3" l="1"/>
  <c r="D101" i="3"/>
  <c r="D100" i="4"/>
  <c r="A102" i="4"/>
  <c r="C101" i="4"/>
  <c r="C103" i="6"/>
  <c r="D102" i="6"/>
  <c r="D101" i="7"/>
  <c r="A103" i="7"/>
  <c r="C103" i="7" s="1"/>
  <c r="D101" i="4" l="1"/>
  <c r="A103" i="4"/>
  <c r="C102" i="4"/>
  <c r="C103" i="3"/>
  <c r="D102" i="3"/>
  <c r="C104" i="6"/>
  <c r="D103" i="6"/>
  <c r="D102" i="7"/>
  <c r="A104" i="7"/>
  <c r="C104" i="7" s="1"/>
  <c r="D102" i="4" l="1"/>
  <c r="A104" i="4"/>
  <c r="C103" i="4"/>
  <c r="C104" i="3"/>
  <c r="D103" i="3"/>
  <c r="C105" i="6"/>
  <c r="D104" i="6"/>
  <c r="A105" i="7"/>
  <c r="C105" i="7" s="1"/>
  <c r="D103" i="7"/>
  <c r="D103" i="4" l="1"/>
  <c r="C105" i="3"/>
  <c r="D104" i="3"/>
  <c r="A105" i="4"/>
  <c r="C104" i="4"/>
  <c r="C106" i="6"/>
  <c r="D105" i="6"/>
  <c r="D104" i="7"/>
  <c r="A106" i="7"/>
  <c r="C106" i="7" s="1"/>
  <c r="C106" i="3" l="1"/>
  <c r="D105" i="3"/>
  <c r="D104" i="4"/>
  <c r="A106" i="4"/>
  <c r="C105" i="4"/>
  <c r="C107" i="6"/>
  <c r="D106" i="6"/>
  <c r="A107" i="7"/>
  <c r="C107" i="7" s="1"/>
  <c r="D105" i="7"/>
  <c r="D105" i="4" l="1"/>
  <c r="A107" i="4"/>
  <c r="C106" i="4"/>
  <c r="C107" i="3"/>
  <c r="D106" i="3"/>
  <c r="C108" i="6"/>
  <c r="D107" i="6"/>
  <c r="D106" i="7"/>
  <c r="A108" i="7"/>
  <c r="C108" i="7" s="1"/>
  <c r="D106" i="4" l="1"/>
  <c r="A108" i="4"/>
  <c r="C107" i="4"/>
  <c r="C108" i="3"/>
  <c r="D107" i="3"/>
  <c r="C109" i="6"/>
  <c r="D108" i="6"/>
  <c r="A109" i="7"/>
  <c r="C109" i="7" s="1"/>
  <c r="D107" i="7"/>
  <c r="C109" i="3" l="1"/>
  <c r="D108" i="3"/>
  <c r="D107" i="4"/>
  <c r="A109" i="4"/>
  <c r="C108" i="4"/>
  <c r="C110" i="6"/>
  <c r="D109" i="6"/>
  <c r="D108" i="7"/>
  <c r="A110" i="7"/>
  <c r="C110" i="7" s="1"/>
  <c r="D108" i="4" l="1"/>
  <c r="A110" i="4"/>
  <c r="C109" i="4"/>
  <c r="C110" i="3"/>
  <c r="D109" i="3"/>
  <c r="C111" i="6"/>
  <c r="D110" i="6"/>
  <c r="D109" i="7"/>
  <c r="A111" i="7"/>
  <c r="C111" i="7" s="1"/>
  <c r="D109" i="4" l="1"/>
  <c r="A111" i="4"/>
  <c r="C110" i="4"/>
  <c r="C111" i="3"/>
  <c r="D110" i="3"/>
  <c r="C112" i="6"/>
  <c r="D111" i="6"/>
  <c r="A112" i="7"/>
  <c r="C112" i="7" s="1"/>
  <c r="D110" i="7"/>
  <c r="C112" i="3" l="1"/>
  <c r="D111" i="3"/>
  <c r="D110" i="4"/>
  <c r="A112" i="4"/>
  <c r="C111" i="4"/>
  <c r="C113" i="6"/>
  <c r="D112" i="6"/>
  <c r="D111" i="7"/>
  <c r="A113" i="7"/>
  <c r="C113" i="7" s="1"/>
  <c r="D111" i="4" l="1"/>
  <c r="A113" i="4"/>
  <c r="C112" i="4"/>
  <c r="C113" i="3"/>
  <c r="D112" i="3"/>
  <c r="C114" i="6"/>
  <c r="D113" i="6"/>
  <c r="A114" i="7"/>
  <c r="C114" i="7" s="1"/>
  <c r="D112" i="7"/>
  <c r="A114" i="4" l="1"/>
  <c r="C113" i="4"/>
  <c r="C114" i="3"/>
  <c r="D113" i="3"/>
  <c r="D112" i="4"/>
  <c r="C115" i="6"/>
  <c r="D114" i="6"/>
  <c r="D113" i="7"/>
  <c r="A115" i="7"/>
  <c r="C115" i="7" s="1"/>
  <c r="C115" i="3" l="1"/>
  <c r="D114" i="3"/>
  <c r="D113" i="4"/>
  <c r="A115" i="4"/>
  <c r="C114" i="4"/>
  <c r="C116" i="6"/>
  <c r="D115" i="6"/>
  <c r="A116" i="7"/>
  <c r="C116" i="7" s="1"/>
  <c r="D114" i="7"/>
  <c r="D114" i="4" l="1"/>
  <c r="A116" i="4"/>
  <c r="C115" i="4"/>
  <c r="C116" i="3"/>
  <c r="D115" i="3"/>
  <c r="C117" i="6"/>
  <c r="D116" i="6"/>
  <c r="D115" i="7"/>
  <c r="A117" i="7"/>
  <c r="C117" i="7" s="1"/>
  <c r="C117" i="3" l="1"/>
  <c r="D116" i="3"/>
  <c r="D115" i="4"/>
  <c r="A117" i="4"/>
  <c r="C116" i="4"/>
  <c r="C118" i="6"/>
  <c r="D117" i="6"/>
  <c r="A118" i="7"/>
  <c r="C118" i="7" s="1"/>
  <c r="D116" i="7"/>
  <c r="D116" i="4" l="1"/>
  <c r="A118" i="4"/>
  <c r="C117" i="4"/>
  <c r="C118" i="3"/>
  <c r="D117" i="3"/>
  <c r="C119" i="6"/>
  <c r="D118" i="6"/>
  <c r="A119" i="7"/>
  <c r="C119" i="7" s="1"/>
  <c r="D117" i="7"/>
  <c r="D117" i="4" l="1"/>
  <c r="A119" i="4"/>
  <c r="C118" i="4"/>
  <c r="C119" i="3"/>
  <c r="D118" i="3"/>
  <c r="C120" i="6"/>
  <c r="D119" i="6"/>
  <c r="D118" i="7"/>
  <c r="A120" i="7"/>
  <c r="C120" i="7" s="1"/>
  <c r="C120" i="3" l="1"/>
  <c r="D119" i="3"/>
  <c r="D118" i="4"/>
  <c r="A120" i="4"/>
  <c r="C119" i="4"/>
  <c r="C121" i="6"/>
  <c r="D120" i="6"/>
  <c r="A121" i="7"/>
  <c r="C121" i="7" s="1"/>
  <c r="D119" i="7"/>
  <c r="D119" i="4" l="1"/>
  <c r="A121" i="4"/>
  <c r="C120" i="4"/>
  <c r="C121" i="3"/>
  <c r="D120" i="3"/>
  <c r="C122" i="6"/>
  <c r="D121" i="6"/>
  <c r="D120" i="7"/>
  <c r="A122" i="7"/>
  <c r="C122" i="7" s="1"/>
  <c r="C122" i="3" l="1"/>
  <c r="D121" i="3"/>
  <c r="D120" i="4"/>
  <c r="A122" i="4"/>
  <c r="C121" i="4"/>
  <c r="C123" i="6"/>
  <c r="D122" i="6"/>
  <c r="D121" i="7"/>
  <c r="A123" i="7"/>
  <c r="C123" i="7" s="1"/>
  <c r="D121" i="4" l="1"/>
  <c r="A123" i="4"/>
  <c r="C122" i="4"/>
  <c r="C123" i="3"/>
  <c r="D122" i="3"/>
  <c r="C124" i="6"/>
  <c r="D123" i="6"/>
  <c r="D122" i="7"/>
  <c r="A124" i="7"/>
  <c r="C124" i="7" s="1"/>
  <c r="D122" i="4" l="1"/>
  <c r="A124" i="4"/>
  <c r="C123" i="4"/>
  <c r="C124" i="3"/>
  <c r="D123" i="3"/>
  <c r="C125" i="6"/>
  <c r="D124" i="6"/>
  <c r="D123" i="7"/>
  <c r="A125" i="7"/>
  <c r="C125" i="7" s="1"/>
  <c r="C125" i="3" l="1"/>
  <c r="D124" i="3"/>
  <c r="D123" i="4"/>
  <c r="A125" i="4"/>
  <c r="C124" i="4"/>
  <c r="C126" i="6"/>
  <c r="D125" i="6"/>
  <c r="A126" i="7"/>
  <c r="C126" i="7" s="1"/>
  <c r="D124" i="7"/>
  <c r="D124" i="4" l="1"/>
  <c r="A126" i="4"/>
  <c r="C125" i="4"/>
  <c r="C126" i="3"/>
  <c r="D125" i="3"/>
  <c r="C127" i="6"/>
  <c r="D126" i="6"/>
  <c r="A127" i="7"/>
  <c r="C127" i="7" s="1"/>
  <c r="D125" i="7"/>
  <c r="D125" i="4" l="1"/>
  <c r="A127" i="4"/>
  <c r="C126" i="4"/>
  <c r="C127" i="3"/>
  <c r="D126" i="3"/>
  <c r="C128" i="6"/>
  <c r="D127" i="6"/>
  <c r="D126" i="7"/>
  <c r="A128" i="7"/>
  <c r="C128" i="7" s="1"/>
  <c r="C128" i="3" l="1"/>
  <c r="D127" i="3"/>
  <c r="D126" i="4"/>
  <c r="A128" i="4"/>
  <c r="C127" i="4"/>
  <c r="C129" i="6"/>
  <c r="D128" i="6"/>
  <c r="A129" i="7"/>
  <c r="C129" i="7" s="1"/>
  <c r="D127" i="7"/>
  <c r="D127" i="4" l="1"/>
  <c r="A129" i="4"/>
  <c r="C128" i="4"/>
  <c r="C129" i="3"/>
  <c r="D128" i="3"/>
  <c r="C130" i="6"/>
  <c r="D129" i="6"/>
  <c r="D128" i="7"/>
  <c r="A130" i="7"/>
  <c r="C130" i="7" s="1"/>
  <c r="D128" i="4" l="1"/>
  <c r="A130" i="4"/>
  <c r="C129" i="4"/>
  <c r="C130" i="3"/>
  <c r="D129" i="3"/>
  <c r="C131" i="6"/>
  <c r="D130" i="6"/>
  <c r="A131" i="7"/>
  <c r="C131" i="7" s="1"/>
  <c r="D129" i="7"/>
  <c r="D129" i="4" l="1"/>
  <c r="A131" i="4"/>
  <c r="C130" i="4"/>
  <c r="C131" i="3"/>
  <c r="D130" i="3"/>
  <c r="C132" i="6"/>
  <c r="D131" i="6"/>
  <c r="D130" i="7"/>
  <c r="A132" i="7"/>
  <c r="C132" i="7" s="1"/>
  <c r="C132" i="3" l="1"/>
  <c r="D131" i="3"/>
  <c r="D130" i="4"/>
  <c r="A132" i="4"/>
  <c r="C131" i="4"/>
  <c r="C133" i="6"/>
  <c r="D132" i="6"/>
  <c r="D131" i="7"/>
  <c r="A133" i="7"/>
  <c r="C133" i="7" s="1"/>
  <c r="D131" i="4" l="1"/>
  <c r="A133" i="4"/>
  <c r="C132" i="4"/>
  <c r="C133" i="3"/>
  <c r="D132" i="3"/>
  <c r="C134" i="6"/>
  <c r="D133" i="6"/>
  <c r="D132" i="7"/>
  <c r="A134" i="7"/>
  <c r="C134" i="7" s="1"/>
  <c r="D132" i="4" l="1"/>
  <c r="A134" i="4"/>
  <c r="C133" i="4"/>
  <c r="C134" i="3"/>
  <c r="D133" i="3"/>
  <c r="C135" i="6"/>
  <c r="D134" i="6"/>
  <c r="D133" i="7"/>
  <c r="A135" i="7"/>
  <c r="C135" i="7" s="1"/>
  <c r="D133" i="4" l="1"/>
  <c r="A135" i="4"/>
  <c r="C134" i="4"/>
  <c r="C135" i="3"/>
  <c r="D134" i="3"/>
  <c r="C136" i="6"/>
  <c r="D135" i="6"/>
  <c r="D134" i="7"/>
  <c r="A136" i="7"/>
  <c r="C136" i="7" s="1"/>
  <c r="D134" i="4" l="1"/>
  <c r="A136" i="4"/>
  <c r="C135" i="4"/>
  <c r="C136" i="3"/>
  <c r="D135" i="3"/>
  <c r="C137" i="6"/>
  <c r="D136" i="6"/>
  <c r="D135" i="7"/>
  <c r="A137" i="7"/>
  <c r="C137" i="7" s="1"/>
  <c r="C137" i="3" l="1"/>
  <c r="D136" i="3"/>
  <c r="D135" i="4"/>
  <c r="A137" i="4"/>
  <c r="C136" i="4"/>
  <c r="C138" i="6"/>
  <c r="D137" i="6"/>
  <c r="D136" i="7"/>
  <c r="A138" i="7"/>
  <c r="C138" i="7" s="1"/>
  <c r="C138" i="3" l="1"/>
  <c r="D137" i="3"/>
  <c r="A138" i="4"/>
  <c r="C137" i="4"/>
  <c r="D136" i="4"/>
  <c r="C139" i="6"/>
  <c r="D138" i="6"/>
  <c r="D137" i="7"/>
  <c r="A139" i="7"/>
  <c r="C139" i="7" s="1"/>
  <c r="A139" i="4" l="1"/>
  <c r="C138" i="4"/>
  <c r="D137" i="4"/>
  <c r="C139" i="3"/>
  <c r="D138" i="3"/>
  <c r="C140" i="6"/>
  <c r="D139" i="6"/>
  <c r="D138" i="7"/>
  <c r="A140" i="7"/>
  <c r="C140" i="7" s="1"/>
  <c r="C140" i="3" l="1"/>
  <c r="D139" i="3"/>
  <c r="D138" i="4"/>
  <c r="A140" i="4"/>
  <c r="C139" i="4"/>
  <c r="C141" i="6"/>
  <c r="D140" i="6"/>
  <c r="D139" i="7"/>
  <c r="A141" i="7"/>
  <c r="C141" i="7" s="1"/>
  <c r="D139" i="4" l="1"/>
  <c r="A141" i="4"/>
  <c r="C140" i="4"/>
  <c r="C141" i="3"/>
  <c r="D140" i="3"/>
  <c r="C142" i="6"/>
  <c r="D141" i="6"/>
  <c r="D140" i="7"/>
  <c r="A142" i="7"/>
  <c r="C142" i="7" s="1"/>
  <c r="D140" i="4" l="1"/>
  <c r="A142" i="4"/>
  <c r="C141" i="4"/>
  <c r="C142" i="3"/>
  <c r="D141" i="3"/>
  <c r="C143" i="6"/>
  <c r="D142" i="6"/>
  <c r="A143" i="7"/>
  <c r="C143" i="7" s="1"/>
  <c r="D141" i="7"/>
  <c r="C143" i="3" l="1"/>
  <c r="D142" i="3"/>
  <c r="D141" i="4"/>
  <c r="A143" i="4"/>
  <c r="C142" i="4"/>
  <c r="C144" i="6"/>
  <c r="D143" i="6"/>
  <c r="D142" i="7"/>
  <c r="A144" i="7"/>
  <c r="C144" i="7" s="1"/>
  <c r="D142" i="4" l="1"/>
  <c r="A144" i="4"/>
  <c r="C143" i="4"/>
  <c r="C144" i="3"/>
  <c r="D143" i="3"/>
  <c r="C145" i="6"/>
  <c r="D144" i="6"/>
  <c r="A145" i="7"/>
  <c r="C145" i="7" s="1"/>
  <c r="D143" i="7"/>
  <c r="D143" i="4" l="1"/>
  <c r="A145" i="4"/>
  <c r="C144" i="4"/>
  <c r="C145" i="3"/>
  <c r="D144" i="3"/>
  <c r="C146" i="6"/>
  <c r="D145" i="6"/>
  <c r="D144" i="7"/>
  <c r="A146" i="7"/>
  <c r="C146" i="7" s="1"/>
  <c r="D144" i="4" l="1"/>
  <c r="A146" i="4"/>
  <c r="C145" i="4"/>
  <c r="C146" i="3"/>
  <c r="D145" i="3"/>
  <c r="C147" i="6"/>
  <c r="D146" i="6"/>
  <c r="A147" i="7"/>
  <c r="C147" i="7" s="1"/>
  <c r="D145" i="7"/>
  <c r="C147" i="3" l="1"/>
  <c r="D146" i="3"/>
  <c r="D145" i="4"/>
  <c r="A147" i="4"/>
  <c r="C146" i="4"/>
  <c r="C148" i="6"/>
  <c r="D147" i="6"/>
  <c r="D146" i="7"/>
  <c r="A148" i="7"/>
  <c r="C148" i="7" s="1"/>
  <c r="D146" i="4" l="1"/>
  <c r="A148" i="4"/>
  <c r="C147" i="4"/>
  <c r="C148" i="3"/>
  <c r="D147" i="3"/>
  <c r="C149" i="6"/>
  <c r="D148" i="6"/>
  <c r="D147" i="7"/>
  <c r="A149" i="7"/>
  <c r="C149" i="7" s="1"/>
  <c r="D147" i="4" l="1"/>
  <c r="A149" i="4"/>
  <c r="C148" i="4"/>
  <c r="C149" i="3"/>
  <c r="D148" i="3"/>
  <c r="C150" i="6"/>
  <c r="D149" i="6"/>
  <c r="A150" i="7"/>
  <c r="C150" i="7" s="1"/>
  <c r="D148" i="7"/>
  <c r="D148" i="4" l="1"/>
  <c r="A150" i="4"/>
  <c r="C149" i="4"/>
  <c r="C150" i="3"/>
  <c r="D149" i="3"/>
  <c r="C151" i="6"/>
  <c r="D150" i="6"/>
  <c r="A151" i="7"/>
  <c r="C151" i="7" s="1"/>
  <c r="D149" i="7"/>
  <c r="C151" i="3" l="1"/>
  <c r="D150" i="3"/>
  <c r="D149" i="4"/>
  <c r="A151" i="4"/>
  <c r="C150" i="4"/>
  <c r="C152" i="6"/>
  <c r="D151" i="6"/>
  <c r="D150" i="7"/>
  <c r="A152" i="7"/>
  <c r="C152" i="7" s="1"/>
  <c r="D150" i="4" l="1"/>
  <c r="A152" i="4"/>
  <c r="C151" i="4"/>
  <c r="C152" i="3"/>
  <c r="D151" i="3"/>
  <c r="C153" i="6"/>
  <c r="D152" i="6"/>
  <c r="D151" i="7"/>
  <c r="A153" i="7"/>
  <c r="C153" i="7" s="1"/>
  <c r="A153" i="4" l="1"/>
  <c r="C152" i="4"/>
  <c r="C153" i="3"/>
  <c r="D152" i="3"/>
  <c r="D151" i="4"/>
  <c r="C154" i="6"/>
  <c r="D153" i="6"/>
  <c r="D152" i="7"/>
  <c r="A154" i="7"/>
  <c r="C154" i="7" s="1"/>
  <c r="C154" i="3" l="1"/>
  <c r="D153" i="3"/>
  <c r="D152" i="4"/>
  <c r="A154" i="4"/>
  <c r="C153" i="4"/>
  <c r="C155" i="6"/>
  <c r="D154" i="6"/>
  <c r="D153" i="7"/>
  <c r="A155" i="7"/>
  <c r="C155" i="7" s="1"/>
  <c r="D153" i="4" l="1"/>
  <c r="A155" i="4"/>
  <c r="C154" i="4"/>
  <c r="C155" i="3"/>
  <c r="D154" i="3"/>
  <c r="C156" i="6"/>
  <c r="D155" i="6"/>
  <c r="D154" i="7"/>
  <c r="E2" i="7" s="1"/>
  <c r="F2" i="7" s="1"/>
  <c r="A156" i="7"/>
  <c r="C156" i="7" s="1"/>
  <c r="C156" i="3" l="1"/>
  <c r="D155" i="3"/>
  <c r="D154" i="4"/>
  <c r="E2" i="4" s="1"/>
  <c r="F154" i="4" s="1"/>
  <c r="G154" i="4" s="1"/>
  <c r="A156" i="4"/>
  <c r="C155" i="4"/>
  <c r="C157" i="6"/>
  <c r="D157" i="6" s="1"/>
  <c r="D156" i="6"/>
  <c r="A157" i="7"/>
  <c r="C157" i="7" s="1"/>
  <c r="D155" i="7"/>
  <c r="E3" i="7" s="1"/>
  <c r="F155" i="7" s="1"/>
  <c r="G155" i="7" s="1"/>
  <c r="G2" i="7"/>
  <c r="F6" i="7"/>
  <c r="G6" i="7" s="1"/>
  <c r="F10" i="7"/>
  <c r="G10" i="7" s="1"/>
  <c r="F14" i="7"/>
  <c r="G14" i="7" s="1"/>
  <c r="F18" i="7"/>
  <c r="G18" i="7" s="1"/>
  <c r="F22" i="7"/>
  <c r="G22" i="7" s="1"/>
  <c r="F26" i="7"/>
  <c r="G26" i="7" s="1"/>
  <c r="F30" i="7"/>
  <c r="G30" i="7" s="1"/>
  <c r="F34" i="7"/>
  <c r="G34" i="7" s="1"/>
  <c r="F38" i="7"/>
  <c r="G38" i="7" s="1"/>
  <c r="F42" i="7"/>
  <c r="G42" i="7" s="1"/>
  <c r="F46" i="7"/>
  <c r="G46" i="7" s="1"/>
  <c r="F50" i="7"/>
  <c r="G50" i="7" s="1"/>
  <c r="F54" i="7"/>
  <c r="G54" i="7" s="1"/>
  <c r="F58" i="7"/>
  <c r="G58" i="7" s="1"/>
  <c r="F62" i="7"/>
  <c r="G62" i="7" s="1"/>
  <c r="F66" i="7"/>
  <c r="G66" i="7" s="1"/>
  <c r="F70" i="7"/>
  <c r="G70" i="7" s="1"/>
  <c r="F74" i="7"/>
  <c r="G74" i="7" s="1"/>
  <c r="F78" i="7"/>
  <c r="G78" i="7" s="1"/>
  <c r="F82" i="7"/>
  <c r="G82" i="7" s="1"/>
  <c r="F86" i="7"/>
  <c r="G86" i="7" s="1"/>
  <c r="F90" i="7"/>
  <c r="G90" i="7" s="1"/>
  <c r="F94" i="7"/>
  <c r="G94" i="7" s="1"/>
  <c r="F98" i="7"/>
  <c r="G98" i="7" s="1"/>
  <c r="F102" i="7"/>
  <c r="G102" i="7" s="1"/>
  <c r="F106" i="7"/>
  <c r="G106" i="7" s="1"/>
  <c r="F110" i="7"/>
  <c r="G110" i="7" s="1"/>
  <c r="F114" i="7"/>
  <c r="G114" i="7" s="1"/>
  <c r="F118" i="7"/>
  <c r="G118" i="7" s="1"/>
  <c r="F122" i="7"/>
  <c r="G122" i="7" s="1"/>
  <c r="F126" i="7"/>
  <c r="G126" i="7" s="1"/>
  <c r="F130" i="7"/>
  <c r="G130" i="7" s="1"/>
  <c r="F134" i="7"/>
  <c r="G134" i="7" s="1"/>
  <c r="F138" i="7"/>
  <c r="G138" i="7" s="1"/>
  <c r="F142" i="7"/>
  <c r="G142" i="7" s="1"/>
  <c r="F146" i="7"/>
  <c r="G146" i="7" s="1"/>
  <c r="F150" i="7"/>
  <c r="G150" i="7" s="1"/>
  <c r="F154" i="7"/>
  <c r="G154" i="7" s="1"/>
  <c r="A157" i="4" l="1"/>
  <c r="C157" i="4" s="1"/>
  <c r="C156" i="4"/>
  <c r="C157" i="3"/>
  <c r="D157" i="3" s="1"/>
  <c r="D156" i="3"/>
  <c r="F2" i="4"/>
  <c r="G2" i="4" s="1"/>
  <c r="F6" i="4"/>
  <c r="G6" i="4" s="1"/>
  <c r="F10" i="4"/>
  <c r="G10" i="4" s="1"/>
  <c r="F14" i="4"/>
  <c r="G14" i="4" s="1"/>
  <c r="F18" i="4"/>
  <c r="G18" i="4" s="1"/>
  <c r="F22" i="4"/>
  <c r="G22" i="4" s="1"/>
  <c r="F26" i="4"/>
  <c r="G26" i="4" s="1"/>
  <c r="F30" i="4"/>
  <c r="G30" i="4" s="1"/>
  <c r="F34" i="4"/>
  <c r="G34" i="4" s="1"/>
  <c r="F38" i="4"/>
  <c r="G38" i="4" s="1"/>
  <c r="F42" i="4"/>
  <c r="G42" i="4" s="1"/>
  <c r="F46" i="4"/>
  <c r="G46" i="4" s="1"/>
  <c r="F50" i="4"/>
  <c r="G50" i="4" s="1"/>
  <c r="F54" i="4"/>
  <c r="G54" i="4" s="1"/>
  <c r="F58" i="4"/>
  <c r="G58" i="4" s="1"/>
  <c r="F62" i="4"/>
  <c r="G62" i="4" s="1"/>
  <c r="F66" i="4"/>
  <c r="G66" i="4" s="1"/>
  <c r="F70" i="4"/>
  <c r="G70" i="4" s="1"/>
  <c r="F74" i="4"/>
  <c r="G74" i="4" s="1"/>
  <c r="F78" i="4"/>
  <c r="G78" i="4" s="1"/>
  <c r="F82" i="4"/>
  <c r="G82" i="4" s="1"/>
  <c r="F86" i="4"/>
  <c r="G86" i="4" s="1"/>
  <c r="F90" i="4"/>
  <c r="G90" i="4" s="1"/>
  <c r="F94" i="4"/>
  <c r="G94" i="4" s="1"/>
  <c r="F98" i="4"/>
  <c r="G98" i="4" s="1"/>
  <c r="F102" i="4"/>
  <c r="G102" i="4" s="1"/>
  <c r="F106" i="4"/>
  <c r="G106" i="4" s="1"/>
  <c r="F110" i="4"/>
  <c r="G110" i="4" s="1"/>
  <c r="F114" i="4"/>
  <c r="G114" i="4" s="1"/>
  <c r="F118" i="4"/>
  <c r="G118" i="4" s="1"/>
  <c r="F122" i="4"/>
  <c r="G122" i="4" s="1"/>
  <c r="F126" i="4"/>
  <c r="G126" i="4" s="1"/>
  <c r="F130" i="4"/>
  <c r="G130" i="4" s="1"/>
  <c r="F134" i="4"/>
  <c r="G134" i="4" s="1"/>
  <c r="F138" i="4"/>
  <c r="G138" i="4" s="1"/>
  <c r="F142" i="4"/>
  <c r="G142" i="4" s="1"/>
  <c r="F146" i="4"/>
  <c r="G146" i="4" s="1"/>
  <c r="F150" i="4"/>
  <c r="G150" i="4" s="1"/>
  <c r="D155" i="4"/>
  <c r="E3" i="4" s="1"/>
  <c r="F155" i="4" s="1"/>
  <c r="G155" i="4" s="1"/>
  <c r="F3" i="7"/>
  <c r="G3" i="7" s="1"/>
  <c r="F7" i="7"/>
  <c r="G7" i="7" s="1"/>
  <c r="F11" i="7"/>
  <c r="G11" i="7" s="1"/>
  <c r="F15" i="7"/>
  <c r="G15" i="7" s="1"/>
  <c r="F19" i="7"/>
  <c r="G19" i="7" s="1"/>
  <c r="F23" i="7"/>
  <c r="G23" i="7" s="1"/>
  <c r="F27" i="7"/>
  <c r="G27" i="7" s="1"/>
  <c r="F31" i="7"/>
  <c r="G31" i="7" s="1"/>
  <c r="F35" i="7"/>
  <c r="G35" i="7" s="1"/>
  <c r="F39" i="7"/>
  <c r="G39" i="7" s="1"/>
  <c r="F43" i="7"/>
  <c r="G43" i="7" s="1"/>
  <c r="F47" i="7"/>
  <c r="G47" i="7" s="1"/>
  <c r="F51" i="7"/>
  <c r="G51" i="7" s="1"/>
  <c r="F55" i="7"/>
  <c r="G55" i="7" s="1"/>
  <c r="F59" i="7"/>
  <c r="G59" i="7" s="1"/>
  <c r="F63" i="7"/>
  <c r="G63" i="7" s="1"/>
  <c r="F67" i="7"/>
  <c r="G67" i="7" s="1"/>
  <c r="F71" i="7"/>
  <c r="G71" i="7" s="1"/>
  <c r="F75" i="7"/>
  <c r="G75" i="7" s="1"/>
  <c r="F79" i="7"/>
  <c r="G79" i="7" s="1"/>
  <c r="F83" i="7"/>
  <c r="G83" i="7" s="1"/>
  <c r="F87" i="7"/>
  <c r="G87" i="7" s="1"/>
  <c r="F91" i="7"/>
  <c r="G91" i="7" s="1"/>
  <c r="F95" i="7"/>
  <c r="G95" i="7" s="1"/>
  <c r="F99" i="7"/>
  <c r="G99" i="7" s="1"/>
  <c r="F103" i="7"/>
  <c r="G103" i="7" s="1"/>
  <c r="F107" i="7"/>
  <c r="G107" i="7" s="1"/>
  <c r="F111" i="7"/>
  <c r="G111" i="7" s="1"/>
  <c r="F115" i="7"/>
  <c r="G115" i="7" s="1"/>
  <c r="F119" i="7"/>
  <c r="G119" i="7" s="1"/>
  <c r="F123" i="7"/>
  <c r="G123" i="7" s="1"/>
  <c r="F127" i="7"/>
  <c r="G127" i="7" s="1"/>
  <c r="F131" i="7"/>
  <c r="G131" i="7" s="1"/>
  <c r="F135" i="7"/>
  <c r="G135" i="7" s="1"/>
  <c r="F139" i="7"/>
  <c r="G139" i="7" s="1"/>
  <c r="F143" i="7"/>
  <c r="G143" i="7" s="1"/>
  <c r="F147" i="7"/>
  <c r="G147" i="7" s="1"/>
  <c r="F151" i="7"/>
  <c r="G151" i="7" s="1"/>
  <c r="D157" i="7"/>
  <c r="E5" i="7" s="1"/>
  <c r="F157" i="7" s="1"/>
  <c r="G157" i="7" s="1"/>
  <c r="D156" i="7"/>
  <c r="E4" i="7" s="1"/>
  <c r="I3" i="3" l="1"/>
  <c r="F3" i="4"/>
  <c r="G3" i="4" s="1"/>
  <c r="F7" i="4"/>
  <c r="G7" i="4" s="1"/>
  <c r="F11" i="4"/>
  <c r="G11" i="4" s="1"/>
  <c r="F15" i="4"/>
  <c r="G15" i="4" s="1"/>
  <c r="F19" i="4"/>
  <c r="G19" i="4" s="1"/>
  <c r="F23" i="4"/>
  <c r="G23" i="4" s="1"/>
  <c r="F27" i="4"/>
  <c r="G27" i="4" s="1"/>
  <c r="F31" i="4"/>
  <c r="G31" i="4" s="1"/>
  <c r="F35" i="4"/>
  <c r="G35" i="4" s="1"/>
  <c r="F39" i="4"/>
  <c r="G39" i="4" s="1"/>
  <c r="F43" i="4"/>
  <c r="G43" i="4" s="1"/>
  <c r="F47" i="4"/>
  <c r="G47" i="4" s="1"/>
  <c r="F51" i="4"/>
  <c r="G51" i="4" s="1"/>
  <c r="F55" i="4"/>
  <c r="G55" i="4" s="1"/>
  <c r="F59" i="4"/>
  <c r="G59" i="4" s="1"/>
  <c r="F63" i="4"/>
  <c r="G63" i="4" s="1"/>
  <c r="F67" i="4"/>
  <c r="G67" i="4" s="1"/>
  <c r="F71" i="4"/>
  <c r="G71" i="4" s="1"/>
  <c r="F75" i="4"/>
  <c r="G75" i="4" s="1"/>
  <c r="F79" i="4"/>
  <c r="G79" i="4" s="1"/>
  <c r="F83" i="4"/>
  <c r="G83" i="4" s="1"/>
  <c r="F87" i="4"/>
  <c r="G87" i="4" s="1"/>
  <c r="F91" i="4"/>
  <c r="G91" i="4" s="1"/>
  <c r="F95" i="4"/>
  <c r="G95" i="4" s="1"/>
  <c r="F99" i="4"/>
  <c r="G99" i="4" s="1"/>
  <c r="F103" i="4"/>
  <c r="G103" i="4" s="1"/>
  <c r="F107" i="4"/>
  <c r="G107" i="4" s="1"/>
  <c r="F111" i="4"/>
  <c r="G111" i="4" s="1"/>
  <c r="F115" i="4"/>
  <c r="G115" i="4" s="1"/>
  <c r="F119" i="4"/>
  <c r="G119" i="4" s="1"/>
  <c r="F123" i="4"/>
  <c r="G123" i="4" s="1"/>
  <c r="F127" i="4"/>
  <c r="G127" i="4" s="1"/>
  <c r="F131" i="4"/>
  <c r="G131" i="4" s="1"/>
  <c r="F135" i="4"/>
  <c r="G135" i="4" s="1"/>
  <c r="F139" i="4"/>
  <c r="G139" i="4" s="1"/>
  <c r="F143" i="4"/>
  <c r="G143" i="4" s="1"/>
  <c r="F147" i="4"/>
  <c r="G147" i="4" s="1"/>
  <c r="F151" i="4"/>
  <c r="G151" i="4" s="1"/>
  <c r="D156" i="4"/>
  <c r="E4" i="4" s="1"/>
  <c r="D157" i="4"/>
  <c r="E5" i="4" s="1"/>
  <c r="F4" i="7"/>
  <c r="G4" i="7" s="1"/>
  <c r="F8" i="7"/>
  <c r="G8" i="7" s="1"/>
  <c r="F12" i="7"/>
  <c r="G12" i="7" s="1"/>
  <c r="F16" i="7"/>
  <c r="G16" i="7" s="1"/>
  <c r="F20" i="7"/>
  <c r="G20" i="7" s="1"/>
  <c r="F24" i="7"/>
  <c r="G24" i="7" s="1"/>
  <c r="F28" i="7"/>
  <c r="G28" i="7" s="1"/>
  <c r="F32" i="7"/>
  <c r="G32" i="7" s="1"/>
  <c r="F36" i="7"/>
  <c r="G36" i="7" s="1"/>
  <c r="F40" i="7"/>
  <c r="G40" i="7" s="1"/>
  <c r="F44" i="7"/>
  <c r="G44" i="7" s="1"/>
  <c r="F48" i="7"/>
  <c r="G48" i="7" s="1"/>
  <c r="F52" i="7"/>
  <c r="G52" i="7" s="1"/>
  <c r="F56" i="7"/>
  <c r="G56" i="7" s="1"/>
  <c r="F60" i="7"/>
  <c r="G60" i="7" s="1"/>
  <c r="F64" i="7"/>
  <c r="G64" i="7" s="1"/>
  <c r="F68" i="7"/>
  <c r="G68" i="7" s="1"/>
  <c r="F72" i="7"/>
  <c r="G72" i="7" s="1"/>
  <c r="F76" i="7"/>
  <c r="G76" i="7" s="1"/>
  <c r="F80" i="7"/>
  <c r="G80" i="7" s="1"/>
  <c r="F84" i="7"/>
  <c r="G84" i="7" s="1"/>
  <c r="F88" i="7"/>
  <c r="G88" i="7" s="1"/>
  <c r="F92" i="7"/>
  <c r="G92" i="7" s="1"/>
  <c r="F96" i="7"/>
  <c r="G96" i="7" s="1"/>
  <c r="F100" i="7"/>
  <c r="G100" i="7" s="1"/>
  <c r="F104" i="7"/>
  <c r="G104" i="7" s="1"/>
  <c r="F108" i="7"/>
  <c r="G108" i="7" s="1"/>
  <c r="F112" i="7"/>
  <c r="G112" i="7" s="1"/>
  <c r="F116" i="7"/>
  <c r="G116" i="7" s="1"/>
  <c r="F120" i="7"/>
  <c r="G120" i="7" s="1"/>
  <c r="F124" i="7"/>
  <c r="G124" i="7" s="1"/>
  <c r="F128" i="7"/>
  <c r="G128" i="7" s="1"/>
  <c r="F132" i="7"/>
  <c r="G132" i="7" s="1"/>
  <c r="F136" i="7"/>
  <c r="G136" i="7" s="1"/>
  <c r="F140" i="7"/>
  <c r="G140" i="7" s="1"/>
  <c r="F144" i="7"/>
  <c r="G144" i="7" s="1"/>
  <c r="F148" i="7"/>
  <c r="G148" i="7" s="1"/>
  <c r="F152" i="7"/>
  <c r="G152" i="7" s="1"/>
  <c r="F156" i="7"/>
  <c r="G156" i="7" s="1"/>
  <c r="F5" i="7"/>
  <c r="G5" i="7" s="1"/>
  <c r="F9" i="7"/>
  <c r="G9" i="7" s="1"/>
  <c r="F13" i="7"/>
  <c r="G13" i="7" s="1"/>
  <c r="F17" i="7"/>
  <c r="G17" i="7" s="1"/>
  <c r="F21" i="7"/>
  <c r="G21" i="7" s="1"/>
  <c r="F25" i="7"/>
  <c r="G25" i="7" s="1"/>
  <c r="F29" i="7"/>
  <c r="G29" i="7" s="1"/>
  <c r="F33" i="7"/>
  <c r="G33" i="7" s="1"/>
  <c r="F37" i="7"/>
  <c r="G37" i="7" s="1"/>
  <c r="F41" i="7"/>
  <c r="G41" i="7" s="1"/>
  <c r="F45" i="7"/>
  <c r="G45" i="7" s="1"/>
  <c r="F49" i="7"/>
  <c r="G49" i="7" s="1"/>
  <c r="F53" i="7"/>
  <c r="G53" i="7" s="1"/>
  <c r="F57" i="7"/>
  <c r="G57" i="7" s="1"/>
  <c r="F61" i="7"/>
  <c r="G61" i="7" s="1"/>
  <c r="F65" i="7"/>
  <c r="G65" i="7" s="1"/>
  <c r="F69" i="7"/>
  <c r="G69" i="7" s="1"/>
  <c r="F73" i="7"/>
  <c r="G73" i="7" s="1"/>
  <c r="F77" i="7"/>
  <c r="G77" i="7" s="1"/>
  <c r="F81" i="7"/>
  <c r="G81" i="7" s="1"/>
  <c r="F85" i="7"/>
  <c r="G85" i="7" s="1"/>
  <c r="F89" i="7"/>
  <c r="G89" i="7" s="1"/>
  <c r="F93" i="7"/>
  <c r="G93" i="7" s="1"/>
  <c r="F97" i="7"/>
  <c r="G97" i="7" s="1"/>
  <c r="F101" i="7"/>
  <c r="G101" i="7" s="1"/>
  <c r="F105" i="7"/>
  <c r="G105" i="7" s="1"/>
  <c r="F109" i="7"/>
  <c r="G109" i="7" s="1"/>
  <c r="F113" i="7"/>
  <c r="G113" i="7" s="1"/>
  <c r="F117" i="7"/>
  <c r="G117" i="7" s="1"/>
  <c r="F121" i="7"/>
  <c r="G121" i="7" s="1"/>
  <c r="F125" i="7"/>
  <c r="G125" i="7" s="1"/>
  <c r="F129" i="7"/>
  <c r="G129" i="7" s="1"/>
  <c r="F133" i="7"/>
  <c r="G133" i="7" s="1"/>
  <c r="F137" i="7"/>
  <c r="G137" i="7" s="1"/>
  <c r="F141" i="7"/>
  <c r="G141" i="7" s="1"/>
  <c r="F145" i="7"/>
  <c r="G145" i="7" s="1"/>
  <c r="F149" i="7"/>
  <c r="G149" i="7" s="1"/>
  <c r="F153" i="7"/>
  <c r="G153" i="7" s="1"/>
  <c r="I3" i="6"/>
  <c r="F4" i="4" l="1"/>
  <c r="G4" i="4" s="1"/>
  <c r="F8" i="4"/>
  <c r="G8" i="4" s="1"/>
  <c r="F12" i="4"/>
  <c r="G12" i="4" s="1"/>
  <c r="F16" i="4"/>
  <c r="G16" i="4" s="1"/>
  <c r="F20" i="4"/>
  <c r="G20" i="4" s="1"/>
  <c r="F24" i="4"/>
  <c r="G24" i="4" s="1"/>
  <c r="F28" i="4"/>
  <c r="G28" i="4" s="1"/>
  <c r="F32" i="4"/>
  <c r="G32" i="4" s="1"/>
  <c r="F36" i="4"/>
  <c r="G36" i="4" s="1"/>
  <c r="F40" i="4"/>
  <c r="G40" i="4" s="1"/>
  <c r="F44" i="4"/>
  <c r="G44" i="4" s="1"/>
  <c r="F48" i="4"/>
  <c r="G48" i="4" s="1"/>
  <c r="F52" i="4"/>
  <c r="G52" i="4" s="1"/>
  <c r="F56" i="4"/>
  <c r="G56" i="4" s="1"/>
  <c r="F60" i="4"/>
  <c r="G60" i="4" s="1"/>
  <c r="F64" i="4"/>
  <c r="G64" i="4" s="1"/>
  <c r="F68" i="4"/>
  <c r="G68" i="4" s="1"/>
  <c r="F72" i="4"/>
  <c r="G72" i="4" s="1"/>
  <c r="F76" i="4"/>
  <c r="G76" i="4" s="1"/>
  <c r="F80" i="4"/>
  <c r="G80" i="4" s="1"/>
  <c r="F84" i="4"/>
  <c r="G84" i="4" s="1"/>
  <c r="F88" i="4"/>
  <c r="G88" i="4" s="1"/>
  <c r="F92" i="4"/>
  <c r="G92" i="4" s="1"/>
  <c r="F96" i="4"/>
  <c r="G96" i="4" s="1"/>
  <c r="F100" i="4"/>
  <c r="G100" i="4" s="1"/>
  <c r="F104" i="4"/>
  <c r="G104" i="4" s="1"/>
  <c r="F108" i="4"/>
  <c r="G108" i="4" s="1"/>
  <c r="F112" i="4"/>
  <c r="G112" i="4" s="1"/>
  <c r="F116" i="4"/>
  <c r="G116" i="4" s="1"/>
  <c r="F120" i="4"/>
  <c r="G120" i="4" s="1"/>
  <c r="F124" i="4"/>
  <c r="G124" i="4" s="1"/>
  <c r="F128" i="4"/>
  <c r="G128" i="4" s="1"/>
  <c r="F132" i="4"/>
  <c r="G132" i="4" s="1"/>
  <c r="F136" i="4"/>
  <c r="G136" i="4" s="1"/>
  <c r="F140" i="4"/>
  <c r="G140" i="4" s="1"/>
  <c r="F144" i="4"/>
  <c r="G144" i="4" s="1"/>
  <c r="F148" i="4"/>
  <c r="G148" i="4" s="1"/>
  <c r="F152" i="4"/>
  <c r="G152" i="4" s="1"/>
  <c r="F5" i="4"/>
  <c r="G5" i="4" s="1"/>
  <c r="F9" i="4"/>
  <c r="G9" i="4" s="1"/>
  <c r="F13" i="4"/>
  <c r="G13" i="4" s="1"/>
  <c r="F17" i="4"/>
  <c r="G17" i="4" s="1"/>
  <c r="F21" i="4"/>
  <c r="G21" i="4" s="1"/>
  <c r="F25" i="4"/>
  <c r="G25" i="4" s="1"/>
  <c r="F29" i="4"/>
  <c r="G29" i="4" s="1"/>
  <c r="F33" i="4"/>
  <c r="G33" i="4" s="1"/>
  <c r="F37" i="4"/>
  <c r="G37" i="4" s="1"/>
  <c r="F41" i="4"/>
  <c r="G41" i="4" s="1"/>
  <c r="F45" i="4"/>
  <c r="G45" i="4" s="1"/>
  <c r="F49" i="4"/>
  <c r="G49" i="4" s="1"/>
  <c r="F53" i="4"/>
  <c r="G53" i="4" s="1"/>
  <c r="F57" i="4"/>
  <c r="G57" i="4" s="1"/>
  <c r="F61" i="4"/>
  <c r="G61" i="4" s="1"/>
  <c r="F65" i="4"/>
  <c r="G65" i="4" s="1"/>
  <c r="F69" i="4"/>
  <c r="G69" i="4" s="1"/>
  <c r="F73" i="4"/>
  <c r="G73" i="4" s="1"/>
  <c r="F77" i="4"/>
  <c r="G77" i="4" s="1"/>
  <c r="F81" i="4"/>
  <c r="G81" i="4" s="1"/>
  <c r="F85" i="4"/>
  <c r="G85" i="4" s="1"/>
  <c r="F89" i="4"/>
  <c r="G89" i="4" s="1"/>
  <c r="F93" i="4"/>
  <c r="G93" i="4" s="1"/>
  <c r="F97" i="4"/>
  <c r="G97" i="4" s="1"/>
  <c r="F101" i="4"/>
  <c r="G101" i="4" s="1"/>
  <c r="F105" i="4"/>
  <c r="G105" i="4" s="1"/>
  <c r="F109" i="4"/>
  <c r="G109" i="4" s="1"/>
  <c r="F113" i="4"/>
  <c r="G113" i="4" s="1"/>
  <c r="F117" i="4"/>
  <c r="G117" i="4" s="1"/>
  <c r="F121" i="4"/>
  <c r="G121" i="4" s="1"/>
  <c r="F125" i="4"/>
  <c r="G125" i="4" s="1"/>
  <c r="F129" i="4"/>
  <c r="G129" i="4" s="1"/>
  <c r="F133" i="4"/>
  <c r="G133" i="4" s="1"/>
  <c r="F137" i="4"/>
  <c r="G137" i="4" s="1"/>
  <c r="F141" i="4"/>
  <c r="G141" i="4" s="1"/>
  <c r="F145" i="4"/>
  <c r="G145" i="4" s="1"/>
  <c r="F149" i="4"/>
  <c r="G149" i="4" s="1"/>
  <c r="F153" i="4"/>
  <c r="G153" i="4" s="1"/>
  <c r="F156" i="4"/>
  <c r="G156" i="4" s="1"/>
  <c r="F157" i="4"/>
  <c r="G157" i="4" s="1"/>
  <c r="J2" i="7"/>
  <c r="J2" i="4" l="1"/>
</calcChain>
</file>

<file path=xl/sharedStrings.xml><?xml version="1.0" encoding="utf-8"?>
<sst xmlns="http://schemas.openxmlformats.org/spreadsheetml/2006/main" count="779" uniqueCount="308">
  <si>
    <t>Total Consumption</t>
  </si>
  <si>
    <t>Industry related</t>
  </si>
  <si>
    <t>Service related</t>
  </si>
  <si>
    <t>Transport related</t>
  </si>
  <si>
    <t>Households</t>
  </si>
  <si>
    <t>Others</t>
  </si>
  <si>
    <t>Date</t>
  </si>
  <si>
    <t>2005 Jan</t>
  </si>
  <si>
    <t>2005 Feb</t>
  </si>
  <si>
    <t>2005 Mar</t>
  </si>
  <si>
    <t>2005 Apr</t>
  </si>
  <si>
    <t>2005 May</t>
  </si>
  <si>
    <t>2005 Jun</t>
  </si>
  <si>
    <t>2005 Jul</t>
  </si>
  <si>
    <t>2005 Aug</t>
  </si>
  <si>
    <t>2005 Sep</t>
  </si>
  <si>
    <t>2005 Oct</t>
  </si>
  <si>
    <t>2005 Nov</t>
  </si>
  <si>
    <t>2005 Dec</t>
  </si>
  <si>
    <t>2006 Jan</t>
  </si>
  <si>
    <t>2006 Feb</t>
  </si>
  <si>
    <t>2006 Mar</t>
  </si>
  <si>
    <t>2006 Apr</t>
  </si>
  <si>
    <t>2006 May</t>
  </si>
  <si>
    <t>2006 Jun</t>
  </si>
  <si>
    <t>2006 Jul</t>
  </si>
  <si>
    <t>2006 Aug</t>
  </si>
  <si>
    <t>2006 Sep</t>
  </si>
  <si>
    <t>2006 Oct</t>
  </si>
  <si>
    <t>2006 Nov</t>
  </si>
  <si>
    <t>2006 Dec</t>
  </si>
  <si>
    <t>2007 Jan</t>
  </si>
  <si>
    <t>2007 Feb</t>
  </si>
  <si>
    <t>2007 Mar</t>
  </si>
  <si>
    <t>2007 Apr</t>
  </si>
  <si>
    <t>2007 May</t>
  </si>
  <si>
    <t>2007 Jun</t>
  </si>
  <si>
    <t>2007 Jul</t>
  </si>
  <si>
    <t>2007 Aug</t>
  </si>
  <si>
    <t>2007 Sep</t>
  </si>
  <si>
    <t>2007 Oct</t>
  </si>
  <si>
    <t>2007 Nov</t>
  </si>
  <si>
    <t>2007 Dec</t>
  </si>
  <si>
    <t>2008 Jan</t>
  </si>
  <si>
    <t>2008 Feb</t>
  </si>
  <si>
    <t>2008 Mar</t>
  </si>
  <si>
    <t>2008 Apr</t>
  </si>
  <si>
    <t>2008 May</t>
  </si>
  <si>
    <t>2008 Jun</t>
  </si>
  <si>
    <t>2008 Jul</t>
  </si>
  <si>
    <t>2008 Aug</t>
  </si>
  <si>
    <t>2008 Sep</t>
  </si>
  <si>
    <t>2008 Oct</t>
  </si>
  <si>
    <t>2008 Nov</t>
  </si>
  <si>
    <t>2008 Dec</t>
  </si>
  <si>
    <t>2009 Jan</t>
  </si>
  <si>
    <t>2009 Feb</t>
  </si>
  <si>
    <t>2009 Mar</t>
  </si>
  <si>
    <t>2009 Apr</t>
  </si>
  <si>
    <t>2009 May</t>
  </si>
  <si>
    <t>2009 Jun</t>
  </si>
  <si>
    <t>2009 Jul</t>
  </si>
  <si>
    <t>2009 Aug</t>
  </si>
  <si>
    <t>2009 Sep</t>
  </si>
  <si>
    <t>2009 Oct</t>
  </si>
  <si>
    <t>2009 Nov</t>
  </si>
  <si>
    <t>2009 Dec</t>
  </si>
  <si>
    <t>2010 Jan</t>
  </si>
  <si>
    <t>2010 Feb</t>
  </si>
  <si>
    <t>2010 Mar</t>
  </si>
  <si>
    <t>2010 Apr</t>
  </si>
  <si>
    <t>2010 May</t>
  </si>
  <si>
    <t>2010 Jun</t>
  </si>
  <si>
    <t>2010 Jul</t>
  </si>
  <si>
    <t>2010 Aug</t>
  </si>
  <si>
    <t>2010 Sep</t>
  </si>
  <si>
    <t>2010 Oct</t>
  </si>
  <si>
    <t>2010 Nov</t>
  </si>
  <si>
    <t>2010 Dec</t>
  </si>
  <si>
    <t>2011 Jan</t>
  </si>
  <si>
    <t>2011 Feb</t>
  </si>
  <si>
    <t>2011 Mar</t>
  </si>
  <si>
    <t>2011 Apr</t>
  </si>
  <si>
    <t>2011 May</t>
  </si>
  <si>
    <t>2011 Jun</t>
  </si>
  <si>
    <t>2011 Jul</t>
  </si>
  <si>
    <t>2011 Aug</t>
  </si>
  <si>
    <t>2011 Sep</t>
  </si>
  <si>
    <t>2011 Oct</t>
  </si>
  <si>
    <t>2011 Nov</t>
  </si>
  <si>
    <t>2011 Dec</t>
  </si>
  <si>
    <t>2012 Jan</t>
  </si>
  <si>
    <t>2012 Feb</t>
  </si>
  <si>
    <t>2012 Mar</t>
  </si>
  <si>
    <t>2012 Apr</t>
  </si>
  <si>
    <t>2012 May</t>
  </si>
  <si>
    <t>2012 Jun</t>
  </si>
  <si>
    <t>2012 Jul</t>
  </si>
  <si>
    <t>2012 Aug</t>
  </si>
  <si>
    <t>2012 Sep</t>
  </si>
  <si>
    <t>2012 Oct</t>
  </si>
  <si>
    <t>2012 Nov</t>
  </si>
  <si>
    <t>2012 Dec</t>
  </si>
  <si>
    <t>2013 Jan</t>
  </si>
  <si>
    <t>2013 Feb</t>
  </si>
  <si>
    <t>2013 Mar</t>
  </si>
  <si>
    <t>2013 Apr</t>
  </si>
  <si>
    <t>2013 May</t>
  </si>
  <si>
    <t>2013 Jun</t>
  </si>
  <si>
    <t>2013 Jul</t>
  </si>
  <si>
    <t>2013 Aug</t>
  </si>
  <si>
    <t>2013 Sep</t>
  </si>
  <si>
    <t>2013 Oct</t>
  </si>
  <si>
    <t>2013 Nov</t>
  </si>
  <si>
    <t>2013 Dec</t>
  </si>
  <si>
    <t>2014 Jan</t>
  </si>
  <si>
    <t>2014 Feb</t>
  </si>
  <si>
    <t>2014 Mar</t>
  </si>
  <si>
    <t>2014 Apr</t>
  </si>
  <si>
    <t>2014 May</t>
  </si>
  <si>
    <t>2014 Jun</t>
  </si>
  <si>
    <t>2014 Jul</t>
  </si>
  <si>
    <t>2014 Aug</t>
  </si>
  <si>
    <t>2014 Sep</t>
  </si>
  <si>
    <t>2014 Oct</t>
  </si>
  <si>
    <t>2014 Nov</t>
  </si>
  <si>
    <t>2014 Dec</t>
  </si>
  <si>
    <t>2015 Jan</t>
  </si>
  <si>
    <t>2015 Feb</t>
  </si>
  <si>
    <t>2015 Mar</t>
  </si>
  <si>
    <t>2015 Apr</t>
  </si>
  <si>
    <t>2015 May</t>
  </si>
  <si>
    <t>2015 Jun</t>
  </si>
  <si>
    <t>2015 Jul</t>
  </si>
  <si>
    <t>2015 Aug</t>
  </si>
  <si>
    <t>2015 Sep</t>
  </si>
  <si>
    <t>2015 Oct</t>
  </si>
  <si>
    <t>2015 Nov</t>
  </si>
  <si>
    <t>2015 Dec</t>
  </si>
  <si>
    <t>2016 Jan</t>
  </si>
  <si>
    <t>2016 Feb</t>
  </si>
  <si>
    <t>2016 Mar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</si>
  <si>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</si>
  <si>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</si>
  <si>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</si>
  <si>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</si>
  <si>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</si>
  <si>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</si>
  <si>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</si>
  <si>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</si>
  <si>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</si>
  <si>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</si>
  <si>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</si>
  <si>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</si>
  <si>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</si>
  <si>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</si>
  <si>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</si>
  <si>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</si>
  <si>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</si>
  <si>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</si>
  <si>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</si>
  <si>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</si>
  <si>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</si>
  <si>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Index</t>
  </si>
  <si>
    <t>Forecasted</t>
  </si>
  <si>
    <t>Difference</t>
  </si>
  <si>
    <t>Alpha</t>
  </si>
  <si>
    <t>RMSE</t>
  </si>
  <si>
    <t>Trend</t>
  </si>
  <si>
    <t>Ratio</t>
  </si>
  <si>
    <t>Index_Seasonality</t>
  </si>
  <si>
    <t>0.8687 * Index +485.81</t>
  </si>
  <si>
    <t>`=-0.2003 * Index +47.16</t>
  </si>
  <si>
    <t>Initial Forecast</t>
  </si>
  <si>
    <t>Time series: Workbook = Electricity Consumption.xlsx / Sheet = Total Data / Range = 'Total Data'!$G$1:$G$157 / 156 rows and 1 column</t>
  </si>
  <si>
    <t>Confidence intervals (%): 95</t>
  </si>
  <si>
    <t>Center: Yes</t>
  </si>
  <si>
    <t>Model parameters: p = 1 / d = 1 / q = 0 / P = 1 / D = 1 / Q = 0 / s = 12</t>
  </si>
  <si>
    <t>Optimize: Likelihood (Convergence = 0.00001 / Iterations = 500)</t>
  </si>
  <si>
    <t>Validation: 12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</si>
  <si>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</si>
  <si>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</si>
  <si>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</si>
  <si>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</si>
  <si>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</si>
  <si>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</si>
  <si>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</si>
  <si>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</si>
  <si>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</si>
  <si>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Results of ARIMA modeling of the Others series:</t>
  </si>
  <si>
    <t>Results after optimization (Others):</t>
  </si>
  <si>
    <t>Goodness of fit statistics:</t>
  </si>
  <si>
    <t>DF</t>
  </si>
  <si>
    <t>SSE</t>
  </si>
  <si>
    <t>MSE</t>
  </si>
  <si>
    <t>WN Variance</t>
  </si>
  <si>
    <t>MAPE(Diff)</t>
  </si>
  <si>
    <t>MAPE</t>
  </si>
  <si>
    <t>-2Log(Like.)</t>
  </si>
  <si>
    <t>FPE</t>
  </si>
  <si>
    <t>AIC</t>
  </si>
  <si>
    <t>AICC</t>
  </si>
  <si>
    <t>SBC</t>
  </si>
  <si>
    <t>Iterations</t>
  </si>
  <si>
    <t>Model parameters:</t>
  </si>
  <si>
    <t>Parameter</t>
  </si>
  <si>
    <t>Value</t>
  </si>
  <si>
    <t>Hessian standard error</t>
  </si>
  <si>
    <t>Lower bound (95%)</t>
  </si>
  <si>
    <t>Upper bound (95%)</t>
  </si>
  <si>
    <t>Constant</t>
  </si>
  <si>
    <t>Asympt. standard error</t>
  </si>
  <si>
    <t>AR(1)</t>
  </si>
  <si>
    <t>SAR(1)</t>
  </si>
  <si>
    <t>Predictions and residuals:</t>
  </si>
  <si>
    <t>ARIMA(Others)</t>
  </si>
  <si>
    <t>Residuals</t>
  </si>
  <si>
    <t>Standardized residuals</t>
  </si>
  <si>
    <t>Standard error</t>
  </si>
  <si>
    <t xml:space="preserve"> </t>
  </si>
  <si>
    <t>Descriptive analysis (Others):</t>
  </si>
  <si>
    <t>Lag</t>
  </si>
  <si>
    <t>Autocorrelation</t>
  </si>
  <si>
    <t>Partial autocorrelation</t>
  </si>
  <si>
    <t>Descriptive analysis (Residuals):</t>
  </si>
  <si>
    <t>Seed (random numbers): 123456789</t>
  </si>
  <si>
    <r>
      <t>XLSTAT 2018.6.53749  - ARIMA - Start time: 10/13/2018 at 5:04:48 PM / End time: 10/13/2018 at 5:04:50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</si>
  <si>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Time series: Workbook = Others.xlsm / Sheet = Exponential Smoothing(Others) / Range = 'Exponential Smoothing(Others)'!$B:$B / 156 rows and 1 column</t>
  </si>
  <si>
    <t>Smoothing: Exponential</t>
  </si>
  <si>
    <t>Method: Simple</t>
  </si>
  <si>
    <t>S1: Y(1)</t>
  </si>
  <si>
    <t>Alpha: Optimized</t>
  </si>
  <si>
    <t>Optimize (Convergence = 0.00001 / Iterations = 500)</t>
  </si>
  <si>
    <t>Goodness of fit statistics (Others):</t>
  </si>
  <si>
    <t>Statistic</t>
  </si>
  <si>
    <t>MPE</t>
  </si>
  <si>
    <t>MAE</t>
  </si>
  <si>
    <t>R²</t>
  </si>
  <si>
    <t>Convergence</t>
  </si>
  <si>
    <t>Yes</t>
  </si>
  <si>
    <t>Model parameters (Others):</t>
  </si>
  <si>
    <t>alpha</t>
  </si>
  <si>
    <t>S1</t>
  </si>
  <si>
    <t>Series before and after smoothing (Others):</t>
  </si>
  <si>
    <t>Exponential(Others)</t>
  </si>
  <si>
    <r>
      <t>XLSTAT 2018.6.53749  - Smoothing - Start time: 10/13/2018 at 5:22:53 PM / End time: 10/13/2018 at 5:22:53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</si>
  <si>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Alpha = 0.6</t>
  </si>
  <si>
    <r>
      <t>XLSTAT 2018.6.53749  - Smoothing - Start time: 10/13/2018 at 5:24:26 PM / End time: 10/13/2018 at 5:24:26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</si>
  <si>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Time series: Workbook = Others.xlsm / Sheet = Total Data / Range = 'Total Data'!$G:$G / 156 rows and 1 column</t>
  </si>
  <si>
    <t>Significance level (%): 5</t>
  </si>
  <si>
    <t>Dickey-Fuller test: ADF(stationary)</t>
  </si>
  <si>
    <t>Dickey-Fuller test (ADF(stationary) / k: 5 / Others):</t>
  </si>
  <si>
    <t>Tau (Observed value)</t>
  </si>
  <si>
    <t>Tau (Critical value)</t>
  </si>
  <si>
    <t>p-value (one-tailed)</t>
  </si>
  <si>
    <t>Test interpretation:</t>
  </si>
  <si>
    <t>H0: There is a unit root for the series.</t>
  </si>
  <si>
    <t>Ha: There is no unit root for the series. The series is stationary.</t>
  </si>
  <si>
    <t>As the computed p-value is greater than the significance level alpha=0.05, one cannot reject the null hypothesis H0.</t>
  </si>
  <si>
    <r>
      <t>XLSTAT 2018.6.53749  - Unit root and stationarity tests - Start time: 10/13/2018 at 5:48:48 PM / End time: 10/13/2018 at 5:48:50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</si>
  <si>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Year</t>
  </si>
  <si>
    <t>Month</t>
  </si>
  <si>
    <t>Time series: Workbook = Others.xlsm / Sheet = Sheet6 / Range = Sheet6!$D:$D / 156 rows and 1 column</t>
  </si>
  <si>
    <t>Box-Cox transformation (Others):</t>
  </si>
  <si>
    <t>Lambda =</t>
  </si>
  <si>
    <t>Series before and after transformation (Others):</t>
  </si>
  <si>
    <t>Time step</t>
  </si>
  <si>
    <t>Box-Cox(Others)</t>
  </si>
  <si>
    <t>Seasonal decomposition: (Others):</t>
  </si>
  <si>
    <t>Coefficients (Others):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</si>
  <si>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</si>
  <si>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</si>
  <si>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</si>
  <si>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</si>
  <si>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</si>
  <si>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</si>
  <si>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</si>
  <si>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</si>
  <si>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</si>
  <si>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</si>
  <si>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</si>
  <si>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</si>
  <si>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Trend component</t>
  </si>
  <si>
    <t>Seasonal component</t>
  </si>
  <si>
    <t>Random component</t>
  </si>
  <si>
    <r>
      <t>XLSTAT 2018.6.53749  - Time series transformation - Start time: 10/13/2018 at 6:52:44 PM / End time: 10/13/2018 at 6:52:45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</si>
  <si>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Time series: Workbook = Others.xlsm / Sheet = Data-Date / Range = 'Data-Date'!$D:$D / 156 rows and 1 column</t>
  </si>
  <si>
    <r>
      <t>XLSTAT 2018.6.53749  - Time series transformation - Start time: 10/13/2018 at 7:26:56 PM / End time: 10/13/2018 at 7:26:57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</si>
  <si>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Time series:</t>
  </si>
  <si>
    <r>
      <t>XLSTAT 2018.6.53749  - Times series visualization - Start time: 10/13/2018 at 7:29:25 PM / End time: 10/13/2018 at 7:29:25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</si>
  <si>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Seasonal fitting: (Others):</t>
  </si>
  <si>
    <t>Adjusted R²</t>
  </si>
  <si>
    <t>Intercept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</si>
  <si>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</si>
  <si>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</si>
  <si>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</si>
  <si>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</si>
  <si>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</si>
  <si>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</si>
  <si>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</si>
  <si>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</si>
  <si>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</si>
  <si>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</si>
  <si>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</si>
  <si>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Deseas(Others)</t>
  </si>
  <si>
    <r>
      <t>XLSTAT 2018.6.53749  - Time series transformation - Start time: 10/13/2018 at 7:29:59 PM / End time: 10/13/2018 at 7:30:00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</si>
  <si>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r>
      <t>XLSTAT 2018.6.53749  - Time series transformation - Start time: 10/13/2018 at 7:31:17 PM / End time: 10/13/2018 at 7:31:18 PM</t>
    </r>
    <r>
      <rPr>
        <sz val="11"/>
        <color rgb="FFFFFFFF"/>
        <rFont val="Calibri"/>
        <family val="2"/>
        <scheme val="minor"/>
      </rPr>
      <t xml:space="preserve"> / Microsoft Excel 16.04266</t>
    </r>
  </si>
  <si>
    <t>Forecasted(ARIMA)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</si>
</sst>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20000"/>
      <name val="Calibri"/>
      <family val="2"/>
      <scheme val="minor"/>
    </font>
    <font>
      <sz val="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4" borderId="0" xfId="0" applyFont="1" applyFill="1"/>
    <xf numFmtId="0" fontId="0" fillId="5" borderId="0" xfId="0" applyFill="1"/>
    <xf numFmtId="0" fontId="0" fillId="5" borderId="0" xfId="0" applyFont="1" applyFill="1"/>
    <xf numFmtId="0" fontId="0" fillId="6" borderId="0" xfId="0" applyFill="1"/>
    <xf numFmtId="49" fontId="0" fillId="0" borderId="0" xfId="0" applyNumberFormat="1"/>
    <xf numFmtId="1" fontId="0" fillId="0" borderId="0" xfId="0" applyNumberFormat="1"/>
    <xf numFmtId="0" fontId="0" fillId="0" borderId="0" xfId="0" applyAlignment="1"/>
    <xf numFmtId="0" fontId="0" fillId="0" borderId="1" xfId="0" applyFont="1" applyBorder="1" applyAlignment="1">
      <alignment horizontal="center"/>
    </xf>
    <xf numFmtId="49" fontId="0" fillId="0" borderId="1" xfId="0" applyNumberFormat="1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3" xfId="0" applyNumberFormat="1" applyBorder="1" applyAlignment="1"/>
    <xf numFmtId="164" fontId="0" fillId="0" borderId="3" xfId="0" applyNumberFormat="1" applyBorder="1" applyAlignment="1"/>
    <xf numFmtId="0" fontId="1" fillId="0" borderId="0" xfId="0" applyFont="1"/>
    <xf numFmtId="0" fontId="0" fillId="0" borderId="1" xfId="0" applyBorder="1" applyAlignment="1"/>
    <xf numFmtId="0" fontId="0" fillId="0" borderId="4" xfId="0" applyBorder="1" applyAlignment="1"/>
    <xf numFmtId="164" fontId="0" fillId="0" borderId="2" xfId="0" applyNumberFormat="1" applyBorder="1" applyAlignment="1"/>
    <xf numFmtId="164" fontId="0" fillId="0" borderId="4" xfId="0" applyNumberFormat="1" applyBorder="1" applyAlignment="1"/>
    <xf numFmtId="164" fontId="0" fillId="0" borderId="0" xfId="0" applyNumberFormat="1" applyAlignment="1"/>
    <xf numFmtId="0" fontId="0" fillId="0" borderId="1" xfId="0" applyNumberFormat="1" applyFont="1" applyBorder="1" applyAlignment="1">
      <alignment horizontal="center"/>
    </xf>
    <xf numFmtId="0" fontId="0" fillId="0" borderId="2" xfId="0" applyNumberFormat="1" applyBorder="1" applyAlignment="1"/>
    <xf numFmtId="0" fontId="0" fillId="0" borderId="0" xfId="0" applyNumberFormat="1" applyAlignment="1"/>
    <xf numFmtId="0" fontId="0" fillId="0" borderId="4" xfId="0" applyNumberFormat="1" applyBorder="1" applyAlignment="1"/>
    <xf numFmtId="0" fontId="0" fillId="0" borderId="0" xfId="0" applyFont="1"/>
    <xf numFmtId="49" fontId="0" fillId="0" borderId="0" xfId="0" applyNumberFormat="1" applyAlignment="1"/>
    <xf numFmtId="49" fontId="3" fillId="0" borderId="3" xfId="0" applyNumberFormat="1" applyFont="1" applyBorder="1" applyAlignment="1"/>
    <xf numFmtId="0" fontId="3" fillId="0" borderId="3" xfId="0" applyNumberFormat="1" applyFont="1" applyBorder="1" applyAlignment="1"/>
    <xf numFmtId="164" fontId="3" fillId="0" borderId="3" xfId="0" applyNumberFormat="1" applyFont="1" applyBorder="1" applyAlignment="1"/>
    <xf numFmtId="49" fontId="0" fillId="0" borderId="2" xfId="0" applyNumberFormat="1" applyBorder="1" applyAlignment="1"/>
    <xf numFmtId="49" fontId="0" fillId="0" borderId="4" xfId="0" applyNumberFormat="1" applyBorder="1" applyAlignment="1"/>
    <xf numFmtId="164" fontId="0" fillId="0" borderId="4" xfId="0" applyNumberFormat="1" applyBorder="1" applyAlignment="1">
      <alignment horizontal="right"/>
    </xf>
    <xf numFmtId="0" fontId="4" fillId="0" borderId="0" xfId="0" applyFont="1"/>
    <xf numFmtId="164" fontId="0" fillId="0" borderId="1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4" xfId="0" applyNumberFormat="1" applyBorder="1" applyAlignment="1">
      <alignment horizontal="right"/>
    </xf>
    <xf numFmtId="0" fontId="0" fillId="0" borderId="0" xfId="0" applyNumberFormat="1"/>
    <xf numFmtId="0" fontId="0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Vs Forecasted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'Exponential Smoothing'!$B$1</c:f>
              <c:strCache>
                <c:ptCount val="1"/>
                <c:pt idx="0">
                  <c:v>Households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'Exponential Smoothing'!$B$2:$B$157</c:f>
              <c:numCache>
                <c:formatCode>General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50-469B-A6C0-40DE6346D516}"/>
            </c:ext>
          </c:extLst>
        </c:ser>
        <c:ser>
          <c:idx val="2"/>
          <c:order val="1"/>
          <c:tx>
            <c:strRef>
              <c:f>'Exponential Smoothing'!$C$1</c:f>
              <c:strCache>
                <c:ptCount val="1"/>
                <c:pt idx="0">
                  <c:v>Forecasted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'Exponential Smoothing'!$C$2:$C$157</c:f>
              <c:numCache>
                <c:formatCode>General</c:formatCode>
                <c:ptCount val="156"/>
                <c:pt idx="0">
                  <c:v>447.8</c:v>
                </c:pt>
                <c:pt idx="1">
                  <c:v>447.8</c:v>
                </c:pt>
                <c:pt idx="2">
                  <c:v>437.1</c:v>
                </c:pt>
                <c:pt idx="3">
                  <c:v>479.7</c:v>
                </c:pt>
                <c:pt idx="4">
                  <c:v>533.6</c:v>
                </c:pt>
                <c:pt idx="5">
                  <c:v>535</c:v>
                </c:pt>
                <c:pt idx="6">
                  <c:v>560.20000000000005</c:v>
                </c:pt>
                <c:pt idx="7">
                  <c:v>537.4</c:v>
                </c:pt>
                <c:pt idx="8">
                  <c:v>528.79999999999995</c:v>
                </c:pt>
                <c:pt idx="9">
                  <c:v>516.29999999999995</c:v>
                </c:pt>
                <c:pt idx="10">
                  <c:v>520</c:v>
                </c:pt>
                <c:pt idx="11">
                  <c:v>518.6</c:v>
                </c:pt>
                <c:pt idx="12">
                  <c:v>478</c:v>
                </c:pt>
                <c:pt idx="13">
                  <c:v>465.5</c:v>
                </c:pt>
                <c:pt idx="14">
                  <c:v>452.3</c:v>
                </c:pt>
                <c:pt idx="15">
                  <c:v>470</c:v>
                </c:pt>
                <c:pt idx="16">
                  <c:v>511.3</c:v>
                </c:pt>
                <c:pt idx="17">
                  <c:v>522</c:v>
                </c:pt>
                <c:pt idx="18">
                  <c:v>533.20000000000005</c:v>
                </c:pt>
                <c:pt idx="19">
                  <c:v>513.20000000000005</c:v>
                </c:pt>
                <c:pt idx="20">
                  <c:v>544.20000000000005</c:v>
                </c:pt>
                <c:pt idx="21">
                  <c:v>541.4</c:v>
                </c:pt>
                <c:pt idx="22">
                  <c:v>525.70000000000005</c:v>
                </c:pt>
                <c:pt idx="23">
                  <c:v>535.20000000000005</c:v>
                </c:pt>
                <c:pt idx="24">
                  <c:v>495</c:v>
                </c:pt>
                <c:pt idx="25">
                  <c:v>473.6</c:v>
                </c:pt>
                <c:pt idx="26">
                  <c:v>444.4</c:v>
                </c:pt>
                <c:pt idx="27">
                  <c:v>451.8</c:v>
                </c:pt>
                <c:pt idx="28">
                  <c:v>511</c:v>
                </c:pt>
                <c:pt idx="29">
                  <c:v>542.79999999999995</c:v>
                </c:pt>
                <c:pt idx="30">
                  <c:v>556</c:v>
                </c:pt>
                <c:pt idx="31">
                  <c:v>563.1</c:v>
                </c:pt>
                <c:pt idx="32">
                  <c:v>555</c:v>
                </c:pt>
                <c:pt idx="33">
                  <c:v>513.6</c:v>
                </c:pt>
                <c:pt idx="34">
                  <c:v>514.70000000000005</c:v>
                </c:pt>
                <c:pt idx="35">
                  <c:v>547.9</c:v>
                </c:pt>
                <c:pt idx="36">
                  <c:v>489.9</c:v>
                </c:pt>
                <c:pt idx="37">
                  <c:v>467.1</c:v>
                </c:pt>
                <c:pt idx="38">
                  <c:v>472.7</c:v>
                </c:pt>
                <c:pt idx="39">
                  <c:v>449.5</c:v>
                </c:pt>
                <c:pt idx="40">
                  <c:v>491.5</c:v>
                </c:pt>
                <c:pt idx="41">
                  <c:v>544</c:v>
                </c:pt>
                <c:pt idx="42">
                  <c:v>572.5</c:v>
                </c:pt>
                <c:pt idx="43">
                  <c:v>525.79999999999995</c:v>
                </c:pt>
                <c:pt idx="44">
                  <c:v>510.1</c:v>
                </c:pt>
                <c:pt idx="45">
                  <c:v>519.1</c:v>
                </c:pt>
                <c:pt idx="46">
                  <c:v>522.1</c:v>
                </c:pt>
                <c:pt idx="47">
                  <c:v>535.6</c:v>
                </c:pt>
                <c:pt idx="48">
                  <c:v>484</c:v>
                </c:pt>
                <c:pt idx="49">
                  <c:v>476.4</c:v>
                </c:pt>
                <c:pt idx="50">
                  <c:v>460.5</c:v>
                </c:pt>
                <c:pt idx="51">
                  <c:v>461.2</c:v>
                </c:pt>
                <c:pt idx="52">
                  <c:v>510.5</c:v>
                </c:pt>
                <c:pt idx="53">
                  <c:v>556.6</c:v>
                </c:pt>
                <c:pt idx="54">
                  <c:v>609.5</c:v>
                </c:pt>
                <c:pt idx="55">
                  <c:v>592.70000000000005</c:v>
                </c:pt>
                <c:pt idx="56">
                  <c:v>572.1</c:v>
                </c:pt>
                <c:pt idx="57">
                  <c:v>554.9</c:v>
                </c:pt>
                <c:pt idx="58">
                  <c:v>557.4</c:v>
                </c:pt>
                <c:pt idx="59">
                  <c:v>562.9</c:v>
                </c:pt>
                <c:pt idx="60">
                  <c:v>516</c:v>
                </c:pt>
                <c:pt idx="61">
                  <c:v>490.6</c:v>
                </c:pt>
                <c:pt idx="62">
                  <c:v>503.9</c:v>
                </c:pt>
                <c:pt idx="63">
                  <c:v>547.6</c:v>
                </c:pt>
                <c:pt idx="64">
                  <c:v>585</c:v>
                </c:pt>
                <c:pt idx="65">
                  <c:v>573.5</c:v>
                </c:pt>
                <c:pt idx="66">
                  <c:v>606</c:v>
                </c:pt>
                <c:pt idx="67">
                  <c:v>575.20000000000005</c:v>
                </c:pt>
                <c:pt idx="68">
                  <c:v>539.70000000000005</c:v>
                </c:pt>
                <c:pt idx="69">
                  <c:v>539.20000000000005</c:v>
                </c:pt>
                <c:pt idx="70">
                  <c:v>557.79999999999995</c:v>
                </c:pt>
                <c:pt idx="71">
                  <c:v>581.4</c:v>
                </c:pt>
                <c:pt idx="72">
                  <c:v>536.20000000000005</c:v>
                </c:pt>
                <c:pt idx="73">
                  <c:v>499.3</c:v>
                </c:pt>
                <c:pt idx="74">
                  <c:v>461.7</c:v>
                </c:pt>
                <c:pt idx="75">
                  <c:v>465.7</c:v>
                </c:pt>
                <c:pt idx="76">
                  <c:v>524.4</c:v>
                </c:pt>
                <c:pt idx="77">
                  <c:v>565.1</c:v>
                </c:pt>
                <c:pt idx="78">
                  <c:v>602.79999999999995</c:v>
                </c:pt>
                <c:pt idx="79">
                  <c:v>586</c:v>
                </c:pt>
                <c:pt idx="80">
                  <c:v>590.6</c:v>
                </c:pt>
                <c:pt idx="81">
                  <c:v>582.6</c:v>
                </c:pt>
                <c:pt idx="82">
                  <c:v>557.70000000000005</c:v>
                </c:pt>
                <c:pt idx="83">
                  <c:v>541.1</c:v>
                </c:pt>
                <c:pt idx="84">
                  <c:v>505.9</c:v>
                </c:pt>
                <c:pt idx="85">
                  <c:v>503.3</c:v>
                </c:pt>
                <c:pt idx="86">
                  <c:v>505</c:v>
                </c:pt>
                <c:pt idx="87">
                  <c:v>508.6</c:v>
                </c:pt>
                <c:pt idx="88">
                  <c:v>540.9</c:v>
                </c:pt>
                <c:pt idx="89">
                  <c:v>557.1</c:v>
                </c:pt>
                <c:pt idx="90">
                  <c:v>607.9</c:v>
                </c:pt>
                <c:pt idx="91">
                  <c:v>594.79999999999995</c:v>
                </c:pt>
                <c:pt idx="92">
                  <c:v>585.6</c:v>
                </c:pt>
                <c:pt idx="93">
                  <c:v>573.20000000000005</c:v>
                </c:pt>
                <c:pt idx="94">
                  <c:v>560.20000000000005</c:v>
                </c:pt>
                <c:pt idx="95">
                  <c:v>568.1</c:v>
                </c:pt>
                <c:pt idx="96">
                  <c:v>524.79999999999995</c:v>
                </c:pt>
                <c:pt idx="97">
                  <c:v>513.1</c:v>
                </c:pt>
                <c:pt idx="98">
                  <c:v>498</c:v>
                </c:pt>
                <c:pt idx="99">
                  <c:v>498.3</c:v>
                </c:pt>
                <c:pt idx="100">
                  <c:v>568.29999999999995</c:v>
                </c:pt>
                <c:pt idx="101">
                  <c:v>601.79999999999995</c:v>
                </c:pt>
                <c:pt idx="102">
                  <c:v>629.6</c:v>
                </c:pt>
                <c:pt idx="103">
                  <c:v>612</c:v>
                </c:pt>
                <c:pt idx="104">
                  <c:v>617.5</c:v>
                </c:pt>
                <c:pt idx="105">
                  <c:v>560.6</c:v>
                </c:pt>
                <c:pt idx="106">
                  <c:v>555</c:v>
                </c:pt>
                <c:pt idx="107">
                  <c:v>570.70000000000005</c:v>
                </c:pt>
                <c:pt idx="108">
                  <c:v>530.1</c:v>
                </c:pt>
                <c:pt idx="109">
                  <c:v>509.7</c:v>
                </c:pt>
                <c:pt idx="110">
                  <c:v>489.3</c:v>
                </c:pt>
                <c:pt idx="111">
                  <c:v>488.7</c:v>
                </c:pt>
                <c:pt idx="112">
                  <c:v>568.1</c:v>
                </c:pt>
                <c:pt idx="113">
                  <c:v>609.5</c:v>
                </c:pt>
                <c:pt idx="114">
                  <c:v>639</c:v>
                </c:pt>
                <c:pt idx="115">
                  <c:v>628.1</c:v>
                </c:pt>
                <c:pt idx="116">
                  <c:v>635.5</c:v>
                </c:pt>
                <c:pt idx="117">
                  <c:v>592.4</c:v>
                </c:pt>
                <c:pt idx="118">
                  <c:v>580.9</c:v>
                </c:pt>
                <c:pt idx="119">
                  <c:v>611.5</c:v>
                </c:pt>
                <c:pt idx="120">
                  <c:v>571.79999999999995</c:v>
                </c:pt>
                <c:pt idx="121">
                  <c:v>525.20000000000005</c:v>
                </c:pt>
                <c:pt idx="122">
                  <c:v>493.6</c:v>
                </c:pt>
                <c:pt idx="123">
                  <c:v>513.9</c:v>
                </c:pt>
                <c:pt idx="124">
                  <c:v>594.20000000000005</c:v>
                </c:pt>
                <c:pt idx="125">
                  <c:v>610.70000000000005</c:v>
                </c:pt>
                <c:pt idx="126">
                  <c:v>632.29999999999995</c:v>
                </c:pt>
                <c:pt idx="127">
                  <c:v>647</c:v>
                </c:pt>
                <c:pt idx="128">
                  <c:v>656.7</c:v>
                </c:pt>
                <c:pt idx="129">
                  <c:v>635.70000000000005</c:v>
                </c:pt>
                <c:pt idx="130">
                  <c:v>643.6</c:v>
                </c:pt>
                <c:pt idx="131">
                  <c:v>645.70000000000005</c:v>
                </c:pt>
                <c:pt idx="132">
                  <c:v>622.4</c:v>
                </c:pt>
                <c:pt idx="133">
                  <c:v>570.29999999999995</c:v>
                </c:pt>
                <c:pt idx="134">
                  <c:v>580.4</c:v>
                </c:pt>
                <c:pt idx="135">
                  <c:v>585.4</c:v>
                </c:pt>
                <c:pt idx="136">
                  <c:v>648.70000000000005</c:v>
                </c:pt>
                <c:pt idx="137">
                  <c:v>689.1</c:v>
                </c:pt>
                <c:pt idx="138">
                  <c:v>708.4</c:v>
                </c:pt>
                <c:pt idx="139">
                  <c:v>642.20000000000005</c:v>
                </c:pt>
                <c:pt idx="140">
                  <c:v>647.1</c:v>
                </c:pt>
                <c:pt idx="141">
                  <c:v>647.79999999999995</c:v>
                </c:pt>
                <c:pt idx="142">
                  <c:v>650.4</c:v>
                </c:pt>
                <c:pt idx="143">
                  <c:v>644.70000000000005</c:v>
                </c:pt>
                <c:pt idx="144">
                  <c:v>575.20000000000005</c:v>
                </c:pt>
                <c:pt idx="145">
                  <c:v>567.1</c:v>
                </c:pt>
                <c:pt idx="146">
                  <c:v>574</c:v>
                </c:pt>
                <c:pt idx="147">
                  <c:v>533.1</c:v>
                </c:pt>
                <c:pt idx="148">
                  <c:v>583.70000000000005</c:v>
                </c:pt>
                <c:pt idx="149">
                  <c:v>619.9</c:v>
                </c:pt>
                <c:pt idx="150">
                  <c:v>649</c:v>
                </c:pt>
                <c:pt idx="151">
                  <c:v>698.1</c:v>
                </c:pt>
                <c:pt idx="152">
                  <c:v>630.20000000000005</c:v>
                </c:pt>
                <c:pt idx="153">
                  <c:v>613.1</c:v>
                </c:pt>
                <c:pt idx="154">
                  <c:v>622</c:v>
                </c:pt>
                <c:pt idx="155">
                  <c:v>622.1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50-469B-A6C0-40DE6346D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63552"/>
        <c:axId val="531268800"/>
      </c:lineChart>
      <c:catAx>
        <c:axId val="531263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68800"/>
        <c:crosses val="autoZero"/>
        <c:auto val="1"/>
        <c:lblAlgn val="ctr"/>
        <c:lblOffset val="100"/>
        <c:noMultiLvlLbl val="0"/>
      </c:catAx>
      <c:valAx>
        <c:axId val="53126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6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</a:t>
            </a:r>
            <a:r>
              <a:rPr lang="en-US" baseline="0"/>
              <a:t> To find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Decomposition!$B$1</c:f>
              <c:strCache>
                <c:ptCount val="1"/>
                <c:pt idx="0">
                  <c:v>Households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5994094488188976E-2"/>
                  <c:y val="-0.185006197142023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Decomposition!$B$2:$B$157</c:f>
              <c:numCache>
                <c:formatCode>General</c:formatCode>
                <c:ptCount val="156"/>
                <c:pt idx="0">
                  <c:v>447.8</c:v>
                </c:pt>
                <c:pt idx="1">
                  <c:v>437.1</c:v>
                </c:pt>
                <c:pt idx="2">
                  <c:v>479.7</c:v>
                </c:pt>
                <c:pt idx="3">
                  <c:v>533.6</c:v>
                </c:pt>
                <c:pt idx="4">
                  <c:v>535</c:v>
                </c:pt>
                <c:pt idx="5">
                  <c:v>560.20000000000005</c:v>
                </c:pt>
                <c:pt idx="6">
                  <c:v>537.4</c:v>
                </c:pt>
                <c:pt idx="7">
                  <c:v>528.79999999999995</c:v>
                </c:pt>
                <c:pt idx="8">
                  <c:v>516.29999999999995</c:v>
                </c:pt>
                <c:pt idx="9">
                  <c:v>520</c:v>
                </c:pt>
                <c:pt idx="10">
                  <c:v>518.6</c:v>
                </c:pt>
                <c:pt idx="11">
                  <c:v>478</c:v>
                </c:pt>
                <c:pt idx="12">
                  <c:v>465.5</c:v>
                </c:pt>
                <c:pt idx="13">
                  <c:v>452.3</c:v>
                </c:pt>
                <c:pt idx="14">
                  <c:v>470</c:v>
                </c:pt>
                <c:pt idx="15">
                  <c:v>511.3</c:v>
                </c:pt>
                <c:pt idx="16">
                  <c:v>522</c:v>
                </c:pt>
                <c:pt idx="17">
                  <c:v>533.20000000000005</c:v>
                </c:pt>
                <c:pt idx="18">
                  <c:v>513.20000000000005</c:v>
                </c:pt>
                <c:pt idx="19">
                  <c:v>544.20000000000005</c:v>
                </c:pt>
                <c:pt idx="20">
                  <c:v>541.4</c:v>
                </c:pt>
                <c:pt idx="21">
                  <c:v>525.70000000000005</c:v>
                </c:pt>
                <c:pt idx="22">
                  <c:v>535.20000000000005</c:v>
                </c:pt>
                <c:pt idx="23">
                  <c:v>495</c:v>
                </c:pt>
                <c:pt idx="24">
                  <c:v>473.6</c:v>
                </c:pt>
                <c:pt idx="25">
                  <c:v>444.4</c:v>
                </c:pt>
                <c:pt idx="26">
                  <c:v>451.8</c:v>
                </c:pt>
                <c:pt idx="27">
                  <c:v>511</c:v>
                </c:pt>
                <c:pt idx="28">
                  <c:v>542.79999999999995</c:v>
                </c:pt>
                <c:pt idx="29">
                  <c:v>556</c:v>
                </c:pt>
                <c:pt idx="30">
                  <c:v>563.1</c:v>
                </c:pt>
                <c:pt idx="31">
                  <c:v>555</c:v>
                </c:pt>
                <c:pt idx="32">
                  <c:v>513.6</c:v>
                </c:pt>
                <c:pt idx="33">
                  <c:v>514.70000000000005</c:v>
                </c:pt>
                <c:pt idx="34">
                  <c:v>547.9</c:v>
                </c:pt>
                <c:pt idx="35">
                  <c:v>489.9</c:v>
                </c:pt>
                <c:pt idx="36">
                  <c:v>467.1</c:v>
                </c:pt>
                <c:pt idx="37">
                  <c:v>472.7</c:v>
                </c:pt>
                <c:pt idx="38">
                  <c:v>449.5</c:v>
                </c:pt>
                <c:pt idx="39">
                  <c:v>491.5</c:v>
                </c:pt>
                <c:pt idx="40">
                  <c:v>544</c:v>
                </c:pt>
                <c:pt idx="41">
                  <c:v>572.5</c:v>
                </c:pt>
                <c:pt idx="42">
                  <c:v>525.79999999999995</c:v>
                </c:pt>
                <c:pt idx="43">
                  <c:v>510.1</c:v>
                </c:pt>
                <c:pt idx="44">
                  <c:v>519.1</c:v>
                </c:pt>
                <c:pt idx="45">
                  <c:v>522.1</c:v>
                </c:pt>
                <c:pt idx="46">
                  <c:v>535.6</c:v>
                </c:pt>
                <c:pt idx="47">
                  <c:v>484</c:v>
                </c:pt>
                <c:pt idx="48">
                  <c:v>476.4</c:v>
                </c:pt>
                <c:pt idx="49">
                  <c:v>460.5</c:v>
                </c:pt>
                <c:pt idx="50">
                  <c:v>461.2</c:v>
                </c:pt>
                <c:pt idx="51">
                  <c:v>510.5</c:v>
                </c:pt>
                <c:pt idx="52">
                  <c:v>556.6</c:v>
                </c:pt>
                <c:pt idx="53">
                  <c:v>609.5</c:v>
                </c:pt>
                <c:pt idx="54">
                  <c:v>592.70000000000005</c:v>
                </c:pt>
                <c:pt idx="55">
                  <c:v>572.1</c:v>
                </c:pt>
                <c:pt idx="56">
                  <c:v>554.9</c:v>
                </c:pt>
                <c:pt idx="57">
                  <c:v>557.4</c:v>
                </c:pt>
                <c:pt idx="58">
                  <c:v>562.9</c:v>
                </c:pt>
                <c:pt idx="59">
                  <c:v>516</c:v>
                </c:pt>
                <c:pt idx="60">
                  <c:v>490.6</c:v>
                </c:pt>
                <c:pt idx="61">
                  <c:v>503.9</c:v>
                </c:pt>
                <c:pt idx="62">
                  <c:v>547.6</c:v>
                </c:pt>
                <c:pt idx="63">
                  <c:v>585</c:v>
                </c:pt>
                <c:pt idx="64">
                  <c:v>573.5</c:v>
                </c:pt>
                <c:pt idx="65">
                  <c:v>606</c:v>
                </c:pt>
                <c:pt idx="66">
                  <c:v>575.20000000000005</c:v>
                </c:pt>
                <c:pt idx="67">
                  <c:v>539.70000000000005</c:v>
                </c:pt>
                <c:pt idx="68">
                  <c:v>539.20000000000005</c:v>
                </c:pt>
                <c:pt idx="69">
                  <c:v>557.79999999999995</c:v>
                </c:pt>
                <c:pt idx="70">
                  <c:v>581.4</c:v>
                </c:pt>
                <c:pt idx="71">
                  <c:v>536.20000000000005</c:v>
                </c:pt>
                <c:pt idx="72">
                  <c:v>499.3</c:v>
                </c:pt>
                <c:pt idx="73">
                  <c:v>461.7</c:v>
                </c:pt>
                <c:pt idx="74">
                  <c:v>465.7</c:v>
                </c:pt>
                <c:pt idx="75">
                  <c:v>524.4</c:v>
                </c:pt>
                <c:pt idx="76">
                  <c:v>565.1</c:v>
                </c:pt>
                <c:pt idx="77">
                  <c:v>602.79999999999995</c:v>
                </c:pt>
                <c:pt idx="78">
                  <c:v>586</c:v>
                </c:pt>
                <c:pt idx="79">
                  <c:v>590.6</c:v>
                </c:pt>
                <c:pt idx="80">
                  <c:v>582.6</c:v>
                </c:pt>
                <c:pt idx="81">
                  <c:v>557.70000000000005</c:v>
                </c:pt>
                <c:pt idx="82">
                  <c:v>541.1</c:v>
                </c:pt>
                <c:pt idx="83">
                  <c:v>505.9</c:v>
                </c:pt>
                <c:pt idx="84">
                  <c:v>503.3</c:v>
                </c:pt>
                <c:pt idx="85">
                  <c:v>505</c:v>
                </c:pt>
                <c:pt idx="86">
                  <c:v>508.6</c:v>
                </c:pt>
                <c:pt idx="87">
                  <c:v>540.9</c:v>
                </c:pt>
                <c:pt idx="88">
                  <c:v>557.1</c:v>
                </c:pt>
                <c:pt idx="89">
                  <c:v>607.9</c:v>
                </c:pt>
                <c:pt idx="90">
                  <c:v>594.79999999999995</c:v>
                </c:pt>
                <c:pt idx="91">
                  <c:v>585.6</c:v>
                </c:pt>
                <c:pt idx="92">
                  <c:v>573.20000000000005</c:v>
                </c:pt>
                <c:pt idx="93">
                  <c:v>560.20000000000005</c:v>
                </c:pt>
                <c:pt idx="94">
                  <c:v>568.1</c:v>
                </c:pt>
                <c:pt idx="95">
                  <c:v>524.79999999999995</c:v>
                </c:pt>
                <c:pt idx="96">
                  <c:v>513.1</c:v>
                </c:pt>
                <c:pt idx="97">
                  <c:v>498</c:v>
                </c:pt>
                <c:pt idx="98">
                  <c:v>498.3</c:v>
                </c:pt>
                <c:pt idx="99">
                  <c:v>568.29999999999995</c:v>
                </c:pt>
                <c:pt idx="100">
                  <c:v>601.79999999999995</c:v>
                </c:pt>
                <c:pt idx="101">
                  <c:v>629.6</c:v>
                </c:pt>
                <c:pt idx="102">
                  <c:v>612</c:v>
                </c:pt>
                <c:pt idx="103">
                  <c:v>617.5</c:v>
                </c:pt>
                <c:pt idx="104">
                  <c:v>560.6</c:v>
                </c:pt>
                <c:pt idx="105">
                  <c:v>555</c:v>
                </c:pt>
                <c:pt idx="106">
                  <c:v>570.70000000000005</c:v>
                </c:pt>
                <c:pt idx="107">
                  <c:v>530.1</c:v>
                </c:pt>
                <c:pt idx="108">
                  <c:v>509.7</c:v>
                </c:pt>
                <c:pt idx="109">
                  <c:v>489.3</c:v>
                </c:pt>
                <c:pt idx="110">
                  <c:v>488.7</c:v>
                </c:pt>
                <c:pt idx="111">
                  <c:v>568.1</c:v>
                </c:pt>
                <c:pt idx="112">
                  <c:v>609.5</c:v>
                </c:pt>
                <c:pt idx="113">
                  <c:v>639</c:v>
                </c:pt>
                <c:pt idx="114">
                  <c:v>628.1</c:v>
                </c:pt>
                <c:pt idx="115">
                  <c:v>635.5</c:v>
                </c:pt>
                <c:pt idx="116">
                  <c:v>592.4</c:v>
                </c:pt>
                <c:pt idx="117">
                  <c:v>580.9</c:v>
                </c:pt>
                <c:pt idx="118">
                  <c:v>611.5</c:v>
                </c:pt>
                <c:pt idx="119">
                  <c:v>571.79999999999995</c:v>
                </c:pt>
                <c:pt idx="120">
                  <c:v>525.20000000000005</c:v>
                </c:pt>
                <c:pt idx="121">
                  <c:v>493.6</c:v>
                </c:pt>
                <c:pt idx="122">
                  <c:v>513.9</c:v>
                </c:pt>
                <c:pt idx="123">
                  <c:v>594.20000000000005</c:v>
                </c:pt>
                <c:pt idx="124">
                  <c:v>610.70000000000005</c:v>
                </c:pt>
                <c:pt idx="125">
                  <c:v>632.29999999999995</c:v>
                </c:pt>
                <c:pt idx="126">
                  <c:v>647</c:v>
                </c:pt>
                <c:pt idx="127">
                  <c:v>656.7</c:v>
                </c:pt>
                <c:pt idx="128">
                  <c:v>635.70000000000005</c:v>
                </c:pt>
                <c:pt idx="129">
                  <c:v>643.6</c:v>
                </c:pt>
                <c:pt idx="130">
                  <c:v>645.70000000000005</c:v>
                </c:pt>
                <c:pt idx="131">
                  <c:v>622.4</c:v>
                </c:pt>
                <c:pt idx="132">
                  <c:v>570.29999999999995</c:v>
                </c:pt>
                <c:pt idx="133">
                  <c:v>580.4</c:v>
                </c:pt>
                <c:pt idx="134">
                  <c:v>585.4</c:v>
                </c:pt>
                <c:pt idx="135">
                  <c:v>648.70000000000005</c:v>
                </c:pt>
                <c:pt idx="136">
                  <c:v>689.1</c:v>
                </c:pt>
                <c:pt idx="137">
                  <c:v>708.4</c:v>
                </c:pt>
                <c:pt idx="138">
                  <c:v>642.20000000000005</c:v>
                </c:pt>
                <c:pt idx="139">
                  <c:v>647.1</c:v>
                </c:pt>
                <c:pt idx="140">
                  <c:v>647.79999999999995</c:v>
                </c:pt>
                <c:pt idx="141">
                  <c:v>650.4</c:v>
                </c:pt>
                <c:pt idx="142">
                  <c:v>644.70000000000005</c:v>
                </c:pt>
                <c:pt idx="143">
                  <c:v>575.20000000000005</c:v>
                </c:pt>
                <c:pt idx="144">
                  <c:v>567.1</c:v>
                </c:pt>
                <c:pt idx="145">
                  <c:v>574</c:v>
                </c:pt>
                <c:pt idx="146">
                  <c:v>533.1</c:v>
                </c:pt>
                <c:pt idx="147">
                  <c:v>583.70000000000005</c:v>
                </c:pt>
                <c:pt idx="148">
                  <c:v>619.9</c:v>
                </c:pt>
                <c:pt idx="149">
                  <c:v>649</c:v>
                </c:pt>
                <c:pt idx="150">
                  <c:v>698.1</c:v>
                </c:pt>
                <c:pt idx="151">
                  <c:v>630.20000000000005</c:v>
                </c:pt>
                <c:pt idx="152">
                  <c:v>613.1</c:v>
                </c:pt>
                <c:pt idx="153">
                  <c:v>622</c:v>
                </c:pt>
                <c:pt idx="154">
                  <c:v>622.1</c:v>
                </c:pt>
                <c:pt idx="155">
                  <c:v>583.1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4C-4F54-8D72-9ADDC3224121}"/>
            </c:ext>
          </c:extLst>
        </c:ser>
        <c:ser>
          <c:idx val="2"/>
          <c:order val="1"/>
          <c:tx>
            <c:strRef>
              <c:f>Decomposition!$C$1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Decomposition!$C$2:$C$157</c:f>
              <c:numCache>
                <c:formatCode>General</c:formatCode>
                <c:ptCount val="156"/>
                <c:pt idx="0">
                  <c:v>486.67869999999999</c:v>
                </c:pt>
                <c:pt idx="1">
                  <c:v>487.54739999999998</c:v>
                </c:pt>
                <c:pt idx="2">
                  <c:v>488.41610000000003</c:v>
                </c:pt>
                <c:pt idx="3">
                  <c:v>489.28480000000002</c:v>
                </c:pt>
                <c:pt idx="4">
                  <c:v>490.15350000000001</c:v>
                </c:pt>
                <c:pt idx="5">
                  <c:v>491.0222</c:v>
                </c:pt>
                <c:pt idx="6">
                  <c:v>491.89089999999999</c:v>
                </c:pt>
                <c:pt idx="7">
                  <c:v>492.75959999999998</c:v>
                </c:pt>
                <c:pt idx="8">
                  <c:v>493.62830000000002</c:v>
                </c:pt>
                <c:pt idx="9">
                  <c:v>494.49700000000001</c:v>
                </c:pt>
                <c:pt idx="10">
                  <c:v>495.3657</c:v>
                </c:pt>
                <c:pt idx="11">
                  <c:v>496.23439999999999</c:v>
                </c:pt>
                <c:pt idx="12">
                  <c:v>497.10309999999998</c:v>
                </c:pt>
                <c:pt idx="13">
                  <c:v>497.97180000000003</c:v>
                </c:pt>
                <c:pt idx="14">
                  <c:v>498.84050000000002</c:v>
                </c:pt>
                <c:pt idx="15">
                  <c:v>499.70920000000001</c:v>
                </c:pt>
                <c:pt idx="16">
                  <c:v>500.5779</c:v>
                </c:pt>
                <c:pt idx="17">
                  <c:v>501.44659999999999</c:v>
                </c:pt>
                <c:pt idx="18">
                  <c:v>502.31529999999998</c:v>
                </c:pt>
                <c:pt idx="19">
                  <c:v>503.18400000000003</c:v>
                </c:pt>
                <c:pt idx="20">
                  <c:v>504.05270000000002</c:v>
                </c:pt>
                <c:pt idx="21">
                  <c:v>504.92140000000001</c:v>
                </c:pt>
                <c:pt idx="22">
                  <c:v>505.7901</c:v>
                </c:pt>
                <c:pt idx="23">
                  <c:v>506.65879999999999</c:v>
                </c:pt>
                <c:pt idx="24">
                  <c:v>507.52750000000003</c:v>
                </c:pt>
                <c:pt idx="25">
                  <c:v>508.39620000000002</c:v>
                </c:pt>
                <c:pt idx="26">
                  <c:v>509.26490000000001</c:v>
                </c:pt>
                <c:pt idx="27">
                  <c:v>510.1336</c:v>
                </c:pt>
                <c:pt idx="28">
                  <c:v>511.00229999999999</c:v>
                </c:pt>
                <c:pt idx="29">
                  <c:v>511.87099999999998</c:v>
                </c:pt>
                <c:pt idx="30">
                  <c:v>512.73969999999997</c:v>
                </c:pt>
                <c:pt idx="31">
                  <c:v>513.60839999999996</c:v>
                </c:pt>
                <c:pt idx="32">
                  <c:v>514.47709999999995</c:v>
                </c:pt>
                <c:pt idx="33">
                  <c:v>515.34580000000005</c:v>
                </c:pt>
                <c:pt idx="34">
                  <c:v>516.21450000000004</c:v>
                </c:pt>
                <c:pt idx="35">
                  <c:v>517.08320000000003</c:v>
                </c:pt>
                <c:pt idx="36">
                  <c:v>517.95190000000002</c:v>
                </c:pt>
                <c:pt idx="37">
                  <c:v>518.82060000000001</c:v>
                </c:pt>
                <c:pt idx="38">
                  <c:v>519.6893</c:v>
                </c:pt>
                <c:pt idx="39">
                  <c:v>520.55799999999999</c:v>
                </c:pt>
                <c:pt idx="40">
                  <c:v>521.42669999999998</c:v>
                </c:pt>
                <c:pt idx="41">
                  <c:v>522.29539999999997</c:v>
                </c:pt>
                <c:pt idx="42">
                  <c:v>523.16409999999996</c:v>
                </c:pt>
                <c:pt idx="43">
                  <c:v>524.03279999999995</c:v>
                </c:pt>
                <c:pt idx="44">
                  <c:v>524.90150000000006</c:v>
                </c:pt>
                <c:pt idx="45">
                  <c:v>525.77020000000005</c:v>
                </c:pt>
                <c:pt idx="46">
                  <c:v>526.63890000000004</c:v>
                </c:pt>
                <c:pt idx="47">
                  <c:v>527.50760000000002</c:v>
                </c:pt>
                <c:pt idx="48">
                  <c:v>528.37630000000001</c:v>
                </c:pt>
                <c:pt idx="49">
                  <c:v>529.245</c:v>
                </c:pt>
                <c:pt idx="50">
                  <c:v>530.11369999999999</c:v>
                </c:pt>
                <c:pt idx="51">
                  <c:v>530.98239999999998</c:v>
                </c:pt>
                <c:pt idx="52">
                  <c:v>531.85109999999997</c:v>
                </c:pt>
                <c:pt idx="53">
                  <c:v>532.71979999999996</c:v>
                </c:pt>
                <c:pt idx="54">
                  <c:v>533.58849999999995</c:v>
                </c:pt>
                <c:pt idx="55">
                  <c:v>534.45720000000006</c:v>
                </c:pt>
                <c:pt idx="56">
                  <c:v>535.32590000000005</c:v>
                </c:pt>
                <c:pt idx="57">
                  <c:v>536.19460000000004</c:v>
                </c:pt>
                <c:pt idx="58">
                  <c:v>537.06330000000003</c:v>
                </c:pt>
                <c:pt idx="59">
                  <c:v>537.93200000000002</c:v>
                </c:pt>
                <c:pt idx="60">
                  <c:v>538.80070000000001</c:v>
                </c:pt>
                <c:pt idx="61">
                  <c:v>539.6694</c:v>
                </c:pt>
                <c:pt idx="62">
                  <c:v>540.53809999999999</c:v>
                </c:pt>
                <c:pt idx="63">
                  <c:v>541.40679999999998</c:v>
                </c:pt>
                <c:pt idx="64">
                  <c:v>542.27549999999997</c:v>
                </c:pt>
                <c:pt idx="65">
                  <c:v>543.14419999999996</c:v>
                </c:pt>
                <c:pt idx="66">
                  <c:v>544.01289999999995</c:v>
                </c:pt>
                <c:pt idx="67">
                  <c:v>544.88160000000005</c:v>
                </c:pt>
                <c:pt idx="68">
                  <c:v>545.75030000000004</c:v>
                </c:pt>
                <c:pt idx="69">
                  <c:v>546.61900000000003</c:v>
                </c:pt>
                <c:pt idx="70">
                  <c:v>547.48770000000002</c:v>
                </c:pt>
                <c:pt idx="71">
                  <c:v>548.35640000000001</c:v>
                </c:pt>
                <c:pt idx="72">
                  <c:v>549.2251</c:v>
                </c:pt>
                <c:pt idx="73">
                  <c:v>550.09379999999999</c:v>
                </c:pt>
                <c:pt idx="74">
                  <c:v>550.96249999999998</c:v>
                </c:pt>
                <c:pt idx="75">
                  <c:v>551.83119999999997</c:v>
                </c:pt>
                <c:pt idx="76">
                  <c:v>552.69989999999996</c:v>
                </c:pt>
                <c:pt idx="77">
                  <c:v>553.56860000000006</c:v>
                </c:pt>
                <c:pt idx="78">
                  <c:v>554.43730000000005</c:v>
                </c:pt>
                <c:pt idx="79">
                  <c:v>555.30600000000004</c:v>
                </c:pt>
                <c:pt idx="80">
                  <c:v>556.17470000000003</c:v>
                </c:pt>
                <c:pt idx="81">
                  <c:v>557.04340000000002</c:v>
                </c:pt>
                <c:pt idx="82">
                  <c:v>557.91210000000001</c:v>
                </c:pt>
                <c:pt idx="83">
                  <c:v>558.7808</c:v>
                </c:pt>
                <c:pt idx="84">
                  <c:v>559.64949999999999</c:v>
                </c:pt>
                <c:pt idx="85">
                  <c:v>560.51819999999998</c:v>
                </c:pt>
                <c:pt idx="86">
                  <c:v>561.38689999999997</c:v>
                </c:pt>
                <c:pt idx="87">
                  <c:v>562.25559999999996</c:v>
                </c:pt>
                <c:pt idx="88">
                  <c:v>563.12429999999995</c:v>
                </c:pt>
                <c:pt idx="89">
                  <c:v>563.99300000000005</c:v>
                </c:pt>
                <c:pt idx="90">
                  <c:v>564.86170000000004</c:v>
                </c:pt>
                <c:pt idx="91">
                  <c:v>565.73040000000003</c:v>
                </c:pt>
                <c:pt idx="92">
                  <c:v>566.59910000000002</c:v>
                </c:pt>
                <c:pt idx="93">
                  <c:v>567.46780000000001</c:v>
                </c:pt>
                <c:pt idx="94">
                  <c:v>568.3365</c:v>
                </c:pt>
                <c:pt idx="95">
                  <c:v>569.20519999999999</c:v>
                </c:pt>
                <c:pt idx="96">
                  <c:v>570.07389999999998</c:v>
                </c:pt>
                <c:pt idx="97">
                  <c:v>570.94259999999997</c:v>
                </c:pt>
                <c:pt idx="98">
                  <c:v>571.81129999999996</c:v>
                </c:pt>
                <c:pt idx="99">
                  <c:v>572.68000000000006</c:v>
                </c:pt>
                <c:pt idx="100">
                  <c:v>573.54870000000005</c:v>
                </c:pt>
                <c:pt idx="101">
                  <c:v>574.41740000000004</c:v>
                </c:pt>
                <c:pt idx="102">
                  <c:v>575.28610000000003</c:v>
                </c:pt>
                <c:pt idx="103">
                  <c:v>576.15480000000002</c:v>
                </c:pt>
                <c:pt idx="104">
                  <c:v>577.02350000000001</c:v>
                </c:pt>
                <c:pt idx="105">
                  <c:v>577.8922</c:v>
                </c:pt>
                <c:pt idx="106">
                  <c:v>578.76089999999999</c:v>
                </c:pt>
                <c:pt idx="107">
                  <c:v>579.62959999999998</c:v>
                </c:pt>
                <c:pt idx="108">
                  <c:v>580.49829999999997</c:v>
                </c:pt>
                <c:pt idx="109">
                  <c:v>581.36699999999996</c:v>
                </c:pt>
                <c:pt idx="110">
                  <c:v>582.23569999999995</c:v>
                </c:pt>
                <c:pt idx="111">
                  <c:v>583.10439999999994</c:v>
                </c:pt>
                <c:pt idx="112">
                  <c:v>583.97310000000004</c:v>
                </c:pt>
                <c:pt idx="113">
                  <c:v>584.84180000000003</c:v>
                </c:pt>
                <c:pt idx="114">
                  <c:v>585.71050000000002</c:v>
                </c:pt>
                <c:pt idx="115">
                  <c:v>586.57920000000001</c:v>
                </c:pt>
                <c:pt idx="116">
                  <c:v>587.4479</c:v>
                </c:pt>
                <c:pt idx="117">
                  <c:v>588.31659999999999</c:v>
                </c:pt>
                <c:pt idx="118">
                  <c:v>589.18529999999998</c:v>
                </c:pt>
                <c:pt idx="119">
                  <c:v>590.05399999999997</c:v>
                </c:pt>
                <c:pt idx="120">
                  <c:v>590.92269999999996</c:v>
                </c:pt>
                <c:pt idx="121">
                  <c:v>591.79140000000007</c:v>
                </c:pt>
                <c:pt idx="122">
                  <c:v>592.66010000000006</c:v>
                </c:pt>
                <c:pt idx="123">
                  <c:v>593.52880000000005</c:v>
                </c:pt>
                <c:pt idx="124">
                  <c:v>594.39750000000004</c:v>
                </c:pt>
                <c:pt idx="125">
                  <c:v>595.26620000000003</c:v>
                </c:pt>
                <c:pt idx="126">
                  <c:v>596.13490000000002</c:v>
                </c:pt>
                <c:pt idx="127">
                  <c:v>597.00360000000001</c:v>
                </c:pt>
                <c:pt idx="128">
                  <c:v>597.8723</c:v>
                </c:pt>
                <c:pt idx="129">
                  <c:v>598.74099999999999</c:v>
                </c:pt>
                <c:pt idx="130">
                  <c:v>599.60969999999998</c:v>
                </c:pt>
                <c:pt idx="131">
                  <c:v>600.47839999999997</c:v>
                </c:pt>
                <c:pt idx="132">
                  <c:v>601.34709999999995</c:v>
                </c:pt>
                <c:pt idx="133">
                  <c:v>602.21579999999994</c:v>
                </c:pt>
                <c:pt idx="134">
                  <c:v>603.08450000000005</c:v>
                </c:pt>
                <c:pt idx="135">
                  <c:v>603.95320000000004</c:v>
                </c:pt>
                <c:pt idx="136">
                  <c:v>604.82190000000003</c:v>
                </c:pt>
                <c:pt idx="137">
                  <c:v>605.69060000000002</c:v>
                </c:pt>
                <c:pt idx="138">
                  <c:v>606.55930000000001</c:v>
                </c:pt>
                <c:pt idx="139">
                  <c:v>607.428</c:v>
                </c:pt>
                <c:pt idx="140">
                  <c:v>608.29669999999999</c:v>
                </c:pt>
                <c:pt idx="141">
                  <c:v>609.16539999999998</c:v>
                </c:pt>
                <c:pt idx="142">
                  <c:v>610.03409999999997</c:v>
                </c:pt>
                <c:pt idx="143">
                  <c:v>610.90280000000007</c:v>
                </c:pt>
                <c:pt idx="144">
                  <c:v>611.77150000000006</c:v>
                </c:pt>
                <c:pt idx="145">
                  <c:v>612.64020000000005</c:v>
                </c:pt>
                <c:pt idx="146">
                  <c:v>613.50890000000004</c:v>
                </c:pt>
                <c:pt idx="147">
                  <c:v>614.37760000000003</c:v>
                </c:pt>
                <c:pt idx="148">
                  <c:v>615.24630000000002</c:v>
                </c:pt>
                <c:pt idx="149">
                  <c:v>616.11500000000001</c:v>
                </c:pt>
                <c:pt idx="150">
                  <c:v>616.9837</c:v>
                </c:pt>
                <c:pt idx="151">
                  <c:v>617.85239999999999</c:v>
                </c:pt>
                <c:pt idx="152">
                  <c:v>618.72109999999998</c:v>
                </c:pt>
                <c:pt idx="153">
                  <c:v>619.58979999999997</c:v>
                </c:pt>
                <c:pt idx="154">
                  <c:v>620.45849999999996</c:v>
                </c:pt>
                <c:pt idx="155">
                  <c:v>621.32719999999995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C-4F54-8D72-9ADDC3224121}"/>
            </c:ext>
          </c:extLst>
        </c:ser>
        <c:ser>
          <c:idx val="4"/>
          <c:order val="2"/>
          <c:tx>
            <c:strRef>
              <c:f>Decomposition!$E$1</c:f>
              <c:strCache>
                <c:ptCount val="1"/>
                <c:pt idx="0">
                  <c:v>Index_Seasonality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Decomposition!$E$2:$E$157</c:f>
              <c:numCache>
                <c:formatCode>General</c:formatCode>
                <c:ptCount val="156"/>
                <c:pt idx="0">
                  <c:v>0.99403512311612097</c:v>
                </c:pt>
                <c:pt idx="1">
                  <c:v>1.0024859669329731</c:v>
                </c:pt>
                <c:pt idx="2">
                  <c:v>1.0015050374937817</c:v>
                </c:pt>
                <c:pt idx="3">
                  <c:v>1.0021607929307894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4C-4F54-8D72-9ADDC3224121}"/>
            </c:ext>
          </c:extLst>
        </c:ser>
        <c:ser>
          <c:idx val="5"/>
          <c:order val="3"/>
          <c:tx>
            <c:strRef>
              <c:f>Decomposition!$F$1</c:f>
              <c:strCache>
                <c:ptCount val="1"/>
                <c:pt idx="0">
                  <c:v>Forecasted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Decomposition!$F$2:$F$157</c:f>
              <c:numCache>
                <c:formatCode>General</c:formatCode>
                <c:ptCount val="156"/>
                <c:pt idx="0">
                  <c:v>483.77572147249367</c:v>
                </c:pt>
                <c:pt idx="1">
                  <c:v>488.75942671465697</c:v>
                </c:pt>
                <c:pt idx="2">
                  <c:v>489.15118454306668</c:v>
                </c:pt>
                <c:pt idx="3">
                  <c:v>490.34204313698274</c:v>
                </c:pt>
                <c:pt idx="4">
                  <c:v>487.22979471829763</c:v>
                </c:pt>
                <c:pt idx="5">
                  <c:v>492.24286495255569</c:v>
                </c:pt>
                <c:pt idx="6">
                  <c:v>492.63121424735004</c:v>
                </c:pt>
                <c:pt idx="7">
                  <c:v>493.82435146025858</c:v>
                </c:pt>
                <c:pt idx="8">
                  <c:v>490.68386796410152</c:v>
                </c:pt>
                <c:pt idx="9">
                  <c:v>495.72630319045442</c:v>
                </c:pt>
                <c:pt idx="10">
                  <c:v>496.11124395163341</c:v>
                </c:pt>
                <c:pt idx="11">
                  <c:v>497.30665978353454</c:v>
                </c:pt>
                <c:pt idx="12">
                  <c:v>494.13794120990536</c:v>
                </c:pt>
                <c:pt idx="13">
                  <c:v>499.20974142835314</c:v>
                </c:pt>
                <c:pt idx="14">
                  <c:v>499.59127365591684</c:v>
                </c:pt>
                <c:pt idx="15">
                  <c:v>500.78896810681044</c:v>
                </c:pt>
                <c:pt idx="16">
                  <c:v>497.59201445570926</c:v>
                </c:pt>
                <c:pt idx="17">
                  <c:v>502.69317966625175</c:v>
                </c:pt>
                <c:pt idx="18">
                  <c:v>503.0713033602002</c:v>
                </c:pt>
                <c:pt idx="19">
                  <c:v>504.27127643008635</c:v>
                </c:pt>
                <c:pt idx="20">
                  <c:v>501.04608770151322</c:v>
                </c:pt>
                <c:pt idx="21">
                  <c:v>506.17661790415048</c:v>
                </c:pt>
                <c:pt idx="22">
                  <c:v>506.55133306448363</c:v>
                </c:pt>
                <c:pt idx="23">
                  <c:v>507.75358475336225</c:v>
                </c:pt>
                <c:pt idx="24">
                  <c:v>504.50016094731711</c:v>
                </c:pt>
                <c:pt idx="25">
                  <c:v>509.6600561420492</c:v>
                </c:pt>
                <c:pt idx="26">
                  <c:v>510.031362768767</c:v>
                </c:pt>
                <c:pt idx="27">
                  <c:v>511.23589307663815</c:v>
                </c:pt>
                <c:pt idx="28">
                  <c:v>507.95423419312095</c:v>
                </c:pt>
                <c:pt idx="29">
                  <c:v>513.14349437994781</c:v>
                </c:pt>
                <c:pt idx="30">
                  <c:v>513.51139247305036</c:v>
                </c:pt>
                <c:pt idx="31">
                  <c:v>514.71820139991405</c:v>
                </c:pt>
                <c:pt idx="32">
                  <c:v>511.40830743892485</c:v>
                </c:pt>
                <c:pt idx="33">
                  <c:v>516.62693261784659</c:v>
                </c:pt>
                <c:pt idx="34">
                  <c:v>516.99142217733379</c:v>
                </c:pt>
                <c:pt idx="35">
                  <c:v>518.20050972318995</c:v>
                </c:pt>
                <c:pt idx="36">
                  <c:v>514.86238068472881</c:v>
                </c:pt>
                <c:pt idx="37">
                  <c:v>520.11037085574526</c:v>
                </c:pt>
                <c:pt idx="38">
                  <c:v>520.47145188161721</c:v>
                </c:pt>
                <c:pt idx="39">
                  <c:v>521.68281804646585</c:v>
                </c:pt>
                <c:pt idx="40">
                  <c:v>518.3164539305327</c:v>
                </c:pt>
                <c:pt idx="41">
                  <c:v>523.59380909364393</c:v>
                </c:pt>
                <c:pt idx="42">
                  <c:v>523.95148158590052</c:v>
                </c:pt>
                <c:pt idx="43">
                  <c:v>525.16512636974176</c:v>
                </c:pt>
                <c:pt idx="44">
                  <c:v>521.7705271763366</c:v>
                </c:pt>
                <c:pt idx="45">
                  <c:v>527.07724733154271</c:v>
                </c:pt>
                <c:pt idx="46">
                  <c:v>527.43151129018395</c:v>
                </c:pt>
                <c:pt idx="47">
                  <c:v>528.64743469301766</c:v>
                </c:pt>
                <c:pt idx="48">
                  <c:v>525.2246004221405</c:v>
                </c:pt>
                <c:pt idx="49">
                  <c:v>530.56068556944138</c:v>
                </c:pt>
                <c:pt idx="50">
                  <c:v>530.91154099446737</c:v>
                </c:pt>
                <c:pt idx="51">
                  <c:v>532.12974301629356</c:v>
                </c:pt>
                <c:pt idx="52">
                  <c:v>528.67867366794439</c:v>
                </c:pt>
                <c:pt idx="53">
                  <c:v>534.04412380734004</c:v>
                </c:pt>
                <c:pt idx="54">
                  <c:v>534.39157069875068</c:v>
                </c:pt>
                <c:pt idx="55">
                  <c:v>535.61205133956958</c:v>
                </c:pt>
                <c:pt idx="56">
                  <c:v>532.13274691374829</c:v>
                </c:pt>
                <c:pt idx="57">
                  <c:v>537.52756204523882</c:v>
                </c:pt>
                <c:pt idx="58">
                  <c:v>537.87160040303422</c:v>
                </c:pt>
                <c:pt idx="59">
                  <c:v>539.09435966284548</c:v>
                </c:pt>
                <c:pt idx="60">
                  <c:v>535.58682015955219</c:v>
                </c:pt>
                <c:pt idx="61">
                  <c:v>541.01100028313738</c:v>
                </c:pt>
                <c:pt idx="62">
                  <c:v>541.35163010731753</c:v>
                </c:pt>
                <c:pt idx="63">
                  <c:v>542.57666798612127</c:v>
                </c:pt>
                <c:pt idx="64">
                  <c:v>539.04089340535597</c:v>
                </c:pt>
                <c:pt idx="65">
                  <c:v>544.49443852103605</c:v>
                </c:pt>
                <c:pt idx="66">
                  <c:v>544.83165981160084</c:v>
                </c:pt>
                <c:pt idx="67">
                  <c:v>546.05897630939728</c:v>
                </c:pt>
                <c:pt idx="68">
                  <c:v>542.49496665115998</c:v>
                </c:pt>
                <c:pt idx="69">
                  <c:v>547.97787675893483</c:v>
                </c:pt>
                <c:pt idx="70">
                  <c:v>548.31168951588438</c:v>
                </c:pt>
                <c:pt idx="71">
                  <c:v>549.54128463267318</c:v>
                </c:pt>
                <c:pt idx="72">
                  <c:v>545.94903989696388</c:v>
                </c:pt>
                <c:pt idx="73">
                  <c:v>551.46131499683349</c:v>
                </c:pt>
                <c:pt idx="74">
                  <c:v>551.79171922016769</c:v>
                </c:pt>
                <c:pt idx="75">
                  <c:v>553.02359295594897</c:v>
                </c:pt>
                <c:pt idx="76">
                  <c:v>549.40311314276767</c:v>
                </c:pt>
                <c:pt idx="77">
                  <c:v>554.94475323473227</c:v>
                </c:pt>
                <c:pt idx="78">
                  <c:v>555.27174892445112</c:v>
                </c:pt>
                <c:pt idx="79">
                  <c:v>556.50590127922499</c:v>
                </c:pt>
                <c:pt idx="80">
                  <c:v>552.85718638857168</c:v>
                </c:pt>
                <c:pt idx="81">
                  <c:v>558.42819147263094</c:v>
                </c:pt>
                <c:pt idx="82">
                  <c:v>558.75177862873454</c:v>
                </c:pt>
                <c:pt idx="83">
                  <c:v>559.98820960250089</c:v>
                </c:pt>
                <c:pt idx="84">
                  <c:v>556.31125963437557</c:v>
                </c:pt>
                <c:pt idx="85">
                  <c:v>561.91162971052961</c:v>
                </c:pt>
                <c:pt idx="86">
                  <c:v>562.23180833301785</c:v>
                </c:pt>
                <c:pt idx="87">
                  <c:v>563.47051792577668</c:v>
                </c:pt>
                <c:pt idx="88">
                  <c:v>559.76533288017936</c:v>
                </c:pt>
                <c:pt idx="89">
                  <c:v>565.39506794842839</c:v>
                </c:pt>
                <c:pt idx="90">
                  <c:v>565.71183803730128</c:v>
                </c:pt>
                <c:pt idx="91">
                  <c:v>566.95282624905269</c:v>
                </c:pt>
                <c:pt idx="92">
                  <c:v>563.21940612598337</c:v>
                </c:pt>
                <c:pt idx="93">
                  <c:v>568.87850618632694</c:v>
                </c:pt>
                <c:pt idx="94">
                  <c:v>569.1918677415847</c:v>
                </c:pt>
                <c:pt idx="95">
                  <c:v>570.43513457232859</c:v>
                </c:pt>
                <c:pt idx="96">
                  <c:v>566.67347937178727</c:v>
                </c:pt>
                <c:pt idx="97">
                  <c:v>572.36194442422561</c:v>
                </c:pt>
                <c:pt idx="98">
                  <c:v>572.67189744586801</c:v>
                </c:pt>
                <c:pt idx="99">
                  <c:v>573.91744289560449</c:v>
                </c:pt>
                <c:pt idx="100">
                  <c:v>570.12755261759116</c:v>
                </c:pt>
                <c:pt idx="101">
                  <c:v>575.84538266212439</c:v>
                </c:pt>
                <c:pt idx="102">
                  <c:v>576.15192715015155</c:v>
                </c:pt>
                <c:pt idx="103">
                  <c:v>577.3997512188804</c:v>
                </c:pt>
                <c:pt idx="104">
                  <c:v>573.58162586339506</c:v>
                </c:pt>
                <c:pt idx="105">
                  <c:v>579.32882090002306</c:v>
                </c:pt>
                <c:pt idx="106">
                  <c:v>579.63195685443486</c:v>
                </c:pt>
                <c:pt idx="107">
                  <c:v>580.8820595421563</c:v>
                </c:pt>
                <c:pt idx="108">
                  <c:v>577.03569910919884</c:v>
                </c:pt>
                <c:pt idx="109">
                  <c:v>582.81225913792173</c:v>
                </c:pt>
                <c:pt idx="110">
                  <c:v>583.11198655871817</c:v>
                </c:pt>
                <c:pt idx="111">
                  <c:v>584.36436786543209</c:v>
                </c:pt>
                <c:pt idx="112">
                  <c:v>580.48977235500286</c:v>
                </c:pt>
                <c:pt idx="113">
                  <c:v>586.29569737582051</c:v>
                </c:pt>
                <c:pt idx="114">
                  <c:v>586.59201626300171</c:v>
                </c:pt>
                <c:pt idx="115">
                  <c:v>587.8466761887081</c:v>
                </c:pt>
                <c:pt idx="116">
                  <c:v>583.94384560080675</c:v>
                </c:pt>
                <c:pt idx="117">
                  <c:v>589.77913561371918</c:v>
                </c:pt>
                <c:pt idx="118">
                  <c:v>590.07204596728502</c:v>
                </c:pt>
                <c:pt idx="119">
                  <c:v>591.328984511984</c:v>
                </c:pt>
                <c:pt idx="120">
                  <c:v>587.39791884661054</c:v>
                </c:pt>
                <c:pt idx="121">
                  <c:v>593.26257385161796</c:v>
                </c:pt>
                <c:pt idx="122">
                  <c:v>593.55207567156845</c:v>
                </c:pt>
                <c:pt idx="123">
                  <c:v>594.81129283526002</c:v>
                </c:pt>
                <c:pt idx="124">
                  <c:v>590.85199209241455</c:v>
                </c:pt>
                <c:pt idx="125">
                  <c:v>596.74601208951663</c:v>
                </c:pt>
                <c:pt idx="126">
                  <c:v>597.03210537585187</c:v>
                </c:pt>
                <c:pt idx="127">
                  <c:v>598.29360115853581</c:v>
                </c:pt>
                <c:pt idx="128">
                  <c:v>594.30606533821845</c:v>
                </c:pt>
                <c:pt idx="129">
                  <c:v>600.22945032741518</c:v>
                </c:pt>
                <c:pt idx="130">
                  <c:v>600.51213508013518</c:v>
                </c:pt>
                <c:pt idx="131">
                  <c:v>601.77590948181171</c:v>
                </c:pt>
                <c:pt idx="132">
                  <c:v>597.76013858402223</c:v>
                </c:pt>
                <c:pt idx="133">
                  <c:v>603.71288856531385</c:v>
                </c:pt>
                <c:pt idx="134">
                  <c:v>603.99216478441861</c:v>
                </c:pt>
                <c:pt idx="135">
                  <c:v>605.25821780508772</c:v>
                </c:pt>
                <c:pt idx="136">
                  <c:v>601.21421182982624</c:v>
                </c:pt>
                <c:pt idx="137">
                  <c:v>607.19632680321263</c:v>
                </c:pt>
                <c:pt idx="138">
                  <c:v>607.47219448870203</c:v>
                </c:pt>
                <c:pt idx="139">
                  <c:v>608.74052612836351</c:v>
                </c:pt>
                <c:pt idx="140">
                  <c:v>604.66828507563014</c:v>
                </c:pt>
                <c:pt idx="141">
                  <c:v>610.6797650411113</c:v>
                </c:pt>
                <c:pt idx="142">
                  <c:v>610.95222419298534</c:v>
                </c:pt>
                <c:pt idx="143">
                  <c:v>612.22283445163953</c:v>
                </c:pt>
                <c:pt idx="144">
                  <c:v>608.12235832143404</c:v>
                </c:pt>
                <c:pt idx="145">
                  <c:v>614.16320327901008</c:v>
                </c:pt>
                <c:pt idx="146">
                  <c:v>614.43225389726888</c:v>
                </c:pt>
                <c:pt idx="147">
                  <c:v>615.70514277491543</c:v>
                </c:pt>
                <c:pt idx="148">
                  <c:v>611.57643156723793</c:v>
                </c:pt>
                <c:pt idx="149">
                  <c:v>617.64664151690874</c:v>
                </c:pt>
                <c:pt idx="150">
                  <c:v>617.91228360155219</c:v>
                </c:pt>
                <c:pt idx="151">
                  <c:v>619.18745109819122</c:v>
                </c:pt>
                <c:pt idx="152">
                  <c:v>615.03050481304172</c:v>
                </c:pt>
                <c:pt idx="153">
                  <c:v>621.13007975480741</c:v>
                </c:pt>
                <c:pt idx="154">
                  <c:v>621.3923133058355</c:v>
                </c:pt>
                <c:pt idx="155">
                  <c:v>622.66975942146712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4C-4F54-8D72-9ADDC3224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44616"/>
        <c:axId val="566840680"/>
      </c:lineChart>
      <c:catAx>
        <c:axId val="566844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40680"/>
        <c:crosses val="autoZero"/>
        <c:auto val="1"/>
        <c:lblAlgn val="ctr"/>
        <c:lblOffset val="100"/>
        <c:noMultiLvlLbl val="0"/>
      </c:catAx>
      <c:valAx>
        <c:axId val="5668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4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transformation3'!$B$44:$B$199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transformation3'!$C$44:$C$199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C1-4C7A-BD3F-A781AA257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9744"/>
        <c:axId val="464320992"/>
      </c:scatterChart>
      <c:valAx>
        <c:axId val="46431974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64320992"/>
        <c:crosses val="autoZero"/>
        <c:crossBetween val="midCat"/>
      </c:valAx>
      <c:valAx>
        <c:axId val="464320992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6431974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Seasonal fitting (Others)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'Time series transformation3'!$B$44:$B$199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transformation3'!$D$44:$D$199</c:f>
              <c:numCache>
                <c:formatCode>0.000</c:formatCode>
                <c:ptCount val="156"/>
                <c:pt idx="0">
                  <c:v>21.238461538461546</c:v>
                </c:pt>
                <c:pt idx="1">
                  <c:v>20.446153846153841</c:v>
                </c:pt>
                <c:pt idx="2">
                  <c:v>19.892307692307689</c:v>
                </c:pt>
                <c:pt idx="3">
                  <c:v>20.692307692307701</c:v>
                </c:pt>
                <c:pt idx="4">
                  <c:v>21.315384615384616</c:v>
                </c:pt>
                <c:pt idx="5">
                  <c:v>21.569230769230778</c:v>
                </c:pt>
                <c:pt idx="6">
                  <c:v>18.446153846153855</c:v>
                </c:pt>
                <c:pt idx="7">
                  <c:v>20.361538461538466</c:v>
                </c:pt>
                <c:pt idx="8">
                  <c:v>19.246153846153845</c:v>
                </c:pt>
                <c:pt idx="9">
                  <c:v>16.738461538461543</c:v>
                </c:pt>
                <c:pt idx="10">
                  <c:v>19.73076923076923</c:v>
                </c:pt>
                <c:pt idx="11">
                  <c:v>15.315384615384623</c:v>
                </c:pt>
                <c:pt idx="12">
                  <c:v>14.138461538461545</c:v>
                </c:pt>
                <c:pt idx="13">
                  <c:v>14.346153846153847</c:v>
                </c:pt>
                <c:pt idx="14">
                  <c:v>14.492307692307691</c:v>
                </c:pt>
                <c:pt idx="15">
                  <c:v>14.092307692307706</c:v>
                </c:pt>
                <c:pt idx="16">
                  <c:v>15.11538461538462</c:v>
                </c:pt>
                <c:pt idx="17">
                  <c:v>14.169230769230772</c:v>
                </c:pt>
                <c:pt idx="18">
                  <c:v>11.54615384615385</c:v>
                </c:pt>
                <c:pt idx="19">
                  <c:v>16.061538461538468</c:v>
                </c:pt>
                <c:pt idx="20">
                  <c:v>13.746153846153845</c:v>
                </c:pt>
                <c:pt idx="21">
                  <c:v>13.538461538461547</c:v>
                </c:pt>
                <c:pt idx="22">
                  <c:v>15.330769230769231</c:v>
                </c:pt>
                <c:pt idx="23">
                  <c:v>12.315384615384623</c:v>
                </c:pt>
                <c:pt idx="24">
                  <c:v>12.838461538461548</c:v>
                </c:pt>
                <c:pt idx="25">
                  <c:v>8.7461538461538453</c:v>
                </c:pt>
                <c:pt idx="26">
                  <c:v>11.092307692307685</c:v>
                </c:pt>
                <c:pt idx="27">
                  <c:v>8.8923076923077033</c:v>
                </c:pt>
                <c:pt idx="28">
                  <c:v>12.315384615384616</c:v>
                </c:pt>
                <c:pt idx="29">
                  <c:v>8.2692307692307736</c:v>
                </c:pt>
                <c:pt idx="30">
                  <c:v>12.54615384615385</c:v>
                </c:pt>
                <c:pt idx="31">
                  <c:v>11.361538461538466</c:v>
                </c:pt>
                <c:pt idx="32">
                  <c:v>9.2461538461538453</c:v>
                </c:pt>
                <c:pt idx="33">
                  <c:v>10.238461538461543</c:v>
                </c:pt>
                <c:pt idx="34">
                  <c:v>10.530769230769234</c:v>
                </c:pt>
                <c:pt idx="35">
                  <c:v>8.3153846153846231</c:v>
                </c:pt>
                <c:pt idx="36">
                  <c:v>7.8384615384615479</c:v>
                </c:pt>
                <c:pt idx="37">
                  <c:v>5.7461538461538453</c:v>
                </c:pt>
                <c:pt idx="38">
                  <c:v>2.8923076923076891</c:v>
                </c:pt>
                <c:pt idx="39">
                  <c:v>6.0923076923077062</c:v>
                </c:pt>
                <c:pt idx="40">
                  <c:v>4.315384615384616</c:v>
                </c:pt>
                <c:pt idx="41">
                  <c:v>5.4692307692307764</c:v>
                </c:pt>
                <c:pt idx="42">
                  <c:v>5.8461538461538538</c:v>
                </c:pt>
                <c:pt idx="43">
                  <c:v>5.3615384615384656</c:v>
                </c:pt>
                <c:pt idx="44">
                  <c:v>10.34615384615384</c:v>
                </c:pt>
                <c:pt idx="45">
                  <c:v>13.038461538461547</c:v>
                </c:pt>
                <c:pt idx="46">
                  <c:v>6.3307692307692314</c:v>
                </c:pt>
                <c:pt idx="47">
                  <c:v>7.1153846153846203</c:v>
                </c:pt>
                <c:pt idx="48">
                  <c:v>1.3384615384615479</c:v>
                </c:pt>
                <c:pt idx="49">
                  <c:v>3.6461538461538439</c:v>
                </c:pt>
                <c:pt idx="50">
                  <c:v>2.5923076923076849</c:v>
                </c:pt>
                <c:pt idx="51">
                  <c:v>3.2923076923077019</c:v>
                </c:pt>
                <c:pt idx="52">
                  <c:v>2.1153846153846203</c:v>
                </c:pt>
                <c:pt idx="53">
                  <c:v>4.369230769230775</c:v>
                </c:pt>
                <c:pt idx="54">
                  <c:v>3.8461538461538538</c:v>
                </c:pt>
                <c:pt idx="55">
                  <c:v>1.961538461538467</c:v>
                </c:pt>
                <c:pt idx="56">
                  <c:v>3.946153846153841</c:v>
                </c:pt>
                <c:pt idx="57">
                  <c:v>4.0384615384615472</c:v>
                </c:pt>
                <c:pt idx="58">
                  <c:v>1.6307692307692285</c:v>
                </c:pt>
                <c:pt idx="59">
                  <c:v>4.1153846153846203</c:v>
                </c:pt>
                <c:pt idx="60">
                  <c:v>-0.96153846153845635</c:v>
                </c:pt>
                <c:pt idx="61">
                  <c:v>0.64615384615384386</c:v>
                </c:pt>
                <c:pt idx="62">
                  <c:v>2.9923076923076906</c:v>
                </c:pt>
                <c:pt idx="63">
                  <c:v>1.2923076923077019</c:v>
                </c:pt>
                <c:pt idx="64">
                  <c:v>-0.48461538461538112</c:v>
                </c:pt>
                <c:pt idx="65">
                  <c:v>2.1692307692307722</c:v>
                </c:pt>
                <c:pt idx="66">
                  <c:v>-5.3846153846148326E-2</c:v>
                </c:pt>
                <c:pt idx="67">
                  <c:v>-0.73846153846153584</c:v>
                </c:pt>
                <c:pt idx="68">
                  <c:v>0.14615384615384386</c:v>
                </c:pt>
                <c:pt idx="69">
                  <c:v>-0.36153846153845492</c:v>
                </c:pt>
                <c:pt idx="70">
                  <c:v>0.53076923076923066</c:v>
                </c:pt>
                <c:pt idx="71">
                  <c:v>2.415384615384621</c:v>
                </c:pt>
                <c:pt idx="72">
                  <c:v>-2.5615384615384542</c:v>
                </c:pt>
                <c:pt idx="73">
                  <c:v>-2.4538461538461576</c:v>
                </c:pt>
                <c:pt idx="74">
                  <c:v>-2.2076923076923123</c:v>
                </c:pt>
                <c:pt idx="75">
                  <c:v>-2.4076923076922974</c:v>
                </c:pt>
                <c:pt idx="76">
                  <c:v>-2.0846153846153825</c:v>
                </c:pt>
                <c:pt idx="77">
                  <c:v>-1.3307692307692243</c:v>
                </c:pt>
                <c:pt idx="78">
                  <c:v>-2.5538461538461483</c:v>
                </c:pt>
                <c:pt idx="79">
                  <c:v>-2.1384615384615344</c:v>
                </c:pt>
                <c:pt idx="80">
                  <c:v>-2.3538461538461561</c:v>
                </c:pt>
                <c:pt idx="81">
                  <c:v>-4.0615384615384542</c:v>
                </c:pt>
                <c:pt idx="82">
                  <c:v>-2.8692307692307679</c:v>
                </c:pt>
                <c:pt idx="83">
                  <c:v>-3.584615384615379</c:v>
                </c:pt>
                <c:pt idx="84">
                  <c:v>-6.5615384615384542</c:v>
                </c:pt>
                <c:pt idx="85">
                  <c:v>-4.7538461538461547</c:v>
                </c:pt>
                <c:pt idx="86">
                  <c:v>-6.1076923076923109</c:v>
                </c:pt>
                <c:pt idx="87">
                  <c:v>-5.3076923076922959</c:v>
                </c:pt>
                <c:pt idx="88">
                  <c:v>-6.3846153846153832</c:v>
                </c:pt>
                <c:pt idx="89">
                  <c:v>-6.0307692307692236</c:v>
                </c:pt>
                <c:pt idx="90">
                  <c:v>-5.7538461538461476</c:v>
                </c:pt>
                <c:pt idx="91">
                  <c:v>-6.4384615384615316</c:v>
                </c:pt>
                <c:pt idx="92">
                  <c:v>-6.1538461538461569</c:v>
                </c:pt>
                <c:pt idx="93">
                  <c:v>-6.7615384615384571</c:v>
                </c:pt>
                <c:pt idx="94">
                  <c:v>-6.3692307692307679</c:v>
                </c:pt>
                <c:pt idx="95">
                  <c:v>-6.4846153846153811</c:v>
                </c:pt>
                <c:pt idx="96">
                  <c:v>-8.6615384615384556</c:v>
                </c:pt>
                <c:pt idx="97">
                  <c:v>-9.5538461538461554</c:v>
                </c:pt>
                <c:pt idx="98">
                  <c:v>-9.507692307692313</c:v>
                </c:pt>
                <c:pt idx="99">
                  <c:v>-8.7076923076922981</c:v>
                </c:pt>
                <c:pt idx="100">
                  <c:v>-9.5846153846153825</c:v>
                </c:pt>
                <c:pt idx="101">
                  <c:v>-9.2307692307692264</c:v>
                </c:pt>
                <c:pt idx="102">
                  <c:v>-8.6538461538461462</c:v>
                </c:pt>
                <c:pt idx="103">
                  <c:v>-10.438461538461532</c:v>
                </c:pt>
                <c:pt idx="104">
                  <c:v>-9.8538461538461561</c:v>
                </c:pt>
                <c:pt idx="105">
                  <c:v>-10.561538461538454</c:v>
                </c:pt>
                <c:pt idx="106">
                  <c:v>-9.8692307692307679</c:v>
                </c:pt>
                <c:pt idx="107">
                  <c:v>-9.084615384615379</c:v>
                </c:pt>
                <c:pt idx="108">
                  <c:v>-12.161538461538456</c:v>
                </c:pt>
                <c:pt idx="109">
                  <c:v>-11.853846153846156</c:v>
                </c:pt>
                <c:pt idx="110">
                  <c:v>-12.307692307692314</c:v>
                </c:pt>
                <c:pt idx="111">
                  <c:v>-11.207692307692298</c:v>
                </c:pt>
                <c:pt idx="112">
                  <c:v>-11.984615384615381</c:v>
                </c:pt>
                <c:pt idx="113">
                  <c:v>-11.730769230769226</c:v>
                </c:pt>
                <c:pt idx="114">
                  <c:v>-11.453846153846147</c:v>
                </c:pt>
                <c:pt idx="115">
                  <c:v>-11.838461538461534</c:v>
                </c:pt>
                <c:pt idx="116">
                  <c:v>-11.653846153846157</c:v>
                </c:pt>
                <c:pt idx="117">
                  <c:v>-11.861538461538455</c:v>
                </c:pt>
                <c:pt idx="118">
                  <c:v>-11.469230769230769</c:v>
                </c:pt>
                <c:pt idx="119">
                  <c:v>-9.9846153846153811</c:v>
                </c:pt>
                <c:pt idx="120">
                  <c:v>-8.6615384615384556</c:v>
                </c:pt>
                <c:pt idx="121">
                  <c:v>-8.7538461538461547</c:v>
                </c:pt>
                <c:pt idx="122">
                  <c:v>-7.7076923076923123</c:v>
                </c:pt>
                <c:pt idx="123">
                  <c:v>-7.9076923076922974</c:v>
                </c:pt>
                <c:pt idx="124">
                  <c:v>-9.0846153846153825</c:v>
                </c:pt>
                <c:pt idx="125">
                  <c:v>-8.3307692307692243</c:v>
                </c:pt>
                <c:pt idx="126">
                  <c:v>-8.1538461538461462</c:v>
                </c:pt>
                <c:pt idx="127">
                  <c:v>-8.6384615384615344</c:v>
                </c:pt>
                <c:pt idx="128">
                  <c:v>-7.9538461538461576</c:v>
                </c:pt>
                <c:pt idx="129">
                  <c:v>-8.2615384615384571</c:v>
                </c:pt>
                <c:pt idx="130">
                  <c:v>-8.2692307692307701</c:v>
                </c:pt>
                <c:pt idx="131">
                  <c:v>-6.4846153846153811</c:v>
                </c:pt>
                <c:pt idx="132">
                  <c:v>-8.4615384615384563</c:v>
                </c:pt>
                <c:pt idx="133">
                  <c:v>-7.8538461538461561</c:v>
                </c:pt>
                <c:pt idx="134">
                  <c:v>-8.7076923076923123</c:v>
                </c:pt>
                <c:pt idx="135">
                  <c:v>-8.1076923076922967</c:v>
                </c:pt>
                <c:pt idx="136">
                  <c:v>-8.4846153846153811</c:v>
                </c:pt>
                <c:pt idx="137">
                  <c:v>-8.2307692307692264</c:v>
                </c:pt>
                <c:pt idx="138">
                  <c:v>-8.5538461538461483</c:v>
                </c:pt>
                <c:pt idx="139">
                  <c:v>-8.038461538461533</c:v>
                </c:pt>
                <c:pt idx="140">
                  <c:v>-8.4538461538461576</c:v>
                </c:pt>
                <c:pt idx="141">
                  <c:v>-7.7615384615384571</c:v>
                </c:pt>
                <c:pt idx="142">
                  <c:v>-7.5692307692307672</c:v>
                </c:pt>
                <c:pt idx="143">
                  <c:v>-6.9846153846153811</c:v>
                </c:pt>
                <c:pt idx="144">
                  <c:v>-9.3615384615384549</c:v>
                </c:pt>
                <c:pt idx="145">
                  <c:v>-8.3538461538461561</c:v>
                </c:pt>
                <c:pt idx="146">
                  <c:v>-7.4076923076923116</c:v>
                </c:pt>
                <c:pt idx="147">
                  <c:v>-10.707692307692298</c:v>
                </c:pt>
                <c:pt idx="148">
                  <c:v>-7.0846153846153825</c:v>
                </c:pt>
                <c:pt idx="149">
                  <c:v>-11.130769230769225</c:v>
                </c:pt>
                <c:pt idx="150">
                  <c:v>-7.0538461538461483</c:v>
                </c:pt>
                <c:pt idx="151">
                  <c:v>-6.8384615384615337</c:v>
                </c:pt>
                <c:pt idx="152">
                  <c:v>-10.253846153846158</c:v>
                </c:pt>
                <c:pt idx="153">
                  <c:v>-7.9615384615384563</c:v>
                </c:pt>
                <c:pt idx="154">
                  <c:v>-7.6692307692307686</c:v>
                </c:pt>
                <c:pt idx="155">
                  <c:v>-6.9846153846153811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18-4677-A8E7-EA4AA8E08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01616"/>
        <c:axId val="464319744"/>
      </c:scatterChart>
      <c:valAx>
        <c:axId val="832701616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64319744"/>
        <c:crosses val="autoZero"/>
        <c:crossBetween val="midCat"/>
      </c:valAx>
      <c:valAx>
        <c:axId val="464319744"/>
        <c:scaling>
          <c:orientation val="minMax"/>
          <c:max val="25"/>
          <c:min val="-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Deseas(Others)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161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Coefficient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791FF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'Time series transformation3'!$B$226:$B$237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'Time series transformation3'!$C$226:$C$237</c:f>
              <c:numCache>
                <c:formatCode>0.000</c:formatCode>
                <c:ptCount val="12"/>
                <c:pt idx="0">
                  <c:v>-0.67210648148148078</c:v>
                </c:pt>
                <c:pt idx="1">
                  <c:v>-1.9307870370370372</c:v>
                </c:pt>
                <c:pt idx="2">
                  <c:v>-1.8339120370370374</c:v>
                </c:pt>
                <c:pt idx="3">
                  <c:v>-0.81238425925926028</c:v>
                </c:pt>
                <c:pt idx="4">
                  <c:v>0.7935185185185194</c:v>
                </c:pt>
                <c:pt idx="5">
                  <c:v>0.99108796296296242</c:v>
                </c:pt>
                <c:pt idx="6">
                  <c:v>0.35115740740740775</c:v>
                </c:pt>
                <c:pt idx="7">
                  <c:v>1.8240740740740746</c:v>
                </c:pt>
                <c:pt idx="8">
                  <c:v>0.71886574074074028</c:v>
                </c:pt>
                <c:pt idx="9">
                  <c:v>0.93935185185185222</c:v>
                </c:pt>
                <c:pt idx="10">
                  <c:v>0.63032407407407387</c:v>
                </c:pt>
                <c:pt idx="11">
                  <c:v>-0.99918981481481495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10-4D30-8C2E-92813739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5974336"/>
        <c:axId val="985972256"/>
      </c:barChart>
      <c:catAx>
        <c:axId val="98597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72256"/>
        <c:crosses val="autoZero"/>
        <c:auto val="1"/>
        <c:lblAlgn val="ctr"/>
        <c:lblOffset val="100"/>
        <c:noMultiLvlLbl val="0"/>
      </c:catAx>
      <c:valAx>
        <c:axId val="9859722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7433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transformation3'!$B$262:$B$417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transformation3'!$C$262:$C$417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15-4515-B742-FCF6A856F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977248"/>
        <c:axId val="985965600"/>
      </c:scatterChart>
      <c:valAx>
        <c:axId val="98597724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65600"/>
        <c:crosses val="autoZero"/>
        <c:crossBetween val="midCat"/>
      </c:valAx>
      <c:valAx>
        <c:axId val="985965600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7724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Trend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Trend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transformation3'!$B$262:$B$417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transformation3'!$D$262:$D$417</c:f>
              <c:numCache>
                <c:formatCode>0.000</c:formatCode>
                <c:ptCount val="156"/>
                <c:pt idx="6">
                  <c:v>50.720833333333331</c:v>
                </c:pt>
                <c:pt idx="7">
                  <c:v>50.170833333333327</c:v>
                </c:pt>
                <c:pt idx="8">
                  <c:v>49.691666666666663</c:v>
                </c:pt>
                <c:pt idx="9">
                  <c:v>49.19166666666667</c:v>
                </c:pt>
                <c:pt idx="10">
                  <c:v>48.658333333333331</c:v>
                </c:pt>
                <c:pt idx="11">
                  <c:v>48.091666666666669</c:v>
                </c:pt>
                <c:pt idx="12">
                  <c:v>47.49583333333333</c:v>
                </c:pt>
                <c:pt idx="13">
                  <c:v>47.029166666666669</c:v>
                </c:pt>
                <c:pt idx="14">
                  <c:v>46.620833333333337</c:v>
                </c:pt>
                <c:pt idx="15">
                  <c:v>46.25833333333334</c:v>
                </c:pt>
                <c:pt idx="16">
                  <c:v>45.941666666666663</c:v>
                </c:pt>
                <c:pt idx="17">
                  <c:v>45.633333333333326</c:v>
                </c:pt>
                <c:pt idx="18">
                  <c:v>45.454166666666666</c:v>
                </c:pt>
                <c:pt idx="19">
                  <c:v>45.166666666666671</c:v>
                </c:pt>
                <c:pt idx="20">
                  <c:v>44.791666666666664</c:v>
                </c:pt>
                <c:pt idx="21">
                  <c:v>44.43333333333333</c:v>
                </c:pt>
                <c:pt idx="22">
                  <c:v>44.099999999999994</c:v>
                </c:pt>
                <c:pt idx="23">
                  <c:v>43.737499999999997</c:v>
                </c:pt>
                <c:pt idx="24">
                  <c:v>43.533333333333331</c:v>
                </c:pt>
                <c:pt idx="25">
                  <c:v>43.37916666666667</c:v>
                </c:pt>
                <c:pt idx="26">
                  <c:v>42.99583333333333</c:v>
                </c:pt>
                <c:pt idx="27">
                  <c:v>42.670833333333327</c:v>
                </c:pt>
                <c:pt idx="28">
                  <c:v>42.333333333333329</c:v>
                </c:pt>
                <c:pt idx="29">
                  <c:v>41.966666666666669</c:v>
                </c:pt>
                <c:pt idx="30">
                  <c:v>41.591666666666669</c:v>
                </c:pt>
                <c:pt idx="31">
                  <c:v>41.258333333333333</c:v>
                </c:pt>
                <c:pt idx="32">
                  <c:v>40.791666666666671</c:v>
                </c:pt>
                <c:pt idx="33">
                  <c:v>40.333333333333329</c:v>
                </c:pt>
                <c:pt idx="34">
                  <c:v>39.88333333333334</c:v>
                </c:pt>
                <c:pt idx="35">
                  <c:v>39.433333333333337</c:v>
                </c:pt>
                <c:pt idx="36">
                  <c:v>39.037500000000001</c:v>
                </c:pt>
                <c:pt idx="37">
                  <c:v>38.508333333333333</c:v>
                </c:pt>
                <c:pt idx="38">
                  <c:v>38.304166666666674</c:v>
                </c:pt>
                <c:pt idx="39">
                  <c:v>38.466666666666669</c:v>
                </c:pt>
                <c:pt idx="40">
                  <c:v>38.408333333333331</c:v>
                </c:pt>
                <c:pt idx="41">
                  <c:v>38.183333333333337</c:v>
                </c:pt>
                <c:pt idx="42">
                  <c:v>37.862499999999997</c:v>
                </c:pt>
                <c:pt idx="43">
                  <c:v>37.504166666666663</c:v>
                </c:pt>
                <c:pt idx="44">
                  <c:v>37.404166666666676</c:v>
                </c:pt>
                <c:pt idx="45">
                  <c:v>37.274999999999999</c:v>
                </c:pt>
                <c:pt idx="46">
                  <c:v>37.066666666666663</c:v>
                </c:pt>
                <c:pt idx="47">
                  <c:v>36.92916666666666</c:v>
                </c:pt>
                <c:pt idx="48">
                  <c:v>36.800000000000004</c:v>
                </c:pt>
                <c:pt idx="49">
                  <c:v>36.575000000000003</c:v>
                </c:pt>
                <c:pt idx="50">
                  <c:v>36.166666666666664</c:v>
                </c:pt>
                <c:pt idx="51">
                  <c:v>35.524999999999999</c:v>
                </c:pt>
                <c:pt idx="52">
                  <c:v>34.954166666666666</c:v>
                </c:pt>
                <c:pt idx="53">
                  <c:v>34.633333333333333</c:v>
                </c:pt>
                <c:pt idx="54">
                  <c:v>34.412500000000001</c:v>
                </c:pt>
                <c:pt idx="55">
                  <c:v>34.191666666666663</c:v>
                </c:pt>
                <c:pt idx="56">
                  <c:v>34.083333333333336</c:v>
                </c:pt>
                <c:pt idx="57">
                  <c:v>34.016666666666673</c:v>
                </c:pt>
                <c:pt idx="58">
                  <c:v>33.824999999999996</c:v>
                </c:pt>
                <c:pt idx="59">
                  <c:v>33.625</c:v>
                </c:pt>
                <c:pt idx="60">
                  <c:v>33.37083333333333</c:v>
                </c:pt>
                <c:pt idx="61">
                  <c:v>33.095833333333324</c:v>
                </c:pt>
                <c:pt idx="62">
                  <c:v>32.824999999999996</c:v>
                </c:pt>
                <c:pt idx="63">
                  <c:v>32.483333333333327</c:v>
                </c:pt>
                <c:pt idx="64">
                  <c:v>32.254166666666663</c:v>
                </c:pt>
                <c:pt idx="65">
                  <c:v>32.137499999999996</c:v>
                </c:pt>
                <c:pt idx="66">
                  <c:v>31.999999999999993</c:v>
                </c:pt>
                <c:pt idx="67">
                  <c:v>31.804166666666664</c:v>
                </c:pt>
                <c:pt idx="68">
                  <c:v>31.458333333333329</c:v>
                </c:pt>
                <c:pt idx="69">
                  <c:v>31.087499999999995</c:v>
                </c:pt>
                <c:pt idx="70">
                  <c:v>30.86666666666666</c:v>
                </c:pt>
                <c:pt idx="71">
                  <c:v>30.654166666666661</c:v>
                </c:pt>
                <c:pt idx="72">
                  <c:v>30.404166666666661</c:v>
                </c:pt>
                <c:pt idx="73">
                  <c:v>30.241666666666671</c:v>
                </c:pt>
                <c:pt idx="74">
                  <c:v>30.079166666666666</c:v>
                </c:pt>
                <c:pt idx="75">
                  <c:v>29.820833333333333</c:v>
                </c:pt>
                <c:pt idx="76">
                  <c:v>29.525000000000002</c:v>
                </c:pt>
                <c:pt idx="77">
                  <c:v>29.133333333333333</c:v>
                </c:pt>
                <c:pt idx="78">
                  <c:v>28.716666666666665</c:v>
                </c:pt>
                <c:pt idx="79">
                  <c:v>28.454166666666666</c:v>
                </c:pt>
                <c:pt idx="80">
                  <c:v>28.195833333333333</c:v>
                </c:pt>
                <c:pt idx="81">
                  <c:v>27.912499999999998</c:v>
                </c:pt>
                <c:pt idx="82">
                  <c:v>27.612499999999997</c:v>
                </c:pt>
                <c:pt idx="83">
                  <c:v>27.237500000000001</c:v>
                </c:pt>
                <c:pt idx="84">
                  <c:v>26.908333333333328</c:v>
                </c:pt>
                <c:pt idx="85">
                  <c:v>26.595833333333335</c:v>
                </c:pt>
                <c:pt idx="86">
                  <c:v>26.258333333333333</c:v>
                </c:pt>
                <c:pt idx="87">
                  <c:v>25.987500000000004</c:v>
                </c:pt>
                <c:pt idx="88">
                  <c:v>25.729166666666671</c:v>
                </c:pt>
                <c:pt idx="89">
                  <c:v>25.462499999999999</c:v>
                </c:pt>
                <c:pt idx="90">
                  <c:v>25.254166666666666</c:v>
                </c:pt>
                <c:pt idx="91">
                  <c:v>24.966666666666665</c:v>
                </c:pt>
                <c:pt idx="92">
                  <c:v>24.625</c:v>
                </c:pt>
                <c:pt idx="93">
                  <c:v>24.341666666666669</c:v>
                </c:pt>
                <c:pt idx="94">
                  <c:v>24.066666666666666</c:v>
                </c:pt>
                <c:pt idx="95">
                  <c:v>23.800000000000004</c:v>
                </c:pt>
                <c:pt idx="96">
                  <c:v>23.545833333333334</c:v>
                </c:pt>
                <c:pt idx="97">
                  <c:v>23.258333333333333</c:v>
                </c:pt>
                <c:pt idx="98">
                  <c:v>22.937499999999996</c:v>
                </c:pt>
                <c:pt idx="99">
                  <c:v>22.625</c:v>
                </c:pt>
                <c:pt idx="100">
                  <c:v>22.320833333333333</c:v>
                </c:pt>
                <c:pt idx="101">
                  <c:v>22.066666666666666</c:v>
                </c:pt>
                <c:pt idx="102">
                  <c:v>21.812499999999996</c:v>
                </c:pt>
                <c:pt idx="103">
                  <c:v>21.570833333333329</c:v>
                </c:pt>
                <c:pt idx="104">
                  <c:v>21.358333333333334</c:v>
                </c:pt>
                <c:pt idx="105">
                  <c:v>21.137499999999999</c:v>
                </c:pt>
                <c:pt idx="106">
                  <c:v>20.933333333333337</c:v>
                </c:pt>
                <c:pt idx="107">
                  <c:v>20.729166666666668</c:v>
                </c:pt>
                <c:pt idx="108">
                  <c:v>20.508333333333336</c:v>
                </c:pt>
                <c:pt idx="109">
                  <c:v>20.333333333333332</c:v>
                </c:pt>
                <c:pt idx="110">
                  <c:v>20.2</c:v>
                </c:pt>
                <c:pt idx="111">
                  <c:v>20.070833333333333</c:v>
                </c:pt>
                <c:pt idx="112">
                  <c:v>19.949999999999996</c:v>
                </c:pt>
                <c:pt idx="113">
                  <c:v>19.845833333333331</c:v>
                </c:pt>
                <c:pt idx="114">
                  <c:v>19.954166666666666</c:v>
                </c:pt>
                <c:pt idx="115">
                  <c:v>20.229166666666664</c:v>
                </c:pt>
                <c:pt idx="116">
                  <c:v>20.55</c:v>
                </c:pt>
                <c:pt idx="117">
                  <c:v>20.879166666666666</c:v>
                </c:pt>
                <c:pt idx="118">
                  <c:v>21.137500000000003</c:v>
                </c:pt>
                <c:pt idx="119">
                  <c:v>21.4</c:v>
                </c:pt>
                <c:pt idx="120">
                  <c:v>21.679166666666664</c:v>
                </c:pt>
                <c:pt idx="121">
                  <c:v>21.949999999999996</c:v>
                </c:pt>
                <c:pt idx="122">
                  <c:v>22.237500000000001</c:v>
                </c:pt>
                <c:pt idx="123">
                  <c:v>22.541666666666668</c:v>
                </c:pt>
                <c:pt idx="124">
                  <c:v>22.824999999999999</c:v>
                </c:pt>
                <c:pt idx="125">
                  <c:v>23.104166666666664</c:v>
                </c:pt>
                <c:pt idx="126">
                  <c:v>23.258333333333333</c:v>
                </c:pt>
                <c:pt idx="127">
                  <c:v>23.304166666666664</c:v>
                </c:pt>
                <c:pt idx="128">
                  <c:v>23.299999999999997</c:v>
                </c:pt>
                <c:pt idx="129">
                  <c:v>23.249999999999996</c:v>
                </c:pt>
                <c:pt idx="130">
                  <c:v>23.266666666666669</c:v>
                </c:pt>
                <c:pt idx="131">
                  <c:v>23.295833333333334</c:v>
                </c:pt>
                <c:pt idx="132">
                  <c:v>23.283333333333328</c:v>
                </c:pt>
                <c:pt idx="133">
                  <c:v>23.291666666666664</c:v>
                </c:pt>
                <c:pt idx="134">
                  <c:v>23.295833333333331</c:v>
                </c:pt>
                <c:pt idx="135">
                  <c:v>23.295833333333331</c:v>
                </c:pt>
                <c:pt idx="136">
                  <c:v>23.345833333333331</c:v>
                </c:pt>
                <c:pt idx="137">
                  <c:v>23.354166666666668</c:v>
                </c:pt>
                <c:pt idx="138">
                  <c:v>23.295833333333334</c:v>
                </c:pt>
                <c:pt idx="139">
                  <c:v>23.237500000000001</c:v>
                </c:pt>
                <c:pt idx="140">
                  <c:v>23.270833333333332</c:v>
                </c:pt>
                <c:pt idx="141">
                  <c:v>23.216666666666665</c:v>
                </c:pt>
                <c:pt idx="142">
                  <c:v>23.166666666666664</c:v>
                </c:pt>
                <c:pt idx="143">
                  <c:v>23.104166666666664</c:v>
                </c:pt>
                <c:pt idx="144">
                  <c:v>23.045833333333334</c:v>
                </c:pt>
                <c:pt idx="145">
                  <c:v>23.158333333333335</c:v>
                </c:pt>
                <c:pt idx="146">
                  <c:v>23.133333333333333</c:v>
                </c:pt>
                <c:pt idx="147">
                  <c:v>23.05</c:v>
                </c:pt>
                <c:pt idx="148">
                  <c:v>23.037499999999998</c:v>
                </c:pt>
                <c:pt idx="149">
                  <c:v>23.033333333333331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08-47EB-B339-2DD0B2003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963104"/>
        <c:axId val="985962272"/>
      </c:scatterChart>
      <c:valAx>
        <c:axId val="98596310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62272"/>
        <c:crosses val="autoZero"/>
        <c:crossBetween val="midCat"/>
      </c:valAx>
      <c:valAx>
        <c:axId val="985962272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6310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Seasonal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Seasonal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transformation3'!$B$262:$B$417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transformation3'!$E$262:$E$417</c:f>
              <c:numCache>
                <c:formatCode>0.000</c:formatCode>
                <c:ptCount val="156"/>
                <c:pt idx="6">
                  <c:v>0.35115740740740775</c:v>
                </c:pt>
                <c:pt idx="7">
                  <c:v>1.8240740740740746</c:v>
                </c:pt>
                <c:pt idx="8">
                  <c:v>0.71886574074074028</c:v>
                </c:pt>
                <c:pt idx="9">
                  <c:v>0.93935185185185222</c:v>
                </c:pt>
                <c:pt idx="10">
                  <c:v>0.63032407407407387</c:v>
                </c:pt>
                <c:pt idx="11">
                  <c:v>-0.99918981481481495</c:v>
                </c:pt>
                <c:pt idx="12">
                  <c:v>-0.67210648148148078</c:v>
                </c:pt>
                <c:pt idx="13">
                  <c:v>-1.9307870370370372</c:v>
                </c:pt>
                <c:pt idx="14">
                  <c:v>-1.8339120370370374</c:v>
                </c:pt>
                <c:pt idx="15">
                  <c:v>-0.81238425925926028</c:v>
                </c:pt>
                <c:pt idx="16">
                  <c:v>0.7935185185185194</c:v>
                </c:pt>
                <c:pt idx="17">
                  <c:v>0.99108796296296242</c:v>
                </c:pt>
                <c:pt idx="18">
                  <c:v>0.35115740740740775</c:v>
                </c:pt>
                <c:pt idx="19">
                  <c:v>1.8240740740740746</c:v>
                </c:pt>
                <c:pt idx="20">
                  <c:v>0.71886574074074028</c:v>
                </c:pt>
                <c:pt idx="21">
                  <c:v>0.93935185185185222</c:v>
                </c:pt>
                <c:pt idx="22">
                  <c:v>0.63032407407407387</c:v>
                </c:pt>
                <c:pt idx="23">
                  <c:v>-0.99918981481481495</c:v>
                </c:pt>
                <c:pt idx="24">
                  <c:v>-0.67210648148148078</c:v>
                </c:pt>
                <c:pt idx="25">
                  <c:v>-1.9307870370370372</c:v>
                </c:pt>
                <c:pt idx="26">
                  <c:v>-1.8339120370370374</c:v>
                </c:pt>
                <c:pt idx="27">
                  <c:v>-0.81238425925926028</c:v>
                </c:pt>
                <c:pt idx="28">
                  <c:v>0.7935185185185194</c:v>
                </c:pt>
                <c:pt idx="29">
                  <c:v>0.99108796296296242</c:v>
                </c:pt>
                <c:pt idx="30">
                  <c:v>0.35115740740740775</c:v>
                </c:pt>
                <c:pt idx="31">
                  <c:v>1.8240740740740746</c:v>
                </c:pt>
                <c:pt idx="32">
                  <c:v>0.71886574074074028</c:v>
                </c:pt>
                <c:pt idx="33">
                  <c:v>0.93935185185185222</c:v>
                </c:pt>
                <c:pt idx="34">
                  <c:v>0.63032407407407387</c:v>
                </c:pt>
                <c:pt idx="35">
                  <c:v>-0.99918981481481495</c:v>
                </c:pt>
                <c:pt idx="36">
                  <c:v>-0.67210648148148078</c:v>
                </c:pt>
                <c:pt idx="37">
                  <c:v>-1.9307870370370372</c:v>
                </c:pt>
                <c:pt idx="38">
                  <c:v>-1.8339120370370374</c:v>
                </c:pt>
                <c:pt idx="39">
                  <c:v>-0.81238425925926028</c:v>
                </c:pt>
                <c:pt idx="40">
                  <c:v>0.7935185185185194</c:v>
                </c:pt>
                <c:pt idx="41">
                  <c:v>0.99108796296296242</c:v>
                </c:pt>
                <c:pt idx="42">
                  <c:v>0.35115740740740775</c:v>
                </c:pt>
                <c:pt idx="43">
                  <c:v>1.8240740740740746</c:v>
                </c:pt>
                <c:pt idx="44">
                  <c:v>0.71886574074074028</c:v>
                </c:pt>
                <c:pt idx="45">
                  <c:v>0.93935185185185222</c:v>
                </c:pt>
                <c:pt idx="46">
                  <c:v>0.63032407407407387</c:v>
                </c:pt>
                <c:pt idx="47">
                  <c:v>-0.99918981481481495</c:v>
                </c:pt>
                <c:pt idx="48">
                  <c:v>-0.67210648148148078</c:v>
                </c:pt>
                <c:pt idx="49">
                  <c:v>-1.9307870370370372</c:v>
                </c:pt>
                <c:pt idx="50">
                  <c:v>-1.8339120370370374</c:v>
                </c:pt>
                <c:pt idx="51">
                  <c:v>-0.81238425925926028</c:v>
                </c:pt>
                <c:pt idx="52">
                  <c:v>0.7935185185185194</c:v>
                </c:pt>
                <c:pt idx="53">
                  <c:v>0.99108796296296242</c:v>
                </c:pt>
                <c:pt idx="54">
                  <c:v>0.35115740740740775</c:v>
                </c:pt>
                <c:pt idx="55">
                  <c:v>1.8240740740740746</c:v>
                </c:pt>
                <c:pt idx="56">
                  <c:v>0.71886574074074028</c:v>
                </c:pt>
                <c:pt idx="57">
                  <c:v>0.93935185185185222</c:v>
                </c:pt>
                <c:pt idx="58">
                  <c:v>0.63032407407407387</c:v>
                </c:pt>
                <c:pt idx="59">
                  <c:v>-0.99918981481481495</c:v>
                </c:pt>
                <c:pt idx="60">
                  <c:v>-0.67210648148148078</c:v>
                </c:pt>
                <c:pt idx="61">
                  <c:v>-1.9307870370370372</c:v>
                </c:pt>
                <c:pt idx="62">
                  <c:v>-1.8339120370370374</c:v>
                </c:pt>
                <c:pt idx="63">
                  <c:v>-0.81238425925926028</c:v>
                </c:pt>
                <c:pt idx="64">
                  <c:v>0.7935185185185194</c:v>
                </c:pt>
                <c:pt idx="65">
                  <c:v>0.99108796296296242</c:v>
                </c:pt>
                <c:pt idx="66">
                  <c:v>0.35115740740740775</c:v>
                </c:pt>
                <c:pt idx="67">
                  <c:v>1.8240740740740746</c:v>
                </c:pt>
                <c:pt idx="68">
                  <c:v>0.71886574074074028</c:v>
                </c:pt>
                <c:pt idx="69">
                  <c:v>0.93935185185185222</c:v>
                </c:pt>
                <c:pt idx="70">
                  <c:v>0.63032407407407387</c:v>
                </c:pt>
                <c:pt idx="71">
                  <c:v>-0.99918981481481495</c:v>
                </c:pt>
                <c:pt idx="72">
                  <c:v>-0.67210648148148078</c:v>
                </c:pt>
                <c:pt idx="73">
                  <c:v>-1.9307870370370372</c:v>
                </c:pt>
                <c:pt idx="74">
                  <c:v>-1.8339120370370374</c:v>
                </c:pt>
                <c:pt idx="75">
                  <c:v>-0.81238425925926028</c:v>
                </c:pt>
                <c:pt idx="76">
                  <c:v>0.7935185185185194</c:v>
                </c:pt>
                <c:pt idx="77">
                  <c:v>0.99108796296296242</c:v>
                </c:pt>
                <c:pt idx="78">
                  <c:v>0.35115740740740775</c:v>
                </c:pt>
                <c:pt idx="79">
                  <c:v>1.8240740740740746</c:v>
                </c:pt>
                <c:pt idx="80">
                  <c:v>0.71886574074074028</c:v>
                </c:pt>
                <c:pt idx="81">
                  <c:v>0.93935185185185222</c:v>
                </c:pt>
                <c:pt idx="82">
                  <c:v>0.63032407407407387</c:v>
                </c:pt>
                <c:pt idx="83">
                  <c:v>-0.99918981481481495</c:v>
                </c:pt>
                <c:pt idx="84">
                  <c:v>-0.67210648148148078</c:v>
                </c:pt>
                <c:pt idx="85">
                  <c:v>-1.9307870370370372</c:v>
                </c:pt>
                <c:pt idx="86">
                  <c:v>-1.8339120370370374</c:v>
                </c:pt>
                <c:pt idx="87">
                  <c:v>-0.81238425925926028</c:v>
                </c:pt>
                <c:pt idx="88">
                  <c:v>0.7935185185185194</c:v>
                </c:pt>
                <c:pt idx="89">
                  <c:v>0.99108796296296242</c:v>
                </c:pt>
                <c:pt idx="90">
                  <c:v>0.35115740740740775</c:v>
                </c:pt>
                <c:pt idx="91">
                  <c:v>1.8240740740740746</c:v>
                </c:pt>
                <c:pt idx="92">
                  <c:v>0.71886574074074028</c:v>
                </c:pt>
                <c:pt idx="93">
                  <c:v>0.93935185185185222</c:v>
                </c:pt>
                <c:pt idx="94">
                  <c:v>0.63032407407407387</c:v>
                </c:pt>
                <c:pt idx="95">
                  <c:v>-0.99918981481481495</c:v>
                </c:pt>
                <c:pt idx="96">
                  <c:v>-0.67210648148148078</c:v>
                </c:pt>
                <c:pt idx="97">
                  <c:v>-1.9307870370370372</c:v>
                </c:pt>
                <c:pt idx="98">
                  <c:v>-1.8339120370370374</c:v>
                </c:pt>
                <c:pt idx="99">
                  <c:v>-0.81238425925926028</c:v>
                </c:pt>
                <c:pt idx="100">
                  <c:v>0.7935185185185194</c:v>
                </c:pt>
                <c:pt idx="101">
                  <c:v>0.99108796296296242</c:v>
                </c:pt>
                <c:pt idx="102">
                  <c:v>0.35115740740740775</c:v>
                </c:pt>
                <c:pt idx="103">
                  <c:v>1.8240740740740746</c:v>
                </c:pt>
                <c:pt idx="104">
                  <c:v>0.71886574074074028</c:v>
                </c:pt>
                <c:pt idx="105">
                  <c:v>0.93935185185185222</c:v>
                </c:pt>
                <c:pt idx="106">
                  <c:v>0.63032407407407387</c:v>
                </c:pt>
                <c:pt idx="107">
                  <c:v>-0.99918981481481495</c:v>
                </c:pt>
                <c:pt idx="108">
                  <c:v>-0.67210648148148078</c:v>
                </c:pt>
                <c:pt idx="109">
                  <c:v>-1.9307870370370372</c:v>
                </c:pt>
                <c:pt idx="110">
                  <c:v>-1.8339120370370374</c:v>
                </c:pt>
                <c:pt idx="111">
                  <c:v>-0.81238425925926028</c:v>
                </c:pt>
                <c:pt idx="112">
                  <c:v>0.7935185185185194</c:v>
                </c:pt>
                <c:pt idx="113">
                  <c:v>0.99108796296296242</c:v>
                </c:pt>
                <c:pt idx="114">
                  <c:v>0.35115740740740775</c:v>
                </c:pt>
                <c:pt idx="115">
                  <c:v>1.8240740740740746</c:v>
                </c:pt>
                <c:pt idx="116">
                  <c:v>0.71886574074074028</c:v>
                </c:pt>
                <c:pt idx="117">
                  <c:v>0.93935185185185222</c:v>
                </c:pt>
                <c:pt idx="118">
                  <c:v>0.63032407407407387</c:v>
                </c:pt>
                <c:pt idx="119">
                  <c:v>-0.99918981481481495</c:v>
                </c:pt>
                <c:pt idx="120">
                  <c:v>-0.67210648148148078</c:v>
                </c:pt>
                <c:pt idx="121">
                  <c:v>-1.9307870370370372</c:v>
                </c:pt>
                <c:pt idx="122">
                  <c:v>-1.8339120370370374</c:v>
                </c:pt>
                <c:pt idx="123">
                  <c:v>-0.81238425925926028</c:v>
                </c:pt>
                <c:pt idx="124">
                  <c:v>0.7935185185185194</c:v>
                </c:pt>
                <c:pt idx="125">
                  <c:v>0.99108796296296242</c:v>
                </c:pt>
                <c:pt idx="126">
                  <c:v>0.35115740740740775</c:v>
                </c:pt>
                <c:pt idx="127">
                  <c:v>1.8240740740740746</c:v>
                </c:pt>
                <c:pt idx="128">
                  <c:v>0.71886574074074028</c:v>
                </c:pt>
                <c:pt idx="129">
                  <c:v>0.93935185185185222</c:v>
                </c:pt>
                <c:pt idx="130">
                  <c:v>0.63032407407407387</c:v>
                </c:pt>
                <c:pt idx="131">
                  <c:v>-0.99918981481481495</c:v>
                </c:pt>
                <c:pt idx="132">
                  <c:v>-0.67210648148148078</c:v>
                </c:pt>
                <c:pt idx="133">
                  <c:v>-1.9307870370370372</c:v>
                </c:pt>
                <c:pt idx="134">
                  <c:v>-1.8339120370370374</c:v>
                </c:pt>
                <c:pt idx="135">
                  <c:v>-0.81238425925926028</c:v>
                </c:pt>
                <c:pt idx="136">
                  <c:v>0.7935185185185194</c:v>
                </c:pt>
                <c:pt idx="137">
                  <c:v>0.99108796296296242</c:v>
                </c:pt>
                <c:pt idx="138">
                  <c:v>0.35115740740740775</c:v>
                </c:pt>
                <c:pt idx="139">
                  <c:v>1.8240740740740746</c:v>
                </c:pt>
                <c:pt idx="140">
                  <c:v>0.71886574074074028</c:v>
                </c:pt>
                <c:pt idx="141">
                  <c:v>0.93935185185185222</c:v>
                </c:pt>
                <c:pt idx="142">
                  <c:v>0.63032407407407387</c:v>
                </c:pt>
                <c:pt idx="143">
                  <c:v>-0.99918981481481495</c:v>
                </c:pt>
                <c:pt idx="144">
                  <c:v>-0.67210648148148078</c:v>
                </c:pt>
                <c:pt idx="145">
                  <c:v>-1.9307870370370372</c:v>
                </c:pt>
                <c:pt idx="146">
                  <c:v>-1.8339120370370374</c:v>
                </c:pt>
                <c:pt idx="147">
                  <c:v>-0.81238425925926028</c:v>
                </c:pt>
                <c:pt idx="148">
                  <c:v>0.7935185185185194</c:v>
                </c:pt>
                <c:pt idx="149">
                  <c:v>0.99108796296296242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35-466C-BB4E-EB699BA5F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972672"/>
        <c:axId val="985967680"/>
      </c:scatterChart>
      <c:valAx>
        <c:axId val="985972672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67680"/>
        <c:crosses val="autoZero"/>
        <c:crossBetween val="midCat"/>
      </c:valAx>
      <c:valAx>
        <c:axId val="985967680"/>
        <c:scaling>
          <c:orientation val="minMax"/>
          <c:max val="2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7267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Random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Random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transformation3'!$B$262:$B$417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transformation3'!$F$262:$F$417</c:f>
              <c:numCache>
                <c:formatCode>0.000</c:formatCode>
                <c:ptCount val="156"/>
                <c:pt idx="6">
                  <c:v>-0.87199074074073479</c:v>
                </c:pt>
                <c:pt idx="7">
                  <c:v>1.4050925925925952</c:v>
                </c:pt>
                <c:pt idx="8">
                  <c:v>0.28946759259260091</c:v>
                </c:pt>
                <c:pt idx="9">
                  <c:v>-1.7310185185185247</c:v>
                </c:pt>
                <c:pt idx="10">
                  <c:v>1.6113425925925924</c:v>
                </c:pt>
                <c:pt idx="11">
                  <c:v>-2.3924768518518533</c:v>
                </c:pt>
                <c:pt idx="12">
                  <c:v>-0.8237268518518519</c:v>
                </c:pt>
                <c:pt idx="13">
                  <c:v>-0.39837962962963047</c:v>
                </c:pt>
                <c:pt idx="14">
                  <c:v>-8.6921296296296191E-2</c:v>
                </c:pt>
                <c:pt idx="15">
                  <c:v>-0.24594907407407618</c:v>
                </c:pt>
                <c:pt idx="16">
                  <c:v>0.96481481481482234</c:v>
                </c:pt>
                <c:pt idx="17">
                  <c:v>0.17557870370370665</c:v>
                </c:pt>
                <c:pt idx="18">
                  <c:v>-2.5053240740740748</c:v>
                </c:pt>
                <c:pt idx="19">
                  <c:v>2.1092592592592538</c:v>
                </c:pt>
                <c:pt idx="20">
                  <c:v>-0.31053240740740051</c:v>
                </c:pt>
                <c:pt idx="21">
                  <c:v>-0.1726851851851805</c:v>
                </c:pt>
                <c:pt idx="22">
                  <c:v>1.7696759259259309</c:v>
                </c:pt>
                <c:pt idx="23">
                  <c:v>-1.0383101851851819</c:v>
                </c:pt>
                <c:pt idx="24">
                  <c:v>1.8387731481481495</c:v>
                </c:pt>
                <c:pt idx="25">
                  <c:v>-2.3483796296296333</c:v>
                </c:pt>
                <c:pt idx="26">
                  <c:v>0.13807870370370523</c:v>
                </c:pt>
                <c:pt idx="27">
                  <c:v>-1.8584490740740662</c:v>
                </c:pt>
                <c:pt idx="28">
                  <c:v>1.7731481481481524</c:v>
                </c:pt>
                <c:pt idx="29">
                  <c:v>-2.0577546296296347</c:v>
                </c:pt>
                <c:pt idx="30">
                  <c:v>2.3571759259259224</c:v>
                </c:pt>
                <c:pt idx="31">
                  <c:v>1.3175925925925895</c:v>
                </c:pt>
                <c:pt idx="32">
                  <c:v>-0.81053240740740762</c:v>
                </c:pt>
                <c:pt idx="33">
                  <c:v>0.62731481481481666</c:v>
                </c:pt>
                <c:pt idx="34">
                  <c:v>1.1863425925925881</c:v>
                </c:pt>
                <c:pt idx="35">
                  <c:v>-0.73414351851852189</c:v>
                </c:pt>
                <c:pt idx="36">
                  <c:v>1.3346064814814795</c:v>
                </c:pt>
                <c:pt idx="37">
                  <c:v>-0.47754629629629619</c:v>
                </c:pt>
                <c:pt idx="38">
                  <c:v>-3.3702546296296347</c:v>
                </c:pt>
                <c:pt idx="39">
                  <c:v>-0.45428240740740478</c:v>
                </c:pt>
                <c:pt idx="40">
                  <c:v>-2.3018518518518505</c:v>
                </c:pt>
                <c:pt idx="41">
                  <c:v>-1.0744212962963005</c:v>
                </c:pt>
                <c:pt idx="42">
                  <c:v>-0.61365740740740193</c:v>
                </c:pt>
                <c:pt idx="43">
                  <c:v>-0.92824074074074048</c:v>
                </c:pt>
                <c:pt idx="44">
                  <c:v>3.6769675925925824</c:v>
                </c:pt>
                <c:pt idx="45">
                  <c:v>6.4856481481481509</c:v>
                </c:pt>
                <c:pt idx="46">
                  <c:v>-0.19699074074073764</c:v>
                </c:pt>
                <c:pt idx="47">
                  <c:v>0.57002314814815236</c:v>
                </c:pt>
                <c:pt idx="48">
                  <c:v>-2.9278935185185233</c:v>
                </c:pt>
                <c:pt idx="49">
                  <c:v>-0.64421296296296759</c:v>
                </c:pt>
                <c:pt idx="50">
                  <c:v>-1.5327546296296291</c:v>
                </c:pt>
                <c:pt idx="51">
                  <c:v>-0.31261574074073906</c:v>
                </c:pt>
                <c:pt idx="52">
                  <c:v>-1.0476851851851805</c:v>
                </c:pt>
                <c:pt idx="53">
                  <c:v>1.3755787037037024</c:v>
                </c:pt>
                <c:pt idx="54">
                  <c:v>0.8363425925925938</c:v>
                </c:pt>
                <c:pt idx="55">
                  <c:v>-1.0157407407407391</c:v>
                </c:pt>
                <c:pt idx="56">
                  <c:v>0.59780092592592382</c:v>
                </c:pt>
                <c:pt idx="57">
                  <c:v>0.74398148148147669</c:v>
                </c:pt>
                <c:pt idx="58">
                  <c:v>-1.6553240740740733</c:v>
                </c:pt>
                <c:pt idx="59">
                  <c:v>0.87418981481481239</c:v>
                </c:pt>
                <c:pt idx="60">
                  <c:v>-1.7987268518518498</c:v>
                </c:pt>
                <c:pt idx="61">
                  <c:v>-0.16504629629628909</c:v>
                </c:pt>
                <c:pt idx="62">
                  <c:v>2.2089120370370452</c:v>
                </c:pt>
                <c:pt idx="63">
                  <c:v>0.72905092592593235</c:v>
                </c:pt>
                <c:pt idx="64">
                  <c:v>-0.94768518518517908</c:v>
                </c:pt>
                <c:pt idx="65">
                  <c:v>1.6714120370370367</c:v>
                </c:pt>
                <c:pt idx="66">
                  <c:v>-0.6511574074073998</c:v>
                </c:pt>
                <c:pt idx="67">
                  <c:v>-1.3282407407407426</c:v>
                </c:pt>
                <c:pt idx="68">
                  <c:v>-0.57719907407406623</c:v>
                </c:pt>
                <c:pt idx="69">
                  <c:v>-0.72685185185184764</c:v>
                </c:pt>
                <c:pt idx="70">
                  <c:v>0.2030092592592645</c:v>
                </c:pt>
                <c:pt idx="71">
                  <c:v>2.1450231481481552</c:v>
                </c:pt>
                <c:pt idx="72">
                  <c:v>-0.43206018518517908</c:v>
                </c:pt>
                <c:pt idx="73">
                  <c:v>-0.41087962962963331</c:v>
                </c:pt>
                <c:pt idx="74">
                  <c:v>-0.24525462962962763</c:v>
                </c:pt>
                <c:pt idx="75">
                  <c:v>-0.30844907407407263</c:v>
                </c:pt>
                <c:pt idx="76">
                  <c:v>0.18148148148148024</c:v>
                </c:pt>
                <c:pt idx="77">
                  <c:v>1.1755787037037067</c:v>
                </c:pt>
                <c:pt idx="78">
                  <c:v>0.13217592592592808</c:v>
                </c:pt>
                <c:pt idx="79">
                  <c:v>0.62175925925925668</c:v>
                </c:pt>
                <c:pt idx="80">
                  <c:v>0.1853009259259295</c:v>
                </c:pt>
                <c:pt idx="81">
                  <c:v>-1.2518518518518498</c:v>
                </c:pt>
                <c:pt idx="82">
                  <c:v>5.7175925925928794E-2</c:v>
                </c:pt>
                <c:pt idx="83">
                  <c:v>-0.43831018518518405</c:v>
                </c:pt>
                <c:pt idx="84">
                  <c:v>-0.93622685185184551</c:v>
                </c:pt>
                <c:pt idx="85">
                  <c:v>0.93495370370370523</c:v>
                </c:pt>
                <c:pt idx="86">
                  <c:v>-0.32442129629629335</c:v>
                </c:pt>
                <c:pt idx="87">
                  <c:v>0.62488425925925739</c:v>
                </c:pt>
                <c:pt idx="88">
                  <c:v>-0.32268518518519329</c:v>
                </c:pt>
                <c:pt idx="89">
                  <c:v>0.14641203703704164</c:v>
                </c:pt>
                <c:pt idx="90">
                  <c:v>0.39467592592592737</c:v>
                </c:pt>
                <c:pt idx="91">
                  <c:v>-0.19074074074073977</c:v>
                </c:pt>
                <c:pt idx="92">
                  <c:v>-4.3865740740738346E-2</c:v>
                </c:pt>
                <c:pt idx="93">
                  <c:v>-0.38101851851852331</c:v>
                </c:pt>
                <c:pt idx="94">
                  <c:v>0.10300925925925952</c:v>
                </c:pt>
                <c:pt idx="95">
                  <c:v>9.9189814814810262E-2</c:v>
                </c:pt>
                <c:pt idx="96">
                  <c:v>0.32627314814814667</c:v>
                </c:pt>
                <c:pt idx="97">
                  <c:v>-0.52754629629629335</c:v>
                </c:pt>
                <c:pt idx="98">
                  <c:v>-0.40358796296295907</c:v>
                </c:pt>
                <c:pt idx="99">
                  <c:v>0.58738425925925952</c:v>
                </c:pt>
                <c:pt idx="100">
                  <c:v>-0.11435185185185048</c:v>
                </c:pt>
                <c:pt idx="101">
                  <c:v>0.34224537037037095</c:v>
                </c:pt>
                <c:pt idx="102">
                  <c:v>0.93634259259259878</c:v>
                </c:pt>
                <c:pt idx="103">
                  <c:v>-0.79490740740740407</c:v>
                </c:pt>
                <c:pt idx="104">
                  <c:v>-0.47719907407407192</c:v>
                </c:pt>
                <c:pt idx="105">
                  <c:v>-0.97685185185185119</c:v>
                </c:pt>
                <c:pt idx="106">
                  <c:v>-0.26365740740741117</c:v>
                </c:pt>
                <c:pt idx="107">
                  <c:v>0.57002314814814881</c:v>
                </c:pt>
                <c:pt idx="108">
                  <c:v>-0.13622685185185546</c:v>
                </c:pt>
                <c:pt idx="109">
                  <c:v>9.7453703703706651E-2</c:v>
                </c:pt>
                <c:pt idx="110">
                  <c:v>-0.46608796296296262</c:v>
                </c:pt>
                <c:pt idx="111">
                  <c:v>0.64155092592592666</c:v>
                </c:pt>
                <c:pt idx="112">
                  <c:v>-0.14351851851851194</c:v>
                </c:pt>
                <c:pt idx="113">
                  <c:v>6.3078703703705941E-2</c:v>
                </c:pt>
                <c:pt idx="114">
                  <c:v>-5.3240740740712056E-3</c:v>
                </c:pt>
                <c:pt idx="115">
                  <c:v>-0.85324074074074119</c:v>
                </c:pt>
                <c:pt idx="116">
                  <c:v>-1.4688657407407391</c:v>
                </c:pt>
                <c:pt idx="117">
                  <c:v>-2.018518518518519</c:v>
                </c:pt>
                <c:pt idx="118">
                  <c:v>-2.0678240740740783</c:v>
                </c:pt>
                <c:pt idx="119">
                  <c:v>-1.0008101851851841</c:v>
                </c:pt>
                <c:pt idx="120">
                  <c:v>2.1929398148148174</c:v>
                </c:pt>
                <c:pt idx="121">
                  <c:v>1.5807870370370445</c:v>
                </c:pt>
                <c:pt idx="122">
                  <c:v>2.0964120370370374</c:v>
                </c:pt>
                <c:pt idx="123">
                  <c:v>1.4707175925925924</c:v>
                </c:pt>
                <c:pt idx="124">
                  <c:v>-0.11851851851851691</c:v>
                </c:pt>
                <c:pt idx="125">
                  <c:v>0.20474537037037521</c:v>
                </c:pt>
                <c:pt idx="126">
                  <c:v>-9.4907407407376354E-3</c:v>
                </c:pt>
                <c:pt idx="127">
                  <c:v>-0.72824074074074119</c:v>
                </c:pt>
                <c:pt idx="128">
                  <c:v>-0.51886574074073621</c:v>
                </c:pt>
                <c:pt idx="129">
                  <c:v>-0.78935185185185119</c:v>
                </c:pt>
                <c:pt idx="130">
                  <c:v>-0.99699074074074545</c:v>
                </c:pt>
                <c:pt idx="131">
                  <c:v>0.60335648148148024</c:v>
                </c:pt>
                <c:pt idx="132">
                  <c:v>0.78877314814815236</c:v>
                </c:pt>
                <c:pt idx="133">
                  <c:v>1.1391203703703745</c:v>
                </c:pt>
                <c:pt idx="134">
                  <c:v>3.8078703703707362E-2</c:v>
                </c:pt>
                <c:pt idx="135">
                  <c:v>0.51655092592593022</c:v>
                </c:pt>
                <c:pt idx="136">
                  <c:v>-3.9351851851847641E-2</c:v>
                </c:pt>
                <c:pt idx="137">
                  <c:v>5.4745370370369528E-2</c:v>
                </c:pt>
                <c:pt idx="138">
                  <c:v>-0.44699074074074119</c:v>
                </c:pt>
                <c:pt idx="139">
                  <c:v>-6.157407407407689E-2</c:v>
                </c:pt>
                <c:pt idx="140">
                  <c:v>-0.98969907407407121</c:v>
                </c:pt>
                <c:pt idx="141">
                  <c:v>-0.25601851851851976</c:v>
                </c:pt>
                <c:pt idx="142">
                  <c:v>-0.19699074074073764</c:v>
                </c:pt>
                <c:pt idx="143">
                  <c:v>0.29502314814815023</c:v>
                </c:pt>
                <c:pt idx="144">
                  <c:v>0.12627314814814738</c:v>
                </c:pt>
                <c:pt idx="145">
                  <c:v>0.77245370370370381</c:v>
                </c:pt>
                <c:pt idx="146">
                  <c:v>1.5005787037037059</c:v>
                </c:pt>
                <c:pt idx="147">
                  <c:v>-1.8376157407407412</c:v>
                </c:pt>
                <c:pt idx="148">
                  <c:v>1.6689814814814845</c:v>
                </c:pt>
                <c:pt idx="149">
                  <c:v>-2.5244212962962926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0F-4DAD-A207-33674AF6A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969344"/>
        <c:axId val="985964352"/>
      </c:scatterChart>
      <c:valAx>
        <c:axId val="98596934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64352"/>
        <c:crosses val="autoZero"/>
        <c:crossBetween val="midCat"/>
      </c:valAx>
      <c:valAx>
        <c:axId val="985964352"/>
        <c:scaling>
          <c:orientation val="minMax"/>
          <c:max val="8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Random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98596934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transformation2'!$B$44:$B$199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transformation2'!$C$44:$C$199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29-491E-90A1-38ABBD3D3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94128"/>
        <c:axId val="832694544"/>
      </c:scatterChart>
      <c:valAx>
        <c:axId val="83269412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4544"/>
        <c:crosses val="autoZero"/>
        <c:crossBetween val="midCat"/>
      </c:valAx>
      <c:valAx>
        <c:axId val="832694544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412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Seasonal fitting (Others)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'Time series transformation2'!$B$44:$B$199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transformation2'!$D$44:$D$199</c:f>
              <c:numCache>
                <c:formatCode>0.000</c:formatCode>
                <c:ptCount val="156"/>
                <c:pt idx="0">
                  <c:v>21.238461538461546</c:v>
                </c:pt>
                <c:pt idx="1">
                  <c:v>20.446153846153841</c:v>
                </c:pt>
                <c:pt idx="2">
                  <c:v>19.892307692307689</c:v>
                </c:pt>
                <c:pt idx="3">
                  <c:v>20.692307692307701</c:v>
                </c:pt>
                <c:pt idx="4">
                  <c:v>21.315384615384616</c:v>
                </c:pt>
                <c:pt idx="5">
                  <c:v>21.569230769230778</c:v>
                </c:pt>
                <c:pt idx="6">
                  <c:v>18.446153846153855</c:v>
                </c:pt>
                <c:pt idx="7">
                  <c:v>20.361538461538466</c:v>
                </c:pt>
                <c:pt idx="8">
                  <c:v>19.246153846153845</c:v>
                </c:pt>
                <c:pt idx="9">
                  <c:v>16.738461538461543</c:v>
                </c:pt>
                <c:pt idx="10">
                  <c:v>19.73076923076923</c:v>
                </c:pt>
                <c:pt idx="11">
                  <c:v>15.315384615384623</c:v>
                </c:pt>
                <c:pt idx="12">
                  <c:v>14.138461538461545</c:v>
                </c:pt>
                <c:pt idx="13">
                  <c:v>14.346153846153847</c:v>
                </c:pt>
                <c:pt idx="14">
                  <c:v>14.492307692307691</c:v>
                </c:pt>
                <c:pt idx="15">
                  <c:v>14.092307692307706</c:v>
                </c:pt>
                <c:pt idx="16">
                  <c:v>15.11538461538462</c:v>
                </c:pt>
                <c:pt idx="17">
                  <c:v>14.169230769230772</c:v>
                </c:pt>
                <c:pt idx="18">
                  <c:v>11.54615384615385</c:v>
                </c:pt>
                <c:pt idx="19">
                  <c:v>16.061538461538468</c:v>
                </c:pt>
                <c:pt idx="20">
                  <c:v>13.746153846153845</c:v>
                </c:pt>
                <c:pt idx="21">
                  <c:v>13.538461538461547</c:v>
                </c:pt>
                <c:pt idx="22">
                  <c:v>15.330769230769231</c:v>
                </c:pt>
                <c:pt idx="23">
                  <c:v>12.315384615384623</c:v>
                </c:pt>
                <c:pt idx="24">
                  <c:v>12.838461538461548</c:v>
                </c:pt>
                <c:pt idx="25">
                  <c:v>8.7461538461538453</c:v>
                </c:pt>
                <c:pt idx="26">
                  <c:v>11.092307692307685</c:v>
                </c:pt>
                <c:pt idx="27">
                  <c:v>8.8923076923077033</c:v>
                </c:pt>
                <c:pt idx="28">
                  <c:v>12.315384615384616</c:v>
                </c:pt>
                <c:pt idx="29">
                  <c:v>8.2692307692307736</c:v>
                </c:pt>
                <c:pt idx="30">
                  <c:v>12.54615384615385</c:v>
                </c:pt>
                <c:pt idx="31">
                  <c:v>11.361538461538466</c:v>
                </c:pt>
                <c:pt idx="32">
                  <c:v>9.2461538461538453</c:v>
                </c:pt>
                <c:pt idx="33">
                  <c:v>10.238461538461543</c:v>
                </c:pt>
                <c:pt idx="34">
                  <c:v>10.530769230769234</c:v>
                </c:pt>
                <c:pt idx="35">
                  <c:v>8.3153846153846231</c:v>
                </c:pt>
                <c:pt idx="36">
                  <c:v>7.8384615384615479</c:v>
                </c:pt>
                <c:pt idx="37">
                  <c:v>5.7461538461538453</c:v>
                </c:pt>
                <c:pt idx="38">
                  <c:v>2.8923076923076891</c:v>
                </c:pt>
                <c:pt idx="39">
                  <c:v>6.0923076923077062</c:v>
                </c:pt>
                <c:pt idx="40">
                  <c:v>4.315384615384616</c:v>
                </c:pt>
                <c:pt idx="41">
                  <c:v>5.4692307692307764</c:v>
                </c:pt>
                <c:pt idx="42">
                  <c:v>5.8461538461538538</c:v>
                </c:pt>
                <c:pt idx="43">
                  <c:v>5.3615384615384656</c:v>
                </c:pt>
                <c:pt idx="44">
                  <c:v>10.34615384615384</c:v>
                </c:pt>
                <c:pt idx="45">
                  <c:v>13.038461538461547</c:v>
                </c:pt>
                <c:pt idx="46">
                  <c:v>6.3307692307692314</c:v>
                </c:pt>
                <c:pt idx="47">
                  <c:v>7.1153846153846203</c:v>
                </c:pt>
                <c:pt idx="48">
                  <c:v>1.3384615384615479</c:v>
                </c:pt>
                <c:pt idx="49">
                  <c:v>3.6461538461538439</c:v>
                </c:pt>
                <c:pt idx="50">
                  <c:v>2.5923076923076849</c:v>
                </c:pt>
                <c:pt idx="51">
                  <c:v>3.2923076923077019</c:v>
                </c:pt>
                <c:pt idx="52">
                  <c:v>2.1153846153846203</c:v>
                </c:pt>
                <c:pt idx="53">
                  <c:v>4.369230769230775</c:v>
                </c:pt>
                <c:pt idx="54">
                  <c:v>3.8461538461538538</c:v>
                </c:pt>
                <c:pt idx="55">
                  <c:v>1.961538461538467</c:v>
                </c:pt>
                <c:pt idx="56">
                  <c:v>3.946153846153841</c:v>
                </c:pt>
                <c:pt idx="57">
                  <c:v>4.0384615384615472</c:v>
                </c:pt>
                <c:pt idx="58">
                  <c:v>1.6307692307692285</c:v>
                </c:pt>
                <c:pt idx="59">
                  <c:v>4.1153846153846203</c:v>
                </c:pt>
                <c:pt idx="60">
                  <c:v>-0.96153846153845635</c:v>
                </c:pt>
                <c:pt idx="61">
                  <c:v>0.64615384615384386</c:v>
                </c:pt>
                <c:pt idx="62">
                  <c:v>2.9923076923076906</c:v>
                </c:pt>
                <c:pt idx="63">
                  <c:v>1.2923076923077019</c:v>
                </c:pt>
                <c:pt idx="64">
                  <c:v>-0.48461538461538112</c:v>
                </c:pt>
                <c:pt idx="65">
                  <c:v>2.1692307692307722</c:v>
                </c:pt>
                <c:pt idx="66">
                  <c:v>-5.3846153846148326E-2</c:v>
                </c:pt>
                <c:pt idx="67">
                  <c:v>-0.73846153846153584</c:v>
                </c:pt>
                <c:pt idx="68">
                  <c:v>0.14615384615384386</c:v>
                </c:pt>
                <c:pt idx="69">
                  <c:v>-0.36153846153845492</c:v>
                </c:pt>
                <c:pt idx="70">
                  <c:v>0.53076923076923066</c:v>
                </c:pt>
                <c:pt idx="71">
                  <c:v>2.415384615384621</c:v>
                </c:pt>
                <c:pt idx="72">
                  <c:v>-2.5615384615384542</c:v>
                </c:pt>
                <c:pt idx="73">
                  <c:v>-2.4538461538461576</c:v>
                </c:pt>
                <c:pt idx="74">
                  <c:v>-2.2076923076923123</c:v>
                </c:pt>
                <c:pt idx="75">
                  <c:v>-2.4076923076922974</c:v>
                </c:pt>
                <c:pt idx="76">
                  <c:v>-2.0846153846153825</c:v>
                </c:pt>
                <c:pt idx="77">
                  <c:v>-1.3307692307692243</c:v>
                </c:pt>
                <c:pt idx="78">
                  <c:v>-2.5538461538461483</c:v>
                </c:pt>
                <c:pt idx="79">
                  <c:v>-2.1384615384615344</c:v>
                </c:pt>
                <c:pt idx="80">
                  <c:v>-2.3538461538461561</c:v>
                </c:pt>
                <c:pt idx="81">
                  <c:v>-4.0615384615384542</c:v>
                </c:pt>
                <c:pt idx="82">
                  <c:v>-2.8692307692307679</c:v>
                </c:pt>
                <c:pt idx="83">
                  <c:v>-3.584615384615379</c:v>
                </c:pt>
                <c:pt idx="84">
                  <c:v>-6.5615384615384542</c:v>
                </c:pt>
                <c:pt idx="85">
                  <c:v>-4.7538461538461547</c:v>
                </c:pt>
                <c:pt idx="86">
                  <c:v>-6.1076923076923109</c:v>
                </c:pt>
                <c:pt idx="87">
                  <c:v>-5.3076923076922959</c:v>
                </c:pt>
                <c:pt idx="88">
                  <c:v>-6.3846153846153832</c:v>
                </c:pt>
                <c:pt idx="89">
                  <c:v>-6.0307692307692236</c:v>
                </c:pt>
                <c:pt idx="90">
                  <c:v>-5.7538461538461476</c:v>
                </c:pt>
                <c:pt idx="91">
                  <c:v>-6.4384615384615316</c:v>
                </c:pt>
                <c:pt idx="92">
                  <c:v>-6.1538461538461569</c:v>
                </c:pt>
                <c:pt idx="93">
                  <c:v>-6.7615384615384571</c:v>
                </c:pt>
                <c:pt idx="94">
                  <c:v>-6.3692307692307679</c:v>
                </c:pt>
                <c:pt idx="95">
                  <c:v>-6.4846153846153811</c:v>
                </c:pt>
                <c:pt idx="96">
                  <c:v>-8.6615384615384556</c:v>
                </c:pt>
                <c:pt idx="97">
                  <c:v>-9.5538461538461554</c:v>
                </c:pt>
                <c:pt idx="98">
                  <c:v>-9.507692307692313</c:v>
                </c:pt>
                <c:pt idx="99">
                  <c:v>-8.7076923076922981</c:v>
                </c:pt>
                <c:pt idx="100">
                  <c:v>-9.5846153846153825</c:v>
                </c:pt>
                <c:pt idx="101">
                  <c:v>-9.2307692307692264</c:v>
                </c:pt>
                <c:pt idx="102">
                  <c:v>-8.6538461538461462</c:v>
                </c:pt>
                <c:pt idx="103">
                  <c:v>-10.438461538461532</c:v>
                </c:pt>
                <c:pt idx="104">
                  <c:v>-9.8538461538461561</c:v>
                </c:pt>
                <c:pt idx="105">
                  <c:v>-10.561538461538454</c:v>
                </c:pt>
                <c:pt idx="106">
                  <c:v>-9.8692307692307679</c:v>
                </c:pt>
                <c:pt idx="107">
                  <c:v>-9.084615384615379</c:v>
                </c:pt>
                <c:pt idx="108">
                  <c:v>-12.161538461538456</c:v>
                </c:pt>
                <c:pt idx="109">
                  <c:v>-11.853846153846156</c:v>
                </c:pt>
                <c:pt idx="110">
                  <c:v>-12.307692307692314</c:v>
                </c:pt>
                <c:pt idx="111">
                  <c:v>-11.207692307692298</c:v>
                </c:pt>
                <c:pt idx="112">
                  <c:v>-11.984615384615381</c:v>
                </c:pt>
                <c:pt idx="113">
                  <c:v>-11.730769230769226</c:v>
                </c:pt>
                <c:pt idx="114">
                  <c:v>-11.453846153846147</c:v>
                </c:pt>
                <c:pt idx="115">
                  <c:v>-11.838461538461534</c:v>
                </c:pt>
                <c:pt idx="116">
                  <c:v>-11.653846153846157</c:v>
                </c:pt>
                <c:pt idx="117">
                  <c:v>-11.861538461538455</c:v>
                </c:pt>
                <c:pt idx="118">
                  <c:v>-11.469230769230769</c:v>
                </c:pt>
                <c:pt idx="119">
                  <c:v>-9.9846153846153811</c:v>
                </c:pt>
                <c:pt idx="120">
                  <c:v>-8.6615384615384556</c:v>
                </c:pt>
                <c:pt idx="121">
                  <c:v>-8.7538461538461547</c:v>
                </c:pt>
                <c:pt idx="122">
                  <c:v>-7.7076923076923123</c:v>
                </c:pt>
                <c:pt idx="123">
                  <c:v>-7.9076923076922974</c:v>
                </c:pt>
                <c:pt idx="124">
                  <c:v>-9.0846153846153825</c:v>
                </c:pt>
                <c:pt idx="125">
                  <c:v>-8.3307692307692243</c:v>
                </c:pt>
                <c:pt idx="126">
                  <c:v>-8.1538461538461462</c:v>
                </c:pt>
                <c:pt idx="127">
                  <c:v>-8.6384615384615344</c:v>
                </c:pt>
                <c:pt idx="128">
                  <c:v>-7.9538461538461576</c:v>
                </c:pt>
                <c:pt idx="129">
                  <c:v>-8.2615384615384571</c:v>
                </c:pt>
                <c:pt idx="130">
                  <c:v>-8.2692307692307701</c:v>
                </c:pt>
                <c:pt idx="131">
                  <c:v>-6.4846153846153811</c:v>
                </c:pt>
                <c:pt idx="132">
                  <c:v>-8.4615384615384563</c:v>
                </c:pt>
                <c:pt idx="133">
                  <c:v>-7.8538461538461561</c:v>
                </c:pt>
                <c:pt idx="134">
                  <c:v>-8.7076923076923123</c:v>
                </c:pt>
                <c:pt idx="135">
                  <c:v>-8.1076923076922967</c:v>
                </c:pt>
                <c:pt idx="136">
                  <c:v>-8.4846153846153811</c:v>
                </c:pt>
                <c:pt idx="137">
                  <c:v>-8.2307692307692264</c:v>
                </c:pt>
                <c:pt idx="138">
                  <c:v>-8.5538461538461483</c:v>
                </c:pt>
                <c:pt idx="139">
                  <c:v>-8.038461538461533</c:v>
                </c:pt>
                <c:pt idx="140">
                  <c:v>-8.4538461538461576</c:v>
                </c:pt>
                <c:pt idx="141">
                  <c:v>-7.7615384615384571</c:v>
                </c:pt>
                <c:pt idx="142">
                  <c:v>-7.5692307692307672</c:v>
                </c:pt>
                <c:pt idx="143">
                  <c:v>-6.9846153846153811</c:v>
                </c:pt>
                <c:pt idx="144">
                  <c:v>-9.3615384615384549</c:v>
                </c:pt>
                <c:pt idx="145">
                  <c:v>-8.3538461538461561</c:v>
                </c:pt>
                <c:pt idx="146">
                  <c:v>-7.4076923076923116</c:v>
                </c:pt>
                <c:pt idx="147">
                  <c:v>-10.707692307692298</c:v>
                </c:pt>
                <c:pt idx="148">
                  <c:v>-7.0846153846153825</c:v>
                </c:pt>
                <c:pt idx="149">
                  <c:v>-11.130769230769225</c:v>
                </c:pt>
                <c:pt idx="150">
                  <c:v>-7.0538461538461483</c:v>
                </c:pt>
                <c:pt idx="151">
                  <c:v>-6.8384615384615337</c:v>
                </c:pt>
                <c:pt idx="152">
                  <c:v>-10.253846153846158</c:v>
                </c:pt>
                <c:pt idx="153">
                  <c:v>-7.9615384615384563</c:v>
                </c:pt>
                <c:pt idx="154">
                  <c:v>-7.6692307692307686</c:v>
                </c:pt>
                <c:pt idx="155">
                  <c:v>-6.9846153846153811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C9-42F3-BA89-7EA629D35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057888"/>
        <c:axId val="818055392"/>
      </c:scatterChart>
      <c:valAx>
        <c:axId val="81805788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55392"/>
        <c:crosses val="autoZero"/>
        <c:crossBetween val="midCat"/>
      </c:valAx>
      <c:valAx>
        <c:axId val="818055392"/>
        <c:scaling>
          <c:orientation val="minMax"/>
          <c:max val="25"/>
          <c:min val="-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Deseas(Others)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5788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Coefficient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791FF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'Time series transformation2'!$B$226:$B$237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'Time series transformation2'!$C$226:$C$237</c:f>
              <c:numCache>
                <c:formatCode>0.000</c:formatCode>
                <c:ptCount val="12"/>
                <c:pt idx="0">
                  <c:v>0.97847472461337903</c:v>
                </c:pt>
                <c:pt idx="1">
                  <c:v>0.93707248862945713</c:v>
                </c:pt>
                <c:pt idx="2">
                  <c:v>0.93828400589420857</c:v>
                </c:pt>
                <c:pt idx="3">
                  <c:v>0.97380411394316235</c:v>
                </c:pt>
                <c:pt idx="4">
                  <c:v>1.0275566848532147</c:v>
                </c:pt>
                <c:pt idx="5">
                  <c:v>1.0343086104143013</c:v>
                </c:pt>
                <c:pt idx="6">
                  <c:v>1.0132461694027695</c:v>
                </c:pt>
                <c:pt idx="7">
                  <c:v>1.0550552330203224</c:v>
                </c:pt>
                <c:pt idx="8">
                  <c:v>1.0182550004741353</c:v>
                </c:pt>
                <c:pt idx="9">
                  <c:v>1.0241404826497529</c:v>
                </c:pt>
                <c:pt idx="10">
                  <c:v>1.0135208239044666</c:v>
                </c:pt>
                <c:pt idx="11">
                  <c:v>0.96739601113764628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4A-4351-84DC-478904343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8057888"/>
        <c:axId val="818062048"/>
      </c:barChart>
      <c:catAx>
        <c:axId val="818057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62048"/>
        <c:crosses val="autoZero"/>
        <c:auto val="1"/>
        <c:lblAlgn val="ctr"/>
        <c:lblOffset val="100"/>
        <c:noMultiLvlLbl val="0"/>
      </c:catAx>
      <c:valAx>
        <c:axId val="8180620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5788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transformation2'!$B$262:$B$417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transformation2'!$C$262:$C$417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A8-4EA3-AF85-72D470802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049984"/>
        <c:axId val="818050400"/>
      </c:scatterChart>
      <c:valAx>
        <c:axId val="81804998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50400"/>
        <c:crosses val="autoZero"/>
        <c:crossBetween val="midCat"/>
      </c:valAx>
      <c:valAx>
        <c:axId val="818050400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4998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Trend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Trend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transformation2'!$B$262:$B$417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transformation2'!$D$262:$D$417</c:f>
              <c:numCache>
                <c:formatCode>0.000</c:formatCode>
                <c:ptCount val="156"/>
                <c:pt idx="6">
                  <c:v>50.720833333333331</c:v>
                </c:pt>
                <c:pt idx="7">
                  <c:v>50.170833333333327</c:v>
                </c:pt>
                <c:pt idx="8">
                  <c:v>49.691666666666663</c:v>
                </c:pt>
                <c:pt idx="9">
                  <c:v>49.19166666666667</c:v>
                </c:pt>
                <c:pt idx="10">
                  <c:v>48.658333333333331</c:v>
                </c:pt>
                <c:pt idx="11">
                  <c:v>48.091666666666669</c:v>
                </c:pt>
                <c:pt idx="12">
                  <c:v>47.49583333333333</c:v>
                </c:pt>
                <c:pt idx="13">
                  <c:v>47.029166666666669</c:v>
                </c:pt>
                <c:pt idx="14">
                  <c:v>46.620833333333337</c:v>
                </c:pt>
                <c:pt idx="15">
                  <c:v>46.25833333333334</c:v>
                </c:pt>
                <c:pt idx="16">
                  <c:v>45.941666666666663</c:v>
                </c:pt>
                <c:pt idx="17">
                  <c:v>45.633333333333326</c:v>
                </c:pt>
                <c:pt idx="18">
                  <c:v>45.454166666666666</c:v>
                </c:pt>
                <c:pt idx="19">
                  <c:v>45.166666666666671</c:v>
                </c:pt>
                <c:pt idx="20">
                  <c:v>44.791666666666664</c:v>
                </c:pt>
                <c:pt idx="21">
                  <c:v>44.43333333333333</c:v>
                </c:pt>
                <c:pt idx="22">
                  <c:v>44.099999999999994</c:v>
                </c:pt>
                <c:pt idx="23">
                  <c:v>43.737499999999997</c:v>
                </c:pt>
                <c:pt idx="24">
                  <c:v>43.533333333333331</c:v>
                </c:pt>
                <c:pt idx="25">
                  <c:v>43.37916666666667</c:v>
                </c:pt>
                <c:pt idx="26">
                  <c:v>42.99583333333333</c:v>
                </c:pt>
                <c:pt idx="27">
                  <c:v>42.670833333333327</c:v>
                </c:pt>
                <c:pt idx="28">
                  <c:v>42.333333333333329</c:v>
                </c:pt>
                <c:pt idx="29">
                  <c:v>41.966666666666669</c:v>
                </c:pt>
                <c:pt idx="30">
                  <c:v>41.591666666666669</c:v>
                </c:pt>
                <c:pt idx="31">
                  <c:v>41.258333333333333</c:v>
                </c:pt>
                <c:pt idx="32">
                  <c:v>40.791666666666671</c:v>
                </c:pt>
                <c:pt idx="33">
                  <c:v>40.333333333333329</c:v>
                </c:pt>
                <c:pt idx="34">
                  <c:v>39.88333333333334</c:v>
                </c:pt>
                <c:pt idx="35">
                  <c:v>39.433333333333337</c:v>
                </c:pt>
                <c:pt idx="36">
                  <c:v>39.037500000000001</c:v>
                </c:pt>
                <c:pt idx="37">
                  <c:v>38.508333333333333</c:v>
                </c:pt>
                <c:pt idx="38">
                  <c:v>38.304166666666674</c:v>
                </c:pt>
                <c:pt idx="39">
                  <c:v>38.466666666666669</c:v>
                </c:pt>
                <c:pt idx="40">
                  <c:v>38.408333333333331</c:v>
                </c:pt>
                <c:pt idx="41">
                  <c:v>38.183333333333337</c:v>
                </c:pt>
                <c:pt idx="42">
                  <c:v>37.862499999999997</c:v>
                </c:pt>
                <c:pt idx="43">
                  <c:v>37.504166666666663</c:v>
                </c:pt>
                <c:pt idx="44">
                  <c:v>37.404166666666676</c:v>
                </c:pt>
                <c:pt idx="45">
                  <c:v>37.274999999999999</c:v>
                </c:pt>
                <c:pt idx="46">
                  <c:v>37.066666666666663</c:v>
                </c:pt>
                <c:pt idx="47">
                  <c:v>36.92916666666666</c:v>
                </c:pt>
                <c:pt idx="48">
                  <c:v>36.800000000000004</c:v>
                </c:pt>
                <c:pt idx="49">
                  <c:v>36.575000000000003</c:v>
                </c:pt>
                <c:pt idx="50">
                  <c:v>36.166666666666664</c:v>
                </c:pt>
                <c:pt idx="51">
                  <c:v>35.524999999999999</c:v>
                </c:pt>
                <c:pt idx="52">
                  <c:v>34.954166666666666</c:v>
                </c:pt>
                <c:pt idx="53">
                  <c:v>34.633333333333333</c:v>
                </c:pt>
                <c:pt idx="54">
                  <c:v>34.412500000000001</c:v>
                </c:pt>
                <c:pt idx="55">
                  <c:v>34.191666666666663</c:v>
                </c:pt>
                <c:pt idx="56">
                  <c:v>34.083333333333336</c:v>
                </c:pt>
                <c:pt idx="57">
                  <c:v>34.016666666666673</c:v>
                </c:pt>
                <c:pt idx="58">
                  <c:v>33.824999999999996</c:v>
                </c:pt>
                <c:pt idx="59">
                  <c:v>33.625</c:v>
                </c:pt>
                <c:pt idx="60">
                  <c:v>33.37083333333333</c:v>
                </c:pt>
                <c:pt idx="61">
                  <c:v>33.095833333333324</c:v>
                </c:pt>
                <c:pt idx="62">
                  <c:v>32.824999999999996</c:v>
                </c:pt>
                <c:pt idx="63">
                  <c:v>32.483333333333327</c:v>
                </c:pt>
                <c:pt idx="64">
                  <c:v>32.254166666666663</c:v>
                </c:pt>
                <c:pt idx="65">
                  <c:v>32.137499999999996</c:v>
                </c:pt>
                <c:pt idx="66">
                  <c:v>31.999999999999993</c:v>
                </c:pt>
                <c:pt idx="67">
                  <c:v>31.804166666666664</c:v>
                </c:pt>
                <c:pt idx="68">
                  <c:v>31.458333333333329</c:v>
                </c:pt>
                <c:pt idx="69">
                  <c:v>31.087499999999995</c:v>
                </c:pt>
                <c:pt idx="70">
                  <c:v>30.86666666666666</c:v>
                </c:pt>
                <c:pt idx="71">
                  <c:v>30.654166666666661</c:v>
                </c:pt>
                <c:pt idx="72">
                  <c:v>30.404166666666661</c:v>
                </c:pt>
                <c:pt idx="73">
                  <c:v>30.241666666666671</c:v>
                </c:pt>
                <c:pt idx="74">
                  <c:v>30.079166666666666</c:v>
                </c:pt>
                <c:pt idx="75">
                  <c:v>29.820833333333333</c:v>
                </c:pt>
                <c:pt idx="76">
                  <c:v>29.525000000000002</c:v>
                </c:pt>
                <c:pt idx="77">
                  <c:v>29.133333333333333</c:v>
                </c:pt>
                <c:pt idx="78">
                  <c:v>28.716666666666665</c:v>
                </c:pt>
                <c:pt idx="79">
                  <c:v>28.454166666666666</c:v>
                </c:pt>
                <c:pt idx="80">
                  <c:v>28.195833333333333</c:v>
                </c:pt>
                <c:pt idx="81">
                  <c:v>27.912499999999998</c:v>
                </c:pt>
                <c:pt idx="82">
                  <c:v>27.612499999999997</c:v>
                </c:pt>
                <c:pt idx="83">
                  <c:v>27.237500000000001</c:v>
                </c:pt>
                <c:pt idx="84">
                  <c:v>26.908333333333328</c:v>
                </c:pt>
                <c:pt idx="85">
                  <c:v>26.595833333333335</c:v>
                </c:pt>
                <c:pt idx="86">
                  <c:v>26.258333333333333</c:v>
                </c:pt>
                <c:pt idx="87">
                  <c:v>25.987500000000004</c:v>
                </c:pt>
                <c:pt idx="88">
                  <c:v>25.729166666666671</c:v>
                </c:pt>
                <c:pt idx="89">
                  <c:v>25.462499999999999</c:v>
                </c:pt>
                <c:pt idx="90">
                  <c:v>25.254166666666666</c:v>
                </c:pt>
                <c:pt idx="91">
                  <c:v>24.966666666666665</c:v>
                </c:pt>
                <c:pt idx="92">
                  <c:v>24.625</c:v>
                </c:pt>
                <c:pt idx="93">
                  <c:v>24.341666666666669</c:v>
                </c:pt>
                <c:pt idx="94">
                  <c:v>24.066666666666666</c:v>
                </c:pt>
                <c:pt idx="95">
                  <c:v>23.800000000000004</c:v>
                </c:pt>
                <c:pt idx="96">
                  <c:v>23.545833333333334</c:v>
                </c:pt>
                <c:pt idx="97">
                  <c:v>23.258333333333333</c:v>
                </c:pt>
                <c:pt idx="98">
                  <c:v>22.937499999999996</c:v>
                </c:pt>
                <c:pt idx="99">
                  <c:v>22.625</c:v>
                </c:pt>
                <c:pt idx="100">
                  <c:v>22.320833333333333</c:v>
                </c:pt>
                <c:pt idx="101">
                  <c:v>22.066666666666666</c:v>
                </c:pt>
                <c:pt idx="102">
                  <c:v>21.812499999999996</c:v>
                </c:pt>
                <c:pt idx="103">
                  <c:v>21.570833333333329</c:v>
                </c:pt>
                <c:pt idx="104">
                  <c:v>21.358333333333334</c:v>
                </c:pt>
                <c:pt idx="105">
                  <c:v>21.137499999999999</c:v>
                </c:pt>
                <c:pt idx="106">
                  <c:v>20.933333333333337</c:v>
                </c:pt>
                <c:pt idx="107">
                  <c:v>20.729166666666668</c:v>
                </c:pt>
                <c:pt idx="108">
                  <c:v>20.508333333333336</c:v>
                </c:pt>
                <c:pt idx="109">
                  <c:v>20.333333333333332</c:v>
                </c:pt>
                <c:pt idx="110">
                  <c:v>20.2</c:v>
                </c:pt>
                <c:pt idx="111">
                  <c:v>20.070833333333333</c:v>
                </c:pt>
                <c:pt idx="112">
                  <c:v>19.949999999999996</c:v>
                </c:pt>
                <c:pt idx="113">
                  <c:v>19.845833333333331</c:v>
                </c:pt>
                <c:pt idx="114">
                  <c:v>19.954166666666666</c:v>
                </c:pt>
                <c:pt idx="115">
                  <c:v>20.229166666666664</c:v>
                </c:pt>
                <c:pt idx="116">
                  <c:v>20.55</c:v>
                </c:pt>
                <c:pt idx="117">
                  <c:v>20.879166666666666</c:v>
                </c:pt>
                <c:pt idx="118">
                  <c:v>21.137500000000003</c:v>
                </c:pt>
                <c:pt idx="119">
                  <c:v>21.4</c:v>
                </c:pt>
                <c:pt idx="120">
                  <c:v>21.679166666666664</c:v>
                </c:pt>
                <c:pt idx="121">
                  <c:v>21.949999999999996</c:v>
                </c:pt>
                <c:pt idx="122">
                  <c:v>22.237500000000001</c:v>
                </c:pt>
                <c:pt idx="123">
                  <c:v>22.541666666666668</c:v>
                </c:pt>
                <c:pt idx="124">
                  <c:v>22.824999999999999</c:v>
                </c:pt>
                <c:pt idx="125">
                  <c:v>23.104166666666664</c:v>
                </c:pt>
                <c:pt idx="126">
                  <c:v>23.258333333333333</c:v>
                </c:pt>
                <c:pt idx="127">
                  <c:v>23.304166666666664</c:v>
                </c:pt>
                <c:pt idx="128">
                  <c:v>23.299999999999997</c:v>
                </c:pt>
                <c:pt idx="129">
                  <c:v>23.249999999999996</c:v>
                </c:pt>
                <c:pt idx="130">
                  <c:v>23.266666666666669</c:v>
                </c:pt>
                <c:pt idx="131">
                  <c:v>23.295833333333334</c:v>
                </c:pt>
                <c:pt idx="132">
                  <c:v>23.283333333333328</c:v>
                </c:pt>
                <c:pt idx="133">
                  <c:v>23.291666666666664</c:v>
                </c:pt>
                <c:pt idx="134">
                  <c:v>23.295833333333331</c:v>
                </c:pt>
                <c:pt idx="135">
                  <c:v>23.295833333333331</c:v>
                </c:pt>
                <c:pt idx="136">
                  <c:v>23.345833333333331</c:v>
                </c:pt>
                <c:pt idx="137">
                  <c:v>23.354166666666668</c:v>
                </c:pt>
                <c:pt idx="138">
                  <c:v>23.295833333333334</c:v>
                </c:pt>
                <c:pt idx="139">
                  <c:v>23.237500000000001</c:v>
                </c:pt>
                <c:pt idx="140">
                  <c:v>23.270833333333332</c:v>
                </c:pt>
                <c:pt idx="141">
                  <c:v>23.216666666666665</c:v>
                </c:pt>
                <c:pt idx="142">
                  <c:v>23.166666666666664</c:v>
                </c:pt>
                <c:pt idx="143">
                  <c:v>23.104166666666664</c:v>
                </c:pt>
                <c:pt idx="144">
                  <c:v>23.045833333333334</c:v>
                </c:pt>
                <c:pt idx="145">
                  <c:v>23.158333333333335</c:v>
                </c:pt>
                <c:pt idx="146">
                  <c:v>23.133333333333333</c:v>
                </c:pt>
                <c:pt idx="147">
                  <c:v>23.05</c:v>
                </c:pt>
                <c:pt idx="148">
                  <c:v>23.037499999999998</c:v>
                </c:pt>
                <c:pt idx="149">
                  <c:v>23.033333333333331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0B-4895-945D-CC726A544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957952"/>
        <c:axId val="761942144"/>
      </c:scatterChart>
      <c:valAx>
        <c:axId val="761957952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1942144"/>
        <c:crosses val="autoZero"/>
        <c:crossBetween val="midCat"/>
      </c:valAx>
      <c:valAx>
        <c:axId val="761942144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19579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Seasonal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Seasonal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transformation2'!$B$262:$B$417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transformation2'!$E$262:$E$417</c:f>
              <c:numCache>
                <c:formatCode>0.000</c:formatCode>
                <c:ptCount val="156"/>
                <c:pt idx="6">
                  <c:v>1.0132461694027695</c:v>
                </c:pt>
                <c:pt idx="7">
                  <c:v>1.0550552330203224</c:v>
                </c:pt>
                <c:pt idx="8">
                  <c:v>1.0182550004741353</c:v>
                </c:pt>
                <c:pt idx="9">
                  <c:v>1.0241404826497529</c:v>
                </c:pt>
                <c:pt idx="10">
                  <c:v>1.0135208239044666</c:v>
                </c:pt>
                <c:pt idx="11">
                  <c:v>0.96739601113764628</c:v>
                </c:pt>
                <c:pt idx="12">
                  <c:v>0.97847472461337903</c:v>
                </c:pt>
                <c:pt idx="13">
                  <c:v>0.93707248862945713</c:v>
                </c:pt>
                <c:pt idx="14">
                  <c:v>0.93828400589420857</c:v>
                </c:pt>
                <c:pt idx="15">
                  <c:v>0.97380411394316235</c:v>
                </c:pt>
                <c:pt idx="16">
                  <c:v>1.0275566848532147</c:v>
                </c:pt>
                <c:pt idx="17">
                  <c:v>1.0343086104143013</c:v>
                </c:pt>
                <c:pt idx="18">
                  <c:v>1.0132461694027695</c:v>
                </c:pt>
                <c:pt idx="19">
                  <c:v>1.0550552330203224</c:v>
                </c:pt>
                <c:pt idx="20">
                  <c:v>1.0182550004741353</c:v>
                </c:pt>
                <c:pt idx="21">
                  <c:v>1.0241404826497529</c:v>
                </c:pt>
                <c:pt idx="22">
                  <c:v>1.0135208239044666</c:v>
                </c:pt>
                <c:pt idx="23">
                  <c:v>0.96739601113764628</c:v>
                </c:pt>
                <c:pt idx="24">
                  <c:v>0.97847472461337903</c:v>
                </c:pt>
                <c:pt idx="25">
                  <c:v>0.93707248862945713</c:v>
                </c:pt>
                <c:pt idx="26">
                  <c:v>0.93828400589420857</c:v>
                </c:pt>
                <c:pt idx="27">
                  <c:v>0.97380411394316235</c:v>
                </c:pt>
                <c:pt idx="28">
                  <c:v>1.0275566848532147</c:v>
                </c:pt>
                <c:pt idx="29">
                  <c:v>1.0343086104143013</c:v>
                </c:pt>
                <c:pt idx="30">
                  <c:v>1.0132461694027695</c:v>
                </c:pt>
                <c:pt idx="31">
                  <c:v>1.0550552330203224</c:v>
                </c:pt>
                <c:pt idx="32">
                  <c:v>1.0182550004741353</c:v>
                </c:pt>
                <c:pt idx="33">
                  <c:v>1.0241404826497529</c:v>
                </c:pt>
                <c:pt idx="34">
                  <c:v>1.0135208239044666</c:v>
                </c:pt>
                <c:pt idx="35">
                  <c:v>0.96739601113764628</c:v>
                </c:pt>
                <c:pt idx="36">
                  <c:v>0.97847472461337903</c:v>
                </c:pt>
                <c:pt idx="37">
                  <c:v>0.93707248862945713</c:v>
                </c:pt>
                <c:pt idx="38">
                  <c:v>0.93828400589420857</c:v>
                </c:pt>
                <c:pt idx="39">
                  <c:v>0.97380411394316235</c:v>
                </c:pt>
                <c:pt idx="40">
                  <c:v>1.0275566848532147</c:v>
                </c:pt>
                <c:pt idx="41">
                  <c:v>1.0343086104143013</c:v>
                </c:pt>
                <c:pt idx="42">
                  <c:v>1.0132461694027695</c:v>
                </c:pt>
                <c:pt idx="43">
                  <c:v>1.0550552330203224</c:v>
                </c:pt>
                <c:pt idx="44">
                  <c:v>1.0182550004741353</c:v>
                </c:pt>
                <c:pt idx="45">
                  <c:v>1.0241404826497529</c:v>
                </c:pt>
                <c:pt idx="46">
                  <c:v>1.0135208239044666</c:v>
                </c:pt>
                <c:pt idx="47">
                  <c:v>0.96739601113764628</c:v>
                </c:pt>
                <c:pt idx="48">
                  <c:v>0.97847472461337903</c:v>
                </c:pt>
                <c:pt idx="49">
                  <c:v>0.93707248862945713</c:v>
                </c:pt>
                <c:pt idx="50">
                  <c:v>0.93828400589420857</c:v>
                </c:pt>
                <c:pt idx="51">
                  <c:v>0.97380411394316235</c:v>
                </c:pt>
                <c:pt idx="52">
                  <c:v>1.0275566848532147</c:v>
                </c:pt>
                <c:pt idx="53">
                  <c:v>1.0343086104143013</c:v>
                </c:pt>
                <c:pt idx="54">
                  <c:v>1.0132461694027695</c:v>
                </c:pt>
                <c:pt idx="55">
                  <c:v>1.0550552330203224</c:v>
                </c:pt>
                <c:pt idx="56">
                  <c:v>1.0182550004741353</c:v>
                </c:pt>
                <c:pt idx="57">
                  <c:v>1.0241404826497529</c:v>
                </c:pt>
                <c:pt idx="58">
                  <c:v>1.0135208239044666</c:v>
                </c:pt>
                <c:pt idx="59">
                  <c:v>0.96739601113764628</c:v>
                </c:pt>
                <c:pt idx="60">
                  <c:v>0.97847472461337903</c:v>
                </c:pt>
                <c:pt idx="61">
                  <c:v>0.93707248862945713</c:v>
                </c:pt>
                <c:pt idx="62">
                  <c:v>0.93828400589420857</c:v>
                </c:pt>
                <c:pt idx="63">
                  <c:v>0.97380411394316235</c:v>
                </c:pt>
                <c:pt idx="64">
                  <c:v>1.0275566848532147</c:v>
                </c:pt>
                <c:pt idx="65">
                  <c:v>1.0343086104143013</c:v>
                </c:pt>
                <c:pt idx="66">
                  <c:v>1.0132461694027695</c:v>
                </c:pt>
                <c:pt idx="67">
                  <c:v>1.0550552330203224</c:v>
                </c:pt>
                <c:pt idx="68">
                  <c:v>1.0182550004741353</c:v>
                </c:pt>
                <c:pt idx="69">
                  <c:v>1.0241404826497529</c:v>
                </c:pt>
                <c:pt idx="70">
                  <c:v>1.0135208239044666</c:v>
                </c:pt>
                <c:pt idx="71">
                  <c:v>0.96739601113764628</c:v>
                </c:pt>
                <c:pt idx="72">
                  <c:v>0.97847472461337903</c:v>
                </c:pt>
                <c:pt idx="73">
                  <c:v>0.93707248862945713</c:v>
                </c:pt>
                <c:pt idx="74">
                  <c:v>0.93828400589420857</c:v>
                </c:pt>
                <c:pt idx="75">
                  <c:v>0.97380411394316235</c:v>
                </c:pt>
                <c:pt idx="76">
                  <c:v>1.0275566848532147</c:v>
                </c:pt>
                <c:pt idx="77">
                  <c:v>1.0343086104143013</c:v>
                </c:pt>
                <c:pt idx="78">
                  <c:v>1.0132461694027695</c:v>
                </c:pt>
                <c:pt idx="79">
                  <c:v>1.0550552330203224</c:v>
                </c:pt>
                <c:pt idx="80">
                  <c:v>1.0182550004741353</c:v>
                </c:pt>
                <c:pt idx="81">
                  <c:v>1.0241404826497529</c:v>
                </c:pt>
                <c:pt idx="82">
                  <c:v>1.0135208239044666</c:v>
                </c:pt>
                <c:pt idx="83">
                  <c:v>0.96739601113764628</c:v>
                </c:pt>
                <c:pt idx="84">
                  <c:v>0.97847472461337903</c:v>
                </c:pt>
                <c:pt idx="85">
                  <c:v>0.93707248862945713</c:v>
                </c:pt>
                <c:pt idx="86">
                  <c:v>0.93828400589420857</c:v>
                </c:pt>
                <c:pt idx="87">
                  <c:v>0.97380411394316235</c:v>
                </c:pt>
                <c:pt idx="88">
                  <c:v>1.0275566848532147</c:v>
                </c:pt>
                <c:pt idx="89">
                  <c:v>1.0343086104143013</c:v>
                </c:pt>
                <c:pt idx="90">
                  <c:v>1.0132461694027695</c:v>
                </c:pt>
                <c:pt idx="91">
                  <c:v>1.0550552330203224</c:v>
                </c:pt>
                <c:pt idx="92">
                  <c:v>1.0182550004741353</c:v>
                </c:pt>
                <c:pt idx="93">
                  <c:v>1.0241404826497529</c:v>
                </c:pt>
                <c:pt idx="94">
                  <c:v>1.0135208239044666</c:v>
                </c:pt>
                <c:pt idx="95">
                  <c:v>0.96739601113764628</c:v>
                </c:pt>
                <c:pt idx="96">
                  <c:v>0.97847472461337903</c:v>
                </c:pt>
                <c:pt idx="97">
                  <c:v>0.93707248862945713</c:v>
                </c:pt>
                <c:pt idx="98">
                  <c:v>0.93828400589420857</c:v>
                </c:pt>
                <c:pt idx="99">
                  <c:v>0.97380411394316235</c:v>
                </c:pt>
                <c:pt idx="100">
                  <c:v>1.0275566848532147</c:v>
                </c:pt>
                <c:pt idx="101">
                  <c:v>1.0343086104143013</c:v>
                </c:pt>
                <c:pt idx="102">
                  <c:v>1.0132461694027695</c:v>
                </c:pt>
                <c:pt idx="103">
                  <c:v>1.0550552330203224</c:v>
                </c:pt>
                <c:pt idx="104">
                  <c:v>1.0182550004741353</c:v>
                </c:pt>
                <c:pt idx="105">
                  <c:v>1.0241404826497529</c:v>
                </c:pt>
                <c:pt idx="106">
                  <c:v>1.0135208239044666</c:v>
                </c:pt>
                <c:pt idx="107">
                  <c:v>0.96739601113764628</c:v>
                </c:pt>
                <c:pt idx="108">
                  <c:v>0.97847472461337903</c:v>
                </c:pt>
                <c:pt idx="109">
                  <c:v>0.93707248862945713</c:v>
                </c:pt>
                <c:pt idx="110">
                  <c:v>0.93828400589420857</c:v>
                </c:pt>
                <c:pt idx="111">
                  <c:v>0.97380411394316235</c:v>
                </c:pt>
                <c:pt idx="112">
                  <c:v>1.0275566848532147</c:v>
                </c:pt>
                <c:pt idx="113">
                  <c:v>1.0343086104143013</c:v>
                </c:pt>
                <c:pt idx="114">
                  <c:v>1.0132461694027695</c:v>
                </c:pt>
                <c:pt idx="115">
                  <c:v>1.0550552330203224</c:v>
                </c:pt>
                <c:pt idx="116">
                  <c:v>1.0182550004741353</c:v>
                </c:pt>
                <c:pt idx="117">
                  <c:v>1.0241404826497529</c:v>
                </c:pt>
                <c:pt idx="118">
                  <c:v>1.0135208239044666</c:v>
                </c:pt>
                <c:pt idx="119">
                  <c:v>0.96739601113764628</c:v>
                </c:pt>
                <c:pt idx="120">
                  <c:v>0.97847472461337903</c:v>
                </c:pt>
                <c:pt idx="121">
                  <c:v>0.93707248862945713</c:v>
                </c:pt>
                <c:pt idx="122">
                  <c:v>0.93828400589420857</c:v>
                </c:pt>
                <c:pt idx="123">
                  <c:v>0.97380411394316235</c:v>
                </c:pt>
                <c:pt idx="124">
                  <c:v>1.0275566848532147</c:v>
                </c:pt>
                <c:pt idx="125">
                  <c:v>1.0343086104143013</c:v>
                </c:pt>
                <c:pt idx="126">
                  <c:v>1.0132461694027695</c:v>
                </c:pt>
                <c:pt idx="127">
                  <c:v>1.0550552330203224</c:v>
                </c:pt>
                <c:pt idx="128">
                  <c:v>1.0182550004741353</c:v>
                </c:pt>
                <c:pt idx="129">
                  <c:v>1.0241404826497529</c:v>
                </c:pt>
                <c:pt idx="130">
                  <c:v>1.0135208239044666</c:v>
                </c:pt>
                <c:pt idx="131">
                  <c:v>0.96739601113764628</c:v>
                </c:pt>
                <c:pt idx="132">
                  <c:v>0.97847472461337903</c:v>
                </c:pt>
                <c:pt idx="133">
                  <c:v>0.93707248862945713</c:v>
                </c:pt>
                <c:pt idx="134">
                  <c:v>0.93828400589420857</c:v>
                </c:pt>
                <c:pt idx="135">
                  <c:v>0.97380411394316235</c:v>
                </c:pt>
                <c:pt idx="136">
                  <c:v>1.0275566848532147</c:v>
                </c:pt>
                <c:pt idx="137">
                  <c:v>1.0343086104143013</c:v>
                </c:pt>
                <c:pt idx="138">
                  <c:v>1.0132461694027695</c:v>
                </c:pt>
                <c:pt idx="139">
                  <c:v>1.0550552330203224</c:v>
                </c:pt>
                <c:pt idx="140">
                  <c:v>1.0182550004741353</c:v>
                </c:pt>
                <c:pt idx="141">
                  <c:v>1.0241404826497529</c:v>
                </c:pt>
                <c:pt idx="142">
                  <c:v>1.0135208239044666</c:v>
                </c:pt>
                <c:pt idx="143">
                  <c:v>0.96739601113764628</c:v>
                </c:pt>
                <c:pt idx="144">
                  <c:v>0.97847472461337903</c:v>
                </c:pt>
                <c:pt idx="145">
                  <c:v>0.93707248862945713</c:v>
                </c:pt>
                <c:pt idx="146">
                  <c:v>0.93828400589420857</c:v>
                </c:pt>
                <c:pt idx="147">
                  <c:v>0.97380411394316235</c:v>
                </c:pt>
                <c:pt idx="148">
                  <c:v>1.0275566848532147</c:v>
                </c:pt>
                <c:pt idx="149">
                  <c:v>1.0343086104143013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4D-42BF-9A03-6F8D661D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1945056"/>
        <c:axId val="761946720"/>
      </c:scatterChart>
      <c:valAx>
        <c:axId val="761945056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1946720"/>
        <c:crosses val="autoZero"/>
        <c:crossBetween val="midCat"/>
      </c:valAx>
      <c:valAx>
        <c:axId val="761946720"/>
        <c:scaling>
          <c:orientation val="minMax"/>
          <c:max val="1.0600000000000003"/>
          <c:min val="0.920000000000000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194505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Random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Random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transformation2'!$B$262:$B$417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transformation2'!$F$262:$F$417</c:f>
              <c:numCache>
                <c:formatCode>0.000</c:formatCode>
                <c:ptCount val="156"/>
                <c:pt idx="6">
                  <c:v>0.97679261229624637</c:v>
                </c:pt>
                <c:pt idx="7">
                  <c:v>1.0088224688651937</c:v>
                </c:pt>
                <c:pt idx="8">
                  <c:v>1.0020002837744313</c:v>
                </c:pt>
                <c:pt idx="9">
                  <c:v>0.9607143794186026</c:v>
                </c:pt>
                <c:pt idx="10">
                  <c:v>1.0321144941298106</c:v>
                </c:pt>
                <c:pt idx="11">
                  <c:v>0.96080090295070031</c:v>
                </c:pt>
                <c:pt idx="12">
                  <c:v>0.98981198485402211</c:v>
                </c:pt>
                <c:pt idx="13">
                  <c:v>1.0143014635115781</c:v>
                </c:pt>
                <c:pt idx="14">
                  <c:v>1.0218641842414742</c:v>
                </c:pt>
                <c:pt idx="15">
                  <c:v>1.0034063580402501</c:v>
                </c:pt>
                <c:pt idx="16">
                  <c:v>1.0104290963273492</c:v>
                </c:pt>
                <c:pt idx="17">
                  <c:v>0.99154749010200005</c:v>
                </c:pt>
                <c:pt idx="18">
                  <c:v>0.94015449272408858</c:v>
                </c:pt>
                <c:pt idx="19">
                  <c:v>1.0303582569195873</c:v>
                </c:pt>
                <c:pt idx="20">
                  <c:v>0.99102511512331148</c:v>
                </c:pt>
                <c:pt idx="21">
                  <c:v>0.99327614796210228</c:v>
                </c:pt>
                <c:pt idx="22">
                  <c:v>1.0403553077927403</c:v>
                </c:pt>
                <c:pt idx="23">
                  <c:v>0.98554805945714175</c:v>
                </c:pt>
                <c:pt idx="24">
                  <c:v>1.0493877476991429</c:v>
                </c:pt>
                <c:pt idx="25">
                  <c:v>0.96188325630763005</c:v>
                </c:pt>
                <c:pt idx="26">
                  <c:v>1.0237392810591253</c:v>
                </c:pt>
                <c:pt idx="27">
                  <c:v>0.96262527831152922</c:v>
                </c:pt>
                <c:pt idx="28">
                  <c:v>1.0321862889844877</c:v>
                </c:pt>
                <c:pt idx="29">
                  <c:v>0.94225552467601104</c:v>
                </c:pt>
                <c:pt idx="30">
                  <c:v>1.0511929313362891</c:v>
                </c:pt>
                <c:pt idx="31">
                  <c:v>1.0199904226848155</c:v>
                </c:pt>
                <c:pt idx="32">
                  <c:v>0.97986536626304344</c:v>
                </c:pt>
                <c:pt idx="33">
                  <c:v>1.0143559333957965</c:v>
                </c:pt>
                <c:pt idx="34">
                  <c:v>1.0316014183150399</c:v>
                </c:pt>
                <c:pt idx="35">
                  <c:v>0.98826534845813518</c:v>
                </c:pt>
                <c:pt idx="36">
                  <c:v>1.0393430057716582</c:v>
                </c:pt>
                <c:pt idx="37">
                  <c:v>1.0004129197498146</c:v>
                </c:pt>
                <c:pt idx="38">
                  <c:v>0.92097461966494043</c:v>
                </c:pt>
                <c:pt idx="39">
                  <c:v>0.99308582018253733</c:v>
                </c:pt>
                <c:pt idx="40">
                  <c:v>0.93496448675135069</c:v>
                </c:pt>
                <c:pt idx="41">
                  <c:v>0.96471936603433717</c:v>
                </c:pt>
                <c:pt idx="42">
                  <c:v>0.98008465149533042</c:v>
                </c:pt>
                <c:pt idx="43">
                  <c:v>0.97045747257392256</c:v>
                </c:pt>
                <c:pt idx="44">
                  <c:v>1.0974879152343595</c:v>
                </c:pt>
                <c:pt idx="45">
                  <c:v>1.1709283944361677</c:v>
                </c:pt>
                <c:pt idx="46">
                  <c:v>0.99819423895465553</c:v>
                </c:pt>
                <c:pt idx="47">
                  <c:v>1.0216898162150114</c:v>
                </c:pt>
                <c:pt idx="48">
                  <c:v>0.92202066169869723</c:v>
                </c:pt>
                <c:pt idx="49">
                  <c:v>0.99202220783368855</c:v>
                </c:pt>
                <c:pt idx="50">
                  <c:v>0.96656495975544499</c:v>
                </c:pt>
                <c:pt idx="51">
                  <c:v>0.9943808478374383</c:v>
                </c:pt>
                <c:pt idx="52">
                  <c:v>0.96610589738248065</c:v>
                </c:pt>
                <c:pt idx="53">
                  <c:v>1.0328976542232546</c:v>
                </c:pt>
                <c:pt idx="54">
                  <c:v>1.0209836867895088</c:v>
                </c:pt>
                <c:pt idx="55">
                  <c:v>0.9702252603288426</c:v>
                </c:pt>
                <c:pt idx="56">
                  <c:v>1.0200105144215768</c:v>
                </c:pt>
                <c:pt idx="57">
                  <c:v>1.0247476435903644</c:v>
                </c:pt>
                <c:pt idx="58">
                  <c:v>0.95676077572962859</c:v>
                </c:pt>
                <c:pt idx="59">
                  <c:v>1.0298600742724011</c:v>
                </c:pt>
                <c:pt idx="60">
                  <c:v>0.94632827361160499</c:v>
                </c:pt>
                <c:pt idx="61">
                  <c:v>0.99957453899951787</c:v>
                </c:pt>
                <c:pt idx="62">
                  <c:v>1.0779510393349385</c:v>
                </c:pt>
                <c:pt idx="63">
                  <c:v>1.024266140957232</c:v>
                </c:pt>
                <c:pt idx="64">
                  <c:v>0.96853075888759654</c:v>
                </c:pt>
                <c:pt idx="65">
                  <c:v>1.0469284798436074</c:v>
                </c:pt>
                <c:pt idx="66">
                  <c:v>0.9776745571946226</c:v>
                </c:pt>
                <c:pt idx="67">
                  <c:v>0.9625943445046844</c:v>
                </c:pt>
                <c:pt idx="68">
                  <c:v>0.98649484735213311</c:v>
                </c:pt>
                <c:pt idx="69">
                  <c:v>0.983102964769201</c:v>
                </c:pt>
                <c:pt idx="70">
                  <c:v>1.0132972268062546</c:v>
                </c:pt>
                <c:pt idx="71">
                  <c:v>1.0723419929855786</c:v>
                </c:pt>
                <c:pt idx="72">
                  <c:v>0.98488359626583966</c:v>
                </c:pt>
                <c:pt idx="73">
                  <c:v>0.9845217011498828</c:v>
                </c:pt>
                <c:pt idx="74">
                  <c:v>0.99210563848686628</c:v>
                </c:pt>
                <c:pt idx="75">
                  <c:v>0.98830391622853919</c:v>
                </c:pt>
                <c:pt idx="76">
                  <c:v>1.0053195869471063</c:v>
                </c:pt>
                <c:pt idx="77">
                  <c:v>1.0387332161450369</c:v>
                </c:pt>
                <c:pt idx="78">
                  <c:v>1.0035380732117394</c:v>
                </c:pt>
                <c:pt idx="79">
                  <c:v>1.0292891919979377</c:v>
                </c:pt>
                <c:pt idx="80">
                  <c:v>1.0135647606567069</c:v>
                </c:pt>
                <c:pt idx="81">
                  <c:v>0.96549674180518574</c:v>
                </c:pt>
                <c:pt idx="82">
                  <c:v>1.0112255414824582</c:v>
                </c:pt>
                <c:pt idx="83">
                  <c:v>0.9791476149493904</c:v>
                </c:pt>
                <c:pt idx="84">
                  <c:v>0.96091309204754571</c:v>
                </c:pt>
                <c:pt idx="85">
                  <c:v>1.0271956579209549</c:v>
                </c:pt>
                <c:pt idx="86">
                  <c:v>0.97817277713483342</c:v>
                </c:pt>
                <c:pt idx="87">
                  <c:v>1.0194914753080804</c:v>
                </c:pt>
                <c:pt idx="88">
                  <c:v>0.99099116394455944</c:v>
                </c:pt>
                <c:pt idx="89">
                  <c:v>1.0100211184555907</c:v>
                </c:pt>
                <c:pt idx="90">
                  <c:v>1.0160739921243498</c:v>
                </c:pt>
                <c:pt idx="91">
                  <c:v>1.0098244408472039</c:v>
                </c:pt>
                <c:pt idx="92">
                  <c:v>1.0089920177502607</c:v>
                </c:pt>
                <c:pt idx="93">
                  <c:v>0.99882522715622601</c:v>
                </c:pt>
                <c:pt idx="94">
                  <c:v>1.016723968391354</c:v>
                </c:pt>
                <c:pt idx="95">
                  <c:v>0.99461323271124669</c:v>
                </c:pt>
                <c:pt idx="96">
                  <c:v>1.0069880287295943</c:v>
                </c:pt>
                <c:pt idx="97">
                  <c:v>0.95435852403510069</c:v>
                </c:pt>
                <c:pt idx="98">
                  <c:v>0.96181146689827057</c:v>
                </c:pt>
                <c:pt idx="99">
                  <c:v>1.0166882994669404</c:v>
                </c:pt>
                <c:pt idx="100">
                  <c:v>1.0027938052033374</c:v>
                </c:pt>
                <c:pt idx="101">
                  <c:v>1.0252481223184575</c:v>
                </c:pt>
                <c:pt idx="102">
                  <c:v>1.0451811415086132</c:v>
                </c:pt>
                <c:pt idx="103">
                  <c:v>0.99303903413141492</c:v>
                </c:pt>
                <c:pt idx="104">
                  <c:v>0.99318428578422391</c:v>
                </c:pt>
                <c:pt idx="105">
                  <c:v>0.97469626359318462</c:v>
                </c:pt>
                <c:pt idx="106">
                  <c:v>1.0039418032350056</c:v>
                </c:pt>
                <c:pt idx="107">
                  <c:v>1.0123015509030466</c:v>
                </c:pt>
                <c:pt idx="108">
                  <c:v>0.98171685362266403</c:v>
                </c:pt>
                <c:pt idx="109">
                  <c:v>0.97093456121465904</c:v>
                </c:pt>
                <c:pt idx="110">
                  <c:v>0.94442472459804261</c:v>
                </c:pt>
                <c:pt idx="111">
                  <c:v>1.0181600838501585</c:v>
                </c:pt>
                <c:pt idx="112">
                  <c:v>1.0048900161469811</c:v>
                </c:pt>
                <c:pt idx="113">
                  <c:v>1.0181852614454163</c:v>
                </c:pt>
                <c:pt idx="114">
                  <c:v>1.0040318089949196</c:v>
                </c:pt>
                <c:pt idx="115">
                  <c:v>0.99330511642595154</c:v>
                </c:pt>
                <c:pt idx="116">
                  <c:v>0.94623021658267847</c:v>
                </c:pt>
                <c:pt idx="117">
                  <c:v>0.92596057465162285</c:v>
                </c:pt>
                <c:pt idx="118">
                  <c:v>0.91955969884954381</c:v>
                </c:pt>
                <c:pt idx="119">
                  <c:v>0.93709509408528946</c:v>
                </c:pt>
                <c:pt idx="120">
                  <c:v>1.0936938978187465</c:v>
                </c:pt>
                <c:pt idx="121">
                  <c:v>1.0501371896459482</c:v>
                </c:pt>
                <c:pt idx="122">
                  <c:v>1.0783562099850468</c:v>
                </c:pt>
                <c:pt idx="123">
                  <c:v>1.0568913818131709</c:v>
                </c:pt>
                <c:pt idx="124">
                  <c:v>1.0019620834336995</c:v>
                </c:pt>
                <c:pt idx="125">
                  <c:v>1.0168709128567726</c:v>
                </c:pt>
                <c:pt idx="126">
                  <c:v>1.001425029654867</c:v>
                </c:pt>
                <c:pt idx="127">
                  <c:v>0.99238696873493371</c:v>
                </c:pt>
                <c:pt idx="128">
                  <c:v>0.99050207513588695</c:v>
                </c:pt>
                <c:pt idx="129">
                  <c:v>0.98272808267400902</c:v>
                </c:pt>
                <c:pt idx="130">
                  <c:v>0.97111047396876804</c:v>
                </c:pt>
                <c:pt idx="131">
                  <c:v>1.0161385772217209</c:v>
                </c:pt>
                <c:pt idx="132">
                  <c:v>1.0271197732688579</c:v>
                </c:pt>
                <c:pt idx="133">
                  <c:v>1.0308815435030658</c:v>
                </c:pt>
                <c:pt idx="134">
                  <c:v>0.9836167053625009</c:v>
                </c:pt>
                <c:pt idx="135">
                  <c:v>1.0138599800095356</c:v>
                </c:pt>
                <c:pt idx="136">
                  <c:v>1.0046201226736462</c:v>
                </c:pt>
                <c:pt idx="137">
                  <c:v>1.0101254447836154</c:v>
                </c:pt>
                <c:pt idx="138">
                  <c:v>0.9828670226694266</c:v>
                </c:pt>
                <c:pt idx="139">
                  <c:v>1.019707021985512</c:v>
                </c:pt>
                <c:pt idx="140">
                  <c:v>0.97064260192138685</c:v>
                </c:pt>
                <c:pt idx="141">
                  <c:v>1.0051676465475361</c:v>
                </c:pt>
                <c:pt idx="142">
                  <c:v>1.0051150523447412</c:v>
                </c:pt>
                <c:pt idx="143">
                  <c:v>1.0021977357903362</c:v>
                </c:pt>
                <c:pt idx="144">
                  <c:v>0.99779308461162552</c:v>
                </c:pt>
                <c:pt idx="145">
                  <c:v>1.01377643612816</c:v>
                </c:pt>
                <c:pt idx="146">
                  <c:v>1.0504183934785178</c:v>
                </c:pt>
                <c:pt idx="147">
                  <c:v>0.90884041799458926</c:v>
                </c:pt>
                <c:pt idx="148">
                  <c:v>1.0772066933174025</c:v>
                </c:pt>
                <c:pt idx="149">
                  <c:v>0.90246740911589851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B-4E03-ABBE-A361DE37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9744"/>
        <c:axId val="464320160"/>
      </c:scatterChart>
      <c:valAx>
        <c:axId val="46431974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64320160"/>
        <c:crosses val="autoZero"/>
        <c:crossBetween val="midCat"/>
      </c:valAx>
      <c:valAx>
        <c:axId val="464320160"/>
        <c:scaling>
          <c:orientation val="minMax"/>
          <c:max val="1.2"/>
          <c:min val="0.8999999999999999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Random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6431974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transformation'!$B$21:$B$176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transformation'!$C$21:$C$176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89-45EF-836D-2269FD94D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07440"/>
        <c:axId val="832713680"/>
      </c:scatterChart>
      <c:valAx>
        <c:axId val="832707440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13680"/>
        <c:crosses val="autoZero"/>
        <c:crossBetween val="midCat"/>
      </c:valAx>
      <c:valAx>
        <c:axId val="832713680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744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Box-Cox transformation (Others)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'Time series transformation'!$B$21:$B$176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transformation'!$D$21:$D$176</c:f>
              <c:numCache>
                <c:formatCode>0.000</c:formatCode>
                <c:ptCount val="156"/>
                <c:pt idx="0">
                  <c:v>3.9721769282478934</c:v>
                </c:pt>
                <c:pt idx="1">
                  <c:v>3.9278963545844361</c:v>
                </c:pt>
                <c:pt idx="2">
                  <c:v>3.9140210080908191</c:v>
                </c:pt>
                <c:pt idx="3">
                  <c:v>3.9473901492654373</c:v>
                </c:pt>
                <c:pt idx="4">
                  <c:v>3.9871304779149512</c:v>
                </c:pt>
                <c:pt idx="5">
                  <c:v>3.9926809084456005</c:v>
                </c:pt>
                <c:pt idx="6">
                  <c:v>3.9160150266976834</c:v>
                </c:pt>
                <c:pt idx="7">
                  <c:v>3.9778107459661491</c:v>
                </c:pt>
                <c:pt idx="8">
                  <c:v>3.9259259105971376</c:v>
                </c:pt>
                <c:pt idx="9">
                  <c:v>3.8794998137225858</c:v>
                </c:pt>
                <c:pt idx="10">
                  <c:v>3.929862923556477</c:v>
                </c:pt>
                <c:pt idx="11">
                  <c:v>3.7999735016195233</c:v>
                </c:pt>
                <c:pt idx="12">
                  <c:v>3.8286413964890951</c:v>
                </c:pt>
                <c:pt idx="13">
                  <c:v>3.7999735016195233</c:v>
                </c:pt>
                <c:pt idx="14">
                  <c:v>3.7999735016195233</c:v>
                </c:pt>
                <c:pt idx="15">
                  <c:v>3.8110970868381857</c:v>
                </c:pt>
                <c:pt idx="16">
                  <c:v>3.8649313978942956</c:v>
                </c:pt>
                <c:pt idx="17">
                  <c:v>3.8458832029236012</c:v>
                </c:pt>
                <c:pt idx="18">
                  <c:v>3.7681526350084442</c:v>
                </c:pt>
                <c:pt idx="19">
                  <c:v>3.8938590348004749</c:v>
                </c:pt>
                <c:pt idx="20">
                  <c:v>3.8110970868381857</c:v>
                </c:pt>
                <c:pt idx="21">
                  <c:v>3.8110970868381857</c:v>
                </c:pt>
                <c:pt idx="22">
                  <c:v>3.8394523125933104</c:v>
                </c:pt>
                <c:pt idx="23">
                  <c:v>3.730501128804756</c:v>
                </c:pt>
                <c:pt idx="24">
                  <c:v>3.7999735016195233</c:v>
                </c:pt>
                <c:pt idx="25">
                  <c:v>3.6661224669913199</c:v>
                </c:pt>
                <c:pt idx="26">
                  <c:v>3.7208624999669868</c:v>
                </c:pt>
                <c:pt idx="27">
                  <c:v>3.6888794541139363</c:v>
                </c:pt>
                <c:pt idx="28">
                  <c:v>3.8044377947482086</c:v>
                </c:pt>
                <c:pt idx="29">
                  <c:v>3.7111300630487558</c:v>
                </c:pt>
                <c:pt idx="30">
                  <c:v>3.7909846770510898</c:v>
                </c:pt>
                <c:pt idx="31">
                  <c:v>3.7932394694381792</c:v>
                </c:pt>
                <c:pt idx="32">
                  <c:v>3.7062280924485496</c:v>
                </c:pt>
                <c:pt idx="33">
                  <c:v>3.735285826928092</c:v>
                </c:pt>
                <c:pt idx="34">
                  <c:v>3.730501128804756</c:v>
                </c:pt>
                <c:pt idx="35">
                  <c:v>3.629660094453965</c:v>
                </c:pt>
                <c:pt idx="36">
                  <c:v>3.6813511876931448</c:v>
                </c:pt>
                <c:pt idx="37">
                  <c:v>3.5862928653388351</c:v>
                </c:pt>
                <c:pt idx="38">
                  <c:v>3.4995332823830174</c:v>
                </c:pt>
                <c:pt idx="39">
                  <c:v>3.6163087612791012</c:v>
                </c:pt>
                <c:pt idx="40">
                  <c:v>3.6082115510464816</c:v>
                </c:pt>
                <c:pt idx="41">
                  <c:v>3.6402142821326553</c:v>
                </c:pt>
                <c:pt idx="42">
                  <c:v>3.6270040503958487</c:v>
                </c:pt>
                <c:pt idx="43">
                  <c:v>3.648057459593681</c:v>
                </c:pt>
                <c:pt idx="44">
                  <c:v>3.7328963395307104</c:v>
                </c:pt>
                <c:pt idx="45">
                  <c:v>3.7999735016195233</c:v>
                </c:pt>
                <c:pt idx="46">
                  <c:v>3.6243409329763652</c:v>
                </c:pt>
                <c:pt idx="47">
                  <c:v>3.597312260588446</c:v>
                </c:pt>
                <c:pt idx="48">
                  <c:v>3.5025498759224432</c:v>
                </c:pt>
                <c:pt idx="49">
                  <c:v>3.5263605246161616</c:v>
                </c:pt>
                <c:pt idx="50">
                  <c:v>3.4904285153900978</c:v>
                </c:pt>
                <c:pt idx="51">
                  <c:v>3.5380565643793527</c:v>
                </c:pt>
                <c:pt idx="52">
                  <c:v>3.5467396869528134</c:v>
                </c:pt>
                <c:pt idx="53">
                  <c:v>3.6109179126442243</c:v>
                </c:pt>
                <c:pt idx="54">
                  <c:v>3.572345637857985</c:v>
                </c:pt>
                <c:pt idx="55">
                  <c:v>3.5553480614894135</c:v>
                </c:pt>
                <c:pt idx="56">
                  <c:v>3.5667118201397288</c:v>
                </c:pt>
                <c:pt idx="57">
                  <c:v>3.5751506887855933</c:v>
                </c:pt>
                <c:pt idx="58">
                  <c:v>3.4904285153900978</c:v>
                </c:pt>
                <c:pt idx="59">
                  <c:v>3.5115454388310208</c:v>
                </c:pt>
                <c:pt idx="60">
                  <c:v>3.4307561839036995</c:v>
                </c:pt>
                <c:pt idx="61">
                  <c:v>3.4339872044851463</c:v>
                </c:pt>
                <c:pt idx="62">
                  <c:v>3.5025498759224432</c:v>
                </c:pt>
                <c:pt idx="63">
                  <c:v>3.4781584227982836</c:v>
                </c:pt>
                <c:pt idx="64">
                  <c:v>3.4688560301359703</c:v>
                </c:pt>
                <c:pt idx="65">
                  <c:v>3.5496173867804286</c:v>
                </c:pt>
                <c:pt idx="66">
                  <c:v>3.4563166808832348</c:v>
                </c:pt>
                <c:pt idx="67">
                  <c:v>3.475067230228611</c:v>
                </c:pt>
                <c:pt idx="68">
                  <c:v>3.4531571205928664</c:v>
                </c:pt>
                <c:pt idx="69">
                  <c:v>3.4436180975461075</c:v>
                </c:pt>
                <c:pt idx="70">
                  <c:v>3.4563166808832348</c:v>
                </c:pt>
                <c:pt idx="71">
                  <c:v>3.459466289786131</c:v>
                </c:pt>
                <c:pt idx="72">
                  <c:v>3.3775875160230218</c:v>
                </c:pt>
                <c:pt idx="73">
                  <c:v>3.3286266888273199</c:v>
                </c:pt>
                <c:pt idx="74">
                  <c:v>3.3322045101752038</c:v>
                </c:pt>
                <c:pt idx="75">
                  <c:v>3.3568971227655755</c:v>
                </c:pt>
                <c:pt idx="76">
                  <c:v>3.417726683613366</c:v>
                </c:pt>
                <c:pt idx="77">
                  <c:v>3.4436180975461075</c:v>
                </c:pt>
                <c:pt idx="78">
                  <c:v>3.3741687092742358</c:v>
                </c:pt>
                <c:pt idx="79">
                  <c:v>3.4307561839036995</c:v>
                </c:pt>
                <c:pt idx="80">
                  <c:v>3.3707381741774469</c:v>
                </c:pt>
                <c:pt idx="81">
                  <c:v>3.3178157727231046</c:v>
                </c:pt>
                <c:pt idx="82">
                  <c:v>3.3428618046491918</c:v>
                </c:pt>
                <c:pt idx="83">
                  <c:v>3.2503744919275719</c:v>
                </c:pt>
                <c:pt idx="84">
                  <c:v>3.2308043957334744</c:v>
                </c:pt>
                <c:pt idx="85">
                  <c:v>3.2425923514855168</c:v>
                </c:pt>
                <c:pt idx="86">
                  <c:v>3.1822118404966093</c:v>
                </c:pt>
                <c:pt idx="87">
                  <c:v>3.2503744919275719</c:v>
                </c:pt>
                <c:pt idx="88">
                  <c:v>3.2657594107670511</c:v>
                </c:pt>
                <c:pt idx="89">
                  <c:v>3.2809112157876537</c:v>
                </c:pt>
                <c:pt idx="90">
                  <c:v>3.2580965380214821</c:v>
                </c:pt>
                <c:pt idx="91">
                  <c:v>3.2809112157876537</c:v>
                </c:pt>
                <c:pt idx="92">
                  <c:v>3.2308043957334744</c:v>
                </c:pt>
                <c:pt idx="93">
                  <c:v>3.2148678034706619</c:v>
                </c:pt>
                <c:pt idx="94">
                  <c:v>3.2108436531709366</c:v>
                </c:pt>
                <c:pt idx="95">
                  <c:v>3.1311369105601941</c:v>
                </c:pt>
                <c:pt idx="96">
                  <c:v>3.1441522786722644</c:v>
                </c:pt>
                <c:pt idx="97">
                  <c:v>3.0349529867072724</c:v>
                </c:pt>
                <c:pt idx="98">
                  <c:v>3.0301337002713233</c:v>
                </c:pt>
                <c:pt idx="99">
                  <c:v>3.1090609588609941</c:v>
                </c:pt>
                <c:pt idx="100">
                  <c:v>3.1354942159291497</c:v>
                </c:pt>
                <c:pt idx="101">
                  <c:v>3.1527360223636558</c:v>
                </c:pt>
                <c:pt idx="102">
                  <c:v>3.1398326175277478</c:v>
                </c:pt>
                <c:pt idx="103">
                  <c:v>3.1179499062782403</c:v>
                </c:pt>
                <c:pt idx="104">
                  <c:v>3.0726933146901194</c:v>
                </c:pt>
                <c:pt idx="105">
                  <c:v>3.0492730404820207</c:v>
                </c:pt>
                <c:pt idx="106">
                  <c:v>3.0587070727153796</c:v>
                </c:pt>
                <c:pt idx="107">
                  <c:v>3.0106208860477417</c:v>
                </c:pt>
                <c:pt idx="108">
                  <c:v>2.9806186357439426</c:v>
                </c:pt>
                <c:pt idx="109">
                  <c:v>2.917770732084279</c:v>
                </c:pt>
                <c:pt idx="110">
                  <c:v>2.884800712846709</c:v>
                </c:pt>
                <c:pt idx="111">
                  <c:v>2.9907197317304468</c:v>
                </c:pt>
                <c:pt idx="112">
                  <c:v>3.0252910757955354</c:v>
                </c:pt>
                <c:pt idx="113">
                  <c:v>3.039749158970765</c:v>
                </c:pt>
                <c:pt idx="114">
                  <c:v>3.0106208860477417</c:v>
                </c:pt>
                <c:pt idx="115">
                  <c:v>3.0540011816779669</c:v>
                </c:pt>
                <c:pt idx="116">
                  <c:v>2.9856819377004897</c:v>
                </c:pt>
                <c:pt idx="117">
                  <c:v>2.9856819377004897</c:v>
                </c:pt>
                <c:pt idx="118">
                  <c:v>2.9806186357439426</c:v>
                </c:pt>
                <c:pt idx="119">
                  <c:v>2.9652730660692823</c:v>
                </c:pt>
                <c:pt idx="120">
                  <c:v>3.1441522786722644</c:v>
                </c:pt>
                <c:pt idx="121">
                  <c:v>3.0726933146901194</c:v>
                </c:pt>
                <c:pt idx="122">
                  <c:v>3.1135153092103742</c:v>
                </c:pt>
                <c:pt idx="123">
                  <c:v>3.1441522786722644</c:v>
                </c:pt>
                <c:pt idx="124">
                  <c:v>3.1570004211501135</c:v>
                </c:pt>
                <c:pt idx="125">
                  <c:v>3.1904763503465028</c:v>
                </c:pt>
                <c:pt idx="126">
                  <c:v>3.1612467120315646</c:v>
                </c:pt>
                <c:pt idx="127">
                  <c:v>3.1945831322991562</c:v>
                </c:pt>
                <c:pt idx="128">
                  <c:v>3.1570004211501135</c:v>
                </c:pt>
                <c:pt idx="129">
                  <c:v>3.1527360223636558</c:v>
                </c:pt>
                <c:pt idx="130">
                  <c:v>3.1311369105601941</c:v>
                </c:pt>
                <c:pt idx="131">
                  <c:v>3.1311369105601941</c:v>
                </c:pt>
                <c:pt idx="132">
                  <c:v>3.1527360223636558</c:v>
                </c:pt>
                <c:pt idx="133">
                  <c:v>3.1135153092103742</c:v>
                </c:pt>
                <c:pt idx="134">
                  <c:v>3.068052935133617</c:v>
                </c:pt>
                <c:pt idx="135">
                  <c:v>3.1354942159291497</c:v>
                </c:pt>
                <c:pt idx="136">
                  <c:v>3.1822118404966093</c:v>
                </c:pt>
                <c:pt idx="137">
                  <c:v>3.1945831322991562</c:v>
                </c:pt>
                <c:pt idx="138">
                  <c:v>3.1441522786722644</c:v>
                </c:pt>
                <c:pt idx="139">
                  <c:v>3.2188758248682006</c:v>
                </c:pt>
                <c:pt idx="140">
                  <c:v>3.1354942159291497</c:v>
                </c:pt>
                <c:pt idx="141">
                  <c:v>3.1738784589374651</c:v>
                </c:pt>
                <c:pt idx="142">
                  <c:v>3.1612467120315646</c:v>
                </c:pt>
                <c:pt idx="143">
                  <c:v>3.1090609588609941</c:v>
                </c:pt>
                <c:pt idx="144">
                  <c:v>3.1135153092103742</c:v>
                </c:pt>
                <c:pt idx="145">
                  <c:v>3.0910424533583161</c:v>
                </c:pt>
                <c:pt idx="146">
                  <c:v>3.1267605359603952</c:v>
                </c:pt>
                <c:pt idx="147">
                  <c:v>3.0155349008501706</c:v>
                </c:pt>
                <c:pt idx="148">
                  <c:v>3.2386784521643803</c:v>
                </c:pt>
                <c:pt idx="149">
                  <c:v>3.068052935133617</c:v>
                </c:pt>
                <c:pt idx="150">
                  <c:v>3.2068032436339315</c:v>
                </c:pt>
                <c:pt idx="151">
                  <c:v>3.2657594107670511</c:v>
                </c:pt>
                <c:pt idx="152">
                  <c:v>3.0540011816779669</c:v>
                </c:pt>
                <c:pt idx="153">
                  <c:v>3.1654750481410856</c:v>
                </c:pt>
                <c:pt idx="154">
                  <c:v>3.1570004211501135</c:v>
                </c:pt>
                <c:pt idx="155">
                  <c:v>3.1090609588609941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60-4AF4-8F75-DD65B9D1E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96624"/>
        <c:axId val="832703280"/>
      </c:scatterChart>
      <c:valAx>
        <c:axId val="83269662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3280"/>
        <c:crosses val="autoZero"/>
        <c:crossBetween val="midCat"/>
      </c:valAx>
      <c:valAx>
        <c:axId val="832703280"/>
        <c:scaling>
          <c:orientation val="minMax"/>
          <c:max val="4.0999999999999996"/>
          <c:min val="2.7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Box-Cox(Others)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662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Coefficient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791FF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'Time series transformation'!$B$203:$B$214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'Time series transformation'!$C$203:$C$214</c:f>
              <c:numCache>
                <c:formatCode>0.000</c:formatCode>
                <c:ptCount val="12"/>
                <c:pt idx="0">
                  <c:v>-0.67210648148148078</c:v>
                </c:pt>
                <c:pt idx="1">
                  <c:v>-1.9307870370370372</c:v>
                </c:pt>
                <c:pt idx="2">
                  <c:v>-1.8339120370370374</c:v>
                </c:pt>
                <c:pt idx="3">
                  <c:v>-0.81238425925926028</c:v>
                </c:pt>
                <c:pt idx="4">
                  <c:v>0.7935185185185194</c:v>
                </c:pt>
                <c:pt idx="5">
                  <c:v>0.99108796296296242</c:v>
                </c:pt>
                <c:pt idx="6">
                  <c:v>0.35115740740740775</c:v>
                </c:pt>
                <c:pt idx="7">
                  <c:v>1.8240740740740746</c:v>
                </c:pt>
                <c:pt idx="8">
                  <c:v>0.71886574074074028</c:v>
                </c:pt>
                <c:pt idx="9">
                  <c:v>0.93935185185185222</c:v>
                </c:pt>
                <c:pt idx="10">
                  <c:v>0.63032407407407387</c:v>
                </c:pt>
                <c:pt idx="11">
                  <c:v>-0.99918981481481495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41-4269-818B-44101B6D8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2695376"/>
        <c:axId val="832698288"/>
      </c:barChart>
      <c:catAx>
        <c:axId val="832695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8288"/>
        <c:crosses val="autoZero"/>
        <c:auto val="1"/>
        <c:lblAlgn val="ctr"/>
        <c:lblOffset val="100"/>
        <c:noMultiLvlLbl val="0"/>
      </c:catAx>
      <c:valAx>
        <c:axId val="832698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537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transformation'!$B$239:$B$394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transformation'!$C$239:$C$394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B2-4523-9115-25B1A9F45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89552"/>
        <c:axId val="832714096"/>
      </c:scatterChart>
      <c:valAx>
        <c:axId val="832689552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14096"/>
        <c:crosses val="autoZero"/>
        <c:crossBetween val="midCat"/>
      </c:valAx>
      <c:valAx>
        <c:axId val="832714096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89552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Trend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Trend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transformation'!$B$239:$B$394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transformation'!$D$239:$D$394</c:f>
              <c:numCache>
                <c:formatCode>0.000</c:formatCode>
                <c:ptCount val="156"/>
                <c:pt idx="6">
                  <c:v>50.720833333333331</c:v>
                </c:pt>
                <c:pt idx="7">
                  <c:v>50.170833333333327</c:v>
                </c:pt>
                <c:pt idx="8">
                  <c:v>49.691666666666663</c:v>
                </c:pt>
                <c:pt idx="9">
                  <c:v>49.19166666666667</c:v>
                </c:pt>
                <c:pt idx="10">
                  <c:v>48.658333333333331</c:v>
                </c:pt>
                <c:pt idx="11">
                  <c:v>48.091666666666669</c:v>
                </c:pt>
                <c:pt idx="12">
                  <c:v>47.49583333333333</c:v>
                </c:pt>
                <c:pt idx="13">
                  <c:v>47.029166666666669</c:v>
                </c:pt>
                <c:pt idx="14">
                  <c:v>46.620833333333337</c:v>
                </c:pt>
                <c:pt idx="15">
                  <c:v>46.25833333333334</c:v>
                </c:pt>
                <c:pt idx="16">
                  <c:v>45.941666666666663</c:v>
                </c:pt>
                <c:pt idx="17">
                  <c:v>45.633333333333326</c:v>
                </c:pt>
                <c:pt idx="18">
                  <c:v>45.454166666666666</c:v>
                </c:pt>
                <c:pt idx="19">
                  <c:v>45.166666666666671</c:v>
                </c:pt>
                <c:pt idx="20">
                  <c:v>44.791666666666664</c:v>
                </c:pt>
                <c:pt idx="21">
                  <c:v>44.43333333333333</c:v>
                </c:pt>
                <c:pt idx="22">
                  <c:v>44.099999999999994</c:v>
                </c:pt>
                <c:pt idx="23">
                  <c:v>43.737499999999997</c:v>
                </c:pt>
                <c:pt idx="24">
                  <c:v>43.533333333333331</c:v>
                </c:pt>
                <c:pt idx="25">
                  <c:v>43.37916666666667</c:v>
                </c:pt>
                <c:pt idx="26">
                  <c:v>42.99583333333333</c:v>
                </c:pt>
                <c:pt idx="27">
                  <c:v>42.670833333333327</c:v>
                </c:pt>
                <c:pt idx="28">
                  <c:v>42.333333333333329</c:v>
                </c:pt>
                <c:pt idx="29">
                  <c:v>41.966666666666669</c:v>
                </c:pt>
                <c:pt idx="30">
                  <c:v>41.591666666666669</c:v>
                </c:pt>
                <c:pt idx="31">
                  <c:v>41.258333333333333</c:v>
                </c:pt>
                <c:pt idx="32">
                  <c:v>40.791666666666671</c:v>
                </c:pt>
                <c:pt idx="33">
                  <c:v>40.333333333333329</c:v>
                </c:pt>
                <c:pt idx="34">
                  <c:v>39.88333333333334</c:v>
                </c:pt>
                <c:pt idx="35">
                  <c:v>39.433333333333337</c:v>
                </c:pt>
                <c:pt idx="36">
                  <c:v>39.037500000000001</c:v>
                </c:pt>
                <c:pt idx="37">
                  <c:v>38.508333333333333</c:v>
                </c:pt>
                <c:pt idx="38">
                  <c:v>38.304166666666674</c:v>
                </c:pt>
                <c:pt idx="39">
                  <c:v>38.466666666666669</c:v>
                </c:pt>
                <c:pt idx="40">
                  <c:v>38.408333333333331</c:v>
                </c:pt>
                <c:pt idx="41">
                  <c:v>38.183333333333337</c:v>
                </c:pt>
                <c:pt idx="42">
                  <c:v>37.862499999999997</c:v>
                </c:pt>
                <c:pt idx="43">
                  <c:v>37.504166666666663</c:v>
                </c:pt>
                <c:pt idx="44">
                  <c:v>37.404166666666676</c:v>
                </c:pt>
                <c:pt idx="45">
                  <c:v>37.274999999999999</c:v>
                </c:pt>
                <c:pt idx="46">
                  <c:v>37.066666666666663</c:v>
                </c:pt>
                <c:pt idx="47">
                  <c:v>36.92916666666666</c:v>
                </c:pt>
                <c:pt idx="48">
                  <c:v>36.800000000000004</c:v>
                </c:pt>
                <c:pt idx="49">
                  <c:v>36.575000000000003</c:v>
                </c:pt>
                <c:pt idx="50">
                  <c:v>36.166666666666664</c:v>
                </c:pt>
                <c:pt idx="51">
                  <c:v>35.524999999999999</c:v>
                </c:pt>
                <c:pt idx="52">
                  <c:v>34.954166666666666</c:v>
                </c:pt>
                <c:pt idx="53">
                  <c:v>34.633333333333333</c:v>
                </c:pt>
                <c:pt idx="54">
                  <c:v>34.412500000000001</c:v>
                </c:pt>
                <c:pt idx="55">
                  <c:v>34.191666666666663</c:v>
                </c:pt>
                <c:pt idx="56">
                  <c:v>34.083333333333336</c:v>
                </c:pt>
                <c:pt idx="57">
                  <c:v>34.016666666666673</c:v>
                </c:pt>
                <c:pt idx="58">
                  <c:v>33.824999999999996</c:v>
                </c:pt>
                <c:pt idx="59">
                  <c:v>33.625</c:v>
                </c:pt>
                <c:pt idx="60">
                  <c:v>33.37083333333333</c:v>
                </c:pt>
                <c:pt idx="61">
                  <c:v>33.095833333333324</c:v>
                </c:pt>
                <c:pt idx="62">
                  <c:v>32.824999999999996</c:v>
                </c:pt>
                <c:pt idx="63">
                  <c:v>32.483333333333327</c:v>
                </c:pt>
                <c:pt idx="64">
                  <c:v>32.254166666666663</c:v>
                </c:pt>
                <c:pt idx="65">
                  <c:v>32.137499999999996</c:v>
                </c:pt>
                <c:pt idx="66">
                  <c:v>31.999999999999993</c:v>
                </c:pt>
                <c:pt idx="67">
                  <c:v>31.804166666666664</c:v>
                </c:pt>
                <c:pt idx="68">
                  <c:v>31.458333333333329</c:v>
                </c:pt>
                <c:pt idx="69">
                  <c:v>31.087499999999995</c:v>
                </c:pt>
                <c:pt idx="70">
                  <c:v>30.86666666666666</c:v>
                </c:pt>
                <c:pt idx="71">
                  <c:v>30.654166666666661</c:v>
                </c:pt>
                <c:pt idx="72">
                  <c:v>30.404166666666661</c:v>
                </c:pt>
                <c:pt idx="73">
                  <c:v>30.241666666666671</c:v>
                </c:pt>
                <c:pt idx="74">
                  <c:v>30.079166666666666</c:v>
                </c:pt>
                <c:pt idx="75">
                  <c:v>29.820833333333333</c:v>
                </c:pt>
                <c:pt idx="76">
                  <c:v>29.525000000000002</c:v>
                </c:pt>
                <c:pt idx="77">
                  <c:v>29.133333333333333</c:v>
                </c:pt>
                <c:pt idx="78">
                  <c:v>28.716666666666665</c:v>
                </c:pt>
                <c:pt idx="79">
                  <c:v>28.454166666666666</c:v>
                </c:pt>
                <c:pt idx="80">
                  <c:v>28.195833333333333</c:v>
                </c:pt>
                <c:pt idx="81">
                  <c:v>27.912499999999998</c:v>
                </c:pt>
                <c:pt idx="82">
                  <c:v>27.612499999999997</c:v>
                </c:pt>
                <c:pt idx="83">
                  <c:v>27.237500000000001</c:v>
                </c:pt>
                <c:pt idx="84">
                  <c:v>26.908333333333328</c:v>
                </c:pt>
                <c:pt idx="85">
                  <c:v>26.595833333333335</c:v>
                </c:pt>
                <c:pt idx="86">
                  <c:v>26.258333333333333</c:v>
                </c:pt>
                <c:pt idx="87">
                  <c:v>25.987500000000004</c:v>
                </c:pt>
                <c:pt idx="88">
                  <c:v>25.729166666666671</c:v>
                </c:pt>
                <c:pt idx="89">
                  <c:v>25.462499999999999</c:v>
                </c:pt>
                <c:pt idx="90">
                  <c:v>25.254166666666666</c:v>
                </c:pt>
                <c:pt idx="91">
                  <c:v>24.966666666666665</c:v>
                </c:pt>
                <c:pt idx="92">
                  <c:v>24.625</c:v>
                </c:pt>
                <c:pt idx="93">
                  <c:v>24.341666666666669</c:v>
                </c:pt>
                <c:pt idx="94">
                  <c:v>24.066666666666666</c:v>
                </c:pt>
                <c:pt idx="95">
                  <c:v>23.800000000000004</c:v>
                </c:pt>
                <c:pt idx="96">
                  <c:v>23.545833333333334</c:v>
                </c:pt>
                <c:pt idx="97">
                  <c:v>23.258333333333333</c:v>
                </c:pt>
                <c:pt idx="98">
                  <c:v>22.937499999999996</c:v>
                </c:pt>
                <c:pt idx="99">
                  <c:v>22.625</c:v>
                </c:pt>
                <c:pt idx="100">
                  <c:v>22.320833333333333</c:v>
                </c:pt>
                <c:pt idx="101">
                  <c:v>22.066666666666666</c:v>
                </c:pt>
                <c:pt idx="102">
                  <c:v>21.812499999999996</c:v>
                </c:pt>
                <c:pt idx="103">
                  <c:v>21.570833333333329</c:v>
                </c:pt>
                <c:pt idx="104">
                  <c:v>21.358333333333334</c:v>
                </c:pt>
                <c:pt idx="105">
                  <c:v>21.137499999999999</c:v>
                </c:pt>
                <c:pt idx="106">
                  <c:v>20.933333333333337</c:v>
                </c:pt>
                <c:pt idx="107">
                  <c:v>20.729166666666668</c:v>
                </c:pt>
                <c:pt idx="108">
                  <c:v>20.508333333333336</c:v>
                </c:pt>
                <c:pt idx="109">
                  <c:v>20.333333333333332</c:v>
                </c:pt>
                <c:pt idx="110">
                  <c:v>20.2</c:v>
                </c:pt>
                <c:pt idx="111">
                  <c:v>20.070833333333333</c:v>
                </c:pt>
                <c:pt idx="112">
                  <c:v>19.949999999999996</c:v>
                </c:pt>
                <c:pt idx="113">
                  <c:v>19.845833333333331</c:v>
                </c:pt>
                <c:pt idx="114">
                  <c:v>19.954166666666666</c:v>
                </c:pt>
                <c:pt idx="115">
                  <c:v>20.229166666666664</c:v>
                </c:pt>
                <c:pt idx="116">
                  <c:v>20.55</c:v>
                </c:pt>
                <c:pt idx="117">
                  <c:v>20.879166666666666</c:v>
                </c:pt>
                <c:pt idx="118">
                  <c:v>21.137500000000003</c:v>
                </c:pt>
                <c:pt idx="119">
                  <c:v>21.4</c:v>
                </c:pt>
                <c:pt idx="120">
                  <c:v>21.679166666666664</c:v>
                </c:pt>
                <c:pt idx="121">
                  <c:v>21.949999999999996</c:v>
                </c:pt>
                <c:pt idx="122">
                  <c:v>22.237500000000001</c:v>
                </c:pt>
                <c:pt idx="123">
                  <c:v>22.541666666666668</c:v>
                </c:pt>
                <c:pt idx="124">
                  <c:v>22.824999999999999</c:v>
                </c:pt>
                <c:pt idx="125">
                  <c:v>23.104166666666664</c:v>
                </c:pt>
                <c:pt idx="126">
                  <c:v>23.258333333333333</c:v>
                </c:pt>
                <c:pt idx="127">
                  <c:v>23.304166666666664</c:v>
                </c:pt>
                <c:pt idx="128">
                  <c:v>23.299999999999997</c:v>
                </c:pt>
                <c:pt idx="129">
                  <c:v>23.249999999999996</c:v>
                </c:pt>
                <c:pt idx="130">
                  <c:v>23.266666666666669</c:v>
                </c:pt>
                <c:pt idx="131">
                  <c:v>23.295833333333334</c:v>
                </c:pt>
                <c:pt idx="132">
                  <c:v>23.283333333333328</c:v>
                </c:pt>
                <c:pt idx="133">
                  <c:v>23.291666666666664</c:v>
                </c:pt>
                <c:pt idx="134">
                  <c:v>23.295833333333331</c:v>
                </c:pt>
                <c:pt idx="135">
                  <c:v>23.295833333333331</c:v>
                </c:pt>
                <c:pt idx="136">
                  <c:v>23.345833333333331</c:v>
                </c:pt>
                <c:pt idx="137">
                  <c:v>23.354166666666668</c:v>
                </c:pt>
                <c:pt idx="138">
                  <c:v>23.295833333333334</c:v>
                </c:pt>
                <c:pt idx="139">
                  <c:v>23.237500000000001</c:v>
                </c:pt>
                <c:pt idx="140">
                  <c:v>23.270833333333332</c:v>
                </c:pt>
                <c:pt idx="141">
                  <c:v>23.216666666666665</c:v>
                </c:pt>
                <c:pt idx="142">
                  <c:v>23.166666666666664</c:v>
                </c:pt>
                <c:pt idx="143">
                  <c:v>23.104166666666664</c:v>
                </c:pt>
                <c:pt idx="144">
                  <c:v>23.045833333333334</c:v>
                </c:pt>
                <c:pt idx="145">
                  <c:v>23.158333333333335</c:v>
                </c:pt>
                <c:pt idx="146">
                  <c:v>23.133333333333333</c:v>
                </c:pt>
                <c:pt idx="147">
                  <c:v>23.05</c:v>
                </c:pt>
                <c:pt idx="148">
                  <c:v>23.037499999999998</c:v>
                </c:pt>
                <c:pt idx="149">
                  <c:v>23.033333333333331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DA-4826-BBD3-DCEAC30DB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03696"/>
        <c:axId val="832687888"/>
      </c:scatterChart>
      <c:valAx>
        <c:axId val="832703696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87888"/>
        <c:crosses val="autoZero"/>
        <c:crossBetween val="midCat"/>
      </c:valAx>
      <c:valAx>
        <c:axId val="832687888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369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Seasonal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Seasonal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transformation'!$B$239:$B$394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transformation'!$E$239:$E$394</c:f>
              <c:numCache>
                <c:formatCode>0.000</c:formatCode>
                <c:ptCount val="156"/>
                <c:pt idx="6">
                  <c:v>0.35115740740740775</c:v>
                </c:pt>
                <c:pt idx="7">
                  <c:v>1.8240740740740746</c:v>
                </c:pt>
                <c:pt idx="8">
                  <c:v>0.71886574074074028</c:v>
                </c:pt>
                <c:pt idx="9">
                  <c:v>0.93935185185185222</c:v>
                </c:pt>
                <c:pt idx="10">
                  <c:v>0.63032407407407387</c:v>
                </c:pt>
                <c:pt idx="11">
                  <c:v>-0.99918981481481495</c:v>
                </c:pt>
                <c:pt idx="12">
                  <c:v>-0.67210648148148078</c:v>
                </c:pt>
                <c:pt idx="13">
                  <c:v>-1.9307870370370372</c:v>
                </c:pt>
                <c:pt idx="14">
                  <c:v>-1.8339120370370374</c:v>
                </c:pt>
                <c:pt idx="15">
                  <c:v>-0.81238425925926028</c:v>
                </c:pt>
                <c:pt idx="16">
                  <c:v>0.7935185185185194</c:v>
                </c:pt>
                <c:pt idx="17">
                  <c:v>0.99108796296296242</c:v>
                </c:pt>
                <c:pt idx="18">
                  <c:v>0.35115740740740775</c:v>
                </c:pt>
                <c:pt idx="19">
                  <c:v>1.8240740740740746</c:v>
                </c:pt>
                <c:pt idx="20">
                  <c:v>0.71886574074074028</c:v>
                </c:pt>
                <c:pt idx="21">
                  <c:v>0.93935185185185222</c:v>
                </c:pt>
                <c:pt idx="22">
                  <c:v>0.63032407407407387</c:v>
                </c:pt>
                <c:pt idx="23">
                  <c:v>-0.99918981481481495</c:v>
                </c:pt>
                <c:pt idx="24">
                  <c:v>-0.67210648148148078</c:v>
                </c:pt>
                <c:pt idx="25">
                  <c:v>-1.9307870370370372</c:v>
                </c:pt>
                <c:pt idx="26">
                  <c:v>-1.8339120370370374</c:v>
                </c:pt>
                <c:pt idx="27">
                  <c:v>-0.81238425925926028</c:v>
                </c:pt>
                <c:pt idx="28">
                  <c:v>0.7935185185185194</c:v>
                </c:pt>
                <c:pt idx="29">
                  <c:v>0.99108796296296242</c:v>
                </c:pt>
                <c:pt idx="30">
                  <c:v>0.35115740740740775</c:v>
                </c:pt>
                <c:pt idx="31">
                  <c:v>1.8240740740740746</c:v>
                </c:pt>
                <c:pt idx="32">
                  <c:v>0.71886574074074028</c:v>
                </c:pt>
                <c:pt idx="33">
                  <c:v>0.93935185185185222</c:v>
                </c:pt>
                <c:pt idx="34">
                  <c:v>0.63032407407407387</c:v>
                </c:pt>
                <c:pt idx="35">
                  <c:v>-0.99918981481481495</c:v>
                </c:pt>
                <c:pt idx="36">
                  <c:v>-0.67210648148148078</c:v>
                </c:pt>
                <c:pt idx="37">
                  <c:v>-1.9307870370370372</c:v>
                </c:pt>
                <c:pt idx="38">
                  <c:v>-1.8339120370370374</c:v>
                </c:pt>
                <c:pt idx="39">
                  <c:v>-0.81238425925926028</c:v>
                </c:pt>
                <c:pt idx="40">
                  <c:v>0.7935185185185194</c:v>
                </c:pt>
                <c:pt idx="41">
                  <c:v>0.99108796296296242</c:v>
                </c:pt>
                <c:pt idx="42">
                  <c:v>0.35115740740740775</c:v>
                </c:pt>
                <c:pt idx="43">
                  <c:v>1.8240740740740746</c:v>
                </c:pt>
                <c:pt idx="44">
                  <c:v>0.71886574074074028</c:v>
                </c:pt>
                <c:pt idx="45">
                  <c:v>0.93935185185185222</c:v>
                </c:pt>
                <c:pt idx="46">
                  <c:v>0.63032407407407387</c:v>
                </c:pt>
                <c:pt idx="47">
                  <c:v>-0.99918981481481495</c:v>
                </c:pt>
                <c:pt idx="48">
                  <c:v>-0.67210648148148078</c:v>
                </c:pt>
                <c:pt idx="49">
                  <c:v>-1.9307870370370372</c:v>
                </c:pt>
                <c:pt idx="50">
                  <c:v>-1.8339120370370374</c:v>
                </c:pt>
                <c:pt idx="51">
                  <c:v>-0.81238425925926028</c:v>
                </c:pt>
                <c:pt idx="52">
                  <c:v>0.7935185185185194</c:v>
                </c:pt>
                <c:pt idx="53">
                  <c:v>0.99108796296296242</c:v>
                </c:pt>
                <c:pt idx="54">
                  <c:v>0.35115740740740775</c:v>
                </c:pt>
                <c:pt idx="55">
                  <c:v>1.8240740740740746</c:v>
                </c:pt>
                <c:pt idx="56">
                  <c:v>0.71886574074074028</c:v>
                </c:pt>
                <c:pt idx="57">
                  <c:v>0.93935185185185222</c:v>
                </c:pt>
                <c:pt idx="58">
                  <c:v>0.63032407407407387</c:v>
                </c:pt>
                <c:pt idx="59">
                  <c:v>-0.99918981481481495</c:v>
                </c:pt>
                <c:pt idx="60">
                  <c:v>-0.67210648148148078</c:v>
                </c:pt>
                <c:pt idx="61">
                  <c:v>-1.9307870370370372</c:v>
                </c:pt>
                <c:pt idx="62">
                  <c:v>-1.8339120370370374</c:v>
                </c:pt>
                <c:pt idx="63">
                  <c:v>-0.81238425925926028</c:v>
                </c:pt>
                <c:pt idx="64">
                  <c:v>0.7935185185185194</c:v>
                </c:pt>
                <c:pt idx="65">
                  <c:v>0.99108796296296242</c:v>
                </c:pt>
                <c:pt idx="66">
                  <c:v>0.35115740740740775</c:v>
                </c:pt>
                <c:pt idx="67">
                  <c:v>1.8240740740740746</c:v>
                </c:pt>
                <c:pt idx="68">
                  <c:v>0.71886574074074028</c:v>
                </c:pt>
                <c:pt idx="69">
                  <c:v>0.93935185185185222</c:v>
                </c:pt>
                <c:pt idx="70">
                  <c:v>0.63032407407407387</c:v>
                </c:pt>
                <c:pt idx="71">
                  <c:v>-0.99918981481481495</c:v>
                </c:pt>
                <c:pt idx="72">
                  <c:v>-0.67210648148148078</c:v>
                </c:pt>
                <c:pt idx="73">
                  <c:v>-1.9307870370370372</c:v>
                </c:pt>
                <c:pt idx="74">
                  <c:v>-1.8339120370370374</c:v>
                </c:pt>
                <c:pt idx="75">
                  <c:v>-0.81238425925926028</c:v>
                </c:pt>
                <c:pt idx="76">
                  <c:v>0.7935185185185194</c:v>
                </c:pt>
                <c:pt idx="77">
                  <c:v>0.99108796296296242</c:v>
                </c:pt>
                <c:pt idx="78">
                  <c:v>0.35115740740740775</c:v>
                </c:pt>
                <c:pt idx="79">
                  <c:v>1.8240740740740746</c:v>
                </c:pt>
                <c:pt idx="80">
                  <c:v>0.71886574074074028</c:v>
                </c:pt>
                <c:pt idx="81">
                  <c:v>0.93935185185185222</c:v>
                </c:pt>
                <c:pt idx="82">
                  <c:v>0.63032407407407387</c:v>
                </c:pt>
                <c:pt idx="83">
                  <c:v>-0.99918981481481495</c:v>
                </c:pt>
                <c:pt idx="84">
                  <c:v>-0.67210648148148078</c:v>
                </c:pt>
                <c:pt idx="85">
                  <c:v>-1.9307870370370372</c:v>
                </c:pt>
                <c:pt idx="86">
                  <c:v>-1.8339120370370374</c:v>
                </c:pt>
                <c:pt idx="87">
                  <c:v>-0.81238425925926028</c:v>
                </c:pt>
                <c:pt idx="88">
                  <c:v>0.7935185185185194</c:v>
                </c:pt>
                <c:pt idx="89">
                  <c:v>0.99108796296296242</c:v>
                </c:pt>
                <c:pt idx="90">
                  <c:v>0.35115740740740775</c:v>
                </c:pt>
                <c:pt idx="91">
                  <c:v>1.8240740740740746</c:v>
                </c:pt>
                <c:pt idx="92">
                  <c:v>0.71886574074074028</c:v>
                </c:pt>
                <c:pt idx="93">
                  <c:v>0.93935185185185222</c:v>
                </c:pt>
                <c:pt idx="94">
                  <c:v>0.63032407407407387</c:v>
                </c:pt>
                <c:pt idx="95">
                  <c:v>-0.99918981481481495</c:v>
                </c:pt>
                <c:pt idx="96">
                  <c:v>-0.67210648148148078</c:v>
                </c:pt>
                <c:pt idx="97">
                  <c:v>-1.9307870370370372</c:v>
                </c:pt>
                <c:pt idx="98">
                  <c:v>-1.8339120370370374</c:v>
                </c:pt>
                <c:pt idx="99">
                  <c:v>-0.81238425925926028</c:v>
                </c:pt>
                <c:pt idx="100">
                  <c:v>0.7935185185185194</c:v>
                </c:pt>
                <c:pt idx="101">
                  <c:v>0.99108796296296242</c:v>
                </c:pt>
                <c:pt idx="102">
                  <c:v>0.35115740740740775</c:v>
                </c:pt>
                <c:pt idx="103">
                  <c:v>1.8240740740740746</c:v>
                </c:pt>
                <c:pt idx="104">
                  <c:v>0.71886574074074028</c:v>
                </c:pt>
                <c:pt idx="105">
                  <c:v>0.93935185185185222</c:v>
                </c:pt>
                <c:pt idx="106">
                  <c:v>0.63032407407407387</c:v>
                </c:pt>
                <c:pt idx="107">
                  <c:v>-0.99918981481481495</c:v>
                </c:pt>
                <c:pt idx="108">
                  <c:v>-0.67210648148148078</c:v>
                </c:pt>
                <c:pt idx="109">
                  <c:v>-1.9307870370370372</c:v>
                </c:pt>
                <c:pt idx="110">
                  <c:v>-1.8339120370370374</c:v>
                </c:pt>
                <c:pt idx="111">
                  <c:v>-0.81238425925926028</c:v>
                </c:pt>
                <c:pt idx="112">
                  <c:v>0.7935185185185194</c:v>
                </c:pt>
                <c:pt idx="113">
                  <c:v>0.99108796296296242</c:v>
                </c:pt>
                <c:pt idx="114">
                  <c:v>0.35115740740740775</c:v>
                </c:pt>
                <c:pt idx="115">
                  <c:v>1.8240740740740746</c:v>
                </c:pt>
                <c:pt idx="116">
                  <c:v>0.71886574074074028</c:v>
                </c:pt>
                <c:pt idx="117">
                  <c:v>0.93935185185185222</c:v>
                </c:pt>
                <c:pt idx="118">
                  <c:v>0.63032407407407387</c:v>
                </c:pt>
                <c:pt idx="119">
                  <c:v>-0.99918981481481495</c:v>
                </c:pt>
                <c:pt idx="120">
                  <c:v>-0.67210648148148078</c:v>
                </c:pt>
                <c:pt idx="121">
                  <c:v>-1.9307870370370372</c:v>
                </c:pt>
                <c:pt idx="122">
                  <c:v>-1.8339120370370374</c:v>
                </c:pt>
                <c:pt idx="123">
                  <c:v>-0.81238425925926028</c:v>
                </c:pt>
                <c:pt idx="124">
                  <c:v>0.7935185185185194</c:v>
                </c:pt>
                <c:pt idx="125">
                  <c:v>0.99108796296296242</c:v>
                </c:pt>
                <c:pt idx="126">
                  <c:v>0.35115740740740775</c:v>
                </c:pt>
                <c:pt idx="127">
                  <c:v>1.8240740740740746</c:v>
                </c:pt>
                <c:pt idx="128">
                  <c:v>0.71886574074074028</c:v>
                </c:pt>
                <c:pt idx="129">
                  <c:v>0.93935185185185222</c:v>
                </c:pt>
                <c:pt idx="130">
                  <c:v>0.63032407407407387</c:v>
                </c:pt>
                <c:pt idx="131">
                  <c:v>-0.99918981481481495</c:v>
                </c:pt>
                <c:pt idx="132">
                  <c:v>-0.67210648148148078</c:v>
                </c:pt>
                <c:pt idx="133">
                  <c:v>-1.9307870370370372</c:v>
                </c:pt>
                <c:pt idx="134">
                  <c:v>-1.8339120370370374</c:v>
                </c:pt>
                <c:pt idx="135">
                  <c:v>-0.81238425925926028</c:v>
                </c:pt>
                <c:pt idx="136">
                  <c:v>0.7935185185185194</c:v>
                </c:pt>
                <c:pt idx="137">
                  <c:v>0.99108796296296242</c:v>
                </c:pt>
                <c:pt idx="138">
                  <c:v>0.35115740740740775</c:v>
                </c:pt>
                <c:pt idx="139">
                  <c:v>1.8240740740740746</c:v>
                </c:pt>
                <c:pt idx="140">
                  <c:v>0.71886574074074028</c:v>
                </c:pt>
                <c:pt idx="141">
                  <c:v>0.93935185185185222</c:v>
                </c:pt>
                <c:pt idx="142">
                  <c:v>0.63032407407407387</c:v>
                </c:pt>
                <c:pt idx="143">
                  <c:v>-0.99918981481481495</c:v>
                </c:pt>
                <c:pt idx="144">
                  <c:v>-0.67210648148148078</c:v>
                </c:pt>
                <c:pt idx="145">
                  <c:v>-1.9307870370370372</c:v>
                </c:pt>
                <c:pt idx="146">
                  <c:v>-1.8339120370370374</c:v>
                </c:pt>
                <c:pt idx="147">
                  <c:v>-0.81238425925926028</c:v>
                </c:pt>
                <c:pt idx="148">
                  <c:v>0.7935185185185194</c:v>
                </c:pt>
                <c:pt idx="149">
                  <c:v>0.99108796296296242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07-4116-8039-EB01DE86D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88304"/>
        <c:axId val="832688720"/>
      </c:scatterChart>
      <c:valAx>
        <c:axId val="83268830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88720"/>
        <c:crosses val="autoZero"/>
        <c:crossBetween val="midCat"/>
      </c:valAx>
      <c:valAx>
        <c:axId val="832688720"/>
        <c:scaling>
          <c:orientation val="minMax"/>
          <c:max val="2"/>
          <c:min val="-2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8830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Random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Random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transformation'!$B$239:$B$394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transformation'!$F$239:$F$394</c:f>
              <c:numCache>
                <c:formatCode>0.000</c:formatCode>
                <c:ptCount val="156"/>
                <c:pt idx="6">
                  <c:v>-0.87199074074073479</c:v>
                </c:pt>
                <c:pt idx="7">
                  <c:v>1.4050925925925952</c:v>
                </c:pt>
                <c:pt idx="8">
                  <c:v>0.28946759259260091</c:v>
                </c:pt>
                <c:pt idx="9">
                  <c:v>-1.7310185185185247</c:v>
                </c:pt>
                <c:pt idx="10">
                  <c:v>1.6113425925925924</c:v>
                </c:pt>
                <c:pt idx="11">
                  <c:v>-2.3924768518518533</c:v>
                </c:pt>
                <c:pt idx="12">
                  <c:v>-0.8237268518518519</c:v>
                </c:pt>
                <c:pt idx="13">
                  <c:v>-0.39837962962963047</c:v>
                </c:pt>
                <c:pt idx="14">
                  <c:v>-8.6921296296296191E-2</c:v>
                </c:pt>
                <c:pt idx="15">
                  <c:v>-0.24594907407407618</c:v>
                </c:pt>
                <c:pt idx="16">
                  <c:v>0.96481481481482234</c:v>
                </c:pt>
                <c:pt idx="17">
                  <c:v>0.17557870370370665</c:v>
                </c:pt>
                <c:pt idx="18">
                  <c:v>-2.5053240740740748</c:v>
                </c:pt>
                <c:pt idx="19">
                  <c:v>2.1092592592592538</c:v>
                </c:pt>
                <c:pt idx="20">
                  <c:v>-0.31053240740740051</c:v>
                </c:pt>
                <c:pt idx="21">
                  <c:v>-0.1726851851851805</c:v>
                </c:pt>
                <c:pt idx="22">
                  <c:v>1.7696759259259309</c:v>
                </c:pt>
                <c:pt idx="23">
                  <c:v>-1.0383101851851819</c:v>
                </c:pt>
                <c:pt idx="24">
                  <c:v>1.8387731481481495</c:v>
                </c:pt>
                <c:pt idx="25">
                  <c:v>-2.3483796296296333</c:v>
                </c:pt>
                <c:pt idx="26">
                  <c:v>0.13807870370370523</c:v>
                </c:pt>
                <c:pt idx="27">
                  <c:v>-1.8584490740740662</c:v>
                </c:pt>
                <c:pt idx="28">
                  <c:v>1.7731481481481524</c:v>
                </c:pt>
                <c:pt idx="29">
                  <c:v>-2.0577546296296347</c:v>
                </c:pt>
                <c:pt idx="30">
                  <c:v>2.3571759259259224</c:v>
                </c:pt>
                <c:pt idx="31">
                  <c:v>1.3175925925925895</c:v>
                </c:pt>
                <c:pt idx="32">
                  <c:v>-0.81053240740740762</c:v>
                </c:pt>
                <c:pt idx="33">
                  <c:v>0.62731481481481666</c:v>
                </c:pt>
                <c:pt idx="34">
                  <c:v>1.1863425925925881</c:v>
                </c:pt>
                <c:pt idx="35">
                  <c:v>-0.73414351851852189</c:v>
                </c:pt>
                <c:pt idx="36">
                  <c:v>1.3346064814814795</c:v>
                </c:pt>
                <c:pt idx="37">
                  <c:v>-0.47754629629629619</c:v>
                </c:pt>
                <c:pt idx="38">
                  <c:v>-3.3702546296296347</c:v>
                </c:pt>
                <c:pt idx="39">
                  <c:v>-0.45428240740740478</c:v>
                </c:pt>
                <c:pt idx="40">
                  <c:v>-2.3018518518518505</c:v>
                </c:pt>
                <c:pt idx="41">
                  <c:v>-1.0744212962963005</c:v>
                </c:pt>
                <c:pt idx="42">
                  <c:v>-0.61365740740740193</c:v>
                </c:pt>
                <c:pt idx="43">
                  <c:v>-0.92824074074074048</c:v>
                </c:pt>
                <c:pt idx="44">
                  <c:v>3.6769675925925824</c:v>
                </c:pt>
                <c:pt idx="45">
                  <c:v>6.4856481481481509</c:v>
                </c:pt>
                <c:pt idx="46">
                  <c:v>-0.19699074074073764</c:v>
                </c:pt>
                <c:pt idx="47">
                  <c:v>0.57002314814815236</c:v>
                </c:pt>
                <c:pt idx="48">
                  <c:v>-2.9278935185185233</c:v>
                </c:pt>
                <c:pt idx="49">
                  <c:v>-0.64421296296296759</c:v>
                </c:pt>
                <c:pt idx="50">
                  <c:v>-1.5327546296296291</c:v>
                </c:pt>
                <c:pt idx="51">
                  <c:v>-0.31261574074073906</c:v>
                </c:pt>
                <c:pt idx="52">
                  <c:v>-1.0476851851851805</c:v>
                </c:pt>
                <c:pt idx="53">
                  <c:v>1.3755787037037024</c:v>
                </c:pt>
                <c:pt idx="54">
                  <c:v>0.8363425925925938</c:v>
                </c:pt>
                <c:pt idx="55">
                  <c:v>-1.0157407407407391</c:v>
                </c:pt>
                <c:pt idx="56">
                  <c:v>0.59780092592592382</c:v>
                </c:pt>
                <c:pt idx="57">
                  <c:v>0.74398148148147669</c:v>
                </c:pt>
                <c:pt idx="58">
                  <c:v>-1.6553240740740733</c:v>
                </c:pt>
                <c:pt idx="59">
                  <c:v>0.87418981481481239</c:v>
                </c:pt>
                <c:pt idx="60">
                  <c:v>-1.7987268518518498</c:v>
                </c:pt>
                <c:pt idx="61">
                  <c:v>-0.16504629629628909</c:v>
                </c:pt>
                <c:pt idx="62">
                  <c:v>2.2089120370370452</c:v>
                </c:pt>
                <c:pt idx="63">
                  <c:v>0.72905092592593235</c:v>
                </c:pt>
                <c:pt idx="64">
                  <c:v>-0.94768518518517908</c:v>
                </c:pt>
                <c:pt idx="65">
                  <c:v>1.6714120370370367</c:v>
                </c:pt>
                <c:pt idx="66">
                  <c:v>-0.6511574074073998</c:v>
                </c:pt>
                <c:pt idx="67">
                  <c:v>-1.3282407407407426</c:v>
                </c:pt>
                <c:pt idx="68">
                  <c:v>-0.57719907407406623</c:v>
                </c:pt>
                <c:pt idx="69">
                  <c:v>-0.72685185185184764</c:v>
                </c:pt>
                <c:pt idx="70">
                  <c:v>0.2030092592592645</c:v>
                </c:pt>
                <c:pt idx="71">
                  <c:v>2.1450231481481552</c:v>
                </c:pt>
                <c:pt idx="72">
                  <c:v>-0.43206018518517908</c:v>
                </c:pt>
                <c:pt idx="73">
                  <c:v>-0.41087962962963331</c:v>
                </c:pt>
                <c:pt idx="74">
                  <c:v>-0.24525462962962763</c:v>
                </c:pt>
                <c:pt idx="75">
                  <c:v>-0.30844907407407263</c:v>
                </c:pt>
                <c:pt idx="76">
                  <c:v>0.18148148148148024</c:v>
                </c:pt>
                <c:pt idx="77">
                  <c:v>1.1755787037037067</c:v>
                </c:pt>
                <c:pt idx="78">
                  <c:v>0.13217592592592808</c:v>
                </c:pt>
                <c:pt idx="79">
                  <c:v>0.62175925925925668</c:v>
                </c:pt>
                <c:pt idx="80">
                  <c:v>0.1853009259259295</c:v>
                </c:pt>
                <c:pt idx="81">
                  <c:v>-1.2518518518518498</c:v>
                </c:pt>
                <c:pt idx="82">
                  <c:v>5.7175925925928794E-2</c:v>
                </c:pt>
                <c:pt idx="83">
                  <c:v>-0.43831018518518405</c:v>
                </c:pt>
                <c:pt idx="84">
                  <c:v>-0.93622685185184551</c:v>
                </c:pt>
                <c:pt idx="85">
                  <c:v>0.93495370370370523</c:v>
                </c:pt>
                <c:pt idx="86">
                  <c:v>-0.32442129629629335</c:v>
                </c:pt>
                <c:pt idx="87">
                  <c:v>0.62488425925925739</c:v>
                </c:pt>
                <c:pt idx="88">
                  <c:v>-0.32268518518519329</c:v>
                </c:pt>
                <c:pt idx="89">
                  <c:v>0.14641203703704164</c:v>
                </c:pt>
                <c:pt idx="90">
                  <c:v>0.39467592592592737</c:v>
                </c:pt>
                <c:pt idx="91">
                  <c:v>-0.19074074074073977</c:v>
                </c:pt>
                <c:pt idx="92">
                  <c:v>-4.3865740740738346E-2</c:v>
                </c:pt>
                <c:pt idx="93">
                  <c:v>-0.38101851851852331</c:v>
                </c:pt>
                <c:pt idx="94">
                  <c:v>0.10300925925925952</c:v>
                </c:pt>
                <c:pt idx="95">
                  <c:v>9.9189814814810262E-2</c:v>
                </c:pt>
                <c:pt idx="96">
                  <c:v>0.32627314814814667</c:v>
                </c:pt>
                <c:pt idx="97">
                  <c:v>-0.52754629629629335</c:v>
                </c:pt>
                <c:pt idx="98">
                  <c:v>-0.40358796296295907</c:v>
                </c:pt>
                <c:pt idx="99">
                  <c:v>0.58738425925925952</c:v>
                </c:pt>
                <c:pt idx="100">
                  <c:v>-0.11435185185185048</c:v>
                </c:pt>
                <c:pt idx="101">
                  <c:v>0.34224537037037095</c:v>
                </c:pt>
                <c:pt idx="102">
                  <c:v>0.93634259259259878</c:v>
                </c:pt>
                <c:pt idx="103">
                  <c:v>-0.79490740740740407</c:v>
                </c:pt>
                <c:pt idx="104">
                  <c:v>-0.47719907407407192</c:v>
                </c:pt>
                <c:pt idx="105">
                  <c:v>-0.97685185185185119</c:v>
                </c:pt>
                <c:pt idx="106">
                  <c:v>-0.26365740740741117</c:v>
                </c:pt>
                <c:pt idx="107">
                  <c:v>0.57002314814814881</c:v>
                </c:pt>
                <c:pt idx="108">
                  <c:v>-0.13622685185185546</c:v>
                </c:pt>
                <c:pt idx="109">
                  <c:v>9.7453703703706651E-2</c:v>
                </c:pt>
                <c:pt idx="110">
                  <c:v>-0.46608796296296262</c:v>
                </c:pt>
                <c:pt idx="111">
                  <c:v>0.64155092592592666</c:v>
                </c:pt>
                <c:pt idx="112">
                  <c:v>-0.14351851851851194</c:v>
                </c:pt>
                <c:pt idx="113">
                  <c:v>6.3078703703705941E-2</c:v>
                </c:pt>
                <c:pt idx="114">
                  <c:v>-5.3240740740712056E-3</c:v>
                </c:pt>
                <c:pt idx="115">
                  <c:v>-0.85324074074074119</c:v>
                </c:pt>
                <c:pt idx="116">
                  <c:v>-1.4688657407407391</c:v>
                </c:pt>
                <c:pt idx="117">
                  <c:v>-2.018518518518519</c:v>
                </c:pt>
                <c:pt idx="118">
                  <c:v>-2.0678240740740783</c:v>
                </c:pt>
                <c:pt idx="119">
                  <c:v>-1.0008101851851841</c:v>
                </c:pt>
                <c:pt idx="120">
                  <c:v>2.1929398148148174</c:v>
                </c:pt>
                <c:pt idx="121">
                  <c:v>1.5807870370370445</c:v>
                </c:pt>
                <c:pt idx="122">
                  <c:v>2.0964120370370374</c:v>
                </c:pt>
                <c:pt idx="123">
                  <c:v>1.4707175925925924</c:v>
                </c:pt>
                <c:pt idx="124">
                  <c:v>-0.11851851851851691</c:v>
                </c:pt>
                <c:pt idx="125">
                  <c:v>0.20474537037037521</c:v>
                </c:pt>
                <c:pt idx="126">
                  <c:v>-9.4907407407376354E-3</c:v>
                </c:pt>
                <c:pt idx="127">
                  <c:v>-0.72824074074074119</c:v>
                </c:pt>
                <c:pt idx="128">
                  <c:v>-0.51886574074073621</c:v>
                </c:pt>
                <c:pt idx="129">
                  <c:v>-0.78935185185185119</c:v>
                </c:pt>
                <c:pt idx="130">
                  <c:v>-0.99699074074074545</c:v>
                </c:pt>
                <c:pt idx="131">
                  <c:v>0.60335648148148024</c:v>
                </c:pt>
                <c:pt idx="132">
                  <c:v>0.78877314814815236</c:v>
                </c:pt>
                <c:pt idx="133">
                  <c:v>1.1391203703703745</c:v>
                </c:pt>
                <c:pt idx="134">
                  <c:v>3.8078703703707362E-2</c:v>
                </c:pt>
                <c:pt idx="135">
                  <c:v>0.51655092592593022</c:v>
                </c:pt>
                <c:pt idx="136">
                  <c:v>-3.9351851851847641E-2</c:v>
                </c:pt>
                <c:pt idx="137">
                  <c:v>5.4745370370369528E-2</c:v>
                </c:pt>
                <c:pt idx="138">
                  <c:v>-0.44699074074074119</c:v>
                </c:pt>
                <c:pt idx="139">
                  <c:v>-6.157407407407689E-2</c:v>
                </c:pt>
                <c:pt idx="140">
                  <c:v>-0.98969907407407121</c:v>
                </c:pt>
                <c:pt idx="141">
                  <c:v>-0.25601851851851976</c:v>
                </c:pt>
                <c:pt idx="142">
                  <c:v>-0.19699074074073764</c:v>
                </c:pt>
                <c:pt idx="143">
                  <c:v>0.29502314814815023</c:v>
                </c:pt>
                <c:pt idx="144">
                  <c:v>0.12627314814814738</c:v>
                </c:pt>
                <c:pt idx="145">
                  <c:v>0.77245370370370381</c:v>
                </c:pt>
                <c:pt idx="146">
                  <c:v>1.5005787037037059</c:v>
                </c:pt>
                <c:pt idx="147">
                  <c:v>-1.8376157407407412</c:v>
                </c:pt>
                <c:pt idx="148">
                  <c:v>1.6689814814814845</c:v>
                </c:pt>
                <c:pt idx="149">
                  <c:v>-2.5244212962962926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D7-45C0-857E-94C8C0E1A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04528"/>
        <c:axId val="832705360"/>
      </c:scatterChart>
      <c:valAx>
        <c:axId val="83270452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5360"/>
        <c:crosses val="autoZero"/>
        <c:crossBetween val="midCat"/>
      </c:valAx>
      <c:valAx>
        <c:axId val="832705360"/>
        <c:scaling>
          <c:orientation val="minMax"/>
          <c:max val="8"/>
          <c:min val="-4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Random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452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ARIMA (Others)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ARIMA1!$B$56:$B$211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ARIMA1!$C$56:$C$211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95-4DC3-A7BB-9ABF494B67D9}"/>
            </c:ext>
          </c:extLst>
        </c:ser>
        <c:ser>
          <c:idx val="1"/>
          <c:order val="1"/>
          <c:tx>
            <c:v>ARIMA (Others)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Pt>
            <c:idx val="144"/>
            <c:bubble3D val="0"/>
            <c:spPr>
              <a:ln w="12700">
                <a:solidFill>
                  <a:srgbClr val="006699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5-E095-4DC3-A7BB-9ABF494B67D9}"/>
              </c:ext>
            </c:extLst>
          </c:dPt>
          <c:xVal>
            <c:numRef>
              <c:f>ARIMA1!$B$56:$B$211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ARIMA1!$D$56:$D$211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43.922022958254956</c:v>
                </c:pt>
                <c:pt idx="14">
                  <c:v>43.60938049255622</c:v>
                </c:pt>
                <c:pt idx="15">
                  <c:v>46.079843963039636</c:v>
                </c:pt>
                <c:pt idx="16">
                  <c:v>47.988065905450661</c:v>
                </c:pt>
                <c:pt idx="17">
                  <c:v>47.827860450776328</c:v>
                </c:pt>
                <c:pt idx="18">
                  <c:v>43.49352493332092</c:v>
                </c:pt>
                <c:pt idx="19">
                  <c:v>46.43135846679715</c:v>
                </c:pt>
                <c:pt idx="20">
                  <c:v>45.145268228006572</c:v>
                </c:pt>
                <c:pt idx="21">
                  <c:v>43.651544318449325</c:v>
                </c:pt>
                <c:pt idx="22">
                  <c:v>46.614313134630684</c:v>
                </c:pt>
                <c:pt idx="23">
                  <c:v>40.97391610981996</c:v>
                </c:pt>
                <c:pt idx="24">
                  <c:v>42.543478484694717</c:v>
                </c:pt>
                <c:pt idx="25">
                  <c:v>42.414797905995087</c:v>
                </c:pt>
                <c:pt idx="26">
                  <c:v>41.080038347821578</c:v>
                </c:pt>
                <c:pt idx="27">
                  <c:v>41.002363352202735</c:v>
                </c:pt>
                <c:pt idx="28">
                  <c:v>43.594973445250062</c:v>
                </c:pt>
                <c:pt idx="29">
                  <c:v>43.14291982656875</c:v>
                </c:pt>
                <c:pt idx="30">
                  <c:v>39.138633810450983</c:v>
                </c:pt>
                <c:pt idx="31">
                  <c:v>45.825415632965715</c:v>
                </c:pt>
                <c:pt idx="32">
                  <c:v>43.507737163641309</c:v>
                </c:pt>
                <c:pt idx="33">
                  <c:v>40.222774567881068</c:v>
                </c:pt>
                <c:pt idx="34">
                  <c:v>42.684934200986746</c:v>
                </c:pt>
                <c:pt idx="35">
                  <c:v>37.556550155113946</c:v>
                </c:pt>
                <c:pt idx="36">
                  <c:v>39.701815209142062</c:v>
                </c:pt>
                <c:pt idx="37">
                  <c:v>35.688414611801122</c:v>
                </c:pt>
                <c:pt idx="38">
                  <c:v>37.374704704163676</c:v>
                </c:pt>
                <c:pt idx="39">
                  <c:v>34.777873118374913</c:v>
                </c:pt>
                <c:pt idx="40">
                  <c:v>38.994340036168424</c:v>
                </c:pt>
                <c:pt idx="41">
                  <c:v>36.21693130238635</c:v>
                </c:pt>
                <c:pt idx="42">
                  <c:v>37.413068306957832</c:v>
                </c:pt>
                <c:pt idx="43">
                  <c:v>40.422534600941844</c:v>
                </c:pt>
                <c:pt idx="44">
                  <c:v>35.218449719109231</c:v>
                </c:pt>
                <c:pt idx="45">
                  <c:v>39.062658599559825</c:v>
                </c:pt>
                <c:pt idx="46">
                  <c:v>43.972593363087007</c:v>
                </c:pt>
                <c:pt idx="47">
                  <c:v>37.213555244211435</c:v>
                </c:pt>
                <c:pt idx="48">
                  <c:v>37.217511618760476</c:v>
                </c:pt>
                <c:pt idx="49">
                  <c:v>32.021541511714503</c:v>
                </c:pt>
                <c:pt idx="50">
                  <c:v>30.008122696272412</c:v>
                </c:pt>
                <c:pt idx="51">
                  <c:v>35.303197600192739</c:v>
                </c:pt>
                <c:pt idx="52">
                  <c:v>36.176875497964296</c:v>
                </c:pt>
                <c:pt idx="53">
                  <c:v>34.980170281832422</c:v>
                </c:pt>
                <c:pt idx="54">
                  <c:v>36.376907765702995</c:v>
                </c:pt>
                <c:pt idx="55">
                  <c:v>37.340204853272112</c:v>
                </c:pt>
                <c:pt idx="56">
                  <c:v>37.111488696528937</c:v>
                </c:pt>
                <c:pt idx="57">
                  <c:v>38.431242196187704</c:v>
                </c:pt>
                <c:pt idx="58">
                  <c:v>31.680523757145703</c:v>
                </c:pt>
                <c:pt idx="59">
                  <c:v>29.854575318419791</c:v>
                </c:pt>
                <c:pt idx="60">
                  <c:v>30.485671813045748</c:v>
                </c:pt>
                <c:pt idx="61">
                  <c:v>30.969803124881391</c:v>
                </c:pt>
                <c:pt idx="62">
                  <c:v>29.109456056557853</c:v>
                </c:pt>
                <c:pt idx="63">
                  <c:v>33.58929733899118</c:v>
                </c:pt>
                <c:pt idx="64">
                  <c:v>34.238863669751929</c:v>
                </c:pt>
                <c:pt idx="65">
                  <c:v>34.412684987439995</c:v>
                </c:pt>
                <c:pt idx="66">
                  <c:v>33.38922676044951</c:v>
                </c:pt>
                <c:pt idx="67">
                  <c:v>32.609366665204099</c:v>
                </c:pt>
                <c:pt idx="68">
                  <c:v>33.236890528272312</c:v>
                </c:pt>
                <c:pt idx="69">
                  <c:v>33.746814434271229</c:v>
                </c:pt>
                <c:pt idx="70">
                  <c:v>27.974669945552932</c:v>
                </c:pt>
                <c:pt idx="71">
                  <c:v>29.684760309555429</c:v>
                </c:pt>
                <c:pt idx="72">
                  <c:v>29.16490941197463</c:v>
                </c:pt>
                <c:pt idx="73">
                  <c:v>29.546220174790843</c:v>
                </c:pt>
                <c:pt idx="74">
                  <c:v>30.116621269287215</c:v>
                </c:pt>
                <c:pt idx="75">
                  <c:v>28.569670373642662</c:v>
                </c:pt>
                <c:pt idx="76">
                  <c:v>28.248248539767037</c:v>
                </c:pt>
                <c:pt idx="77">
                  <c:v>32.191107424997355</c:v>
                </c:pt>
                <c:pt idx="78">
                  <c:v>29.707346645313741</c:v>
                </c:pt>
                <c:pt idx="79">
                  <c:v>29.29415525353739</c:v>
                </c:pt>
                <c:pt idx="80">
                  <c:v>29.869405956682535</c:v>
                </c:pt>
                <c:pt idx="81">
                  <c:v>29.801830637041995</c:v>
                </c:pt>
                <c:pt idx="82">
                  <c:v>27.87523344365869</c:v>
                </c:pt>
                <c:pt idx="83">
                  <c:v>28.033685297521103</c:v>
                </c:pt>
                <c:pt idx="84">
                  <c:v>24.805632472435935</c:v>
                </c:pt>
                <c:pt idx="85">
                  <c:v>23.378632140644338</c:v>
                </c:pt>
                <c:pt idx="86">
                  <c:v>25.738064903175296</c:v>
                </c:pt>
                <c:pt idx="87">
                  <c:v>25.611728352037943</c:v>
                </c:pt>
                <c:pt idx="88">
                  <c:v>26.370445568185058</c:v>
                </c:pt>
                <c:pt idx="89">
                  <c:v>28.056561235164146</c:v>
                </c:pt>
                <c:pt idx="90">
                  <c:v>24.803805357740519</c:v>
                </c:pt>
                <c:pt idx="91">
                  <c:v>26.568567300084002</c:v>
                </c:pt>
                <c:pt idx="92">
                  <c:v>25.621275237776679</c:v>
                </c:pt>
                <c:pt idx="93">
                  <c:v>24.144768223377909</c:v>
                </c:pt>
                <c:pt idx="94">
                  <c:v>25.224242169715868</c:v>
                </c:pt>
                <c:pt idx="95">
                  <c:v>23.508394918849277</c:v>
                </c:pt>
                <c:pt idx="96">
                  <c:v>22.006066000034838</c:v>
                </c:pt>
                <c:pt idx="97">
                  <c:v>22.413934532826705</c:v>
                </c:pt>
                <c:pt idx="98">
                  <c:v>21.002139219018911</c:v>
                </c:pt>
                <c:pt idx="99">
                  <c:v>21.72941024545791</c:v>
                </c:pt>
                <c:pt idx="100">
                  <c:v>23.15231501464303</c:v>
                </c:pt>
                <c:pt idx="101">
                  <c:v>23.717106361664168</c:v>
                </c:pt>
                <c:pt idx="102">
                  <c:v>22.535662192144493</c:v>
                </c:pt>
                <c:pt idx="103">
                  <c:v>23.73900107369149</c:v>
                </c:pt>
                <c:pt idx="104">
                  <c:v>21.990148393148505</c:v>
                </c:pt>
                <c:pt idx="105">
                  <c:v>20.762104379763425</c:v>
                </c:pt>
                <c:pt idx="106">
                  <c:v>21.219351670483793</c:v>
                </c:pt>
                <c:pt idx="107">
                  <c:v>19.294186259004345</c:v>
                </c:pt>
                <c:pt idx="108">
                  <c:v>19.922310257337145</c:v>
                </c:pt>
                <c:pt idx="109">
                  <c:v>18.515187703260512</c:v>
                </c:pt>
                <c:pt idx="110">
                  <c:v>17.880569684714935</c:v>
                </c:pt>
                <c:pt idx="111">
                  <c:v>19.755501064350522</c:v>
                </c:pt>
                <c:pt idx="112">
                  <c:v>20.390351021696656</c:v>
                </c:pt>
                <c:pt idx="113">
                  <c:v>21.021110825606257</c:v>
                </c:pt>
                <c:pt idx="114">
                  <c:v>20.668783999835114</c:v>
                </c:pt>
                <c:pt idx="115">
                  <c:v>20.324914017697182</c:v>
                </c:pt>
                <c:pt idx="116">
                  <c:v>19.654519594642487</c:v>
                </c:pt>
                <c:pt idx="117">
                  <c:v>19.593258455144376</c:v>
                </c:pt>
                <c:pt idx="118">
                  <c:v>19.773279187846029</c:v>
                </c:pt>
                <c:pt idx="119">
                  <c:v>18.658219028799913</c:v>
                </c:pt>
                <c:pt idx="120">
                  <c:v>18.663444523533798</c:v>
                </c:pt>
                <c:pt idx="121">
                  <c:v>19.619455333992043</c:v>
                </c:pt>
                <c:pt idx="122">
                  <c:v>21.274776438450793</c:v>
                </c:pt>
                <c:pt idx="123">
                  <c:v>23.814946986431302</c:v>
                </c:pt>
                <c:pt idx="124">
                  <c:v>24.601816343317118</c:v>
                </c:pt>
                <c:pt idx="125">
                  <c:v>24.12255201391616</c:v>
                </c:pt>
                <c:pt idx="126">
                  <c:v>23.643287684515208</c:v>
                </c:pt>
                <c:pt idx="127">
                  <c:v>24.301042094099294</c:v>
                </c:pt>
                <c:pt idx="128">
                  <c:v>23.062072334546659</c:v>
                </c:pt>
                <c:pt idx="129">
                  <c:v>23.260550027113979</c:v>
                </c:pt>
                <c:pt idx="130">
                  <c:v>23.465558599574827</c:v>
                </c:pt>
                <c:pt idx="131">
                  <c:v>22.754461135900822</c:v>
                </c:pt>
                <c:pt idx="132">
                  <c:v>25.297764089311144</c:v>
                </c:pt>
                <c:pt idx="133">
                  <c:v>23.076810773636424</c:v>
                </c:pt>
                <c:pt idx="134">
                  <c:v>22.773818668873684</c:v>
                </c:pt>
                <c:pt idx="135">
                  <c:v>23.432893074289467</c:v>
                </c:pt>
                <c:pt idx="136">
                  <c:v>23.292307990903296</c:v>
                </c:pt>
                <c:pt idx="137">
                  <c:v>24.50547423142649</c:v>
                </c:pt>
                <c:pt idx="138">
                  <c:v>24.015656828268423</c:v>
                </c:pt>
                <c:pt idx="139">
                  <c:v>24.403537504583774</c:v>
                </c:pt>
                <c:pt idx="140">
                  <c:v>23.558150029477154</c:v>
                </c:pt>
                <c:pt idx="141">
                  <c:v>23.525808419643397</c:v>
                </c:pt>
                <c:pt idx="142">
                  <c:v>23.113162774480923</c:v>
                </c:pt>
                <c:pt idx="143">
                  <c:v>23.572295321691193</c:v>
                </c:pt>
                <c:pt idx="144">
                  <c:v>24.461060985114052</c:v>
                </c:pt>
                <c:pt idx="145">
                  <c:v>23.061660500465347</c:v>
                </c:pt>
                <c:pt idx="146">
                  <c:v>22.77818466563696</c:v>
                </c:pt>
                <c:pt idx="147">
                  <c:v>23.981951917940744</c:v>
                </c:pt>
                <c:pt idx="148">
                  <c:v>24.913769740495365</c:v>
                </c:pt>
                <c:pt idx="149">
                  <c:v>25.347747492266922</c:v>
                </c:pt>
                <c:pt idx="150">
                  <c:v>24.315941071227783</c:v>
                </c:pt>
                <c:pt idx="151">
                  <c:v>25.841426586427406</c:v>
                </c:pt>
                <c:pt idx="152">
                  <c:v>24.171084499997573</c:v>
                </c:pt>
                <c:pt idx="153">
                  <c:v>24.800986657630251</c:v>
                </c:pt>
                <c:pt idx="154">
                  <c:v>24.460009780618623</c:v>
                </c:pt>
                <c:pt idx="155">
                  <c:v>23.614456577551493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95-4DC3-A7BB-9ABF494B67D9}"/>
            </c:ext>
          </c:extLst>
        </c:ser>
        <c:ser>
          <c:idx val="2"/>
          <c:order val="2"/>
          <c:tx>
            <c:v>Validation</c:v>
          </c:tx>
          <c:spPr>
            <a:ln w="12700">
              <a:solidFill>
                <a:srgbClr val="006699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ARIMA1!$B$200:$B$211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ARIMA1!$D$200:$D$211</c:f>
              <c:numCache>
                <c:formatCode>0.000</c:formatCode>
                <c:ptCount val="12"/>
                <c:pt idx="0">
                  <c:v>24.461060985114052</c:v>
                </c:pt>
                <c:pt idx="1">
                  <c:v>23.061660500465347</c:v>
                </c:pt>
                <c:pt idx="2">
                  <c:v>22.77818466563696</c:v>
                </c:pt>
                <c:pt idx="3">
                  <c:v>23.981951917940744</c:v>
                </c:pt>
                <c:pt idx="4">
                  <c:v>24.913769740495365</c:v>
                </c:pt>
                <c:pt idx="5">
                  <c:v>25.347747492266922</c:v>
                </c:pt>
                <c:pt idx="6">
                  <c:v>24.315941071227783</c:v>
                </c:pt>
                <c:pt idx="7">
                  <c:v>25.841426586427406</c:v>
                </c:pt>
                <c:pt idx="8">
                  <c:v>24.171084499997573</c:v>
                </c:pt>
                <c:pt idx="9">
                  <c:v>24.800986657630251</c:v>
                </c:pt>
                <c:pt idx="10">
                  <c:v>24.460009780618623</c:v>
                </c:pt>
                <c:pt idx="11">
                  <c:v>23.614456577551493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95-4DC3-A7BB-9ABF494B67D9}"/>
            </c:ext>
          </c:extLst>
        </c:ser>
        <c:ser>
          <c:idx val="3"/>
          <c:order val="3"/>
          <c:tx>
            <c:v>Lower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ARIMA1!$B$200:$B$211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ARIMA1!$H$200:$H$211</c:f>
              <c:numCache>
                <c:formatCode>0.000</c:formatCode>
                <c:ptCount val="12"/>
                <c:pt idx="0">
                  <c:v>20.88303648342438</c:v>
                </c:pt>
                <c:pt idx="1">
                  <c:v>19.088011865144136</c:v>
                </c:pt>
                <c:pt idx="2">
                  <c:v>17.982702142636661</c:v>
                </c:pt>
                <c:pt idx="3">
                  <c:v>18.709930548861653</c:v>
                </c:pt>
                <c:pt idx="4">
                  <c:v>19.102045083697597</c:v>
                </c:pt>
                <c:pt idx="5">
                  <c:v>19.092385558384997</c:v>
                </c:pt>
                <c:pt idx="6">
                  <c:v>17.62239909005098</c:v>
                </c:pt>
                <c:pt idx="7">
                  <c:v>18.748430203308239</c:v>
                </c:pt>
                <c:pt idx="8">
                  <c:v>16.694211338237551</c:v>
                </c:pt>
                <c:pt idx="9">
                  <c:v>16.961843901972081</c:v>
                </c:pt>
                <c:pt idx="10">
                  <c:v>16.273211217630809</c:v>
                </c:pt>
                <c:pt idx="11">
                  <c:v>15.094873541355948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095-4DC3-A7BB-9ABF494B67D9}"/>
            </c:ext>
          </c:extLst>
        </c:ser>
        <c:ser>
          <c:idx val="4"/>
          <c:order val="4"/>
          <c:tx>
            <c:v>Upper bound (95%)</c:v>
          </c:tx>
          <c:spPr>
            <a:ln w="12700">
              <a:solidFill>
                <a:srgbClr val="C0C0C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ARIMA1!$B$200:$B$211</c:f>
              <c:numCache>
                <c:formatCode>General</c:formatCode>
                <c:ptCount val="12"/>
                <c:pt idx="0">
                  <c:v>145</c:v>
                </c:pt>
                <c:pt idx="1">
                  <c:v>146</c:v>
                </c:pt>
                <c:pt idx="2">
                  <c:v>147</c:v>
                </c:pt>
                <c:pt idx="3">
                  <c:v>148</c:v>
                </c:pt>
                <c:pt idx="4">
                  <c:v>149</c:v>
                </c:pt>
                <c:pt idx="5">
                  <c:v>150</c:v>
                </c:pt>
                <c:pt idx="6">
                  <c:v>151</c:v>
                </c:pt>
                <c:pt idx="7">
                  <c:v>152</c:v>
                </c:pt>
                <c:pt idx="8">
                  <c:v>153</c:v>
                </c:pt>
                <c:pt idx="9">
                  <c:v>154</c:v>
                </c:pt>
                <c:pt idx="10">
                  <c:v>155</c:v>
                </c:pt>
                <c:pt idx="11">
                  <c:v>156</c:v>
                </c:pt>
              </c:numCache>
            </c:numRef>
          </c:xVal>
          <c:yVal>
            <c:numRef>
              <c:f>ARIMA1!$I$200:$I$211</c:f>
              <c:numCache>
                <c:formatCode>0.000</c:formatCode>
                <c:ptCount val="12"/>
                <c:pt idx="0">
                  <c:v>28.039085486803724</c:v>
                </c:pt>
                <c:pt idx="1">
                  <c:v>27.035309135786559</c:v>
                </c:pt>
                <c:pt idx="2">
                  <c:v>27.573667188637259</c:v>
                </c:pt>
                <c:pt idx="3">
                  <c:v>29.253973287019836</c:v>
                </c:pt>
                <c:pt idx="4">
                  <c:v>30.725494397293133</c:v>
                </c:pt>
                <c:pt idx="5">
                  <c:v>31.603109426148848</c:v>
                </c:pt>
                <c:pt idx="6">
                  <c:v>31.009483052404587</c:v>
                </c:pt>
                <c:pt idx="7">
                  <c:v>32.934422969546574</c:v>
                </c:pt>
                <c:pt idx="8">
                  <c:v>31.647957661757594</c:v>
                </c:pt>
                <c:pt idx="9">
                  <c:v>32.64012941328842</c:v>
                </c:pt>
                <c:pt idx="10">
                  <c:v>32.646808343606438</c:v>
                </c:pt>
                <c:pt idx="11">
                  <c:v>32.134039613747035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95-4DC3-A7BB-9ABF494B6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9328"/>
        <c:axId val="359380368"/>
      </c:scatterChart>
      <c:valAx>
        <c:axId val="46431932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59380368"/>
        <c:crosses val="autoZero"/>
        <c:crossBetween val="midCat"/>
      </c:valAx>
      <c:valAx>
        <c:axId val="359380368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6431932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ARIMA1!$B$56:$B$211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ARIMA1!$E$56:$E$211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0.77797704174504645</c:v>
                </c:pt>
                <c:pt idx="14">
                  <c:v>1.0906195074437832</c:v>
                </c:pt>
                <c:pt idx="15">
                  <c:v>-0.87984396303963308</c:v>
                </c:pt>
                <c:pt idx="16">
                  <c:v>-0.28806590545065802</c:v>
                </c:pt>
                <c:pt idx="17">
                  <c:v>-1.0278604507763305</c:v>
                </c:pt>
                <c:pt idx="18">
                  <c:v>-0.1935249333209228</c:v>
                </c:pt>
                <c:pt idx="19">
                  <c:v>2.6686415332028517</c:v>
                </c:pt>
                <c:pt idx="20">
                  <c:v>5.4731771993431266E-2</c:v>
                </c:pt>
                <c:pt idx="21">
                  <c:v>1.5484556815506778</c:v>
                </c:pt>
                <c:pt idx="22">
                  <c:v>-0.11431313463068449</c:v>
                </c:pt>
                <c:pt idx="23">
                  <c:v>0.7260838901800426</c:v>
                </c:pt>
                <c:pt idx="24">
                  <c:v>2.1565215153052861</c:v>
                </c:pt>
                <c:pt idx="25">
                  <c:v>-3.3147979059950856</c:v>
                </c:pt>
                <c:pt idx="26">
                  <c:v>0.21996165217841934</c:v>
                </c:pt>
                <c:pt idx="27">
                  <c:v>-1.0023633522027353</c:v>
                </c:pt>
                <c:pt idx="28">
                  <c:v>1.3050265547499365</c:v>
                </c:pt>
                <c:pt idx="29">
                  <c:v>-2.2429198265687518</c:v>
                </c:pt>
                <c:pt idx="30">
                  <c:v>5.1613661895490139</c:v>
                </c:pt>
                <c:pt idx="31">
                  <c:v>-1.4254156329657164</c:v>
                </c:pt>
                <c:pt idx="32">
                  <c:v>-2.8077371636413062</c:v>
                </c:pt>
                <c:pt idx="33">
                  <c:v>1.6772254321189308</c:v>
                </c:pt>
                <c:pt idx="34">
                  <c:v>-0.98493420098674278</c:v>
                </c:pt>
                <c:pt idx="35">
                  <c:v>0.14344984488605661</c:v>
                </c:pt>
                <c:pt idx="36">
                  <c:v>-1.8152091420589045E-3</c:v>
                </c:pt>
                <c:pt idx="37">
                  <c:v>0.4115853881988798</c:v>
                </c:pt>
                <c:pt idx="38">
                  <c:v>-4.2747047041636748</c:v>
                </c:pt>
                <c:pt idx="39">
                  <c:v>2.4221268816250898</c:v>
                </c:pt>
                <c:pt idx="40">
                  <c:v>-2.0943400361684255</c:v>
                </c:pt>
                <c:pt idx="41">
                  <c:v>1.8830686976136519</c:v>
                </c:pt>
                <c:pt idx="42">
                  <c:v>0.18693169304216894</c:v>
                </c:pt>
                <c:pt idx="43">
                  <c:v>-2.0225346009418459</c:v>
                </c:pt>
                <c:pt idx="44">
                  <c:v>6.5815502808907667</c:v>
                </c:pt>
                <c:pt idx="45">
                  <c:v>5.6373414004401781</c:v>
                </c:pt>
                <c:pt idx="46">
                  <c:v>-6.4725933630870074</c:v>
                </c:pt>
                <c:pt idx="47">
                  <c:v>-0.71355524421143457</c:v>
                </c:pt>
                <c:pt idx="48">
                  <c:v>-4.0175116187604729</c:v>
                </c:pt>
                <c:pt idx="49">
                  <c:v>1.9784584882854972</c:v>
                </c:pt>
                <c:pt idx="50">
                  <c:v>2.7918773037275848</c:v>
                </c:pt>
                <c:pt idx="51">
                  <c:v>-0.90319760019274042</c:v>
                </c:pt>
                <c:pt idx="52">
                  <c:v>-1.4768754979642935</c:v>
                </c:pt>
                <c:pt idx="53">
                  <c:v>2.0198297181675784</c:v>
                </c:pt>
                <c:pt idx="54">
                  <c:v>-0.77690776570299391</c:v>
                </c:pt>
                <c:pt idx="55">
                  <c:v>-2.3402048532721125</c:v>
                </c:pt>
                <c:pt idx="56">
                  <c:v>-1.7114886965289386</c:v>
                </c:pt>
                <c:pt idx="57">
                  <c:v>-2.7312421961877007</c:v>
                </c:pt>
                <c:pt idx="58">
                  <c:v>1.1194762428542937</c:v>
                </c:pt>
                <c:pt idx="59">
                  <c:v>3.6454246815802094</c:v>
                </c:pt>
                <c:pt idx="60">
                  <c:v>0.41432818695425055</c:v>
                </c:pt>
                <c:pt idx="61">
                  <c:v>3.0196875118608801E-2</c:v>
                </c:pt>
                <c:pt idx="62">
                  <c:v>4.0905439434421496</c:v>
                </c:pt>
                <c:pt idx="63">
                  <c:v>-1.1892973389911816</c:v>
                </c:pt>
                <c:pt idx="64">
                  <c:v>-2.1388636697519274</c:v>
                </c:pt>
                <c:pt idx="65">
                  <c:v>0.387315012560002</c:v>
                </c:pt>
                <c:pt idx="66">
                  <c:v>-1.689226760449511</c:v>
                </c:pt>
                <c:pt idx="67">
                  <c:v>-0.30936666520410228</c:v>
                </c:pt>
                <c:pt idx="68">
                  <c:v>-1.6368905282723105</c:v>
                </c:pt>
                <c:pt idx="69">
                  <c:v>-2.4468144342712286</c:v>
                </c:pt>
                <c:pt idx="70">
                  <c:v>3.7253300544470669</c:v>
                </c:pt>
                <c:pt idx="71">
                  <c:v>2.1152396904445716</c:v>
                </c:pt>
                <c:pt idx="72">
                  <c:v>0.13509058802537055</c:v>
                </c:pt>
                <c:pt idx="73">
                  <c:v>-1.6462201747908445</c:v>
                </c:pt>
                <c:pt idx="74">
                  <c:v>-2.1166212692872151</c:v>
                </c:pt>
                <c:pt idx="75">
                  <c:v>0.13032962635733725</c:v>
                </c:pt>
                <c:pt idx="76">
                  <c:v>2.2517514602329634</c:v>
                </c:pt>
                <c:pt idx="77">
                  <c:v>-0.89110742499735451</c:v>
                </c:pt>
                <c:pt idx="78">
                  <c:v>-0.50734664531374207</c:v>
                </c:pt>
                <c:pt idx="79">
                  <c:v>1.6058447464626084</c:v>
                </c:pt>
                <c:pt idx="80">
                  <c:v>-0.76940595668253309</c:v>
                </c:pt>
                <c:pt idx="81">
                  <c:v>-2.2018306370419936</c:v>
                </c:pt>
                <c:pt idx="82">
                  <c:v>0.42476655634131077</c:v>
                </c:pt>
                <c:pt idx="83">
                  <c:v>-2.2336852975211023</c:v>
                </c:pt>
                <c:pt idx="84">
                  <c:v>0.49436752756406577</c:v>
                </c:pt>
                <c:pt idx="85">
                  <c:v>2.2213678593556629</c:v>
                </c:pt>
                <c:pt idx="86">
                  <c:v>-1.6380649031752945</c:v>
                </c:pt>
                <c:pt idx="87">
                  <c:v>0.18827164796205764</c:v>
                </c:pt>
                <c:pt idx="88">
                  <c:v>-0.17044556818505896</c:v>
                </c:pt>
                <c:pt idx="89">
                  <c:v>-1.4565612351641448</c:v>
                </c:pt>
                <c:pt idx="90">
                  <c:v>1.1961946422594814</c:v>
                </c:pt>
                <c:pt idx="91">
                  <c:v>3.1432699915999507E-2</c:v>
                </c:pt>
                <c:pt idx="92">
                  <c:v>-0.32127523777667832</c:v>
                </c:pt>
                <c:pt idx="93">
                  <c:v>0.75523177662208951</c:v>
                </c:pt>
                <c:pt idx="94">
                  <c:v>-0.42424216971586759</c:v>
                </c:pt>
                <c:pt idx="95">
                  <c:v>-0.6083949188492781</c:v>
                </c:pt>
                <c:pt idx="96">
                  <c:v>1.1939339999651608</c:v>
                </c:pt>
                <c:pt idx="97">
                  <c:v>-1.6139345328267041</c:v>
                </c:pt>
                <c:pt idx="98">
                  <c:v>-0.30213921901891183</c:v>
                </c:pt>
                <c:pt idx="99">
                  <c:v>0.67058975454208891</c:v>
                </c:pt>
                <c:pt idx="100">
                  <c:v>-0.15231501464302966</c:v>
                </c:pt>
                <c:pt idx="101">
                  <c:v>-0.31710636166416961</c:v>
                </c:pt>
                <c:pt idx="102">
                  <c:v>0.5643378078555088</c:v>
                </c:pt>
                <c:pt idx="103">
                  <c:v>-1.1390010736914888</c:v>
                </c:pt>
                <c:pt idx="104">
                  <c:v>-0.39014839314850391</c:v>
                </c:pt>
                <c:pt idx="105">
                  <c:v>0.33789562023657638</c:v>
                </c:pt>
                <c:pt idx="106">
                  <c:v>8.064832951620815E-2</c:v>
                </c:pt>
                <c:pt idx="107">
                  <c:v>1.0058137409956558</c:v>
                </c:pt>
                <c:pt idx="108">
                  <c:v>-0.2223102573371456</c:v>
                </c:pt>
                <c:pt idx="109">
                  <c:v>-1.5187703260512109E-2</c:v>
                </c:pt>
                <c:pt idx="110">
                  <c:v>1.9430315285063671E-2</c:v>
                </c:pt>
                <c:pt idx="111">
                  <c:v>0.14449893564947658</c:v>
                </c:pt>
                <c:pt idx="112">
                  <c:v>0.2096489783033455</c:v>
                </c:pt>
                <c:pt idx="113">
                  <c:v>-0.12111082560625874</c:v>
                </c:pt>
                <c:pt idx="114">
                  <c:v>-0.36878399983511301</c:v>
                </c:pt>
                <c:pt idx="115">
                  <c:v>0.8750859823028172</c:v>
                </c:pt>
                <c:pt idx="116">
                  <c:v>0.14548040535751383</c:v>
                </c:pt>
                <c:pt idx="117">
                  <c:v>0.20674154485562468</c:v>
                </c:pt>
                <c:pt idx="118">
                  <c:v>-7.3279187846029714E-2</c:v>
                </c:pt>
                <c:pt idx="119">
                  <c:v>0.74178097120008601</c:v>
                </c:pt>
                <c:pt idx="120">
                  <c:v>4.5365554764662015</c:v>
                </c:pt>
                <c:pt idx="121">
                  <c:v>1.9805446660079582</c:v>
                </c:pt>
                <c:pt idx="122">
                  <c:v>1.2252235615492069</c:v>
                </c:pt>
                <c:pt idx="123">
                  <c:v>-0.61494698643130263</c:v>
                </c:pt>
                <c:pt idx="124">
                  <c:v>-1.1018163433171182</c:v>
                </c:pt>
                <c:pt idx="125">
                  <c:v>0.17744798608384116</c:v>
                </c:pt>
                <c:pt idx="126">
                  <c:v>-4.3287684515206593E-2</c:v>
                </c:pt>
                <c:pt idx="127">
                  <c:v>9.8957905900704191E-2</c:v>
                </c:pt>
                <c:pt idx="128">
                  <c:v>0.43792766545334061</c:v>
                </c:pt>
                <c:pt idx="129">
                  <c:v>0.13944997288601968</c:v>
                </c:pt>
                <c:pt idx="130">
                  <c:v>-0.56555859957482824</c:v>
                </c:pt>
                <c:pt idx="131">
                  <c:v>0.14553886409917638</c:v>
                </c:pt>
                <c:pt idx="132">
                  <c:v>-1.8977640893111456</c:v>
                </c:pt>
                <c:pt idx="133">
                  <c:v>-0.5768107736364243</c:v>
                </c:pt>
                <c:pt idx="134">
                  <c:v>-1.2738186688736839</c:v>
                </c:pt>
                <c:pt idx="135">
                  <c:v>-0.43289307428946699</c:v>
                </c:pt>
                <c:pt idx="136">
                  <c:v>0.80769200909670502</c:v>
                </c:pt>
                <c:pt idx="137">
                  <c:v>-0.10547423142649137</c:v>
                </c:pt>
                <c:pt idx="138">
                  <c:v>-0.81565682826842334</c:v>
                </c:pt>
                <c:pt idx="139">
                  <c:v>0.59646249541622609</c:v>
                </c:pt>
                <c:pt idx="140">
                  <c:v>-0.55815002947715442</c:v>
                </c:pt>
                <c:pt idx="141">
                  <c:v>0.37419158035660161</c:v>
                </c:pt>
                <c:pt idx="142">
                  <c:v>0.48683722551907849</c:v>
                </c:pt>
                <c:pt idx="143">
                  <c:v>-1.1722953216911947</c:v>
                </c:pt>
                <c:pt idx="144">
                  <c:v>-1.9610609851140524</c:v>
                </c:pt>
                <c:pt idx="145">
                  <c:v>-1.0616605004653472</c:v>
                </c:pt>
                <c:pt idx="146">
                  <c:v>2.1815334363040506E-2</c:v>
                </c:pt>
                <c:pt idx="147">
                  <c:v>-3.5819519179407457</c:v>
                </c:pt>
                <c:pt idx="148">
                  <c:v>0.58623025950463514</c:v>
                </c:pt>
                <c:pt idx="149">
                  <c:v>-3.8477474922669224</c:v>
                </c:pt>
                <c:pt idx="150">
                  <c:v>0.38405892877221603</c:v>
                </c:pt>
                <c:pt idx="151">
                  <c:v>0.35857341357259287</c:v>
                </c:pt>
                <c:pt idx="152">
                  <c:v>-2.9710844999975734</c:v>
                </c:pt>
                <c:pt idx="153">
                  <c:v>-1.1009866576302514</c:v>
                </c:pt>
                <c:pt idx="154">
                  <c:v>-0.96000978061862341</c:v>
                </c:pt>
                <c:pt idx="155">
                  <c:v>-1.2144565775514948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3-4BF6-A251-B2192788B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382032"/>
        <c:axId val="359382448"/>
      </c:barChart>
      <c:catAx>
        <c:axId val="35938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59382448"/>
        <c:crosses val="autoZero"/>
        <c:auto val="1"/>
        <c:lblAlgn val="ctr"/>
        <c:lblOffset val="100"/>
        <c:noMultiLvlLbl val="0"/>
      </c:catAx>
      <c:valAx>
        <c:axId val="3593824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5938203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AutocorrelogramOthers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ARIMA1!$B$236:$B$258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ARIMA1!$C$236:$C$258</c:f>
              <c:numCache>
                <c:formatCode>0.000</c:formatCode>
                <c:ptCount val="23"/>
                <c:pt idx="0">
                  <c:v>1</c:v>
                </c:pt>
                <c:pt idx="1">
                  <c:v>0.9582727848457645</c:v>
                </c:pt>
                <c:pt idx="2">
                  <c:v>0.94077604242618829</c:v>
                </c:pt>
                <c:pt idx="3">
                  <c:v>0.91855056953419079</c:v>
                </c:pt>
                <c:pt idx="4">
                  <c:v>0.8878045436182862</c:v>
                </c:pt>
                <c:pt idx="5">
                  <c:v>0.86674574296078621</c:v>
                </c:pt>
                <c:pt idx="6">
                  <c:v>0.84240096697095035</c:v>
                </c:pt>
                <c:pt idx="7">
                  <c:v>0.82178437406869476</c:v>
                </c:pt>
                <c:pt idx="8">
                  <c:v>0.80466796449893851</c:v>
                </c:pt>
                <c:pt idx="9">
                  <c:v>0.79223216379824668</c:v>
                </c:pt>
                <c:pt idx="10">
                  <c:v>0.77454311013933386</c:v>
                </c:pt>
                <c:pt idx="11">
                  <c:v>0.75953196837779324</c:v>
                </c:pt>
                <c:pt idx="12">
                  <c:v>0.75188158619296841</c:v>
                </c:pt>
                <c:pt idx="13">
                  <c:v>0.7260540299205237</c:v>
                </c:pt>
                <c:pt idx="14">
                  <c:v>0.71296536821662027</c:v>
                </c:pt>
                <c:pt idx="15">
                  <c:v>0.69010359468140536</c:v>
                </c:pt>
                <c:pt idx="16">
                  <c:v>0.66627713317864246</c:v>
                </c:pt>
                <c:pt idx="17">
                  <c:v>0.64841884853443954</c:v>
                </c:pt>
                <c:pt idx="18">
                  <c:v>0.62420588463597593</c:v>
                </c:pt>
                <c:pt idx="19">
                  <c:v>0.61043001926280616</c:v>
                </c:pt>
                <c:pt idx="20">
                  <c:v>0.59225027307950318</c:v>
                </c:pt>
                <c:pt idx="21">
                  <c:v>0.57831690911230837</c:v>
                </c:pt>
                <c:pt idx="22">
                  <c:v>0.56011511235678546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4-474D-B465-735708CED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477344"/>
        <c:axId val="320479840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ARIMA1!$E$236:$E$258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-0.26429126487860183</c:v>
                </c:pt>
                <c:pt idx="3">
                  <c:v>-0.33680645608657522</c:v>
                </c:pt>
                <c:pt idx="4">
                  <c:v>-0.39369035992541412</c:v>
                </c:pt>
                <c:pt idx="5">
                  <c:v>-0.44023900449685405</c:v>
                </c:pt>
                <c:pt idx="6">
                  <c:v>-0.48042580850364208</c:v>
                </c:pt>
                <c:pt idx="7">
                  <c:v>-0.51551752903786108</c:v>
                </c:pt>
                <c:pt idx="8">
                  <c:v>-0.54682533492607477</c:v>
                </c:pt>
                <c:pt idx="9">
                  <c:v>-0.57524474255372759</c:v>
                </c:pt>
                <c:pt idx="10">
                  <c:v>-0.60151230137104428</c:v>
                </c:pt>
                <c:pt idx="11">
                  <c:v>-0.62558983821807668</c:v>
                </c:pt>
                <c:pt idx="12">
                  <c:v>-0.64789977238790297</c:v>
                </c:pt>
                <c:pt idx="13">
                  <c:v>-0.66904119316025179</c:v>
                </c:pt>
                <c:pt idx="14">
                  <c:v>-0.68817018005496644</c:v>
                </c:pt>
                <c:pt idx="15">
                  <c:v>-0.70612510892640312</c:v>
                </c:pt>
                <c:pt idx="16">
                  <c:v>-0.72254230628369598</c:v>
                </c:pt>
                <c:pt idx="17">
                  <c:v>-0.73751641812243951</c:v>
                </c:pt>
                <c:pt idx="18">
                  <c:v>-0.75142348907511769</c:v>
                </c:pt>
                <c:pt idx="19">
                  <c:v>-0.76408538712106888</c:v>
                </c:pt>
                <c:pt idx="20">
                  <c:v>-0.77600132338999683</c:v>
                </c:pt>
                <c:pt idx="21">
                  <c:v>-0.78705324961613432</c:v>
                </c:pt>
                <c:pt idx="22">
                  <c:v>-0.79744863514482556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84-474D-B465-735708CED9E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ARIMA1!$F$236:$F$258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0.26429126487860183</c:v>
                </c:pt>
                <c:pt idx="3">
                  <c:v>0.33680645608657522</c:v>
                </c:pt>
                <c:pt idx="4">
                  <c:v>0.39369035992541412</c:v>
                </c:pt>
                <c:pt idx="5">
                  <c:v>0.44023900449685405</c:v>
                </c:pt>
                <c:pt idx="6">
                  <c:v>0.48042580850364208</c:v>
                </c:pt>
                <c:pt idx="7">
                  <c:v>0.51551752903786108</c:v>
                </c:pt>
                <c:pt idx="8">
                  <c:v>0.54682533492607477</c:v>
                </c:pt>
                <c:pt idx="9">
                  <c:v>0.57524474255372759</c:v>
                </c:pt>
                <c:pt idx="10">
                  <c:v>0.60151230137104428</c:v>
                </c:pt>
                <c:pt idx="11">
                  <c:v>0.62558983821807668</c:v>
                </c:pt>
                <c:pt idx="12">
                  <c:v>0.64789977238790297</c:v>
                </c:pt>
                <c:pt idx="13">
                  <c:v>0.66904119316025179</c:v>
                </c:pt>
                <c:pt idx="14">
                  <c:v>0.68817018005496644</c:v>
                </c:pt>
                <c:pt idx="15">
                  <c:v>0.70612510892640312</c:v>
                </c:pt>
                <c:pt idx="16">
                  <c:v>0.72254230628369598</c:v>
                </c:pt>
                <c:pt idx="17">
                  <c:v>0.73751641812243951</c:v>
                </c:pt>
                <c:pt idx="18">
                  <c:v>0.75142348907511769</c:v>
                </c:pt>
                <c:pt idx="19">
                  <c:v>0.76408538712106888</c:v>
                </c:pt>
                <c:pt idx="20">
                  <c:v>0.77600132338999683</c:v>
                </c:pt>
                <c:pt idx="21">
                  <c:v>0.78705324961613432</c:v>
                </c:pt>
                <c:pt idx="22">
                  <c:v>0.79744863514482556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84-474D-B465-735708CED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77344"/>
        <c:axId val="320479840"/>
      </c:lineChart>
      <c:catAx>
        <c:axId val="320477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79840"/>
        <c:crosses val="autoZero"/>
        <c:auto val="1"/>
        <c:lblAlgn val="ctr"/>
        <c:lblOffset val="100"/>
        <c:noMultiLvlLbl val="0"/>
      </c:catAx>
      <c:valAx>
        <c:axId val="32047984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7734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autocorrelogramOthers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ARIMA1!$B$236:$B$258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ARIMA1!$G$236:$G$258</c:f>
              <c:numCache>
                <c:formatCode>0.000</c:formatCode>
                <c:ptCount val="23"/>
                <c:pt idx="0">
                  <c:v>1</c:v>
                </c:pt>
                <c:pt idx="1">
                  <c:v>0.9582727848457645</c:v>
                </c:pt>
                <c:pt idx="2">
                  <c:v>0.27522227783304026</c:v>
                </c:pt>
                <c:pt idx="3">
                  <c:v>1.8681314977779185E-2</c:v>
                </c:pt>
                <c:pt idx="4">
                  <c:v>-0.13319592097576061</c:v>
                </c:pt>
                <c:pt idx="5">
                  <c:v>4.307451325376202E-2</c:v>
                </c:pt>
                <c:pt idx="6">
                  <c:v>6.1321174927925588E-3</c:v>
                </c:pt>
                <c:pt idx="7">
                  <c:v>3.7789757452864371E-2</c:v>
                </c:pt>
                <c:pt idx="8">
                  <c:v>4.3279093950655496E-2</c:v>
                </c:pt>
                <c:pt idx="9">
                  <c:v>8.8396447691656277E-2</c:v>
                </c:pt>
                <c:pt idx="10">
                  <c:v>-4.6852975040952531E-2</c:v>
                </c:pt>
                <c:pt idx="11">
                  <c:v>-1.5644252198243443E-2</c:v>
                </c:pt>
                <c:pt idx="12">
                  <c:v>9.7448898943108764E-2</c:v>
                </c:pt>
                <c:pt idx="13">
                  <c:v>-0.16844218769024802</c:v>
                </c:pt>
                <c:pt idx="14">
                  <c:v>2.9703408512951439E-2</c:v>
                </c:pt>
                <c:pt idx="15">
                  <c:v>-7.4191701032560634E-2</c:v>
                </c:pt>
                <c:pt idx="16">
                  <c:v>-2.6784052749701713E-2</c:v>
                </c:pt>
                <c:pt idx="17">
                  <c:v>1.3559503785061046E-2</c:v>
                </c:pt>
                <c:pt idx="18">
                  <c:v>-2.8081560517912118E-2</c:v>
                </c:pt>
                <c:pt idx="19">
                  <c:v>8.8729904869582155E-2</c:v>
                </c:pt>
                <c:pt idx="20">
                  <c:v>-2.5191439346306289E-2</c:v>
                </c:pt>
                <c:pt idx="21">
                  <c:v>1.1743884458194787E-2</c:v>
                </c:pt>
                <c:pt idx="22">
                  <c:v>-5.7385414050551253E-2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51-49A4-B0AA-4FC13397B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481088"/>
        <c:axId val="32048150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ARIMA1!$I$236:$I$258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51-49A4-B0AA-4FC13397BFB5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ARIMA1!$B$236:$B$258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ARIMA1!$J$236:$J$258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51-49A4-B0AA-4FC13397B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481088"/>
        <c:axId val="320481504"/>
      </c:lineChart>
      <c:catAx>
        <c:axId val="320481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81504"/>
        <c:crosses val="autoZero"/>
        <c:auto val="1"/>
        <c:lblAlgn val="ctr"/>
        <c:lblOffset val="100"/>
        <c:noMultiLvlLbl val="0"/>
      </c:catAx>
      <c:valAx>
        <c:axId val="32048150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8108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ARIMA1!$B$283:$B$305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ARIMA1!$C$283:$C$305</c:f>
              <c:numCache>
                <c:formatCode>0.000</c:formatCode>
                <c:ptCount val="23"/>
                <c:pt idx="0">
                  <c:v>1</c:v>
                </c:pt>
                <c:pt idx="1">
                  <c:v>-9.5693823675778972E-2</c:v>
                </c:pt>
                <c:pt idx="2">
                  <c:v>-0.10428602197056343</c:v>
                </c:pt>
                <c:pt idx="3">
                  <c:v>4.3279953671498589E-2</c:v>
                </c:pt>
                <c:pt idx="4">
                  <c:v>-0.1636183512169366</c:v>
                </c:pt>
                <c:pt idx="5">
                  <c:v>6.649652528351005E-2</c:v>
                </c:pt>
                <c:pt idx="6">
                  <c:v>0.11378067000096309</c:v>
                </c:pt>
                <c:pt idx="7">
                  <c:v>-0.23881264015059137</c:v>
                </c:pt>
                <c:pt idx="8">
                  <c:v>0.10827324722528904</c:v>
                </c:pt>
                <c:pt idx="9">
                  <c:v>0.28484397295154112</c:v>
                </c:pt>
                <c:pt idx="10">
                  <c:v>-0.12426830477211208</c:v>
                </c:pt>
                <c:pt idx="11">
                  <c:v>5.5743318760060612E-2</c:v>
                </c:pt>
                <c:pt idx="12">
                  <c:v>-6.0657209169259915E-2</c:v>
                </c:pt>
                <c:pt idx="13">
                  <c:v>-0.19773639944016036</c:v>
                </c:pt>
                <c:pt idx="14">
                  <c:v>0.17627007981870962</c:v>
                </c:pt>
                <c:pt idx="15">
                  <c:v>5.758512881269999E-2</c:v>
                </c:pt>
                <c:pt idx="16">
                  <c:v>-0.16978934219026454</c:v>
                </c:pt>
                <c:pt idx="17">
                  <c:v>0.22918708318889408</c:v>
                </c:pt>
                <c:pt idx="18">
                  <c:v>-1.0075876543228418E-2</c:v>
                </c:pt>
                <c:pt idx="19">
                  <c:v>-0.15435034359470678</c:v>
                </c:pt>
                <c:pt idx="20">
                  <c:v>0.13905266868555449</c:v>
                </c:pt>
                <c:pt idx="21">
                  <c:v>5.9403219545432859E-2</c:v>
                </c:pt>
                <c:pt idx="22">
                  <c:v>-9.1222367514055158E-2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2-41E8-B49B-FA8AE1A62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727904"/>
        <c:axId val="41572540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ARIMA1!$E$283:$E$305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-0.15835317682051836</c:v>
                </c:pt>
                <c:pt idx="3">
                  <c:v>-0.16003544890317267</c:v>
                </c:pt>
                <c:pt idx="4">
                  <c:v>-0.16032341304508582</c:v>
                </c:pt>
                <c:pt idx="5">
                  <c:v>-0.16438385765054028</c:v>
                </c:pt>
                <c:pt idx="6">
                  <c:v>-0.16504491320385534</c:v>
                </c:pt>
                <c:pt idx="7">
                  <c:v>-0.16696529295749363</c:v>
                </c:pt>
                <c:pt idx="8">
                  <c:v>-0.17517471047544791</c:v>
                </c:pt>
                <c:pt idx="9">
                  <c:v>-0.17681497527713733</c:v>
                </c:pt>
                <c:pt idx="10">
                  <c:v>-0.18777498509367105</c:v>
                </c:pt>
                <c:pt idx="11">
                  <c:v>-0.18978931870373356</c:v>
                </c:pt>
                <c:pt idx="12">
                  <c:v>-0.19019205883706125</c:v>
                </c:pt>
                <c:pt idx="13">
                  <c:v>-0.19066783336649834</c:v>
                </c:pt>
                <c:pt idx="14">
                  <c:v>-0.19565239957338915</c:v>
                </c:pt>
                <c:pt idx="15">
                  <c:v>-0.1995246820604353</c:v>
                </c:pt>
                <c:pt idx="16">
                  <c:v>-0.19993351974685983</c:v>
                </c:pt>
                <c:pt idx="17">
                  <c:v>-0.20345318090220624</c:v>
                </c:pt>
                <c:pt idx="18">
                  <c:v>-0.20971435335709729</c:v>
                </c:pt>
                <c:pt idx="19">
                  <c:v>-0.20972627391990473</c:v>
                </c:pt>
                <c:pt idx="20">
                  <c:v>-0.21250513123601966</c:v>
                </c:pt>
                <c:pt idx="21">
                  <c:v>-0.2147340240704963</c:v>
                </c:pt>
                <c:pt idx="22">
                  <c:v>-0.21513830388448657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2-41E8-B49B-FA8AE1A62F24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ARIMA1!$F$283:$F$305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0.15835317682051836</c:v>
                </c:pt>
                <c:pt idx="3">
                  <c:v>0.16003544890317267</c:v>
                </c:pt>
                <c:pt idx="4">
                  <c:v>0.16032341304508582</c:v>
                </c:pt>
                <c:pt idx="5">
                  <c:v>0.16438385765054028</c:v>
                </c:pt>
                <c:pt idx="6">
                  <c:v>0.16504491320385534</c:v>
                </c:pt>
                <c:pt idx="7">
                  <c:v>0.16696529295749363</c:v>
                </c:pt>
                <c:pt idx="8">
                  <c:v>0.17517471047544791</c:v>
                </c:pt>
                <c:pt idx="9">
                  <c:v>0.17681497527713733</c:v>
                </c:pt>
                <c:pt idx="10">
                  <c:v>0.18777498509367105</c:v>
                </c:pt>
                <c:pt idx="11">
                  <c:v>0.18978931870373356</c:v>
                </c:pt>
                <c:pt idx="12">
                  <c:v>0.19019205883706125</c:v>
                </c:pt>
                <c:pt idx="13">
                  <c:v>0.19066783336649834</c:v>
                </c:pt>
                <c:pt idx="14">
                  <c:v>0.19565239957338915</c:v>
                </c:pt>
                <c:pt idx="15">
                  <c:v>0.1995246820604353</c:v>
                </c:pt>
                <c:pt idx="16">
                  <c:v>0.19993351974685983</c:v>
                </c:pt>
                <c:pt idx="17">
                  <c:v>0.20345318090220624</c:v>
                </c:pt>
                <c:pt idx="18">
                  <c:v>0.20971435335709729</c:v>
                </c:pt>
                <c:pt idx="19">
                  <c:v>0.20972627391990473</c:v>
                </c:pt>
                <c:pt idx="20">
                  <c:v>0.21250513123601966</c:v>
                </c:pt>
                <c:pt idx="21">
                  <c:v>0.2147340240704963</c:v>
                </c:pt>
                <c:pt idx="22">
                  <c:v>0.21513830388448657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2-41E8-B49B-FA8AE1A62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27904"/>
        <c:axId val="415725408"/>
      </c:lineChart>
      <c:catAx>
        <c:axId val="41572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725408"/>
        <c:crosses val="autoZero"/>
        <c:auto val="1"/>
        <c:lblAlgn val="ctr"/>
        <c:lblOffset val="100"/>
        <c:noMultiLvlLbl val="0"/>
      </c:catAx>
      <c:valAx>
        <c:axId val="41572540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72790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ARIMA1!$B$283:$B$305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ARIMA1!$G$283:$G$305</c:f>
              <c:numCache>
                <c:formatCode>0.000</c:formatCode>
                <c:ptCount val="23"/>
                <c:pt idx="0">
                  <c:v>1</c:v>
                </c:pt>
                <c:pt idx="1">
                  <c:v>-9.5693823675778972E-2</c:v>
                </c:pt>
                <c:pt idx="2">
                  <c:v>-0.11449176621431351</c:v>
                </c:pt>
                <c:pt idx="3">
                  <c:v>2.1681855229346056E-2</c:v>
                </c:pt>
                <c:pt idx="4">
                  <c:v>-0.1726364089002897</c:v>
                </c:pt>
                <c:pt idx="5">
                  <c:v>4.1785796798805029E-2</c:v>
                </c:pt>
                <c:pt idx="6">
                  <c:v>8.9229003489042766E-2</c:v>
                </c:pt>
                <c:pt idx="7">
                  <c:v>-0.21096257335986257</c:v>
                </c:pt>
                <c:pt idx="8">
                  <c:v>7.117659435183496E-2</c:v>
                </c:pt>
                <c:pt idx="9">
                  <c:v>0.29605351170007832</c:v>
                </c:pt>
                <c:pt idx="10">
                  <c:v>-4.2966333212773884E-2</c:v>
                </c:pt>
                <c:pt idx="11">
                  <c:v>1.3915255745993926E-2</c:v>
                </c:pt>
                <c:pt idx="12">
                  <c:v>-1.4866549091293509E-2</c:v>
                </c:pt>
                <c:pt idx="13">
                  <c:v>-0.11097722614385572</c:v>
                </c:pt>
                <c:pt idx="14">
                  <c:v>3.7686114473796738E-2</c:v>
                </c:pt>
                <c:pt idx="15">
                  <c:v>7.5924872215966638E-2</c:v>
                </c:pt>
                <c:pt idx="16">
                  <c:v>-7.3479917478478887E-2</c:v>
                </c:pt>
                <c:pt idx="17">
                  <c:v>0.13033115587654001</c:v>
                </c:pt>
                <c:pt idx="18">
                  <c:v>1.1844632894563001E-2</c:v>
                </c:pt>
                <c:pt idx="19">
                  <c:v>-0.13641503985589198</c:v>
                </c:pt>
                <c:pt idx="20">
                  <c:v>3.1054253133557214E-2</c:v>
                </c:pt>
                <c:pt idx="21">
                  <c:v>0.26079541798517458</c:v>
                </c:pt>
                <c:pt idx="22">
                  <c:v>-4.0240002883519442E-2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0D-4155-9B5E-0B53F9C1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9664944"/>
        <c:axId val="76195545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ARIMA1!$I$283:$I$305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D-4155-9B5E-0B53F9C119BC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ARIMA1!$B$283:$B$305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ARIMA1!$J$283:$J$305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0D-4155-9B5E-0B53F9C1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664944"/>
        <c:axId val="761955456"/>
      </c:lineChart>
      <c:catAx>
        <c:axId val="40966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1955456"/>
        <c:crosses val="autoZero"/>
        <c:auto val="1"/>
        <c:lblAlgn val="ctr"/>
        <c:lblOffset val="100"/>
        <c:noMultiLvlLbl val="0"/>
      </c:catAx>
      <c:valAx>
        <c:axId val="76195545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0966494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Coefficient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791FF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strRef>
              <c:f>'Time series transformation1'!$B$18:$B$29</c:f>
              <c:strCache>
                <c:ptCount val="12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  <c:pt idx="7">
                  <c:v>P8</c:v>
                </c:pt>
                <c:pt idx="8">
                  <c:v>P9</c:v>
                </c:pt>
                <c:pt idx="9">
                  <c:v>P10</c:v>
                </c:pt>
                <c:pt idx="10">
                  <c:v>P11</c:v>
                </c:pt>
                <c:pt idx="11">
                  <c:v>P12</c:v>
                </c:pt>
              </c:strCache>
            </c:strRef>
          </c:cat>
          <c:val>
            <c:numRef>
              <c:f>'Time series transformation1'!$C$18:$C$29</c:f>
              <c:numCache>
                <c:formatCode>0.000</c:formatCode>
                <c:ptCount val="12"/>
                <c:pt idx="0">
                  <c:v>0.97847472461337903</c:v>
                </c:pt>
                <c:pt idx="1">
                  <c:v>0.93707248862945713</c:v>
                </c:pt>
                <c:pt idx="2">
                  <c:v>0.93828400589420857</c:v>
                </c:pt>
                <c:pt idx="3">
                  <c:v>0.97380411394316235</c:v>
                </c:pt>
                <c:pt idx="4">
                  <c:v>1.0275566848532147</c:v>
                </c:pt>
                <c:pt idx="5">
                  <c:v>1.0343086104143013</c:v>
                </c:pt>
                <c:pt idx="6">
                  <c:v>1.0132461694027695</c:v>
                </c:pt>
                <c:pt idx="7">
                  <c:v>1.0550552330203224</c:v>
                </c:pt>
                <c:pt idx="8">
                  <c:v>1.0182550004741353</c:v>
                </c:pt>
                <c:pt idx="9">
                  <c:v>1.0241404826497529</c:v>
                </c:pt>
                <c:pt idx="10">
                  <c:v>1.0135208239044666</c:v>
                </c:pt>
                <c:pt idx="11">
                  <c:v>0.96739601113764628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C-4195-9994-ED1F95C14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2692048"/>
        <c:axId val="832706192"/>
      </c:barChart>
      <c:catAx>
        <c:axId val="832692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Period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6192"/>
        <c:crosses val="autoZero"/>
        <c:auto val="1"/>
        <c:lblAlgn val="ctr"/>
        <c:lblOffset val="100"/>
        <c:noMultiLvlLbl val="0"/>
      </c:catAx>
      <c:valAx>
        <c:axId val="8327061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204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transformation1'!$B$54:$B$209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transformation1'!$C$54:$C$209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D7-41A3-B009-F643BC497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04944"/>
        <c:axId val="832706608"/>
      </c:scatterChart>
      <c:valAx>
        <c:axId val="83270494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6608"/>
        <c:crosses val="autoZero"/>
        <c:crossBetween val="midCat"/>
      </c:valAx>
      <c:valAx>
        <c:axId val="832706608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0494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Trend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Trend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transformation1'!$B$54:$B$209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transformation1'!$D$54:$D$209</c:f>
              <c:numCache>
                <c:formatCode>0.000</c:formatCode>
                <c:ptCount val="156"/>
                <c:pt idx="6">
                  <c:v>50.720833333333331</c:v>
                </c:pt>
                <c:pt idx="7">
                  <c:v>50.170833333333327</c:v>
                </c:pt>
                <c:pt idx="8">
                  <c:v>49.691666666666663</c:v>
                </c:pt>
                <c:pt idx="9">
                  <c:v>49.19166666666667</c:v>
                </c:pt>
                <c:pt idx="10">
                  <c:v>48.658333333333331</c:v>
                </c:pt>
                <c:pt idx="11">
                  <c:v>48.091666666666669</c:v>
                </c:pt>
                <c:pt idx="12">
                  <c:v>47.49583333333333</c:v>
                </c:pt>
                <c:pt idx="13">
                  <c:v>47.029166666666669</c:v>
                </c:pt>
                <c:pt idx="14">
                  <c:v>46.620833333333337</c:v>
                </c:pt>
                <c:pt idx="15">
                  <c:v>46.25833333333334</c:v>
                </c:pt>
                <c:pt idx="16">
                  <c:v>45.941666666666663</c:v>
                </c:pt>
                <c:pt idx="17">
                  <c:v>45.633333333333326</c:v>
                </c:pt>
                <c:pt idx="18">
                  <c:v>45.454166666666666</c:v>
                </c:pt>
                <c:pt idx="19">
                  <c:v>45.166666666666671</c:v>
                </c:pt>
                <c:pt idx="20">
                  <c:v>44.791666666666664</c:v>
                </c:pt>
                <c:pt idx="21">
                  <c:v>44.43333333333333</c:v>
                </c:pt>
                <c:pt idx="22">
                  <c:v>44.099999999999994</c:v>
                </c:pt>
                <c:pt idx="23">
                  <c:v>43.737499999999997</c:v>
                </c:pt>
                <c:pt idx="24">
                  <c:v>43.533333333333331</c:v>
                </c:pt>
                <c:pt idx="25">
                  <c:v>43.37916666666667</c:v>
                </c:pt>
                <c:pt idx="26">
                  <c:v>42.99583333333333</c:v>
                </c:pt>
                <c:pt idx="27">
                  <c:v>42.670833333333327</c:v>
                </c:pt>
                <c:pt idx="28">
                  <c:v>42.333333333333329</c:v>
                </c:pt>
                <c:pt idx="29">
                  <c:v>41.966666666666669</c:v>
                </c:pt>
                <c:pt idx="30">
                  <c:v>41.591666666666669</c:v>
                </c:pt>
                <c:pt idx="31">
                  <c:v>41.258333333333333</c:v>
                </c:pt>
                <c:pt idx="32">
                  <c:v>40.791666666666671</c:v>
                </c:pt>
                <c:pt idx="33">
                  <c:v>40.333333333333329</c:v>
                </c:pt>
                <c:pt idx="34">
                  <c:v>39.88333333333334</c:v>
                </c:pt>
                <c:pt idx="35">
                  <c:v>39.433333333333337</c:v>
                </c:pt>
                <c:pt idx="36">
                  <c:v>39.037500000000001</c:v>
                </c:pt>
                <c:pt idx="37">
                  <c:v>38.508333333333333</c:v>
                </c:pt>
                <c:pt idx="38">
                  <c:v>38.304166666666674</c:v>
                </c:pt>
                <c:pt idx="39">
                  <c:v>38.466666666666669</c:v>
                </c:pt>
                <c:pt idx="40">
                  <c:v>38.408333333333331</c:v>
                </c:pt>
                <c:pt idx="41">
                  <c:v>38.183333333333337</c:v>
                </c:pt>
                <c:pt idx="42">
                  <c:v>37.862499999999997</c:v>
                </c:pt>
                <c:pt idx="43">
                  <c:v>37.504166666666663</c:v>
                </c:pt>
                <c:pt idx="44">
                  <c:v>37.404166666666676</c:v>
                </c:pt>
                <c:pt idx="45">
                  <c:v>37.274999999999999</c:v>
                </c:pt>
                <c:pt idx="46">
                  <c:v>37.066666666666663</c:v>
                </c:pt>
                <c:pt idx="47">
                  <c:v>36.92916666666666</c:v>
                </c:pt>
                <c:pt idx="48">
                  <c:v>36.800000000000004</c:v>
                </c:pt>
                <c:pt idx="49">
                  <c:v>36.575000000000003</c:v>
                </c:pt>
                <c:pt idx="50">
                  <c:v>36.166666666666664</c:v>
                </c:pt>
                <c:pt idx="51">
                  <c:v>35.524999999999999</c:v>
                </c:pt>
                <c:pt idx="52">
                  <c:v>34.954166666666666</c:v>
                </c:pt>
                <c:pt idx="53">
                  <c:v>34.633333333333333</c:v>
                </c:pt>
                <c:pt idx="54">
                  <c:v>34.412500000000001</c:v>
                </c:pt>
                <c:pt idx="55">
                  <c:v>34.191666666666663</c:v>
                </c:pt>
                <c:pt idx="56">
                  <c:v>34.083333333333336</c:v>
                </c:pt>
                <c:pt idx="57">
                  <c:v>34.016666666666673</c:v>
                </c:pt>
                <c:pt idx="58">
                  <c:v>33.824999999999996</c:v>
                </c:pt>
                <c:pt idx="59">
                  <c:v>33.625</c:v>
                </c:pt>
                <c:pt idx="60">
                  <c:v>33.37083333333333</c:v>
                </c:pt>
                <c:pt idx="61">
                  <c:v>33.095833333333324</c:v>
                </c:pt>
                <c:pt idx="62">
                  <c:v>32.824999999999996</c:v>
                </c:pt>
                <c:pt idx="63">
                  <c:v>32.483333333333327</c:v>
                </c:pt>
                <c:pt idx="64">
                  <c:v>32.254166666666663</c:v>
                </c:pt>
                <c:pt idx="65">
                  <c:v>32.137499999999996</c:v>
                </c:pt>
                <c:pt idx="66">
                  <c:v>31.999999999999993</c:v>
                </c:pt>
                <c:pt idx="67">
                  <c:v>31.804166666666664</c:v>
                </c:pt>
                <c:pt idx="68">
                  <c:v>31.458333333333329</c:v>
                </c:pt>
                <c:pt idx="69">
                  <c:v>31.087499999999995</c:v>
                </c:pt>
                <c:pt idx="70">
                  <c:v>30.86666666666666</c:v>
                </c:pt>
                <c:pt idx="71">
                  <c:v>30.654166666666661</c:v>
                </c:pt>
                <c:pt idx="72">
                  <c:v>30.404166666666661</c:v>
                </c:pt>
                <c:pt idx="73">
                  <c:v>30.241666666666671</c:v>
                </c:pt>
                <c:pt idx="74">
                  <c:v>30.079166666666666</c:v>
                </c:pt>
                <c:pt idx="75">
                  <c:v>29.820833333333333</c:v>
                </c:pt>
                <c:pt idx="76">
                  <c:v>29.525000000000002</c:v>
                </c:pt>
                <c:pt idx="77">
                  <c:v>29.133333333333333</c:v>
                </c:pt>
                <c:pt idx="78">
                  <c:v>28.716666666666665</c:v>
                </c:pt>
                <c:pt idx="79">
                  <c:v>28.454166666666666</c:v>
                </c:pt>
                <c:pt idx="80">
                  <c:v>28.195833333333333</c:v>
                </c:pt>
                <c:pt idx="81">
                  <c:v>27.912499999999998</c:v>
                </c:pt>
                <c:pt idx="82">
                  <c:v>27.612499999999997</c:v>
                </c:pt>
                <c:pt idx="83">
                  <c:v>27.237500000000001</c:v>
                </c:pt>
                <c:pt idx="84">
                  <c:v>26.908333333333328</c:v>
                </c:pt>
                <c:pt idx="85">
                  <c:v>26.595833333333335</c:v>
                </c:pt>
                <c:pt idx="86">
                  <c:v>26.258333333333333</c:v>
                </c:pt>
                <c:pt idx="87">
                  <c:v>25.987500000000004</c:v>
                </c:pt>
                <c:pt idx="88">
                  <c:v>25.729166666666671</c:v>
                </c:pt>
                <c:pt idx="89">
                  <c:v>25.462499999999999</c:v>
                </c:pt>
                <c:pt idx="90">
                  <c:v>25.254166666666666</c:v>
                </c:pt>
                <c:pt idx="91">
                  <c:v>24.966666666666665</c:v>
                </c:pt>
                <c:pt idx="92">
                  <c:v>24.625</c:v>
                </c:pt>
                <c:pt idx="93">
                  <c:v>24.341666666666669</c:v>
                </c:pt>
                <c:pt idx="94">
                  <c:v>24.066666666666666</c:v>
                </c:pt>
                <c:pt idx="95">
                  <c:v>23.800000000000004</c:v>
                </c:pt>
                <c:pt idx="96">
                  <c:v>23.545833333333334</c:v>
                </c:pt>
                <c:pt idx="97">
                  <c:v>23.258333333333333</c:v>
                </c:pt>
                <c:pt idx="98">
                  <c:v>22.937499999999996</c:v>
                </c:pt>
                <c:pt idx="99">
                  <c:v>22.625</c:v>
                </c:pt>
                <c:pt idx="100">
                  <c:v>22.320833333333333</c:v>
                </c:pt>
                <c:pt idx="101">
                  <c:v>22.066666666666666</c:v>
                </c:pt>
                <c:pt idx="102">
                  <c:v>21.812499999999996</c:v>
                </c:pt>
                <c:pt idx="103">
                  <c:v>21.570833333333329</c:v>
                </c:pt>
                <c:pt idx="104">
                  <c:v>21.358333333333334</c:v>
                </c:pt>
                <c:pt idx="105">
                  <c:v>21.137499999999999</c:v>
                </c:pt>
                <c:pt idx="106">
                  <c:v>20.933333333333337</c:v>
                </c:pt>
                <c:pt idx="107">
                  <c:v>20.729166666666668</c:v>
                </c:pt>
                <c:pt idx="108">
                  <c:v>20.508333333333336</c:v>
                </c:pt>
                <c:pt idx="109">
                  <c:v>20.333333333333332</c:v>
                </c:pt>
                <c:pt idx="110">
                  <c:v>20.2</c:v>
                </c:pt>
                <c:pt idx="111">
                  <c:v>20.070833333333333</c:v>
                </c:pt>
                <c:pt idx="112">
                  <c:v>19.949999999999996</c:v>
                </c:pt>
                <c:pt idx="113">
                  <c:v>19.845833333333331</c:v>
                </c:pt>
                <c:pt idx="114">
                  <c:v>19.954166666666666</c:v>
                </c:pt>
                <c:pt idx="115">
                  <c:v>20.229166666666664</c:v>
                </c:pt>
                <c:pt idx="116">
                  <c:v>20.55</c:v>
                </c:pt>
                <c:pt idx="117">
                  <c:v>20.879166666666666</c:v>
                </c:pt>
                <c:pt idx="118">
                  <c:v>21.137500000000003</c:v>
                </c:pt>
                <c:pt idx="119">
                  <c:v>21.4</c:v>
                </c:pt>
                <c:pt idx="120">
                  <c:v>21.679166666666664</c:v>
                </c:pt>
                <c:pt idx="121">
                  <c:v>21.949999999999996</c:v>
                </c:pt>
                <c:pt idx="122">
                  <c:v>22.237500000000001</c:v>
                </c:pt>
                <c:pt idx="123">
                  <c:v>22.541666666666668</c:v>
                </c:pt>
                <c:pt idx="124">
                  <c:v>22.824999999999999</c:v>
                </c:pt>
                <c:pt idx="125">
                  <c:v>23.104166666666664</c:v>
                </c:pt>
                <c:pt idx="126">
                  <c:v>23.258333333333333</c:v>
                </c:pt>
                <c:pt idx="127">
                  <c:v>23.304166666666664</c:v>
                </c:pt>
                <c:pt idx="128">
                  <c:v>23.299999999999997</c:v>
                </c:pt>
                <c:pt idx="129">
                  <c:v>23.249999999999996</c:v>
                </c:pt>
                <c:pt idx="130">
                  <c:v>23.266666666666669</c:v>
                </c:pt>
                <c:pt idx="131">
                  <c:v>23.295833333333334</c:v>
                </c:pt>
                <c:pt idx="132">
                  <c:v>23.283333333333328</c:v>
                </c:pt>
                <c:pt idx="133">
                  <c:v>23.291666666666664</c:v>
                </c:pt>
                <c:pt idx="134">
                  <c:v>23.295833333333331</c:v>
                </c:pt>
                <c:pt idx="135">
                  <c:v>23.295833333333331</c:v>
                </c:pt>
                <c:pt idx="136">
                  <c:v>23.345833333333331</c:v>
                </c:pt>
                <c:pt idx="137">
                  <c:v>23.354166666666668</c:v>
                </c:pt>
                <c:pt idx="138">
                  <c:v>23.295833333333334</c:v>
                </c:pt>
                <c:pt idx="139">
                  <c:v>23.237500000000001</c:v>
                </c:pt>
                <c:pt idx="140">
                  <c:v>23.270833333333332</c:v>
                </c:pt>
                <c:pt idx="141">
                  <c:v>23.216666666666665</c:v>
                </c:pt>
                <c:pt idx="142">
                  <c:v>23.166666666666664</c:v>
                </c:pt>
                <c:pt idx="143">
                  <c:v>23.104166666666664</c:v>
                </c:pt>
                <c:pt idx="144">
                  <c:v>23.045833333333334</c:v>
                </c:pt>
                <c:pt idx="145">
                  <c:v>23.158333333333335</c:v>
                </c:pt>
                <c:pt idx="146">
                  <c:v>23.133333333333333</c:v>
                </c:pt>
                <c:pt idx="147">
                  <c:v>23.05</c:v>
                </c:pt>
                <c:pt idx="148">
                  <c:v>23.037499999999998</c:v>
                </c:pt>
                <c:pt idx="149">
                  <c:v>23.033333333333331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7C-448F-A34A-4BCE00EAB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99120"/>
        <c:axId val="832699952"/>
      </c:scatterChart>
      <c:valAx>
        <c:axId val="832699120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9952"/>
        <c:crosses val="autoZero"/>
        <c:crossBetween val="midCat"/>
      </c:valAx>
      <c:valAx>
        <c:axId val="832699952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912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Seasonal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Seasonal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transformation1'!$B$54:$B$209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transformation1'!$E$54:$E$209</c:f>
              <c:numCache>
                <c:formatCode>0.000</c:formatCode>
                <c:ptCount val="156"/>
                <c:pt idx="6">
                  <c:v>1.0132461694027695</c:v>
                </c:pt>
                <c:pt idx="7">
                  <c:v>1.0550552330203224</c:v>
                </c:pt>
                <c:pt idx="8">
                  <c:v>1.0182550004741353</c:v>
                </c:pt>
                <c:pt idx="9">
                  <c:v>1.0241404826497529</c:v>
                </c:pt>
                <c:pt idx="10">
                  <c:v>1.0135208239044666</c:v>
                </c:pt>
                <c:pt idx="11">
                  <c:v>0.96739601113764628</c:v>
                </c:pt>
                <c:pt idx="12">
                  <c:v>0.97847472461337903</c:v>
                </c:pt>
                <c:pt idx="13">
                  <c:v>0.93707248862945713</c:v>
                </c:pt>
                <c:pt idx="14">
                  <c:v>0.93828400589420857</c:v>
                </c:pt>
                <c:pt idx="15">
                  <c:v>0.97380411394316235</c:v>
                </c:pt>
                <c:pt idx="16">
                  <c:v>1.0275566848532147</c:v>
                </c:pt>
                <c:pt idx="17">
                  <c:v>1.0343086104143013</c:v>
                </c:pt>
                <c:pt idx="18">
                  <c:v>1.0132461694027695</c:v>
                </c:pt>
                <c:pt idx="19">
                  <c:v>1.0550552330203224</c:v>
                </c:pt>
                <c:pt idx="20">
                  <c:v>1.0182550004741353</c:v>
                </c:pt>
                <c:pt idx="21">
                  <c:v>1.0241404826497529</c:v>
                </c:pt>
                <c:pt idx="22">
                  <c:v>1.0135208239044666</c:v>
                </c:pt>
                <c:pt idx="23">
                  <c:v>0.96739601113764628</c:v>
                </c:pt>
                <c:pt idx="24">
                  <c:v>0.97847472461337903</c:v>
                </c:pt>
                <c:pt idx="25">
                  <c:v>0.93707248862945713</c:v>
                </c:pt>
                <c:pt idx="26">
                  <c:v>0.93828400589420857</c:v>
                </c:pt>
                <c:pt idx="27">
                  <c:v>0.97380411394316235</c:v>
                </c:pt>
                <c:pt idx="28">
                  <c:v>1.0275566848532147</c:v>
                </c:pt>
                <c:pt idx="29">
                  <c:v>1.0343086104143013</c:v>
                </c:pt>
                <c:pt idx="30">
                  <c:v>1.0132461694027695</c:v>
                </c:pt>
                <c:pt idx="31">
                  <c:v>1.0550552330203224</c:v>
                </c:pt>
                <c:pt idx="32">
                  <c:v>1.0182550004741353</c:v>
                </c:pt>
                <c:pt idx="33">
                  <c:v>1.0241404826497529</c:v>
                </c:pt>
                <c:pt idx="34">
                  <c:v>1.0135208239044666</c:v>
                </c:pt>
                <c:pt idx="35">
                  <c:v>0.96739601113764628</c:v>
                </c:pt>
                <c:pt idx="36">
                  <c:v>0.97847472461337903</c:v>
                </c:pt>
                <c:pt idx="37">
                  <c:v>0.93707248862945713</c:v>
                </c:pt>
                <c:pt idx="38">
                  <c:v>0.93828400589420857</c:v>
                </c:pt>
                <c:pt idx="39">
                  <c:v>0.97380411394316235</c:v>
                </c:pt>
                <c:pt idx="40">
                  <c:v>1.0275566848532147</c:v>
                </c:pt>
                <c:pt idx="41">
                  <c:v>1.0343086104143013</c:v>
                </c:pt>
                <c:pt idx="42">
                  <c:v>1.0132461694027695</c:v>
                </c:pt>
                <c:pt idx="43">
                  <c:v>1.0550552330203224</c:v>
                </c:pt>
                <c:pt idx="44">
                  <c:v>1.0182550004741353</c:v>
                </c:pt>
                <c:pt idx="45">
                  <c:v>1.0241404826497529</c:v>
                </c:pt>
                <c:pt idx="46">
                  <c:v>1.0135208239044666</c:v>
                </c:pt>
                <c:pt idx="47">
                  <c:v>0.96739601113764628</c:v>
                </c:pt>
                <c:pt idx="48">
                  <c:v>0.97847472461337903</c:v>
                </c:pt>
                <c:pt idx="49">
                  <c:v>0.93707248862945713</c:v>
                </c:pt>
                <c:pt idx="50">
                  <c:v>0.93828400589420857</c:v>
                </c:pt>
                <c:pt idx="51">
                  <c:v>0.97380411394316235</c:v>
                </c:pt>
                <c:pt idx="52">
                  <c:v>1.0275566848532147</c:v>
                </c:pt>
                <c:pt idx="53">
                  <c:v>1.0343086104143013</c:v>
                </c:pt>
                <c:pt idx="54">
                  <c:v>1.0132461694027695</c:v>
                </c:pt>
                <c:pt idx="55">
                  <c:v>1.0550552330203224</c:v>
                </c:pt>
                <c:pt idx="56">
                  <c:v>1.0182550004741353</c:v>
                </c:pt>
                <c:pt idx="57">
                  <c:v>1.0241404826497529</c:v>
                </c:pt>
                <c:pt idx="58">
                  <c:v>1.0135208239044666</c:v>
                </c:pt>
                <c:pt idx="59">
                  <c:v>0.96739601113764628</c:v>
                </c:pt>
                <c:pt idx="60">
                  <c:v>0.97847472461337903</c:v>
                </c:pt>
                <c:pt idx="61">
                  <c:v>0.93707248862945713</c:v>
                </c:pt>
                <c:pt idx="62">
                  <c:v>0.93828400589420857</c:v>
                </c:pt>
                <c:pt idx="63">
                  <c:v>0.97380411394316235</c:v>
                </c:pt>
                <c:pt idx="64">
                  <c:v>1.0275566848532147</c:v>
                </c:pt>
                <c:pt idx="65">
                  <c:v>1.0343086104143013</c:v>
                </c:pt>
                <c:pt idx="66">
                  <c:v>1.0132461694027695</c:v>
                </c:pt>
                <c:pt idx="67">
                  <c:v>1.0550552330203224</c:v>
                </c:pt>
                <c:pt idx="68">
                  <c:v>1.0182550004741353</c:v>
                </c:pt>
                <c:pt idx="69">
                  <c:v>1.0241404826497529</c:v>
                </c:pt>
                <c:pt idx="70">
                  <c:v>1.0135208239044666</c:v>
                </c:pt>
                <c:pt idx="71">
                  <c:v>0.96739601113764628</c:v>
                </c:pt>
                <c:pt idx="72">
                  <c:v>0.97847472461337903</c:v>
                </c:pt>
                <c:pt idx="73">
                  <c:v>0.93707248862945713</c:v>
                </c:pt>
                <c:pt idx="74">
                  <c:v>0.93828400589420857</c:v>
                </c:pt>
                <c:pt idx="75">
                  <c:v>0.97380411394316235</c:v>
                </c:pt>
                <c:pt idx="76">
                  <c:v>1.0275566848532147</c:v>
                </c:pt>
                <c:pt idx="77">
                  <c:v>1.0343086104143013</c:v>
                </c:pt>
                <c:pt idx="78">
                  <c:v>1.0132461694027695</c:v>
                </c:pt>
                <c:pt idx="79">
                  <c:v>1.0550552330203224</c:v>
                </c:pt>
                <c:pt idx="80">
                  <c:v>1.0182550004741353</c:v>
                </c:pt>
                <c:pt idx="81">
                  <c:v>1.0241404826497529</c:v>
                </c:pt>
                <c:pt idx="82">
                  <c:v>1.0135208239044666</c:v>
                </c:pt>
                <c:pt idx="83">
                  <c:v>0.96739601113764628</c:v>
                </c:pt>
                <c:pt idx="84">
                  <c:v>0.97847472461337903</c:v>
                </c:pt>
                <c:pt idx="85">
                  <c:v>0.93707248862945713</c:v>
                </c:pt>
                <c:pt idx="86">
                  <c:v>0.93828400589420857</c:v>
                </c:pt>
                <c:pt idx="87">
                  <c:v>0.97380411394316235</c:v>
                </c:pt>
                <c:pt idx="88">
                  <c:v>1.0275566848532147</c:v>
                </c:pt>
                <c:pt idx="89">
                  <c:v>1.0343086104143013</c:v>
                </c:pt>
                <c:pt idx="90">
                  <c:v>1.0132461694027695</c:v>
                </c:pt>
                <c:pt idx="91">
                  <c:v>1.0550552330203224</c:v>
                </c:pt>
                <c:pt idx="92">
                  <c:v>1.0182550004741353</c:v>
                </c:pt>
                <c:pt idx="93">
                  <c:v>1.0241404826497529</c:v>
                </c:pt>
                <c:pt idx="94">
                  <c:v>1.0135208239044666</c:v>
                </c:pt>
                <c:pt idx="95">
                  <c:v>0.96739601113764628</c:v>
                </c:pt>
                <c:pt idx="96">
                  <c:v>0.97847472461337903</c:v>
                </c:pt>
                <c:pt idx="97">
                  <c:v>0.93707248862945713</c:v>
                </c:pt>
                <c:pt idx="98">
                  <c:v>0.93828400589420857</c:v>
                </c:pt>
                <c:pt idx="99">
                  <c:v>0.97380411394316235</c:v>
                </c:pt>
                <c:pt idx="100">
                  <c:v>1.0275566848532147</c:v>
                </c:pt>
                <c:pt idx="101">
                  <c:v>1.0343086104143013</c:v>
                </c:pt>
                <c:pt idx="102">
                  <c:v>1.0132461694027695</c:v>
                </c:pt>
                <c:pt idx="103">
                  <c:v>1.0550552330203224</c:v>
                </c:pt>
                <c:pt idx="104">
                  <c:v>1.0182550004741353</c:v>
                </c:pt>
                <c:pt idx="105">
                  <c:v>1.0241404826497529</c:v>
                </c:pt>
                <c:pt idx="106">
                  <c:v>1.0135208239044666</c:v>
                </c:pt>
                <c:pt idx="107">
                  <c:v>0.96739601113764628</c:v>
                </c:pt>
                <c:pt idx="108">
                  <c:v>0.97847472461337903</c:v>
                </c:pt>
                <c:pt idx="109">
                  <c:v>0.93707248862945713</c:v>
                </c:pt>
                <c:pt idx="110">
                  <c:v>0.93828400589420857</c:v>
                </c:pt>
                <c:pt idx="111">
                  <c:v>0.97380411394316235</c:v>
                </c:pt>
                <c:pt idx="112">
                  <c:v>1.0275566848532147</c:v>
                </c:pt>
                <c:pt idx="113">
                  <c:v>1.0343086104143013</c:v>
                </c:pt>
                <c:pt idx="114">
                  <c:v>1.0132461694027695</c:v>
                </c:pt>
                <c:pt idx="115">
                  <c:v>1.0550552330203224</c:v>
                </c:pt>
                <c:pt idx="116">
                  <c:v>1.0182550004741353</c:v>
                </c:pt>
                <c:pt idx="117">
                  <c:v>1.0241404826497529</c:v>
                </c:pt>
                <c:pt idx="118">
                  <c:v>1.0135208239044666</c:v>
                </c:pt>
                <c:pt idx="119">
                  <c:v>0.96739601113764628</c:v>
                </c:pt>
                <c:pt idx="120">
                  <c:v>0.97847472461337903</c:v>
                </c:pt>
                <c:pt idx="121">
                  <c:v>0.93707248862945713</c:v>
                </c:pt>
                <c:pt idx="122">
                  <c:v>0.93828400589420857</c:v>
                </c:pt>
                <c:pt idx="123">
                  <c:v>0.97380411394316235</c:v>
                </c:pt>
                <c:pt idx="124">
                  <c:v>1.0275566848532147</c:v>
                </c:pt>
                <c:pt idx="125">
                  <c:v>1.0343086104143013</c:v>
                </c:pt>
                <c:pt idx="126">
                  <c:v>1.0132461694027695</c:v>
                </c:pt>
                <c:pt idx="127">
                  <c:v>1.0550552330203224</c:v>
                </c:pt>
                <c:pt idx="128">
                  <c:v>1.0182550004741353</c:v>
                </c:pt>
                <c:pt idx="129">
                  <c:v>1.0241404826497529</c:v>
                </c:pt>
                <c:pt idx="130">
                  <c:v>1.0135208239044666</c:v>
                </c:pt>
                <c:pt idx="131">
                  <c:v>0.96739601113764628</c:v>
                </c:pt>
                <c:pt idx="132">
                  <c:v>0.97847472461337903</c:v>
                </c:pt>
                <c:pt idx="133">
                  <c:v>0.93707248862945713</c:v>
                </c:pt>
                <c:pt idx="134">
                  <c:v>0.93828400589420857</c:v>
                </c:pt>
                <c:pt idx="135">
                  <c:v>0.97380411394316235</c:v>
                </c:pt>
                <c:pt idx="136">
                  <c:v>1.0275566848532147</c:v>
                </c:pt>
                <c:pt idx="137">
                  <c:v>1.0343086104143013</c:v>
                </c:pt>
                <c:pt idx="138">
                  <c:v>1.0132461694027695</c:v>
                </c:pt>
                <c:pt idx="139">
                  <c:v>1.0550552330203224</c:v>
                </c:pt>
                <c:pt idx="140">
                  <c:v>1.0182550004741353</c:v>
                </c:pt>
                <c:pt idx="141">
                  <c:v>1.0241404826497529</c:v>
                </c:pt>
                <c:pt idx="142">
                  <c:v>1.0135208239044666</c:v>
                </c:pt>
                <c:pt idx="143">
                  <c:v>0.96739601113764628</c:v>
                </c:pt>
                <c:pt idx="144">
                  <c:v>0.97847472461337903</c:v>
                </c:pt>
                <c:pt idx="145">
                  <c:v>0.93707248862945713</c:v>
                </c:pt>
                <c:pt idx="146">
                  <c:v>0.93828400589420857</c:v>
                </c:pt>
                <c:pt idx="147">
                  <c:v>0.97380411394316235</c:v>
                </c:pt>
                <c:pt idx="148">
                  <c:v>1.0275566848532147</c:v>
                </c:pt>
                <c:pt idx="149">
                  <c:v>1.0343086104143013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46-4754-9A0E-E39D233C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694128"/>
        <c:axId val="832711184"/>
      </c:scatterChart>
      <c:valAx>
        <c:axId val="83269412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11184"/>
        <c:crosses val="autoZero"/>
        <c:crossBetween val="midCat"/>
      </c:valAx>
      <c:valAx>
        <c:axId val="832711184"/>
        <c:scaling>
          <c:orientation val="minMax"/>
          <c:max val="1.0600000000000003"/>
          <c:min val="0.920000000000000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Trend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69412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Random component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Random component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'Time series transformation1'!$B$54:$B$209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'Time series transformation1'!$F$54:$F$209</c:f>
              <c:numCache>
                <c:formatCode>0.000</c:formatCode>
                <c:ptCount val="156"/>
                <c:pt idx="6">
                  <c:v>0.97679261229624637</c:v>
                </c:pt>
                <c:pt idx="7">
                  <c:v>1.0088224688651937</c:v>
                </c:pt>
                <c:pt idx="8">
                  <c:v>1.0020002837744313</c:v>
                </c:pt>
                <c:pt idx="9">
                  <c:v>0.9607143794186026</c:v>
                </c:pt>
                <c:pt idx="10">
                  <c:v>1.0321144941298106</c:v>
                </c:pt>
                <c:pt idx="11">
                  <c:v>0.96080090295070031</c:v>
                </c:pt>
                <c:pt idx="12">
                  <c:v>0.98981198485402211</c:v>
                </c:pt>
                <c:pt idx="13">
                  <c:v>1.0143014635115781</c:v>
                </c:pt>
                <c:pt idx="14">
                  <c:v>1.0218641842414742</c:v>
                </c:pt>
                <c:pt idx="15">
                  <c:v>1.0034063580402501</c:v>
                </c:pt>
                <c:pt idx="16">
                  <c:v>1.0104290963273492</c:v>
                </c:pt>
                <c:pt idx="17">
                  <c:v>0.99154749010200005</c:v>
                </c:pt>
                <c:pt idx="18">
                  <c:v>0.94015449272408858</c:v>
                </c:pt>
                <c:pt idx="19">
                  <c:v>1.0303582569195873</c:v>
                </c:pt>
                <c:pt idx="20">
                  <c:v>0.99102511512331148</c:v>
                </c:pt>
                <c:pt idx="21">
                  <c:v>0.99327614796210228</c:v>
                </c:pt>
                <c:pt idx="22">
                  <c:v>1.0403553077927403</c:v>
                </c:pt>
                <c:pt idx="23">
                  <c:v>0.98554805945714175</c:v>
                </c:pt>
                <c:pt idx="24">
                  <c:v>1.0493877476991429</c:v>
                </c:pt>
                <c:pt idx="25">
                  <c:v>0.96188325630763005</c:v>
                </c:pt>
                <c:pt idx="26">
                  <c:v>1.0237392810591253</c:v>
                </c:pt>
                <c:pt idx="27">
                  <c:v>0.96262527831152922</c:v>
                </c:pt>
                <c:pt idx="28">
                  <c:v>1.0321862889844877</c:v>
                </c:pt>
                <c:pt idx="29">
                  <c:v>0.94225552467601104</c:v>
                </c:pt>
                <c:pt idx="30">
                  <c:v>1.0511929313362891</c:v>
                </c:pt>
                <c:pt idx="31">
                  <c:v>1.0199904226848155</c:v>
                </c:pt>
                <c:pt idx="32">
                  <c:v>0.97986536626304344</c:v>
                </c:pt>
                <c:pt idx="33">
                  <c:v>1.0143559333957965</c:v>
                </c:pt>
                <c:pt idx="34">
                  <c:v>1.0316014183150399</c:v>
                </c:pt>
                <c:pt idx="35">
                  <c:v>0.98826534845813518</c:v>
                </c:pt>
                <c:pt idx="36">
                  <c:v>1.0393430057716582</c:v>
                </c:pt>
                <c:pt idx="37">
                  <c:v>1.0004129197498146</c:v>
                </c:pt>
                <c:pt idx="38">
                  <c:v>0.92097461966494043</c:v>
                </c:pt>
                <c:pt idx="39">
                  <c:v>0.99308582018253733</c:v>
                </c:pt>
                <c:pt idx="40">
                  <c:v>0.93496448675135069</c:v>
                </c:pt>
                <c:pt idx="41">
                  <c:v>0.96471936603433717</c:v>
                </c:pt>
                <c:pt idx="42">
                  <c:v>0.98008465149533042</c:v>
                </c:pt>
                <c:pt idx="43">
                  <c:v>0.97045747257392256</c:v>
                </c:pt>
                <c:pt idx="44">
                  <c:v>1.0974879152343595</c:v>
                </c:pt>
                <c:pt idx="45">
                  <c:v>1.1709283944361677</c:v>
                </c:pt>
                <c:pt idx="46">
                  <c:v>0.99819423895465553</c:v>
                </c:pt>
                <c:pt idx="47">
                  <c:v>1.0216898162150114</c:v>
                </c:pt>
                <c:pt idx="48">
                  <c:v>0.92202066169869723</c:v>
                </c:pt>
                <c:pt idx="49">
                  <c:v>0.99202220783368855</c:v>
                </c:pt>
                <c:pt idx="50">
                  <c:v>0.96656495975544499</c:v>
                </c:pt>
                <c:pt idx="51">
                  <c:v>0.9943808478374383</c:v>
                </c:pt>
                <c:pt idx="52">
                  <c:v>0.96610589738248065</c:v>
                </c:pt>
                <c:pt idx="53">
                  <c:v>1.0328976542232546</c:v>
                </c:pt>
                <c:pt idx="54">
                  <c:v>1.0209836867895088</c:v>
                </c:pt>
                <c:pt idx="55">
                  <c:v>0.9702252603288426</c:v>
                </c:pt>
                <c:pt idx="56">
                  <c:v>1.0200105144215768</c:v>
                </c:pt>
                <c:pt idx="57">
                  <c:v>1.0247476435903644</c:v>
                </c:pt>
                <c:pt idx="58">
                  <c:v>0.95676077572962859</c:v>
                </c:pt>
                <c:pt idx="59">
                  <c:v>1.0298600742724011</c:v>
                </c:pt>
                <c:pt idx="60">
                  <c:v>0.94632827361160499</c:v>
                </c:pt>
                <c:pt idx="61">
                  <c:v>0.99957453899951787</c:v>
                </c:pt>
                <c:pt idx="62">
                  <c:v>1.0779510393349385</c:v>
                </c:pt>
                <c:pt idx="63">
                  <c:v>1.024266140957232</c:v>
                </c:pt>
                <c:pt idx="64">
                  <c:v>0.96853075888759654</c:v>
                </c:pt>
                <c:pt idx="65">
                  <c:v>1.0469284798436074</c:v>
                </c:pt>
                <c:pt idx="66">
                  <c:v>0.9776745571946226</c:v>
                </c:pt>
                <c:pt idx="67">
                  <c:v>0.9625943445046844</c:v>
                </c:pt>
                <c:pt idx="68">
                  <c:v>0.98649484735213311</c:v>
                </c:pt>
                <c:pt idx="69">
                  <c:v>0.983102964769201</c:v>
                </c:pt>
                <c:pt idx="70">
                  <c:v>1.0132972268062546</c:v>
                </c:pt>
                <c:pt idx="71">
                  <c:v>1.0723419929855786</c:v>
                </c:pt>
                <c:pt idx="72">
                  <c:v>0.98488359626583966</c:v>
                </c:pt>
                <c:pt idx="73">
                  <c:v>0.9845217011498828</c:v>
                </c:pt>
                <c:pt idx="74">
                  <c:v>0.99210563848686628</c:v>
                </c:pt>
                <c:pt idx="75">
                  <c:v>0.98830391622853919</c:v>
                </c:pt>
                <c:pt idx="76">
                  <c:v>1.0053195869471063</c:v>
                </c:pt>
                <c:pt idx="77">
                  <c:v>1.0387332161450369</c:v>
                </c:pt>
                <c:pt idx="78">
                  <c:v>1.0035380732117394</c:v>
                </c:pt>
                <c:pt idx="79">
                  <c:v>1.0292891919979377</c:v>
                </c:pt>
                <c:pt idx="80">
                  <c:v>1.0135647606567069</c:v>
                </c:pt>
                <c:pt idx="81">
                  <c:v>0.96549674180518574</c:v>
                </c:pt>
                <c:pt idx="82">
                  <c:v>1.0112255414824582</c:v>
                </c:pt>
                <c:pt idx="83">
                  <c:v>0.9791476149493904</c:v>
                </c:pt>
                <c:pt idx="84">
                  <c:v>0.96091309204754571</c:v>
                </c:pt>
                <c:pt idx="85">
                  <c:v>1.0271956579209549</c:v>
                </c:pt>
                <c:pt idx="86">
                  <c:v>0.97817277713483342</c:v>
                </c:pt>
                <c:pt idx="87">
                  <c:v>1.0194914753080804</c:v>
                </c:pt>
                <c:pt idx="88">
                  <c:v>0.99099116394455944</c:v>
                </c:pt>
                <c:pt idx="89">
                  <c:v>1.0100211184555907</c:v>
                </c:pt>
                <c:pt idx="90">
                  <c:v>1.0160739921243498</c:v>
                </c:pt>
                <c:pt idx="91">
                  <c:v>1.0098244408472039</c:v>
                </c:pt>
                <c:pt idx="92">
                  <c:v>1.0089920177502607</c:v>
                </c:pt>
                <c:pt idx="93">
                  <c:v>0.99882522715622601</c:v>
                </c:pt>
                <c:pt idx="94">
                  <c:v>1.016723968391354</c:v>
                </c:pt>
                <c:pt idx="95">
                  <c:v>0.99461323271124669</c:v>
                </c:pt>
                <c:pt idx="96">
                  <c:v>1.0069880287295943</c:v>
                </c:pt>
                <c:pt idx="97">
                  <c:v>0.95435852403510069</c:v>
                </c:pt>
                <c:pt idx="98">
                  <c:v>0.96181146689827057</c:v>
                </c:pt>
                <c:pt idx="99">
                  <c:v>1.0166882994669404</c:v>
                </c:pt>
                <c:pt idx="100">
                  <c:v>1.0027938052033374</c:v>
                </c:pt>
                <c:pt idx="101">
                  <c:v>1.0252481223184575</c:v>
                </c:pt>
                <c:pt idx="102">
                  <c:v>1.0451811415086132</c:v>
                </c:pt>
                <c:pt idx="103">
                  <c:v>0.99303903413141492</c:v>
                </c:pt>
                <c:pt idx="104">
                  <c:v>0.99318428578422391</c:v>
                </c:pt>
                <c:pt idx="105">
                  <c:v>0.97469626359318462</c:v>
                </c:pt>
                <c:pt idx="106">
                  <c:v>1.0039418032350056</c:v>
                </c:pt>
                <c:pt idx="107">
                  <c:v>1.0123015509030466</c:v>
                </c:pt>
                <c:pt idx="108">
                  <c:v>0.98171685362266403</c:v>
                </c:pt>
                <c:pt idx="109">
                  <c:v>0.97093456121465904</c:v>
                </c:pt>
                <c:pt idx="110">
                  <c:v>0.94442472459804261</c:v>
                </c:pt>
                <c:pt idx="111">
                  <c:v>1.0181600838501585</c:v>
                </c:pt>
                <c:pt idx="112">
                  <c:v>1.0048900161469811</c:v>
                </c:pt>
                <c:pt idx="113">
                  <c:v>1.0181852614454163</c:v>
                </c:pt>
                <c:pt idx="114">
                  <c:v>1.0040318089949196</c:v>
                </c:pt>
                <c:pt idx="115">
                  <c:v>0.99330511642595154</c:v>
                </c:pt>
                <c:pt idx="116">
                  <c:v>0.94623021658267847</c:v>
                </c:pt>
                <c:pt idx="117">
                  <c:v>0.92596057465162285</c:v>
                </c:pt>
                <c:pt idx="118">
                  <c:v>0.91955969884954381</c:v>
                </c:pt>
                <c:pt idx="119">
                  <c:v>0.93709509408528946</c:v>
                </c:pt>
                <c:pt idx="120">
                  <c:v>1.0936938978187465</c:v>
                </c:pt>
                <c:pt idx="121">
                  <c:v>1.0501371896459482</c:v>
                </c:pt>
                <c:pt idx="122">
                  <c:v>1.0783562099850468</c:v>
                </c:pt>
                <c:pt idx="123">
                  <c:v>1.0568913818131709</c:v>
                </c:pt>
                <c:pt idx="124">
                  <c:v>1.0019620834336995</c:v>
                </c:pt>
                <c:pt idx="125">
                  <c:v>1.0168709128567726</c:v>
                </c:pt>
                <c:pt idx="126">
                  <c:v>1.001425029654867</c:v>
                </c:pt>
                <c:pt idx="127">
                  <c:v>0.99238696873493371</c:v>
                </c:pt>
                <c:pt idx="128">
                  <c:v>0.99050207513588695</c:v>
                </c:pt>
                <c:pt idx="129">
                  <c:v>0.98272808267400902</c:v>
                </c:pt>
                <c:pt idx="130">
                  <c:v>0.97111047396876804</c:v>
                </c:pt>
                <c:pt idx="131">
                  <c:v>1.0161385772217209</c:v>
                </c:pt>
                <c:pt idx="132">
                  <c:v>1.0271197732688579</c:v>
                </c:pt>
                <c:pt idx="133">
                  <c:v>1.0308815435030658</c:v>
                </c:pt>
                <c:pt idx="134">
                  <c:v>0.9836167053625009</c:v>
                </c:pt>
                <c:pt idx="135">
                  <c:v>1.0138599800095356</c:v>
                </c:pt>
                <c:pt idx="136">
                  <c:v>1.0046201226736462</c:v>
                </c:pt>
                <c:pt idx="137">
                  <c:v>1.0101254447836154</c:v>
                </c:pt>
                <c:pt idx="138">
                  <c:v>0.9828670226694266</c:v>
                </c:pt>
                <c:pt idx="139">
                  <c:v>1.019707021985512</c:v>
                </c:pt>
                <c:pt idx="140">
                  <c:v>0.97064260192138685</c:v>
                </c:pt>
                <c:pt idx="141">
                  <c:v>1.0051676465475361</c:v>
                </c:pt>
                <c:pt idx="142">
                  <c:v>1.0051150523447412</c:v>
                </c:pt>
                <c:pt idx="143">
                  <c:v>1.0021977357903362</c:v>
                </c:pt>
                <c:pt idx="144">
                  <c:v>0.99779308461162552</c:v>
                </c:pt>
                <c:pt idx="145">
                  <c:v>1.01377643612816</c:v>
                </c:pt>
                <c:pt idx="146">
                  <c:v>1.0504183934785178</c:v>
                </c:pt>
                <c:pt idx="147">
                  <c:v>0.90884041799458926</c:v>
                </c:pt>
                <c:pt idx="148">
                  <c:v>1.0772066933174025</c:v>
                </c:pt>
                <c:pt idx="149">
                  <c:v>0.90246740911589851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41-430F-B140-163B650EC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711600"/>
        <c:axId val="832712016"/>
      </c:scatterChart>
      <c:valAx>
        <c:axId val="832711600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12016"/>
        <c:crosses val="autoZero"/>
        <c:crossBetween val="midCat"/>
      </c:valAx>
      <c:valAx>
        <c:axId val="832712016"/>
        <c:scaling>
          <c:orientation val="minMax"/>
          <c:max val="1.2"/>
          <c:min val="0.8999999999999999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Random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3271160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Time series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'Time series_HID'!$A$1</c:f>
              <c:strCache>
                <c:ptCount val="1"/>
                <c:pt idx="0">
                  <c:v>Others</c:v>
                </c:pt>
              </c:strCache>
            </c:strRef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yVal>
            <c:numRef>
              <c:f>'Time series_HID'!$A$2:$A$157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0F-45D1-ACFD-0F6C58B6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055808"/>
        <c:axId val="818060384"/>
      </c:scatterChart>
      <c:valAx>
        <c:axId val="818055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60384"/>
        <c:crosses val="autoZero"/>
        <c:crossBetween val="midCat"/>
      </c:valAx>
      <c:valAx>
        <c:axId val="8180603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series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1805580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US"/>
              <a:t>Time step / 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'Dickey-Fuller_HID'!$A$2:$A$157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'Dickey-Fuller_HID'!$B$2:$B$157</c:f>
              <c:numCache>
                <c:formatCode>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8-49DF-9095-3084069BF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704448"/>
        <c:axId val="822703616"/>
      </c:scatterChart>
      <c:valAx>
        <c:axId val="822704448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22703616"/>
        <c:crosses val="autoZero"/>
        <c:crossBetween val="midCat"/>
      </c:valAx>
      <c:valAx>
        <c:axId val="822703616"/>
        <c:scaling>
          <c:orientation val="minMax"/>
          <c:max val="55"/>
          <c:min val="15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22704448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  <a:r>
              <a:rPr lang="en-US" baseline="0"/>
              <a:t> Vs Forecasted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'Exponential Smoothing(Others)'!$B$1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'Exponential Smoothing(Others)'!$B$2:$B$157</c:f>
              <c:numCache>
                <c:formatCode>General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DC-4E6C-BBB5-F60BD030A3C6}"/>
            </c:ext>
          </c:extLst>
        </c:ser>
        <c:ser>
          <c:idx val="2"/>
          <c:order val="1"/>
          <c:tx>
            <c:strRef>
              <c:f>'Exponential Smoothing(Others)'!$C$1</c:f>
              <c:strCache>
                <c:ptCount val="1"/>
                <c:pt idx="0">
                  <c:v>Forecasted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'Exponential Smoothing(Others)'!$C$2:$C$157</c:f>
              <c:numCache>
                <c:formatCode>General</c:formatCode>
                <c:ptCount val="156"/>
                <c:pt idx="0">
                  <c:v>53.1</c:v>
                </c:pt>
                <c:pt idx="1">
                  <c:v>53.1</c:v>
                </c:pt>
                <c:pt idx="2">
                  <c:v>51.72</c:v>
                </c:pt>
                <c:pt idx="3">
                  <c:v>50.748000000000005</c:v>
                </c:pt>
                <c:pt idx="4">
                  <c:v>51.379199999999997</c:v>
                </c:pt>
                <c:pt idx="5">
                  <c:v>52.891679999999994</c:v>
                </c:pt>
                <c:pt idx="6">
                  <c:v>53.676672000000003</c:v>
                </c:pt>
                <c:pt idx="7">
                  <c:v>51.590668800000003</c:v>
                </c:pt>
                <c:pt idx="8">
                  <c:v>52.676267520000003</c:v>
                </c:pt>
                <c:pt idx="9">
                  <c:v>51.490507008000009</c:v>
                </c:pt>
                <c:pt idx="10">
                  <c:v>49.636202803200007</c:v>
                </c:pt>
                <c:pt idx="11">
                  <c:v>50.394481121280002</c:v>
                </c:pt>
                <c:pt idx="12">
                  <c:v>46.977792448512005</c:v>
                </c:pt>
                <c:pt idx="13">
                  <c:v>46.391116979404799</c:v>
                </c:pt>
                <c:pt idx="14">
                  <c:v>45.376446791761921</c:v>
                </c:pt>
                <c:pt idx="15">
                  <c:v>44.970578716704765</c:v>
                </c:pt>
                <c:pt idx="16">
                  <c:v>45.108231486681909</c:v>
                </c:pt>
                <c:pt idx="17">
                  <c:v>46.663292594672768</c:v>
                </c:pt>
                <c:pt idx="18">
                  <c:v>46.745317037869107</c:v>
                </c:pt>
                <c:pt idx="19">
                  <c:v>44.678126815147635</c:v>
                </c:pt>
                <c:pt idx="20">
                  <c:v>47.331250726059054</c:v>
                </c:pt>
                <c:pt idx="21">
                  <c:v>46.052500290423623</c:v>
                </c:pt>
                <c:pt idx="22">
                  <c:v>45.54100011616945</c:v>
                </c:pt>
                <c:pt idx="23">
                  <c:v>46.116400046467774</c:v>
                </c:pt>
                <c:pt idx="24">
                  <c:v>43.46656001858711</c:v>
                </c:pt>
                <c:pt idx="25">
                  <c:v>44.20662400743484</c:v>
                </c:pt>
                <c:pt idx="26">
                  <c:v>41.142649602973933</c:v>
                </c:pt>
                <c:pt idx="27">
                  <c:v>41.23705984118957</c:v>
                </c:pt>
                <c:pt idx="28">
                  <c:v>40.494823936475825</c:v>
                </c:pt>
                <c:pt idx="29">
                  <c:v>43.137929574590331</c:v>
                </c:pt>
                <c:pt idx="30">
                  <c:v>41.795171829836136</c:v>
                </c:pt>
                <c:pt idx="31">
                  <c:v>43.29806873193445</c:v>
                </c:pt>
                <c:pt idx="32">
                  <c:v>43.959227492773778</c:v>
                </c:pt>
                <c:pt idx="33">
                  <c:v>42.003690997109516</c:v>
                </c:pt>
                <c:pt idx="34">
                  <c:v>41.941476398843804</c:v>
                </c:pt>
                <c:pt idx="35">
                  <c:v>41.79659055953752</c:v>
                </c:pt>
                <c:pt idx="36">
                  <c:v>39.338636223815008</c:v>
                </c:pt>
                <c:pt idx="37">
                  <c:v>39.555454489526007</c:v>
                </c:pt>
                <c:pt idx="38">
                  <c:v>37.482181795810405</c:v>
                </c:pt>
                <c:pt idx="39">
                  <c:v>34.852872718324164</c:v>
                </c:pt>
                <c:pt idx="40">
                  <c:v>36.26114908732967</c:v>
                </c:pt>
                <c:pt idx="41">
                  <c:v>36.644459634931863</c:v>
                </c:pt>
                <c:pt idx="42">
                  <c:v>37.517783853972745</c:v>
                </c:pt>
                <c:pt idx="43">
                  <c:v>37.567113541589094</c:v>
                </c:pt>
                <c:pt idx="44">
                  <c:v>38.066845416635637</c:v>
                </c:pt>
                <c:pt idx="45">
                  <c:v>40.306738166654256</c:v>
                </c:pt>
                <c:pt idx="46">
                  <c:v>42.942695266661701</c:v>
                </c:pt>
                <c:pt idx="47">
                  <c:v>39.67707810666468</c:v>
                </c:pt>
                <c:pt idx="48">
                  <c:v>37.770831242665871</c:v>
                </c:pt>
                <c:pt idx="49">
                  <c:v>35.028332497066351</c:v>
                </c:pt>
                <c:pt idx="50">
                  <c:v>34.411332998826538</c:v>
                </c:pt>
                <c:pt idx="51">
                  <c:v>33.444533199530611</c:v>
                </c:pt>
                <c:pt idx="52">
                  <c:v>34.017813279812245</c:v>
                </c:pt>
                <c:pt idx="53">
                  <c:v>34.427125311924897</c:v>
                </c:pt>
                <c:pt idx="54">
                  <c:v>35.97085012476996</c:v>
                </c:pt>
                <c:pt idx="55">
                  <c:v>35.748340049907981</c:v>
                </c:pt>
                <c:pt idx="56">
                  <c:v>35.299336019963192</c:v>
                </c:pt>
                <c:pt idx="57">
                  <c:v>35.359734407985272</c:v>
                </c:pt>
                <c:pt idx="58">
                  <c:v>35.563893763194109</c:v>
                </c:pt>
                <c:pt idx="59">
                  <c:v>33.905557505277642</c:v>
                </c:pt>
                <c:pt idx="60">
                  <c:v>33.662223002111055</c:v>
                </c:pt>
                <c:pt idx="61">
                  <c:v>32.004889200844424</c:v>
                </c:pt>
                <c:pt idx="62">
                  <c:v>31.401955680337768</c:v>
                </c:pt>
                <c:pt idx="63">
                  <c:v>32.480782272135109</c:v>
                </c:pt>
                <c:pt idx="64">
                  <c:v>32.432312908854044</c:v>
                </c:pt>
                <c:pt idx="65">
                  <c:v>32.232925163541623</c:v>
                </c:pt>
                <c:pt idx="66">
                  <c:v>33.77317006541665</c:v>
                </c:pt>
                <c:pt idx="67">
                  <c:v>32.529268026166662</c:v>
                </c:pt>
                <c:pt idx="68">
                  <c:v>32.391707210466663</c:v>
                </c:pt>
                <c:pt idx="69">
                  <c:v>31.916682884186667</c:v>
                </c:pt>
                <c:pt idx="70">
                  <c:v>31.546673153674668</c:v>
                </c:pt>
                <c:pt idx="71">
                  <c:v>31.638669261469868</c:v>
                </c:pt>
                <c:pt idx="72">
                  <c:v>31.735467704587947</c:v>
                </c:pt>
                <c:pt idx="73">
                  <c:v>30.27418708183518</c:v>
                </c:pt>
                <c:pt idx="74">
                  <c:v>28.84967483273407</c:v>
                </c:pt>
                <c:pt idx="75">
                  <c:v>28.339869933093631</c:v>
                </c:pt>
                <c:pt idx="76">
                  <c:v>28.555947973237451</c:v>
                </c:pt>
                <c:pt idx="77">
                  <c:v>29.722379189294983</c:v>
                </c:pt>
                <c:pt idx="78">
                  <c:v>30.668951675717995</c:v>
                </c:pt>
                <c:pt idx="79">
                  <c:v>29.787580670287198</c:v>
                </c:pt>
                <c:pt idx="80">
                  <c:v>30.455032268114877</c:v>
                </c:pt>
                <c:pt idx="81">
                  <c:v>29.642012907245952</c:v>
                </c:pt>
                <c:pt idx="82">
                  <c:v>28.416805162898381</c:v>
                </c:pt>
                <c:pt idx="83">
                  <c:v>28.346722065159355</c:v>
                </c:pt>
                <c:pt idx="84">
                  <c:v>26.818688826063742</c:v>
                </c:pt>
                <c:pt idx="85">
                  <c:v>25.907475530425497</c:v>
                </c:pt>
                <c:pt idx="86">
                  <c:v>25.722990212170199</c:v>
                </c:pt>
                <c:pt idx="87">
                  <c:v>24.749196084868082</c:v>
                </c:pt>
                <c:pt idx="88">
                  <c:v>25.379678433947234</c:v>
                </c:pt>
                <c:pt idx="89">
                  <c:v>25.871871373578891</c:v>
                </c:pt>
                <c:pt idx="90">
                  <c:v>26.308748549431556</c:v>
                </c:pt>
                <c:pt idx="91">
                  <c:v>26.123499419772621</c:v>
                </c:pt>
                <c:pt idx="92">
                  <c:v>26.409399767909051</c:v>
                </c:pt>
                <c:pt idx="93">
                  <c:v>25.743759907163621</c:v>
                </c:pt>
                <c:pt idx="94">
                  <c:v>25.237503962865446</c:v>
                </c:pt>
                <c:pt idx="95">
                  <c:v>24.975001585146178</c:v>
                </c:pt>
                <c:pt idx="96">
                  <c:v>23.73000063405847</c:v>
                </c:pt>
                <c:pt idx="97">
                  <c:v>23.41200025362339</c:v>
                </c:pt>
                <c:pt idx="98">
                  <c:v>21.844800101449358</c:v>
                </c:pt>
                <c:pt idx="99">
                  <c:v>21.157920040579743</c:v>
                </c:pt>
                <c:pt idx="100">
                  <c:v>21.903168016231895</c:v>
                </c:pt>
                <c:pt idx="101">
                  <c:v>22.561267206492758</c:v>
                </c:pt>
                <c:pt idx="102">
                  <c:v>23.064506882597101</c:v>
                </c:pt>
                <c:pt idx="103">
                  <c:v>23.085802753038841</c:v>
                </c:pt>
                <c:pt idx="104">
                  <c:v>22.794321101215537</c:v>
                </c:pt>
                <c:pt idx="105">
                  <c:v>22.077728440486219</c:v>
                </c:pt>
                <c:pt idx="106">
                  <c:v>21.49109137619449</c:v>
                </c:pt>
                <c:pt idx="107">
                  <c:v>21.376436550477795</c:v>
                </c:pt>
                <c:pt idx="108">
                  <c:v>20.730574620191121</c:v>
                </c:pt>
                <c:pt idx="109">
                  <c:v>20.112229848076446</c:v>
                </c:pt>
                <c:pt idx="110">
                  <c:v>19.144891939230579</c:v>
                </c:pt>
                <c:pt idx="111">
                  <c:v>18.397956775692229</c:v>
                </c:pt>
                <c:pt idx="112">
                  <c:v>19.299182710276892</c:v>
                </c:pt>
                <c:pt idx="113">
                  <c:v>20.079673084110759</c:v>
                </c:pt>
                <c:pt idx="114">
                  <c:v>20.571869233644303</c:v>
                </c:pt>
                <c:pt idx="115">
                  <c:v>20.40874769345772</c:v>
                </c:pt>
                <c:pt idx="116">
                  <c:v>20.883499077383085</c:v>
                </c:pt>
                <c:pt idx="117">
                  <c:v>20.233399630953237</c:v>
                </c:pt>
                <c:pt idx="118">
                  <c:v>19.973359852381297</c:v>
                </c:pt>
                <c:pt idx="119">
                  <c:v>19.809343940952516</c:v>
                </c:pt>
                <c:pt idx="120">
                  <c:v>19.563737576381005</c:v>
                </c:pt>
                <c:pt idx="121">
                  <c:v>21.745495030552402</c:v>
                </c:pt>
                <c:pt idx="122">
                  <c:v>21.658198012220964</c:v>
                </c:pt>
                <c:pt idx="123">
                  <c:v>22.163279204888386</c:v>
                </c:pt>
                <c:pt idx="124">
                  <c:v>22.785311681955356</c:v>
                </c:pt>
                <c:pt idx="125">
                  <c:v>23.214124672782141</c:v>
                </c:pt>
                <c:pt idx="126">
                  <c:v>23.865649869112858</c:v>
                </c:pt>
                <c:pt idx="127">
                  <c:v>23.706259947645144</c:v>
                </c:pt>
                <c:pt idx="128">
                  <c:v>24.122503979058056</c:v>
                </c:pt>
                <c:pt idx="129">
                  <c:v>23.749001591623223</c:v>
                </c:pt>
                <c:pt idx="130">
                  <c:v>23.53960063664929</c:v>
                </c:pt>
                <c:pt idx="131">
                  <c:v>23.155840254659715</c:v>
                </c:pt>
                <c:pt idx="132">
                  <c:v>23.002336101863882</c:v>
                </c:pt>
                <c:pt idx="133">
                  <c:v>23.240934440745555</c:v>
                </c:pt>
                <c:pt idx="134">
                  <c:v>22.796373776298225</c:v>
                </c:pt>
                <c:pt idx="135">
                  <c:v>22.018549510519293</c:v>
                </c:pt>
                <c:pt idx="136">
                  <c:v>22.607419804207716</c:v>
                </c:pt>
                <c:pt idx="137">
                  <c:v>23.502967921683087</c:v>
                </c:pt>
                <c:pt idx="138">
                  <c:v>24.041187168673233</c:v>
                </c:pt>
                <c:pt idx="139">
                  <c:v>23.536474867469295</c:v>
                </c:pt>
                <c:pt idx="140">
                  <c:v>24.414589946987718</c:v>
                </c:pt>
                <c:pt idx="141">
                  <c:v>23.565835978795086</c:v>
                </c:pt>
                <c:pt idx="142">
                  <c:v>23.766334391518033</c:v>
                </c:pt>
                <c:pt idx="143">
                  <c:v>23.666533756607215</c:v>
                </c:pt>
                <c:pt idx="144">
                  <c:v>22.906613502642884</c:v>
                </c:pt>
                <c:pt idx="145">
                  <c:v>22.662645401057155</c:v>
                </c:pt>
                <c:pt idx="146">
                  <c:v>22.265058160422861</c:v>
                </c:pt>
                <c:pt idx="147">
                  <c:v>22.586023264169143</c:v>
                </c:pt>
                <c:pt idx="148">
                  <c:v>21.274409305667653</c:v>
                </c:pt>
                <c:pt idx="149">
                  <c:v>23.809763722267061</c:v>
                </c:pt>
                <c:pt idx="150">
                  <c:v>22.423905488906826</c:v>
                </c:pt>
                <c:pt idx="151">
                  <c:v>23.789562195562731</c:v>
                </c:pt>
                <c:pt idx="152">
                  <c:v>25.235824878225092</c:v>
                </c:pt>
                <c:pt idx="153">
                  <c:v>22.814329951290034</c:v>
                </c:pt>
                <c:pt idx="154">
                  <c:v>23.345731980516014</c:v>
                </c:pt>
                <c:pt idx="155">
                  <c:v>23.438292792206404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DC-4E6C-BBB5-F60BD030A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263552"/>
        <c:axId val="531268800"/>
      </c:lineChart>
      <c:catAx>
        <c:axId val="531263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68800"/>
        <c:crosses val="autoZero"/>
        <c:auto val="1"/>
        <c:lblAlgn val="ctr"/>
        <c:lblOffset val="100"/>
        <c:noMultiLvlLbl val="0"/>
      </c:catAx>
      <c:valAx>
        <c:axId val="53126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63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Exponential / Simple / 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Exponential1!$B$42:$B$197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Exponential1!$C$42:$C$197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C6-49DF-B6F3-867529348846}"/>
            </c:ext>
          </c:extLst>
        </c:ser>
        <c:ser>
          <c:idx val="1"/>
          <c:order val="1"/>
          <c:tx>
            <c:v>Exponential(Others)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Exponential1!$B$42:$B$197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Exponential1!$D$42:$D$197</c:f>
              <c:numCache>
                <c:formatCode>0.000</c:formatCode>
                <c:ptCount val="156"/>
                <c:pt idx="1">
                  <c:v>53.1</c:v>
                </c:pt>
                <c:pt idx="2">
                  <c:v>51.72</c:v>
                </c:pt>
                <c:pt idx="3">
                  <c:v>50.748000000000005</c:v>
                </c:pt>
                <c:pt idx="4">
                  <c:v>51.379199999999997</c:v>
                </c:pt>
                <c:pt idx="5">
                  <c:v>52.891679999999994</c:v>
                </c:pt>
                <c:pt idx="6">
                  <c:v>53.676672000000003</c:v>
                </c:pt>
                <c:pt idx="7">
                  <c:v>51.590668800000003</c:v>
                </c:pt>
                <c:pt idx="8">
                  <c:v>52.676267520000003</c:v>
                </c:pt>
                <c:pt idx="9">
                  <c:v>51.490507008000009</c:v>
                </c:pt>
                <c:pt idx="10">
                  <c:v>49.636202803200007</c:v>
                </c:pt>
                <c:pt idx="11">
                  <c:v>50.394481121280002</c:v>
                </c:pt>
                <c:pt idx="12">
                  <c:v>46.977792448512005</c:v>
                </c:pt>
                <c:pt idx="13">
                  <c:v>46.391116979404799</c:v>
                </c:pt>
                <c:pt idx="14">
                  <c:v>45.376446791761921</c:v>
                </c:pt>
                <c:pt idx="15">
                  <c:v>44.970578716704765</c:v>
                </c:pt>
                <c:pt idx="16">
                  <c:v>45.108231486681909</c:v>
                </c:pt>
                <c:pt idx="17">
                  <c:v>46.663292594672768</c:v>
                </c:pt>
                <c:pt idx="18">
                  <c:v>46.745317037869107</c:v>
                </c:pt>
                <c:pt idx="19">
                  <c:v>44.678126815147635</c:v>
                </c:pt>
                <c:pt idx="20">
                  <c:v>47.331250726059054</c:v>
                </c:pt>
                <c:pt idx="21">
                  <c:v>46.052500290423623</c:v>
                </c:pt>
                <c:pt idx="22">
                  <c:v>45.54100011616945</c:v>
                </c:pt>
                <c:pt idx="23">
                  <c:v>46.116400046467774</c:v>
                </c:pt>
                <c:pt idx="24">
                  <c:v>43.46656001858711</c:v>
                </c:pt>
                <c:pt idx="25">
                  <c:v>44.20662400743484</c:v>
                </c:pt>
                <c:pt idx="26">
                  <c:v>41.142649602973933</c:v>
                </c:pt>
                <c:pt idx="27">
                  <c:v>41.23705984118957</c:v>
                </c:pt>
                <c:pt idx="28">
                  <c:v>40.494823936475825</c:v>
                </c:pt>
                <c:pt idx="29">
                  <c:v>43.137929574590331</c:v>
                </c:pt>
                <c:pt idx="30">
                  <c:v>41.795171829836136</c:v>
                </c:pt>
                <c:pt idx="31">
                  <c:v>43.29806873193445</c:v>
                </c:pt>
                <c:pt idx="32">
                  <c:v>43.959227492773778</c:v>
                </c:pt>
                <c:pt idx="33">
                  <c:v>42.003690997109516</c:v>
                </c:pt>
                <c:pt idx="34">
                  <c:v>41.941476398843804</c:v>
                </c:pt>
                <c:pt idx="35">
                  <c:v>41.79659055953752</c:v>
                </c:pt>
                <c:pt idx="36">
                  <c:v>39.338636223815008</c:v>
                </c:pt>
                <c:pt idx="37">
                  <c:v>39.555454489526007</c:v>
                </c:pt>
                <c:pt idx="38">
                  <c:v>37.482181795810405</c:v>
                </c:pt>
                <c:pt idx="39">
                  <c:v>34.852872718324164</c:v>
                </c:pt>
                <c:pt idx="40">
                  <c:v>36.26114908732967</c:v>
                </c:pt>
                <c:pt idx="41">
                  <c:v>36.644459634931863</c:v>
                </c:pt>
                <c:pt idx="42">
                  <c:v>37.517783853972745</c:v>
                </c:pt>
                <c:pt idx="43">
                  <c:v>37.567113541589094</c:v>
                </c:pt>
                <c:pt idx="44">
                  <c:v>38.066845416635637</c:v>
                </c:pt>
                <c:pt idx="45">
                  <c:v>40.306738166654256</c:v>
                </c:pt>
                <c:pt idx="46">
                  <c:v>42.942695266661701</c:v>
                </c:pt>
                <c:pt idx="47">
                  <c:v>39.67707810666468</c:v>
                </c:pt>
                <c:pt idx="48">
                  <c:v>37.770831242665871</c:v>
                </c:pt>
                <c:pt idx="49">
                  <c:v>35.028332497066351</c:v>
                </c:pt>
                <c:pt idx="50">
                  <c:v>34.411332998826538</c:v>
                </c:pt>
                <c:pt idx="51">
                  <c:v>33.444533199530611</c:v>
                </c:pt>
                <c:pt idx="52">
                  <c:v>34.017813279812245</c:v>
                </c:pt>
                <c:pt idx="53">
                  <c:v>34.427125311924897</c:v>
                </c:pt>
                <c:pt idx="54">
                  <c:v>35.97085012476996</c:v>
                </c:pt>
                <c:pt idx="55">
                  <c:v>35.748340049907981</c:v>
                </c:pt>
                <c:pt idx="56">
                  <c:v>35.299336019963192</c:v>
                </c:pt>
                <c:pt idx="57">
                  <c:v>35.359734407985272</c:v>
                </c:pt>
                <c:pt idx="58">
                  <c:v>35.563893763194109</c:v>
                </c:pt>
                <c:pt idx="59">
                  <c:v>33.905557505277642</c:v>
                </c:pt>
                <c:pt idx="60">
                  <c:v>33.662223002111055</c:v>
                </c:pt>
                <c:pt idx="61">
                  <c:v>32.004889200844424</c:v>
                </c:pt>
                <c:pt idx="62">
                  <c:v>31.401955680337768</c:v>
                </c:pt>
                <c:pt idx="63">
                  <c:v>32.480782272135109</c:v>
                </c:pt>
                <c:pt idx="64">
                  <c:v>32.432312908854044</c:v>
                </c:pt>
                <c:pt idx="65">
                  <c:v>32.232925163541623</c:v>
                </c:pt>
                <c:pt idx="66">
                  <c:v>33.77317006541665</c:v>
                </c:pt>
                <c:pt idx="67">
                  <c:v>32.529268026166662</c:v>
                </c:pt>
                <c:pt idx="68">
                  <c:v>32.391707210466663</c:v>
                </c:pt>
                <c:pt idx="69">
                  <c:v>31.916682884186667</c:v>
                </c:pt>
                <c:pt idx="70">
                  <c:v>31.546673153674668</c:v>
                </c:pt>
                <c:pt idx="71">
                  <c:v>31.638669261469868</c:v>
                </c:pt>
                <c:pt idx="72">
                  <c:v>31.735467704587947</c:v>
                </c:pt>
                <c:pt idx="73">
                  <c:v>30.27418708183518</c:v>
                </c:pt>
                <c:pt idx="74">
                  <c:v>28.84967483273407</c:v>
                </c:pt>
                <c:pt idx="75">
                  <c:v>28.339869933093631</c:v>
                </c:pt>
                <c:pt idx="76">
                  <c:v>28.555947973237451</c:v>
                </c:pt>
                <c:pt idx="77">
                  <c:v>29.722379189294983</c:v>
                </c:pt>
                <c:pt idx="78">
                  <c:v>30.668951675717995</c:v>
                </c:pt>
                <c:pt idx="79">
                  <c:v>29.787580670287198</c:v>
                </c:pt>
                <c:pt idx="80">
                  <c:v>30.455032268114877</c:v>
                </c:pt>
                <c:pt idx="81">
                  <c:v>29.642012907245952</c:v>
                </c:pt>
                <c:pt idx="82">
                  <c:v>28.416805162898381</c:v>
                </c:pt>
                <c:pt idx="83">
                  <c:v>28.346722065159355</c:v>
                </c:pt>
                <c:pt idx="84">
                  <c:v>26.818688826063742</c:v>
                </c:pt>
                <c:pt idx="85">
                  <c:v>25.907475530425497</c:v>
                </c:pt>
                <c:pt idx="86">
                  <c:v>25.722990212170199</c:v>
                </c:pt>
                <c:pt idx="87">
                  <c:v>24.749196084868082</c:v>
                </c:pt>
                <c:pt idx="88">
                  <c:v>25.379678433947234</c:v>
                </c:pt>
                <c:pt idx="89">
                  <c:v>25.871871373578891</c:v>
                </c:pt>
                <c:pt idx="90">
                  <c:v>26.308748549431556</c:v>
                </c:pt>
                <c:pt idx="91">
                  <c:v>26.123499419772621</c:v>
                </c:pt>
                <c:pt idx="92">
                  <c:v>26.409399767909051</c:v>
                </c:pt>
                <c:pt idx="93">
                  <c:v>25.743759907163621</c:v>
                </c:pt>
                <c:pt idx="94">
                  <c:v>25.237503962865446</c:v>
                </c:pt>
                <c:pt idx="95">
                  <c:v>24.975001585146178</c:v>
                </c:pt>
                <c:pt idx="96">
                  <c:v>23.73000063405847</c:v>
                </c:pt>
                <c:pt idx="97">
                  <c:v>23.41200025362339</c:v>
                </c:pt>
                <c:pt idx="98">
                  <c:v>21.844800101449358</c:v>
                </c:pt>
                <c:pt idx="99">
                  <c:v>21.157920040579743</c:v>
                </c:pt>
                <c:pt idx="100">
                  <c:v>21.903168016231895</c:v>
                </c:pt>
                <c:pt idx="101">
                  <c:v>22.561267206492758</c:v>
                </c:pt>
                <c:pt idx="102">
                  <c:v>23.064506882597101</c:v>
                </c:pt>
                <c:pt idx="103">
                  <c:v>23.085802753038841</c:v>
                </c:pt>
                <c:pt idx="104">
                  <c:v>22.794321101215537</c:v>
                </c:pt>
                <c:pt idx="105">
                  <c:v>22.077728440486219</c:v>
                </c:pt>
                <c:pt idx="106">
                  <c:v>21.49109137619449</c:v>
                </c:pt>
                <c:pt idx="107">
                  <c:v>21.376436550477795</c:v>
                </c:pt>
                <c:pt idx="108">
                  <c:v>20.730574620191121</c:v>
                </c:pt>
                <c:pt idx="109">
                  <c:v>20.112229848076446</c:v>
                </c:pt>
                <c:pt idx="110">
                  <c:v>19.144891939230579</c:v>
                </c:pt>
                <c:pt idx="111">
                  <c:v>18.397956775692229</c:v>
                </c:pt>
                <c:pt idx="112">
                  <c:v>19.299182710276892</c:v>
                </c:pt>
                <c:pt idx="113">
                  <c:v>20.079673084110759</c:v>
                </c:pt>
                <c:pt idx="114">
                  <c:v>20.571869233644303</c:v>
                </c:pt>
                <c:pt idx="115">
                  <c:v>20.40874769345772</c:v>
                </c:pt>
                <c:pt idx="116">
                  <c:v>20.883499077383085</c:v>
                </c:pt>
                <c:pt idx="117">
                  <c:v>20.233399630953237</c:v>
                </c:pt>
                <c:pt idx="118">
                  <c:v>19.973359852381297</c:v>
                </c:pt>
                <c:pt idx="119">
                  <c:v>19.809343940952516</c:v>
                </c:pt>
                <c:pt idx="120">
                  <c:v>19.563737576381005</c:v>
                </c:pt>
                <c:pt idx="121">
                  <c:v>21.745495030552402</c:v>
                </c:pt>
                <c:pt idx="122">
                  <c:v>21.658198012220964</c:v>
                </c:pt>
                <c:pt idx="123">
                  <c:v>22.163279204888386</c:v>
                </c:pt>
                <c:pt idx="124">
                  <c:v>22.785311681955356</c:v>
                </c:pt>
                <c:pt idx="125">
                  <c:v>23.214124672782141</c:v>
                </c:pt>
                <c:pt idx="126">
                  <c:v>23.865649869112858</c:v>
                </c:pt>
                <c:pt idx="127">
                  <c:v>23.706259947645144</c:v>
                </c:pt>
                <c:pt idx="128">
                  <c:v>24.122503979058056</c:v>
                </c:pt>
                <c:pt idx="129">
                  <c:v>23.749001591623223</c:v>
                </c:pt>
                <c:pt idx="130">
                  <c:v>23.53960063664929</c:v>
                </c:pt>
                <c:pt idx="131">
                  <c:v>23.155840254659715</c:v>
                </c:pt>
                <c:pt idx="132">
                  <c:v>23.002336101863882</c:v>
                </c:pt>
                <c:pt idx="133">
                  <c:v>23.240934440745555</c:v>
                </c:pt>
                <c:pt idx="134">
                  <c:v>22.796373776298225</c:v>
                </c:pt>
                <c:pt idx="135">
                  <c:v>22.018549510519293</c:v>
                </c:pt>
                <c:pt idx="136">
                  <c:v>22.607419804207716</c:v>
                </c:pt>
                <c:pt idx="137">
                  <c:v>23.502967921683087</c:v>
                </c:pt>
                <c:pt idx="138">
                  <c:v>24.041187168673233</c:v>
                </c:pt>
                <c:pt idx="139">
                  <c:v>23.536474867469295</c:v>
                </c:pt>
                <c:pt idx="140">
                  <c:v>24.414589946987718</c:v>
                </c:pt>
                <c:pt idx="141">
                  <c:v>23.565835978795086</c:v>
                </c:pt>
                <c:pt idx="142">
                  <c:v>23.766334391518033</c:v>
                </c:pt>
                <c:pt idx="143">
                  <c:v>23.666533756607215</c:v>
                </c:pt>
                <c:pt idx="144">
                  <c:v>22.906613502642884</c:v>
                </c:pt>
                <c:pt idx="145">
                  <c:v>22.662645401057155</c:v>
                </c:pt>
                <c:pt idx="146">
                  <c:v>22.265058160422861</c:v>
                </c:pt>
                <c:pt idx="147">
                  <c:v>22.586023264169143</c:v>
                </c:pt>
                <c:pt idx="148">
                  <c:v>21.274409305667653</c:v>
                </c:pt>
                <c:pt idx="149">
                  <c:v>23.809763722267061</c:v>
                </c:pt>
                <c:pt idx="150">
                  <c:v>22.423905488906826</c:v>
                </c:pt>
                <c:pt idx="151">
                  <c:v>23.789562195562731</c:v>
                </c:pt>
                <c:pt idx="152">
                  <c:v>25.235824878225092</c:v>
                </c:pt>
                <c:pt idx="153">
                  <c:v>22.814329951290034</c:v>
                </c:pt>
                <c:pt idx="154">
                  <c:v>23.345731980516014</c:v>
                </c:pt>
                <c:pt idx="155">
                  <c:v>23.438292792206404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C6-49DF-B6F3-867529348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377872"/>
        <c:axId val="458431040"/>
      </c:scatterChart>
      <c:valAx>
        <c:axId val="359377872"/>
        <c:scaling>
          <c:orientation val="minMax"/>
          <c:max val="1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458431040"/>
        <c:crosses val="autoZero"/>
        <c:crossBetween val="midCat"/>
      </c:valAx>
      <c:valAx>
        <c:axId val="458431040"/>
        <c:scaling>
          <c:orientation val="minMax"/>
          <c:max val="60"/>
          <c:min val="1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593778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Exponential1!$B$42:$B$197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Exponential1!$E$42:$E$197</c:f>
              <c:numCache>
                <c:formatCode>0.000</c:formatCode>
                <c:ptCount val="156"/>
                <c:pt idx="1">
                  <c:v>-2.3000000000000043</c:v>
                </c:pt>
                <c:pt idx="2">
                  <c:v>-1.6199999999999974</c:v>
                </c:pt>
                <c:pt idx="3">
                  <c:v>1.0519999999999925</c:v>
                </c:pt>
                <c:pt idx="4">
                  <c:v>2.5208000000000013</c:v>
                </c:pt>
                <c:pt idx="5">
                  <c:v>1.308320000000009</c:v>
                </c:pt>
                <c:pt idx="6">
                  <c:v>-3.4766720000000007</c:v>
                </c:pt>
                <c:pt idx="7">
                  <c:v>1.8093311999999955</c:v>
                </c:pt>
                <c:pt idx="8">
                  <c:v>-1.9762675200000004</c:v>
                </c:pt>
                <c:pt idx="9">
                  <c:v>-3.0905070080000101</c:v>
                </c:pt>
                <c:pt idx="10">
                  <c:v>1.2637971967999917</c:v>
                </c:pt>
                <c:pt idx="11">
                  <c:v>-5.6944811212799991</c:v>
                </c:pt>
                <c:pt idx="12">
                  <c:v>-0.97779244851200531</c:v>
                </c:pt>
                <c:pt idx="13">
                  <c:v>-1.6911169794047964</c:v>
                </c:pt>
                <c:pt idx="14">
                  <c:v>-0.67644679176191858</c:v>
                </c:pt>
                <c:pt idx="15">
                  <c:v>0.22942128329523825</c:v>
                </c:pt>
                <c:pt idx="16">
                  <c:v>2.5917685133180939</c:v>
                </c:pt>
                <c:pt idx="17">
                  <c:v>0.13670740532722903</c:v>
                </c:pt>
                <c:pt idx="18">
                  <c:v>-3.4453170378691098</c:v>
                </c:pt>
                <c:pt idx="19">
                  <c:v>4.421873184852366</c:v>
                </c:pt>
                <c:pt idx="20">
                  <c:v>-2.1312507260590507</c:v>
                </c:pt>
                <c:pt idx="21">
                  <c:v>-0.8525002904236203</c:v>
                </c:pt>
                <c:pt idx="22">
                  <c:v>0.95899988383055046</c:v>
                </c:pt>
                <c:pt idx="23">
                  <c:v>-4.4164000464677713</c:v>
                </c:pt>
                <c:pt idx="24">
                  <c:v>1.2334399814128929</c:v>
                </c:pt>
                <c:pt idx="25">
                  <c:v>-5.1066240074348386</c:v>
                </c:pt>
                <c:pt idx="26">
                  <c:v>0.15735039702606457</c:v>
                </c:pt>
                <c:pt idx="27">
                  <c:v>-1.2370598411895699</c:v>
                </c:pt>
                <c:pt idx="28">
                  <c:v>4.4051760635241735</c:v>
                </c:pt>
                <c:pt idx="29">
                  <c:v>-2.237929574590332</c:v>
                </c:pt>
                <c:pt idx="30">
                  <c:v>2.5048281701638615</c:v>
                </c:pt>
                <c:pt idx="31">
                  <c:v>1.1019312680655489</c:v>
                </c:pt>
                <c:pt idx="32">
                  <c:v>-3.2592274927737748</c:v>
                </c:pt>
                <c:pt idx="33">
                  <c:v>-0.10369099710951701</c:v>
                </c:pt>
                <c:pt idx="34">
                  <c:v>-0.24147639884380112</c:v>
                </c:pt>
                <c:pt idx="35">
                  <c:v>-4.0965905595375176</c:v>
                </c:pt>
                <c:pt idx="36">
                  <c:v>0.36136377618499438</c:v>
                </c:pt>
                <c:pt idx="37">
                  <c:v>-3.4554544895260051</c:v>
                </c:pt>
                <c:pt idx="38">
                  <c:v>-4.3821817958104035</c:v>
                </c:pt>
                <c:pt idx="39">
                  <c:v>2.3471272816758386</c:v>
                </c:pt>
                <c:pt idx="40">
                  <c:v>0.63885091267032834</c:v>
                </c:pt>
                <c:pt idx="41">
                  <c:v>1.4555403650681384</c:v>
                </c:pt>
                <c:pt idx="42">
                  <c:v>8.2216146027256798E-2</c:v>
                </c:pt>
                <c:pt idx="43">
                  <c:v>0.83288645841090414</c:v>
                </c:pt>
                <c:pt idx="44">
                  <c:v>3.7331545833643602</c:v>
                </c:pt>
                <c:pt idx="45">
                  <c:v>4.3932618333457469</c:v>
                </c:pt>
                <c:pt idx="46">
                  <c:v>-5.4426952666617012</c:v>
                </c:pt>
                <c:pt idx="47">
                  <c:v>-3.1770781066646805</c:v>
                </c:pt>
                <c:pt idx="48">
                  <c:v>-4.5708312426658679</c:v>
                </c:pt>
                <c:pt idx="49">
                  <c:v>-1.0283324970663514</c:v>
                </c:pt>
                <c:pt idx="50">
                  <c:v>-1.6113329988265406</c:v>
                </c:pt>
                <c:pt idx="51">
                  <c:v>0.95546680046938803</c:v>
                </c:pt>
                <c:pt idx="52">
                  <c:v>0.68218672018775806</c:v>
                </c:pt>
                <c:pt idx="53">
                  <c:v>2.5728746880751032</c:v>
                </c:pt>
                <c:pt idx="54">
                  <c:v>-0.37085012476995871</c:v>
                </c:pt>
                <c:pt idx="55">
                  <c:v>-0.74834004990798064</c:v>
                </c:pt>
                <c:pt idx="56">
                  <c:v>0.10066398003680632</c:v>
                </c:pt>
                <c:pt idx="57">
                  <c:v>0.34026559201473106</c:v>
                </c:pt>
                <c:pt idx="58">
                  <c:v>-2.7638937631941118</c:v>
                </c:pt>
                <c:pt idx="59">
                  <c:v>-0.40555750527764189</c:v>
                </c:pt>
                <c:pt idx="60">
                  <c:v>-2.7622230021110568</c:v>
                </c:pt>
                <c:pt idx="61">
                  <c:v>-1.0048892008444241</c:v>
                </c:pt>
                <c:pt idx="62">
                  <c:v>1.7980443196622353</c:v>
                </c:pt>
                <c:pt idx="63">
                  <c:v>-8.0782272135110134E-2</c:v>
                </c:pt>
                <c:pt idx="64">
                  <c:v>-0.33231290885404263</c:v>
                </c:pt>
                <c:pt idx="65">
                  <c:v>2.5670748364583744</c:v>
                </c:pt>
                <c:pt idx="66">
                  <c:v>-2.0731700654166509</c:v>
                </c:pt>
                <c:pt idx="67">
                  <c:v>-0.22926802616666464</c:v>
                </c:pt>
                <c:pt idx="68">
                  <c:v>-0.79170721046666159</c:v>
                </c:pt>
                <c:pt idx="69">
                  <c:v>-0.61668288418666606</c:v>
                </c:pt>
                <c:pt idx="70">
                  <c:v>0.15332684632533145</c:v>
                </c:pt>
                <c:pt idx="71">
                  <c:v>0.16133073853013258</c:v>
                </c:pt>
                <c:pt idx="72">
                  <c:v>-2.4354677045879463</c:v>
                </c:pt>
                <c:pt idx="73">
                  <c:v>-2.3741870818351813</c:v>
                </c:pt>
                <c:pt idx="74">
                  <c:v>-0.84967483273407041</c:v>
                </c:pt>
                <c:pt idx="75">
                  <c:v>0.36013006690636828</c:v>
                </c:pt>
                <c:pt idx="76">
                  <c:v>1.9440520267625487</c:v>
                </c:pt>
                <c:pt idx="77">
                  <c:v>1.5776208107050174</c:v>
                </c:pt>
                <c:pt idx="78">
                  <c:v>-1.4689516757179959</c:v>
                </c:pt>
                <c:pt idx="79">
                  <c:v>1.1124193297128002</c:v>
                </c:pt>
                <c:pt idx="80">
                  <c:v>-1.3550322681148756</c:v>
                </c:pt>
                <c:pt idx="81">
                  <c:v>-2.042012907245951</c:v>
                </c:pt>
                <c:pt idx="82">
                  <c:v>-0.11680516289838039</c:v>
                </c:pt>
                <c:pt idx="83">
                  <c:v>-2.5467220651593543</c:v>
                </c:pt>
                <c:pt idx="84">
                  <c:v>-1.518688826063741</c:v>
                </c:pt>
                <c:pt idx="85">
                  <c:v>-0.30747553042549569</c:v>
                </c:pt>
                <c:pt idx="86">
                  <c:v>-1.6229902121701976</c:v>
                </c:pt>
                <c:pt idx="87">
                  <c:v>1.0508039151319188</c:v>
                </c:pt>
                <c:pt idx="88">
                  <c:v>0.82032156605276541</c:v>
                </c:pt>
                <c:pt idx="89">
                  <c:v>0.72812862642111043</c:v>
                </c:pt>
                <c:pt idx="90">
                  <c:v>-0.30874854943155583</c:v>
                </c:pt>
                <c:pt idx="91">
                  <c:v>0.47650058022738051</c:v>
                </c:pt>
                <c:pt idx="92">
                  <c:v>-1.1093997679090499</c:v>
                </c:pt>
                <c:pt idx="93">
                  <c:v>-0.84375990716362281</c:v>
                </c:pt>
                <c:pt idx="94">
                  <c:v>-0.43750396286544557</c:v>
                </c:pt>
                <c:pt idx="95">
                  <c:v>-2.0750015851461789</c:v>
                </c:pt>
                <c:pt idx="96">
                  <c:v>-0.53000063405847087</c:v>
                </c:pt>
                <c:pt idx="97">
                  <c:v>-2.6120002536233891</c:v>
                </c:pt>
                <c:pt idx="98">
                  <c:v>-1.1448001014493592</c:v>
                </c:pt>
                <c:pt idx="99">
                  <c:v>1.2420799594202556</c:v>
                </c:pt>
                <c:pt idx="100">
                  <c:v>1.0968319837681051</c:v>
                </c:pt>
                <c:pt idx="101">
                  <c:v>0.83873279350724061</c:v>
                </c:pt>
                <c:pt idx="102">
                  <c:v>3.5493117402900509E-2</c:v>
                </c:pt>
                <c:pt idx="103">
                  <c:v>-0.4858027530388398</c:v>
                </c:pt>
                <c:pt idx="104">
                  <c:v>-1.1943211012155359</c:v>
                </c:pt>
                <c:pt idx="105">
                  <c:v>-0.97772844048621721</c:v>
                </c:pt>
                <c:pt idx="106">
                  <c:v>-0.19109137619448902</c:v>
                </c:pt>
                <c:pt idx="107">
                  <c:v>-1.0764365504777942</c:v>
                </c:pt>
                <c:pt idx="108">
                  <c:v>-1.0305746201911212</c:v>
                </c:pt>
                <c:pt idx="109">
                  <c:v>-1.6122298480764456</c:v>
                </c:pt>
                <c:pt idx="110">
                  <c:v>-1.2448919392305804</c:v>
                </c:pt>
                <c:pt idx="111">
                  <c:v>1.5020432243077693</c:v>
                </c:pt>
                <c:pt idx="112">
                  <c:v>1.3008172897231098</c:v>
                </c:pt>
                <c:pt idx="113">
                  <c:v>0.82032691588923967</c:v>
                </c:pt>
                <c:pt idx="114">
                  <c:v>-0.27186923364430271</c:v>
                </c:pt>
                <c:pt idx="115">
                  <c:v>0.79125230654227963</c:v>
                </c:pt>
                <c:pt idx="116">
                  <c:v>-1.0834990773830846</c:v>
                </c:pt>
                <c:pt idx="117">
                  <c:v>-0.43339963095323597</c:v>
                </c:pt>
                <c:pt idx="118">
                  <c:v>-0.27335985238129723</c:v>
                </c:pt>
                <c:pt idx="119">
                  <c:v>-0.40934394095251747</c:v>
                </c:pt>
                <c:pt idx="120">
                  <c:v>3.6362624236189944</c:v>
                </c:pt>
                <c:pt idx="121">
                  <c:v>-0.1454950305524001</c:v>
                </c:pt>
                <c:pt idx="122">
                  <c:v>0.8418019877790357</c:v>
                </c:pt>
                <c:pt idx="123">
                  <c:v>1.0367207951116129</c:v>
                </c:pt>
                <c:pt idx="124">
                  <c:v>0.71468831804464372</c:v>
                </c:pt>
                <c:pt idx="125">
                  <c:v>1.0858753272178596</c:v>
                </c:pt>
                <c:pt idx="126">
                  <c:v>-0.26564986911285615</c:v>
                </c:pt>
                <c:pt idx="127">
                  <c:v>0.6937400523548547</c:v>
                </c:pt>
                <c:pt idx="128">
                  <c:v>-0.62250397905805599</c:v>
                </c:pt>
                <c:pt idx="129">
                  <c:v>-0.34900159162322453</c:v>
                </c:pt>
                <c:pt idx="130">
                  <c:v>-0.63960063664929123</c:v>
                </c:pt>
                <c:pt idx="131">
                  <c:v>-0.25584025465971649</c:v>
                </c:pt>
                <c:pt idx="132">
                  <c:v>0.39766389813611625</c:v>
                </c:pt>
                <c:pt idx="133">
                  <c:v>-0.74093444074555492</c:v>
                </c:pt>
                <c:pt idx="134">
                  <c:v>-1.2963737762982248</c:v>
                </c:pt>
                <c:pt idx="135">
                  <c:v>0.98145048948070723</c:v>
                </c:pt>
                <c:pt idx="136">
                  <c:v>1.4925801957922857</c:v>
                </c:pt>
                <c:pt idx="137">
                  <c:v>0.89703207831691145</c:v>
                </c:pt>
                <c:pt idx="138">
                  <c:v>-0.84118716867323329</c:v>
                </c:pt>
                <c:pt idx="139">
                  <c:v>1.4635251325307053</c:v>
                </c:pt>
                <c:pt idx="140">
                  <c:v>-1.4145899469877179</c:v>
                </c:pt>
                <c:pt idx="141">
                  <c:v>0.33416402120491284</c:v>
                </c:pt>
                <c:pt idx="142">
                  <c:v>-0.16633439151803131</c:v>
                </c:pt>
                <c:pt idx="143">
                  <c:v>-1.2665337566072168</c:v>
                </c:pt>
                <c:pt idx="144">
                  <c:v>-0.40661350264288387</c:v>
                </c:pt>
                <c:pt idx="145">
                  <c:v>-0.66264540105715497</c:v>
                </c:pt>
                <c:pt idx="146">
                  <c:v>0.53494183957714014</c:v>
                </c:pt>
                <c:pt idx="147">
                  <c:v>-2.1860232641691439</c:v>
                </c:pt>
                <c:pt idx="148">
                  <c:v>4.2255906943323467</c:v>
                </c:pt>
                <c:pt idx="149">
                  <c:v>-2.3097637222670606</c:v>
                </c:pt>
                <c:pt idx="150">
                  <c:v>2.2760945110931736</c:v>
                </c:pt>
                <c:pt idx="151">
                  <c:v>2.4104378044372687</c:v>
                </c:pt>
                <c:pt idx="152">
                  <c:v>-4.0358248782250925</c:v>
                </c:pt>
                <c:pt idx="153">
                  <c:v>0.88567004870996513</c:v>
                </c:pt>
                <c:pt idx="154">
                  <c:v>0.15426801948398605</c:v>
                </c:pt>
                <c:pt idx="155">
                  <c:v>-1.0382927922064056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10-4D9F-84BE-6331941F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20480672"/>
        <c:axId val="359377872"/>
      </c:barChart>
      <c:catAx>
        <c:axId val="320480672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359377872"/>
        <c:crosses val="autoZero"/>
        <c:auto val="1"/>
        <c:lblAlgn val="ctr"/>
        <c:lblOffset val="100"/>
        <c:noMultiLvlLbl val="0"/>
      </c:catAx>
      <c:valAx>
        <c:axId val="359377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32048067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Exponential / Simple / Others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Exponential!$B$45:$B$200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Exponential!$C$45:$C$200</c:f>
              <c:numCache>
                <c:formatCode>0.000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1B-49C3-8456-0A7D6AD7FE29}"/>
            </c:ext>
          </c:extLst>
        </c:ser>
        <c:ser>
          <c:idx val="1"/>
          <c:order val="1"/>
          <c:tx>
            <c:v>Exponential(Others)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Exponential!$B$45:$B$200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Exponential!$D$45:$D$200</c:f>
              <c:numCache>
                <c:formatCode>0.000</c:formatCode>
                <c:ptCount val="156"/>
                <c:pt idx="1">
                  <c:v>53.1</c:v>
                </c:pt>
                <c:pt idx="2">
                  <c:v>51.736956956442384</c:v>
                </c:pt>
                <c:pt idx="3">
                  <c:v>50.766851394667583</c:v>
                </c:pt>
                <c:pt idx="4">
                  <c:v>51.379123577041327</c:v>
                </c:pt>
                <c:pt idx="5">
                  <c:v>52.873064043120557</c:v>
                </c:pt>
                <c:pt idx="6">
                  <c:v>53.659442662803606</c:v>
                </c:pt>
                <c:pt idx="7">
                  <c:v>51.60928211666409</c:v>
                </c:pt>
                <c:pt idx="8">
                  <c:v>52.67051061834028</c:v>
                </c:pt>
                <c:pt idx="9">
                  <c:v>51.502732013738047</c:v>
                </c:pt>
                <c:pt idx="10">
                  <c:v>49.663967975760144</c:v>
                </c:pt>
                <c:pt idx="11">
                  <c:v>50.396474433262135</c:v>
                </c:pt>
                <c:pt idx="12">
                  <c:v>47.020587542365703</c:v>
                </c:pt>
                <c:pt idx="13">
                  <c:v>46.41575939020781</c:v>
                </c:pt>
                <c:pt idx="14">
                  <c:v>45.398953346189799</c:v>
                </c:pt>
                <c:pt idx="15">
                  <c:v>44.984734434757044</c:v>
                </c:pt>
                <c:pt idx="16">
                  <c:v>45.112306709201349</c:v>
                </c:pt>
                <c:pt idx="17">
                  <c:v>46.645844682629104</c:v>
                </c:pt>
                <c:pt idx="18">
                  <c:v>46.73720134913772</c:v>
                </c:pt>
                <c:pt idx="19">
                  <c:v>44.700221615116398</c:v>
                </c:pt>
                <c:pt idx="20">
                  <c:v>47.30765088499065</c:v>
                </c:pt>
                <c:pt idx="21">
                  <c:v>46.058599199323453</c:v>
                </c:pt>
                <c:pt idx="22">
                  <c:v>45.549769779392165</c:v>
                </c:pt>
                <c:pt idx="23">
                  <c:v>46.112902254165093</c:v>
                </c:pt>
                <c:pt idx="24">
                  <c:v>43.497695419626197</c:v>
                </c:pt>
                <c:pt idx="25">
                  <c:v>44.210214069415755</c:v>
                </c:pt>
                <c:pt idx="26">
                  <c:v>41.181761139673398</c:v>
                </c:pt>
                <c:pt idx="27">
                  <c:v>41.251832729258766</c:v>
                </c:pt>
                <c:pt idx="28">
                  <c:v>40.509962340861414</c:v>
                </c:pt>
                <c:pt idx="29">
                  <c:v>43.111618989663512</c:v>
                </c:pt>
                <c:pt idx="30">
                  <c:v>41.800952955376218</c:v>
                </c:pt>
                <c:pt idx="31">
                  <c:v>43.281956733505638</c:v>
                </c:pt>
                <c:pt idx="32">
                  <c:v>43.944539819067188</c:v>
                </c:pt>
                <c:pt idx="33">
                  <c:v>42.021736588664922</c:v>
                </c:pt>
                <c:pt idx="34">
                  <c:v>41.949592149392679</c:v>
                </c:pt>
                <c:pt idx="35">
                  <c:v>41.801677000281252</c:v>
                </c:pt>
                <c:pt idx="36">
                  <c:v>39.370910781953583</c:v>
                </c:pt>
                <c:pt idx="37">
                  <c:v>39.565938072983144</c:v>
                </c:pt>
                <c:pt idx="38">
                  <c:v>37.511928168730464</c:v>
                </c:pt>
                <c:pt idx="39">
                  <c:v>34.897298603920042</c:v>
                </c:pt>
                <c:pt idx="40">
                  <c:v>36.261942568840567</c:v>
                </c:pt>
                <c:pt idx="41">
                  <c:v>36.64007289185453</c:v>
                </c:pt>
                <c:pt idx="42">
                  <c:v>37.505265713097522</c:v>
                </c:pt>
                <c:pt idx="43">
                  <c:v>37.561407848205704</c:v>
                </c:pt>
                <c:pt idx="44">
                  <c:v>38.058380543373197</c:v>
                </c:pt>
                <c:pt idx="45">
                  <c:v>40.275766792066676</c:v>
                </c:pt>
                <c:pt idx="46">
                  <c:v>42.897688660392816</c:v>
                </c:pt>
                <c:pt idx="47">
                  <c:v>39.698870408289224</c:v>
                </c:pt>
                <c:pt idx="48">
                  <c:v>37.803132122523593</c:v>
                </c:pt>
                <c:pt idx="49">
                  <c:v>35.07518985374864</c:v>
                </c:pt>
                <c:pt idx="50">
                  <c:v>34.438002875202628</c:v>
                </c:pt>
                <c:pt idx="51">
                  <c:v>33.467277473301621</c:v>
                </c:pt>
                <c:pt idx="52">
                  <c:v>34.020034408773668</c:v>
                </c:pt>
                <c:pt idx="53">
                  <c:v>34.423000656156105</c:v>
                </c:pt>
                <c:pt idx="54">
                  <c:v>35.950201103494784</c:v>
                </c:pt>
                <c:pt idx="55">
                  <c:v>35.742662330466622</c:v>
                </c:pt>
                <c:pt idx="56">
                  <c:v>35.302540276877565</c:v>
                </c:pt>
                <c:pt idx="57">
                  <c:v>35.360297580194555</c:v>
                </c:pt>
                <c:pt idx="58">
                  <c:v>35.561614545496951</c:v>
                </c:pt>
                <c:pt idx="59">
                  <c:v>33.92500606931123</c:v>
                </c:pt>
                <c:pt idx="60">
                  <c:v>33.673135823117995</c:v>
                </c:pt>
                <c:pt idx="61">
                  <c:v>32.029699522013033</c:v>
                </c:pt>
                <c:pt idx="62">
                  <c:v>31.419471360954567</c:v>
                </c:pt>
                <c:pt idx="63">
                  <c:v>32.474661437174561</c:v>
                </c:pt>
                <c:pt idx="64">
                  <c:v>32.43041502301682</c:v>
                </c:pt>
                <c:pt idx="65">
                  <c:v>32.234602023621164</c:v>
                </c:pt>
                <c:pt idx="66">
                  <c:v>33.754927182603758</c:v>
                </c:pt>
                <c:pt idx="67">
                  <c:v>32.537121008140488</c:v>
                </c:pt>
                <c:pt idx="68">
                  <c:v>32.396596599172113</c:v>
                </c:pt>
                <c:pt idx="69">
                  <c:v>31.924511619596807</c:v>
                </c:pt>
                <c:pt idx="70">
                  <c:v>31.554408915808835</c:v>
                </c:pt>
                <c:pt idx="71">
                  <c:v>31.640690182987434</c:v>
                </c:pt>
                <c:pt idx="72">
                  <c:v>31.735101547269785</c:v>
                </c:pt>
                <c:pt idx="73">
                  <c:v>30.291993623633925</c:v>
                </c:pt>
                <c:pt idx="74">
                  <c:v>28.874432637143315</c:v>
                </c:pt>
                <c:pt idx="75">
                  <c:v>28.356219887961604</c:v>
                </c:pt>
                <c:pt idx="76">
                  <c:v>28.559953405451775</c:v>
                </c:pt>
                <c:pt idx="77">
                  <c:v>29.709678194528564</c:v>
                </c:pt>
                <c:pt idx="78">
                  <c:v>30.652146487557186</c:v>
                </c:pt>
                <c:pt idx="79">
                  <c:v>29.791564675343508</c:v>
                </c:pt>
                <c:pt idx="80">
                  <c:v>30.448453831215929</c:v>
                </c:pt>
                <c:pt idx="81">
                  <c:v>29.649323129390936</c:v>
                </c:pt>
                <c:pt idx="82">
                  <c:v>28.43483807047005</c:v>
                </c:pt>
                <c:pt idx="83">
                  <c:v>28.354929333965295</c:v>
                </c:pt>
                <c:pt idx="84">
                  <c:v>26.840808179424993</c:v>
                </c:pt>
                <c:pt idx="85">
                  <c:v>25.927683018371987</c:v>
                </c:pt>
                <c:pt idx="86">
                  <c:v>25.733489079813772</c:v>
                </c:pt>
                <c:pt idx="87">
                  <c:v>24.765438676784427</c:v>
                </c:pt>
                <c:pt idx="88">
                  <c:v>25.378548074498667</c:v>
                </c:pt>
                <c:pt idx="89">
                  <c:v>25.865363001747191</c:v>
                </c:pt>
                <c:pt idx="90">
                  <c:v>26.300729023490035</c:v>
                </c:pt>
                <c:pt idx="91">
                  <c:v>26.122508761114396</c:v>
                </c:pt>
                <c:pt idx="92">
                  <c:v>26.405483157428627</c:v>
                </c:pt>
                <c:pt idx="93">
                  <c:v>25.750343536775063</c:v>
                </c:pt>
                <c:pt idx="94">
                  <c:v>25.24640664875966</c:v>
                </c:pt>
                <c:pt idx="95">
                  <c:v>24.981853832590218</c:v>
                </c:pt>
                <c:pt idx="96">
                  <c:v>23.748090187278969</c:v>
                </c:pt>
                <c:pt idx="97">
                  <c:v>23.423276919012537</c:v>
                </c:pt>
                <c:pt idx="98">
                  <c:v>21.868651112149362</c:v>
                </c:pt>
                <c:pt idx="99">
                  <c:v>21.176076430079334</c:v>
                </c:pt>
                <c:pt idx="100">
                  <c:v>21.901407085656103</c:v>
                </c:pt>
                <c:pt idx="101">
                  <c:v>22.552463359394423</c:v>
                </c:pt>
                <c:pt idx="102">
                  <c:v>23.054736803802086</c:v>
                </c:pt>
                <c:pt idx="103">
                  <c:v>23.08156101454415</c:v>
                </c:pt>
                <c:pt idx="104">
                  <c:v>22.796174757621127</c:v>
                </c:pt>
                <c:pt idx="105">
                  <c:v>22.087288808814737</c:v>
                </c:pt>
                <c:pt idx="106">
                  <c:v>21.502194398885514</c:v>
                </c:pt>
                <c:pt idx="107">
                  <c:v>21.382368455908463</c:v>
                </c:pt>
                <c:pt idx="108">
                  <c:v>20.740927240955319</c:v>
                </c:pt>
                <c:pt idx="109">
                  <c:v>20.124045225897156</c:v>
                </c:pt>
                <c:pt idx="110">
                  <c:v>19.16159150955712</c:v>
                </c:pt>
                <c:pt idx="111">
                  <c:v>18.413937800464428</c:v>
                </c:pt>
                <c:pt idx="112">
                  <c:v>19.294618993234383</c:v>
                </c:pt>
                <c:pt idx="113">
                  <c:v>20.068223558653564</c:v>
                </c:pt>
                <c:pt idx="114">
                  <c:v>20.561157076989378</c:v>
                </c:pt>
                <c:pt idx="115">
                  <c:v>20.406388234786675</c:v>
                </c:pt>
                <c:pt idx="116">
                  <c:v>20.876704319942981</c:v>
                </c:pt>
                <c:pt idx="117">
                  <c:v>20.238619827218322</c:v>
                </c:pt>
                <c:pt idx="118">
                  <c:v>19.978681694932941</c:v>
                </c:pt>
                <c:pt idx="119">
                  <c:v>19.813527283782857</c:v>
                </c:pt>
                <c:pt idx="120">
                  <c:v>19.568459680530033</c:v>
                </c:pt>
                <c:pt idx="121">
                  <c:v>21.720610015248532</c:v>
                </c:pt>
                <c:pt idx="122">
                  <c:v>21.649133214262491</c:v>
                </c:pt>
                <c:pt idx="123">
                  <c:v>22.153380193955421</c:v>
                </c:pt>
                <c:pt idx="124">
                  <c:v>22.773635779120067</c:v>
                </c:pt>
                <c:pt idx="125">
                  <c:v>23.204099126232911</c:v>
                </c:pt>
                <c:pt idx="126">
                  <c:v>23.85356002293593</c:v>
                </c:pt>
                <c:pt idx="127">
                  <c:v>23.703293403202395</c:v>
                </c:pt>
                <c:pt idx="128">
                  <c:v>24.116180829361383</c:v>
                </c:pt>
                <c:pt idx="129">
                  <c:v>23.751015180215905</c:v>
                </c:pt>
                <c:pt idx="130">
                  <c:v>23.542993963008769</c:v>
                </c:pt>
                <c:pt idx="131">
                  <c:v>23.161938115909358</c:v>
                </c:pt>
                <c:pt idx="132">
                  <c:v>23.006706408634209</c:v>
                </c:pt>
                <c:pt idx="133">
                  <c:v>23.239782971150266</c:v>
                </c:pt>
                <c:pt idx="134">
                  <c:v>22.801367304816026</c:v>
                </c:pt>
                <c:pt idx="135">
                  <c:v>22.030141369188716</c:v>
                </c:pt>
                <c:pt idx="136">
                  <c:v>22.60490617786769</c:v>
                </c:pt>
                <c:pt idx="137">
                  <c:v>23.490939757747441</c:v>
                </c:pt>
                <c:pt idx="138">
                  <c:v>24.029673774867945</c:v>
                </c:pt>
                <c:pt idx="139">
                  <c:v>23.53798635432188</c:v>
                </c:pt>
                <c:pt idx="140">
                  <c:v>24.404415714899216</c:v>
                </c:pt>
                <c:pt idx="141">
                  <c:v>23.572120466874704</c:v>
                </c:pt>
                <c:pt idx="142">
                  <c:v>23.766430865462247</c:v>
                </c:pt>
                <c:pt idx="143">
                  <c:v>23.66779937267895</c:v>
                </c:pt>
                <c:pt idx="144">
                  <c:v>22.916466713741229</c:v>
                </c:pt>
                <c:pt idx="145">
                  <c:v>22.669657123724583</c:v>
                </c:pt>
                <c:pt idx="146">
                  <c:v>22.272799956741281</c:v>
                </c:pt>
                <c:pt idx="147">
                  <c:v>22.585233153057402</c:v>
                </c:pt>
                <c:pt idx="148">
                  <c:v>21.290204088785067</c:v>
                </c:pt>
                <c:pt idx="149">
                  <c:v>23.785044537297601</c:v>
                </c:pt>
                <c:pt idx="150">
                  <c:v>22.430864510870279</c:v>
                </c:pt>
                <c:pt idx="151">
                  <c:v>23.775616399282448</c:v>
                </c:pt>
                <c:pt idx="152">
                  <c:v>25.21237257400994</c:v>
                </c:pt>
                <c:pt idx="153">
                  <c:v>22.834530606546622</c:v>
                </c:pt>
                <c:pt idx="154">
                  <c:v>23.347431491832992</c:v>
                </c:pt>
                <c:pt idx="155">
                  <c:v>23.437847771712558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1B-49C3-8456-0A7D6AD7F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431040"/>
        <c:axId val="415726656"/>
      </c:scatterChart>
      <c:valAx>
        <c:axId val="458431040"/>
        <c:scaling>
          <c:orientation val="minMax"/>
          <c:max val="16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415726656"/>
        <c:crosses val="autoZero"/>
        <c:crossBetween val="midCat"/>
      </c:valAx>
      <c:valAx>
        <c:axId val="415726656"/>
        <c:scaling>
          <c:orientation val="minMax"/>
          <c:max val="60"/>
          <c:min val="1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Others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5843104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Exponential!$B$45:$B$200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Exponential!$E$45:$E$200</c:f>
              <c:numCache>
                <c:formatCode>0.000</c:formatCode>
                <c:ptCount val="156"/>
                <c:pt idx="1">
                  <c:v>-2.3000000000000043</c:v>
                </c:pt>
                <c:pt idx="2">
                  <c:v>-1.6369569564423827</c:v>
                </c:pt>
                <c:pt idx="3">
                  <c:v>1.0331486053324141</c:v>
                </c:pt>
                <c:pt idx="4">
                  <c:v>2.520876422958672</c:v>
                </c:pt>
                <c:pt idx="5">
                  <c:v>1.3269359568794457</c:v>
                </c:pt>
                <c:pt idx="6">
                  <c:v>-3.4594426628036032</c:v>
                </c:pt>
                <c:pt idx="7">
                  <c:v>1.7907178833359083</c:v>
                </c:pt>
                <c:pt idx="8">
                  <c:v>-1.9705106183402776</c:v>
                </c:pt>
                <c:pt idx="9">
                  <c:v>-3.1027320137380485</c:v>
                </c:pt>
                <c:pt idx="10">
                  <c:v>1.2360320242398544</c:v>
                </c:pt>
                <c:pt idx="11">
                  <c:v>-5.6964744332621322</c:v>
                </c:pt>
                <c:pt idx="12">
                  <c:v>-1.0205875423657034</c:v>
                </c:pt>
                <c:pt idx="13">
                  <c:v>-1.7157593902078077</c:v>
                </c:pt>
                <c:pt idx="14">
                  <c:v>-0.69895334618979632</c:v>
                </c:pt>
                <c:pt idx="15">
                  <c:v>0.2152655652429587</c:v>
                </c:pt>
                <c:pt idx="16">
                  <c:v>2.5876932907986543</c:v>
                </c:pt>
                <c:pt idx="17">
                  <c:v>0.15415531737089339</c:v>
                </c:pt>
                <c:pt idx="18">
                  <c:v>-3.4372013491377231</c:v>
                </c:pt>
                <c:pt idx="19">
                  <c:v>4.3997783848836036</c:v>
                </c:pt>
                <c:pt idx="20">
                  <c:v>-2.1076508849906475</c:v>
                </c:pt>
                <c:pt idx="21">
                  <c:v>-0.85859919932345008</c:v>
                </c:pt>
                <c:pt idx="22">
                  <c:v>0.95023022060783546</c:v>
                </c:pt>
                <c:pt idx="23">
                  <c:v>-4.4129022541650897</c:v>
                </c:pt>
                <c:pt idx="24">
                  <c:v>1.2023045803738057</c:v>
                </c:pt>
                <c:pt idx="25">
                  <c:v>-5.1102140694157541</c:v>
                </c:pt>
                <c:pt idx="26">
                  <c:v>0.11823886032659914</c:v>
                </c:pt>
                <c:pt idx="27">
                  <c:v>-1.2518327292587657</c:v>
                </c:pt>
                <c:pt idx="28">
                  <c:v>4.390037659138585</c:v>
                </c:pt>
                <c:pt idx="29">
                  <c:v>-2.2116189896635134</c:v>
                </c:pt>
                <c:pt idx="30">
                  <c:v>2.4990470446237794</c:v>
                </c:pt>
                <c:pt idx="31">
                  <c:v>1.1180432664943609</c:v>
                </c:pt>
                <c:pt idx="32">
                  <c:v>-3.2445398190671852</c:v>
                </c:pt>
                <c:pt idx="33">
                  <c:v>-0.12173658866492332</c:v>
                </c:pt>
                <c:pt idx="34">
                  <c:v>-0.24959214939267582</c:v>
                </c:pt>
                <c:pt idx="35">
                  <c:v>-4.1016770002812493</c:v>
                </c:pt>
                <c:pt idx="36">
                  <c:v>0.32908921804641977</c:v>
                </c:pt>
                <c:pt idx="37">
                  <c:v>-3.4659380729831426</c:v>
                </c:pt>
                <c:pt idx="38">
                  <c:v>-4.4119281687304621</c:v>
                </c:pt>
                <c:pt idx="39">
                  <c:v>2.3027013960799607</c:v>
                </c:pt>
                <c:pt idx="40">
                  <c:v>0.63805743115943159</c:v>
                </c:pt>
                <c:pt idx="41">
                  <c:v>1.4599271081454717</c:v>
                </c:pt>
                <c:pt idx="42">
                  <c:v>9.4734286902479425E-2</c:v>
                </c:pt>
                <c:pt idx="43">
                  <c:v>0.83859215179429469</c:v>
                </c:pt>
                <c:pt idx="44">
                  <c:v>3.7416194566268004</c:v>
                </c:pt>
                <c:pt idx="45">
                  <c:v>4.4242332079333266</c:v>
                </c:pt>
                <c:pt idx="46">
                  <c:v>-5.3976886603928165</c:v>
                </c:pt>
                <c:pt idx="47">
                  <c:v>-3.1988704082892241</c:v>
                </c:pt>
                <c:pt idx="48">
                  <c:v>-4.6031321225235899</c:v>
                </c:pt>
                <c:pt idx="49">
                  <c:v>-1.0751898537486397</c:v>
                </c:pt>
                <c:pt idx="50">
                  <c:v>-1.6380028752026305</c:v>
                </c:pt>
                <c:pt idx="51">
                  <c:v>0.93272252669837741</c:v>
                </c:pt>
                <c:pt idx="52">
                  <c:v>0.67996559122633471</c:v>
                </c:pt>
                <c:pt idx="53">
                  <c:v>2.5769993438438945</c:v>
                </c:pt>
                <c:pt idx="54">
                  <c:v>-0.35020110349478273</c:v>
                </c:pt>
                <c:pt idx="55">
                  <c:v>-0.74266233046662222</c:v>
                </c:pt>
                <c:pt idx="56">
                  <c:v>9.7459723122433672E-2</c:v>
                </c:pt>
                <c:pt idx="57">
                  <c:v>0.33970241980544813</c:v>
                </c:pt>
                <c:pt idx="58">
                  <c:v>-2.7616145454969541</c:v>
                </c:pt>
                <c:pt idx="59">
                  <c:v>-0.42500606931123031</c:v>
                </c:pt>
                <c:pt idx="60">
                  <c:v>-2.7731358231179968</c:v>
                </c:pt>
                <c:pt idx="61">
                  <c:v>-1.0296995220130327</c:v>
                </c:pt>
                <c:pt idx="62">
                  <c:v>1.7805286390454356</c:v>
                </c:pt>
                <c:pt idx="63">
                  <c:v>-7.4661437174562195E-2</c:v>
                </c:pt>
                <c:pt idx="64">
                  <c:v>-0.33041502301681902</c:v>
                </c:pt>
                <c:pt idx="65">
                  <c:v>2.5653979763788328</c:v>
                </c:pt>
                <c:pt idx="66">
                  <c:v>-2.054927182603759</c:v>
                </c:pt>
                <c:pt idx="67">
                  <c:v>-0.23712100814049109</c:v>
                </c:pt>
                <c:pt idx="68">
                  <c:v>-0.79659659917211201</c:v>
                </c:pt>
                <c:pt idx="69">
                  <c:v>-0.6245116195968059</c:v>
                </c:pt>
                <c:pt idx="70">
                  <c:v>0.14559108419116384</c:v>
                </c:pt>
                <c:pt idx="71">
                  <c:v>0.15930981701256641</c:v>
                </c:pt>
                <c:pt idx="72">
                  <c:v>-2.4351015472697846</c:v>
                </c:pt>
                <c:pt idx="73">
                  <c:v>-2.3919936236339261</c:v>
                </c:pt>
                <c:pt idx="74">
                  <c:v>-0.87443263714331465</c:v>
                </c:pt>
                <c:pt idx="75">
                  <c:v>0.3437801120383952</c:v>
                </c:pt>
                <c:pt idx="76">
                  <c:v>1.9400465945482246</c:v>
                </c:pt>
                <c:pt idx="77">
                  <c:v>1.5903218054714365</c:v>
                </c:pt>
                <c:pt idx="78">
                  <c:v>-1.4521464875571866</c:v>
                </c:pt>
                <c:pt idx="79">
                  <c:v>1.1084353246564902</c:v>
                </c:pt>
                <c:pt idx="80">
                  <c:v>-1.3484538312159273</c:v>
                </c:pt>
                <c:pt idx="81">
                  <c:v>-2.0493231293909346</c:v>
                </c:pt>
                <c:pt idx="82">
                  <c:v>-0.13483807047004959</c:v>
                </c:pt>
                <c:pt idx="83">
                  <c:v>-2.5549293339652941</c:v>
                </c:pt>
                <c:pt idx="84">
                  <c:v>-1.5408081794249924</c:v>
                </c:pt>
                <c:pt idx="85">
                  <c:v>-0.32768301837198521</c:v>
                </c:pt>
                <c:pt idx="86">
                  <c:v>-1.6334890798137707</c:v>
                </c:pt>
                <c:pt idx="87">
                  <c:v>1.0345613232155735</c:v>
                </c:pt>
                <c:pt idx="88">
                  <c:v>0.82145192550133217</c:v>
                </c:pt>
                <c:pt idx="89">
                  <c:v>0.73463699825281026</c:v>
                </c:pt>
                <c:pt idx="90">
                  <c:v>-0.30072902349003527</c:v>
                </c:pt>
                <c:pt idx="91">
                  <c:v>0.47749123888560518</c:v>
                </c:pt>
                <c:pt idx="92">
                  <c:v>-1.1054831574286261</c:v>
                </c:pt>
                <c:pt idx="93">
                  <c:v>-0.85034353677506402</c:v>
                </c:pt>
                <c:pt idx="94">
                  <c:v>-0.44640664875965896</c:v>
                </c:pt>
                <c:pt idx="95">
                  <c:v>-2.0818538325902196</c:v>
                </c:pt>
                <c:pt idx="96">
                  <c:v>-0.54809018727896941</c:v>
                </c:pt>
                <c:pt idx="97">
                  <c:v>-2.623276919012536</c:v>
                </c:pt>
                <c:pt idx="98">
                  <c:v>-1.1686511121493623</c:v>
                </c:pt>
                <c:pt idx="99">
                  <c:v>1.2239235699206645</c:v>
                </c:pt>
                <c:pt idx="100">
                  <c:v>1.0985929143438966</c:v>
                </c:pt>
                <c:pt idx="101">
                  <c:v>0.84753664060557554</c:v>
                </c:pt>
                <c:pt idx="102">
                  <c:v>4.5263196197915079E-2</c:v>
                </c:pt>
                <c:pt idx="103">
                  <c:v>-0.48156101454414824</c:v>
                </c:pt>
                <c:pt idx="104">
                  <c:v>-1.1961747576211259</c:v>
                </c:pt>
                <c:pt idx="105">
                  <c:v>-0.98728880881473557</c:v>
                </c:pt>
                <c:pt idx="106">
                  <c:v>-0.20219439888551349</c:v>
                </c:pt>
                <c:pt idx="107">
                  <c:v>-1.0823684559084619</c:v>
                </c:pt>
                <c:pt idx="108">
                  <c:v>-1.0409272409553196</c:v>
                </c:pt>
                <c:pt idx="109">
                  <c:v>-1.6240452258971558</c:v>
                </c:pt>
                <c:pt idx="110">
                  <c:v>-1.2615915095571211</c:v>
                </c:pt>
                <c:pt idx="111">
                  <c:v>1.4860621995355707</c:v>
                </c:pt>
                <c:pt idx="112">
                  <c:v>1.305381006765618</c:v>
                </c:pt>
                <c:pt idx="113">
                  <c:v>0.83177644134643458</c:v>
                </c:pt>
                <c:pt idx="114">
                  <c:v>-0.2611570769893774</c:v>
                </c:pt>
                <c:pt idx="115">
                  <c:v>0.79361176521332411</c:v>
                </c:pt>
                <c:pt idx="116">
                  <c:v>-1.07670431994298</c:v>
                </c:pt>
                <c:pt idx="117">
                  <c:v>-0.43861982721832149</c:v>
                </c:pt>
                <c:pt idx="118">
                  <c:v>-0.27868169493294204</c:v>
                </c:pt>
                <c:pt idx="119">
                  <c:v>-0.41352728378285875</c:v>
                </c:pt>
                <c:pt idx="120">
                  <c:v>3.6315403194699662</c:v>
                </c:pt>
                <c:pt idx="121">
                  <c:v>-0.12061001524853054</c:v>
                </c:pt>
                <c:pt idx="122">
                  <c:v>0.85086678573750874</c:v>
                </c:pt>
                <c:pt idx="123">
                  <c:v>1.0466198060445784</c:v>
                </c:pt>
                <c:pt idx="124">
                  <c:v>0.72636422087993324</c:v>
                </c:pt>
                <c:pt idx="125">
                  <c:v>1.0959008737670892</c:v>
                </c:pt>
                <c:pt idx="126">
                  <c:v>-0.25356002293592894</c:v>
                </c:pt>
                <c:pt idx="127">
                  <c:v>0.69670659679760405</c:v>
                </c:pt>
                <c:pt idx="128">
                  <c:v>-0.61618082936138308</c:v>
                </c:pt>
                <c:pt idx="129">
                  <c:v>-0.3510151802159065</c:v>
                </c:pt>
                <c:pt idx="130">
                  <c:v>-0.64299396300877021</c:v>
                </c:pt>
                <c:pt idx="131">
                  <c:v>-0.26193811590935923</c:v>
                </c:pt>
                <c:pt idx="132">
                  <c:v>0.39329359136579001</c:v>
                </c:pt>
                <c:pt idx="133">
                  <c:v>-0.73978297115026592</c:v>
                </c:pt>
                <c:pt idx="134">
                  <c:v>-1.3013673048160257</c:v>
                </c:pt>
                <c:pt idx="135">
                  <c:v>0.96985863081128443</c:v>
                </c:pt>
                <c:pt idx="136">
                  <c:v>1.4950938221323113</c:v>
                </c:pt>
                <c:pt idx="137">
                  <c:v>0.90906024225255777</c:v>
                </c:pt>
                <c:pt idx="138">
                  <c:v>-0.82967377486794547</c:v>
                </c:pt>
                <c:pt idx="139">
                  <c:v>1.4620136456781196</c:v>
                </c:pt>
                <c:pt idx="140">
                  <c:v>-1.4044157148992156</c:v>
                </c:pt>
                <c:pt idx="141">
                  <c:v>0.32787953312529439</c:v>
                </c:pt>
                <c:pt idx="142">
                  <c:v>-0.16643086546224595</c:v>
                </c:pt>
                <c:pt idx="143">
                  <c:v>-1.2677993726789509</c:v>
                </c:pt>
                <c:pt idx="144">
                  <c:v>-0.41646671374122946</c:v>
                </c:pt>
                <c:pt idx="145">
                  <c:v>-0.66965712372458341</c:v>
                </c:pt>
                <c:pt idx="146">
                  <c:v>0.52720004325871983</c:v>
                </c:pt>
                <c:pt idx="147">
                  <c:v>-2.1852331530574034</c:v>
                </c:pt>
                <c:pt idx="148">
                  <c:v>4.2097959112149326</c:v>
                </c:pt>
                <c:pt idx="149">
                  <c:v>-2.2850445372976012</c:v>
                </c:pt>
                <c:pt idx="150">
                  <c:v>2.2691354891297202</c:v>
                </c:pt>
                <c:pt idx="151">
                  <c:v>2.424383600717551</c:v>
                </c:pt>
                <c:pt idx="152">
                  <c:v>-4.012372574009941</c:v>
                </c:pt>
                <c:pt idx="153">
                  <c:v>0.86546939345337748</c:v>
                </c:pt>
                <c:pt idx="154">
                  <c:v>0.15256850816700762</c:v>
                </c:pt>
                <c:pt idx="155">
                  <c:v>-1.0378477717125598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1-47BF-B8F5-6AF8BF58B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15083328"/>
        <c:axId val="415727488"/>
      </c:barChart>
      <c:catAx>
        <c:axId val="415083328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415727488"/>
        <c:crosses val="autoZero"/>
        <c:auto val="1"/>
        <c:lblAlgn val="ctr"/>
        <c:lblOffset val="100"/>
        <c:noMultiLvlLbl val="0"/>
      </c:catAx>
      <c:valAx>
        <c:axId val="4157274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415083328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</a:t>
            </a:r>
            <a:r>
              <a:rPr lang="en-US" baseline="0"/>
              <a:t> To find Trend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'Decomposition(Others)'!$B$1</c:f>
              <c:strCache>
                <c:ptCount val="1"/>
                <c:pt idx="0">
                  <c:v>Others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5994094488188976E-2"/>
                  <c:y val="-0.185006197142023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val>
            <c:numRef>
              <c:f>'Decomposition(Others)'!$B$2:$B$157</c:f>
              <c:numCache>
                <c:formatCode>General</c:formatCode>
                <c:ptCount val="156"/>
                <c:pt idx="0">
                  <c:v>53.1</c:v>
                </c:pt>
                <c:pt idx="1">
                  <c:v>50.8</c:v>
                </c:pt>
                <c:pt idx="2">
                  <c:v>50.1</c:v>
                </c:pt>
                <c:pt idx="3">
                  <c:v>51.8</c:v>
                </c:pt>
                <c:pt idx="4">
                  <c:v>53.9</c:v>
                </c:pt>
                <c:pt idx="5">
                  <c:v>54.2</c:v>
                </c:pt>
                <c:pt idx="6">
                  <c:v>50.2</c:v>
                </c:pt>
                <c:pt idx="7">
                  <c:v>53.4</c:v>
                </c:pt>
                <c:pt idx="8">
                  <c:v>50.7</c:v>
                </c:pt>
                <c:pt idx="9">
                  <c:v>48.4</c:v>
                </c:pt>
                <c:pt idx="10">
                  <c:v>50.9</c:v>
                </c:pt>
                <c:pt idx="11">
                  <c:v>44.7</c:v>
                </c:pt>
                <c:pt idx="12">
                  <c:v>46</c:v>
                </c:pt>
                <c:pt idx="13">
                  <c:v>44.7</c:v>
                </c:pt>
                <c:pt idx="14">
                  <c:v>44.7</c:v>
                </c:pt>
                <c:pt idx="15">
                  <c:v>45.2</c:v>
                </c:pt>
                <c:pt idx="16">
                  <c:v>47.7</c:v>
                </c:pt>
                <c:pt idx="17">
                  <c:v>46.8</c:v>
                </c:pt>
                <c:pt idx="18">
                  <c:v>43.3</c:v>
                </c:pt>
                <c:pt idx="19">
                  <c:v>49.1</c:v>
                </c:pt>
                <c:pt idx="20">
                  <c:v>45.2</c:v>
                </c:pt>
                <c:pt idx="21">
                  <c:v>45.2</c:v>
                </c:pt>
                <c:pt idx="22">
                  <c:v>46.5</c:v>
                </c:pt>
                <c:pt idx="23">
                  <c:v>41.7</c:v>
                </c:pt>
                <c:pt idx="24">
                  <c:v>44.7</c:v>
                </c:pt>
                <c:pt idx="25">
                  <c:v>39.1</c:v>
                </c:pt>
                <c:pt idx="26">
                  <c:v>41.3</c:v>
                </c:pt>
                <c:pt idx="27">
                  <c:v>40</c:v>
                </c:pt>
                <c:pt idx="28">
                  <c:v>44.9</c:v>
                </c:pt>
                <c:pt idx="29">
                  <c:v>40.9</c:v>
                </c:pt>
                <c:pt idx="30">
                  <c:v>44.3</c:v>
                </c:pt>
                <c:pt idx="31">
                  <c:v>44.4</c:v>
                </c:pt>
                <c:pt idx="32">
                  <c:v>40.700000000000003</c:v>
                </c:pt>
                <c:pt idx="33">
                  <c:v>41.9</c:v>
                </c:pt>
                <c:pt idx="34">
                  <c:v>41.7</c:v>
                </c:pt>
                <c:pt idx="35">
                  <c:v>37.700000000000003</c:v>
                </c:pt>
                <c:pt idx="36">
                  <c:v>39.700000000000003</c:v>
                </c:pt>
                <c:pt idx="37">
                  <c:v>36.1</c:v>
                </c:pt>
                <c:pt idx="38">
                  <c:v>33.1</c:v>
                </c:pt>
                <c:pt idx="39">
                  <c:v>37.200000000000003</c:v>
                </c:pt>
                <c:pt idx="40">
                  <c:v>36.9</c:v>
                </c:pt>
                <c:pt idx="41">
                  <c:v>38.1</c:v>
                </c:pt>
                <c:pt idx="42">
                  <c:v>37.6</c:v>
                </c:pt>
                <c:pt idx="43">
                  <c:v>38.4</c:v>
                </c:pt>
                <c:pt idx="44">
                  <c:v>41.8</c:v>
                </c:pt>
                <c:pt idx="45">
                  <c:v>44.7</c:v>
                </c:pt>
                <c:pt idx="46">
                  <c:v>37.5</c:v>
                </c:pt>
                <c:pt idx="47">
                  <c:v>36.5</c:v>
                </c:pt>
                <c:pt idx="48">
                  <c:v>33.200000000000003</c:v>
                </c:pt>
                <c:pt idx="49">
                  <c:v>34</c:v>
                </c:pt>
                <c:pt idx="50">
                  <c:v>32.799999999999997</c:v>
                </c:pt>
                <c:pt idx="51">
                  <c:v>34.4</c:v>
                </c:pt>
                <c:pt idx="52">
                  <c:v>34.700000000000003</c:v>
                </c:pt>
                <c:pt idx="53">
                  <c:v>37</c:v>
                </c:pt>
                <c:pt idx="54">
                  <c:v>35.6</c:v>
                </c:pt>
                <c:pt idx="55">
                  <c:v>35</c:v>
                </c:pt>
                <c:pt idx="56">
                  <c:v>35.4</c:v>
                </c:pt>
                <c:pt idx="57">
                  <c:v>35.700000000000003</c:v>
                </c:pt>
                <c:pt idx="58">
                  <c:v>32.799999999999997</c:v>
                </c:pt>
                <c:pt idx="59">
                  <c:v>33.5</c:v>
                </c:pt>
                <c:pt idx="60">
                  <c:v>30.9</c:v>
                </c:pt>
                <c:pt idx="61">
                  <c:v>31</c:v>
                </c:pt>
                <c:pt idx="62">
                  <c:v>33.200000000000003</c:v>
                </c:pt>
                <c:pt idx="63">
                  <c:v>32.4</c:v>
                </c:pt>
                <c:pt idx="64">
                  <c:v>32.1</c:v>
                </c:pt>
                <c:pt idx="65">
                  <c:v>34.799999999999997</c:v>
                </c:pt>
                <c:pt idx="66">
                  <c:v>31.7</c:v>
                </c:pt>
                <c:pt idx="67">
                  <c:v>32.299999999999997</c:v>
                </c:pt>
                <c:pt idx="68">
                  <c:v>31.6</c:v>
                </c:pt>
                <c:pt idx="69">
                  <c:v>31.3</c:v>
                </c:pt>
                <c:pt idx="70">
                  <c:v>31.7</c:v>
                </c:pt>
                <c:pt idx="71">
                  <c:v>31.8</c:v>
                </c:pt>
                <c:pt idx="72">
                  <c:v>29.3</c:v>
                </c:pt>
                <c:pt idx="73">
                  <c:v>27.9</c:v>
                </c:pt>
                <c:pt idx="74">
                  <c:v>28</c:v>
                </c:pt>
                <c:pt idx="75">
                  <c:v>28.7</c:v>
                </c:pt>
                <c:pt idx="76">
                  <c:v>30.5</c:v>
                </c:pt>
                <c:pt idx="77">
                  <c:v>31.3</c:v>
                </c:pt>
                <c:pt idx="78">
                  <c:v>29.2</c:v>
                </c:pt>
                <c:pt idx="79">
                  <c:v>30.9</c:v>
                </c:pt>
                <c:pt idx="80">
                  <c:v>29.1</c:v>
                </c:pt>
                <c:pt idx="81">
                  <c:v>27.6</c:v>
                </c:pt>
                <c:pt idx="82">
                  <c:v>28.3</c:v>
                </c:pt>
                <c:pt idx="83">
                  <c:v>25.8</c:v>
                </c:pt>
                <c:pt idx="84">
                  <c:v>25.3</c:v>
                </c:pt>
                <c:pt idx="85">
                  <c:v>25.6</c:v>
                </c:pt>
                <c:pt idx="86">
                  <c:v>24.1</c:v>
                </c:pt>
                <c:pt idx="87">
                  <c:v>25.8</c:v>
                </c:pt>
                <c:pt idx="88">
                  <c:v>26.2</c:v>
                </c:pt>
                <c:pt idx="89">
                  <c:v>26.6</c:v>
                </c:pt>
                <c:pt idx="90">
                  <c:v>26</c:v>
                </c:pt>
                <c:pt idx="91">
                  <c:v>26.6</c:v>
                </c:pt>
                <c:pt idx="92">
                  <c:v>25.3</c:v>
                </c:pt>
                <c:pt idx="93">
                  <c:v>24.9</c:v>
                </c:pt>
                <c:pt idx="94">
                  <c:v>24.8</c:v>
                </c:pt>
                <c:pt idx="95">
                  <c:v>22.9</c:v>
                </c:pt>
                <c:pt idx="96">
                  <c:v>23.2</c:v>
                </c:pt>
                <c:pt idx="97">
                  <c:v>20.8</c:v>
                </c:pt>
                <c:pt idx="98">
                  <c:v>20.7</c:v>
                </c:pt>
                <c:pt idx="99">
                  <c:v>22.4</c:v>
                </c:pt>
                <c:pt idx="100">
                  <c:v>23</c:v>
                </c:pt>
                <c:pt idx="101">
                  <c:v>23.4</c:v>
                </c:pt>
                <c:pt idx="102">
                  <c:v>23.1</c:v>
                </c:pt>
                <c:pt idx="103">
                  <c:v>22.6</c:v>
                </c:pt>
                <c:pt idx="104">
                  <c:v>21.6</c:v>
                </c:pt>
                <c:pt idx="105">
                  <c:v>21.1</c:v>
                </c:pt>
                <c:pt idx="106">
                  <c:v>21.3</c:v>
                </c:pt>
                <c:pt idx="107">
                  <c:v>20.3</c:v>
                </c:pt>
                <c:pt idx="108">
                  <c:v>19.7</c:v>
                </c:pt>
                <c:pt idx="109">
                  <c:v>18.5</c:v>
                </c:pt>
                <c:pt idx="110">
                  <c:v>17.899999999999999</c:v>
                </c:pt>
                <c:pt idx="111">
                  <c:v>19.899999999999999</c:v>
                </c:pt>
                <c:pt idx="112">
                  <c:v>20.6</c:v>
                </c:pt>
                <c:pt idx="113">
                  <c:v>20.9</c:v>
                </c:pt>
                <c:pt idx="114">
                  <c:v>20.3</c:v>
                </c:pt>
                <c:pt idx="115">
                  <c:v>21.2</c:v>
                </c:pt>
                <c:pt idx="116">
                  <c:v>19.8</c:v>
                </c:pt>
                <c:pt idx="117">
                  <c:v>19.8</c:v>
                </c:pt>
                <c:pt idx="118">
                  <c:v>19.7</c:v>
                </c:pt>
                <c:pt idx="119">
                  <c:v>19.399999999999999</c:v>
                </c:pt>
                <c:pt idx="120">
                  <c:v>23.2</c:v>
                </c:pt>
                <c:pt idx="121">
                  <c:v>21.6</c:v>
                </c:pt>
                <c:pt idx="122">
                  <c:v>22.5</c:v>
                </c:pt>
                <c:pt idx="123">
                  <c:v>23.2</c:v>
                </c:pt>
                <c:pt idx="124">
                  <c:v>23.5</c:v>
                </c:pt>
                <c:pt idx="125">
                  <c:v>24.3</c:v>
                </c:pt>
                <c:pt idx="126">
                  <c:v>23.6</c:v>
                </c:pt>
                <c:pt idx="127">
                  <c:v>24.4</c:v>
                </c:pt>
                <c:pt idx="128">
                  <c:v>23.5</c:v>
                </c:pt>
                <c:pt idx="129">
                  <c:v>23.4</c:v>
                </c:pt>
                <c:pt idx="130">
                  <c:v>22.9</c:v>
                </c:pt>
                <c:pt idx="131">
                  <c:v>22.9</c:v>
                </c:pt>
                <c:pt idx="132">
                  <c:v>23.4</c:v>
                </c:pt>
                <c:pt idx="133">
                  <c:v>22.5</c:v>
                </c:pt>
                <c:pt idx="134">
                  <c:v>21.5</c:v>
                </c:pt>
                <c:pt idx="135">
                  <c:v>23</c:v>
                </c:pt>
                <c:pt idx="136">
                  <c:v>24.1</c:v>
                </c:pt>
                <c:pt idx="137">
                  <c:v>24.4</c:v>
                </c:pt>
                <c:pt idx="138">
                  <c:v>23.2</c:v>
                </c:pt>
                <c:pt idx="139">
                  <c:v>25</c:v>
                </c:pt>
                <c:pt idx="140">
                  <c:v>23</c:v>
                </c:pt>
                <c:pt idx="141">
                  <c:v>23.9</c:v>
                </c:pt>
                <c:pt idx="142">
                  <c:v>23.6</c:v>
                </c:pt>
                <c:pt idx="143">
                  <c:v>22.4</c:v>
                </c:pt>
                <c:pt idx="144">
                  <c:v>22.5</c:v>
                </c:pt>
                <c:pt idx="145">
                  <c:v>22</c:v>
                </c:pt>
                <c:pt idx="146">
                  <c:v>22.8</c:v>
                </c:pt>
                <c:pt idx="147">
                  <c:v>20.399999999999999</c:v>
                </c:pt>
                <c:pt idx="148">
                  <c:v>25.5</c:v>
                </c:pt>
                <c:pt idx="149">
                  <c:v>21.5</c:v>
                </c:pt>
                <c:pt idx="150">
                  <c:v>24.7</c:v>
                </c:pt>
                <c:pt idx="151">
                  <c:v>26.2</c:v>
                </c:pt>
                <c:pt idx="152">
                  <c:v>21.2</c:v>
                </c:pt>
                <c:pt idx="153">
                  <c:v>23.7</c:v>
                </c:pt>
                <c:pt idx="154">
                  <c:v>23.5</c:v>
                </c:pt>
                <c:pt idx="155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7F-4706-A310-5B3FB3358881}"/>
            </c:ext>
          </c:extLst>
        </c:ser>
        <c:ser>
          <c:idx val="2"/>
          <c:order val="1"/>
          <c:tx>
            <c:strRef>
              <c:f>'Decomposition(Others)'!$C$1</c:f>
              <c:strCache>
                <c:ptCount val="1"/>
                <c:pt idx="0">
                  <c:v>Trend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'Decomposition(Others)'!$C$2:$C$157</c:f>
              <c:numCache>
                <c:formatCode>General</c:formatCode>
                <c:ptCount val="156"/>
                <c:pt idx="0">
                  <c:v>46.959699999999998</c:v>
                </c:pt>
                <c:pt idx="1">
                  <c:v>46.759399999999999</c:v>
                </c:pt>
                <c:pt idx="2">
                  <c:v>46.559099999999994</c:v>
                </c:pt>
                <c:pt idx="3">
                  <c:v>46.358799999999995</c:v>
                </c:pt>
                <c:pt idx="4">
                  <c:v>46.158499999999997</c:v>
                </c:pt>
                <c:pt idx="5">
                  <c:v>45.958199999999998</c:v>
                </c:pt>
                <c:pt idx="6">
                  <c:v>45.757899999999999</c:v>
                </c:pt>
                <c:pt idx="7">
                  <c:v>45.557599999999994</c:v>
                </c:pt>
                <c:pt idx="8">
                  <c:v>45.357299999999995</c:v>
                </c:pt>
                <c:pt idx="9">
                  <c:v>45.156999999999996</c:v>
                </c:pt>
                <c:pt idx="10">
                  <c:v>44.956699999999998</c:v>
                </c:pt>
                <c:pt idx="11">
                  <c:v>44.756399999999999</c:v>
                </c:pt>
                <c:pt idx="12">
                  <c:v>44.556099999999994</c:v>
                </c:pt>
                <c:pt idx="13">
                  <c:v>44.355799999999995</c:v>
                </c:pt>
                <c:pt idx="14">
                  <c:v>44.155499999999996</c:v>
                </c:pt>
                <c:pt idx="15">
                  <c:v>43.955199999999998</c:v>
                </c:pt>
                <c:pt idx="16">
                  <c:v>43.754899999999999</c:v>
                </c:pt>
                <c:pt idx="17">
                  <c:v>43.554599999999994</c:v>
                </c:pt>
                <c:pt idx="18">
                  <c:v>43.354299999999995</c:v>
                </c:pt>
                <c:pt idx="19">
                  <c:v>43.153999999999996</c:v>
                </c:pt>
                <c:pt idx="20">
                  <c:v>42.953699999999998</c:v>
                </c:pt>
                <c:pt idx="21">
                  <c:v>42.753399999999999</c:v>
                </c:pt>
                <c:pt idx="22">
                  <c:v>42.553099999999993</c:v>
                </c:pt>
                <c:pt idx="23">
                  <c:v>42.352799999999995</c:v>
                </c:pt>
                <c:pt idx="24">
                  <c:v>42.152499999999996</c:v>
                </c:pt>
                <c:pt idx="25">
                  <c:v>41.952199999999998</c:v>
                </c:pt>
                <c:pt idx="26">
                  <c:v>41.751899999999999</c:v>
                </c:pt>
                <c:pt idx="27">
                  <c:v>41.551599999999993</c:v>
                </c:pt>
                <c:pt idx="28">
                  <c:v>41.351299999999995</c:v>
                </c:pt>
                <c:pt idx="29">
                  <c:v>41.150999999999996</c:v>
                </c:pt>
                <c:pt idx="30">
                  <c:v>40.950699999999998</c:v>
                </c:pt>
                <c:pt idx="31">
                  <c:v>40.750399999999999</c:v>
                </c:pt>
                <c:pt idx="32">
                  <c:v>40.550099999999993</c:v>
                </c:pt>
                <c:pt idx="33">
                  <c:v>40.349799999999995</c:v>
                </c:pt>
                <c:pt idx="34">
                  <c:v>40.149499999999996</c:v>
                </c:pt>
                <c:pt idx="35">
                  <c:v>39.949199999999998</c:v>
                </c:pt>
                <c:pt idx="36">
                  <c:v>39.748899999999999</c:v>
                </c:pt>
                <c:pt idx="37">
                  <c:v>39.548599999999993</c:v>
                </c:pt>
                <c:pt idx="38">
                  <c:v>39.348299999999995</c:v>
                </c:pt>
                <c:pt idx="39">
                  <c:v>39.147999999999996</c:v>
                </c:pt>
                <c:pt idx="40">
                  <c:v>38.947699999999998</c:v>
                </c:pt>
                <c:pt idx="41">
                  <c:v>38.747399999999999</c:v>
                </c:pt>
                <c:pt idx="42">
                  <c:v>38.5471</c:v>
                </c:pt>
                <c:pt idx="43">
                  <c:v>38.346799999999995</c:v>
                </c:pt>
                <c:pt idx="44">
                  <c:v>38.146499999999996</c:v>
                </c:pt>
                <c:pt idx="45">
                  <c:v>37.946199999999997</c:v>
                </c:pt>
                <c:pt idx="46">
                  <c:v>37.745899999999999</c:v>
                </c:pt>
                <c:pt idx="47">
                  <c:v>37.545599999999993</c:v>
                </c:pt>
                <c:pt idx="48">
                  <c:v>37.345299999999995</c:v>
                </c:pt>
                <c:pt idx="49">
                  <c:v>37.144999999999996</c:v>
                </c:pt>
                <c:pt idx="50">
                  <c:v>36.944699999999997</c:v>
                </c:pt>
                <c:pt idx="51">
                  <c:v>36.744399999999999</c:v>
                </c:pt>
                <c:pt idx="52">
                  <c:v>36.5441</c:v>
                </c:pt>
                <c:pt idx="53">
                  <c:v>36.343799999999995</c:v>
                </c:pt>
                <c:pt idx="54">
                  <c:v>36.143499999999996</c:v>
                </c:pt>
                <c:pt idx="55">
                  <c:v>35.943199999999997</c:v>
                </c:pt>
                <c:pt idx="56">
                  <c:v>35.742899999999999</c:v>
                </c:pt>
                <c:pt idx="57">
                  <c:v>35.542599999999993</c:v>
                </c:pt>
                <c:pt idx="58">
                  <c:v>35.342299999999994</c:v>
                </c:pt>
                <c:pt idx="59">
                  <c:v>35.141999999999996</c:v>
                </c:pt>
                <c:pt idx="60">
                  <c:v>34.941699999999997</c:v>
                </c:pt>
                <c:pt idx="61">
                  <c:v>34.741399999999999</c:v>
                </c:pt>
                <c:pt idx="62">
                  <c:v>34.5411</c:v>
                </c:pt>
                <c:pt idx="63">
                  <c:v>34.340799999999994</c:v>
                </c:pt>
                <c:pt idx="64">
                  <c:v>34.140499999999996</c:v>
                </c:pt>
                <c:pt idx="65">
                  <c:v>33.940199999999997</c:v>
                </c:pt>
                <c:pt idx="66">
                  <c:v>33.739899999999999</c:v>
                </c:pt>
                <c:pt idx="67">
                  <c:v>33.539599999999993</c:v>
                </c:pt>
                <c:pt idx="68">
                  <c:v>33.339299999999994</c:v>
                </c:pt>
                <c:pt idx="69">
                  <c:v>33.138999999999996</c:v>
                </c:pt>
                <c:pt idx="70">
                  <c:v>32.938699999999997</c:v>
                </c:pt>
                <c:pt idx="71">
                  <c:v>32.738399999999999</c:v>
                </c:pt>
                <c:pt idx="72">
                  <c:v>32.5381</c:v>
                </c:pt>
                <c:pt idx="73">
                  <c:v>32.337799999999994</c:v>
                </c:pt>
                <c:pt idx="74">
                  <c:v>32.137499999999996</c:v>
                </c:pt>
                <c:pt idx="75">
                  <c:v>31.937199999999997</c:v>
                </c:pt>
                <c:pt idx="76">
                  <c:v>31.736899999999999</c:v>
                </c:pt>
                <c:pt idx="77">
                  <c:v>31.536599999999996</c:v>
                </c:pt>
                <c:pt idx="78">
                  <c:v>31.336299999999994</c:v>
                </c:pt>
                <c:pt idx="79">
                  <c:v>31.135999999999996</c:v>
                </c:pt>
                <c:pt idx="80">
                  <c:v>30.935699999999997</c:v>
                </c:pt>
                <c:pt idx="81">
                  <c:v>30.735399999999995</c:v>
                </c:pt>
                <c:pt idx="82">
                  <c:v>30.535099999999996</c:v>
                </c:pt>
                <c:pt idx="83">
                  <c:v>30.334799999999998</c:v>
                </c:pt>
                <c:pt idx="84">
                  <c:v>30.134499999999996</c:v>
                </c:pt>
                <c:pt idx="85">
                  <c:v>29.934199999999997</c:v>
                </c:pt>
                <c:pt idx="86">
                  <c:v>29.733899999999995</c:v>
                </c:pt>
                <c:pt idx="87">
                  <c:v>29.533599999999996</c:v>
                </c:pt>
                <c:pt idx="88">
                  <c:v>29.333299999999998</c:v>
                </c:pt>
                <c:pt idx="89">
                  <c:v>29.132999999999996</c:v>
                </c:pt>
                <c:pt idx="90">
                  <c:v>28.932699999999997</c:v>
                </c:pt>
                <c:pt idx="91">
                  <c:v>28.732399999999995</c:v>
                </c:pt>
                <c:pt idx="92">
                  <c:v>28.532099999999996</c:v>
                </c:pt>
                <c:pt idx="93">
                  <c:v>28.331799999999998</c:v>
                </c:pt>
                <c:pt idx="94">
                  <c:v>28.131499999999996</c:v>
                </c:pt>
                <c:pt idx="95">
                  <c:v>27.931199999999997</c:v>
                </c:pt>
                <c:pt idx="96">
                  <c:v>27.730899999999995</c:v>
                </c:pt>
                <c:pt idx="97">
                  <c:v>27.530599999999996</c:v>
                </c:pt>
                <c:pt idx="98">
                  <c:v>27.330299999999998</c:v>
                </c:pt>
                <c:pt idx="99">
                  <c:v>27.129999999999995</c:v>
                </c:pt>
                <c:pt idx="100">
                  <c:v>26.929699999999997</c:v>
                </c:pt>
                <c:pt idx="101">
                  <c:v>26.729399999999995</c:v>
                </c:pt>
                <c:pt idx="102">
                  <c:v>26.529099999999996</c:v>
                </c:pt>
                <c:pt idx="103">
                  <c:v>26.328799999999998</c:v>
                </c:pt>
                <c:pt idx="104">
                  <c:v>26.128499999999995</c:v>
                </c:pt>
                <c:pt idx="105">
                  <c:v>25.928199999999997</c:v>
                </c:pt>
                <c:pt idx="106">
                  <c:v>25.727899999999995</c:v>
                </c:pt>
                <c:pt idx="107">
                  <c:v>25.527599999999996</c:v>
                </c:pt>
                <c:pt idx="108">
                  <c:v>25.327299999999997</c:v>
                </c:pt>
                <c:pt idx="109">
                  <c:v>25.126999999999995</c:v>
                </c:pt>
                <c:pt idx="110">
                  <c:v>24.926699999999997</c:v>
                </c:pt>
                <c:pt idx="111">
                  <c:v>24.726399999999995</c:v>
                </c:pt>
                <c:pt idx="112">
                  <c:v>24.526099999999996</c:v>
                </c:pt>
                <c:pt idx="113">
                  <c:v>24.325799999999997</c:v>
                </c:pt>
                <c:pt idx="114">
                  <c:v>24.125499999999995</c:v>
                </c:pt>
                <c:pt idx="115">
                  <c:v>23.925199999999997</c:v>
                </c:pt>
                <c:pt idx="116">
                  <c:v>23.724899999999995</c:v>
                </c:pt>
                <c:pt idx="117">
                  <c:v>23.524599999999996</c:v>
                </c:pt>
                <c:pt idx="118">
                  <c:v>23.324299999999997</c:v>
                </c:pt>
                <c:pt idx="119">
                  <c:v>23.123999999999995</c:v>
                </c:pt>
                <c:pt idx="120">
                  <c:v>22.923699999999997</c:v>
                </c:pt>
                <c:pt idx="121">
                  <c:v>22.723399999999994</c:v>
                </c:pt>
                <c:pt idx="122">
                  <c:v>22.523099999999996</c:v>
                </c:pt>
                <c:pt idx="123">
                  <c:v>22.322799999999997</c:v>
                </c:pt>
                <c:pt idx="124">
                  <c:v>22.122499999999995</c:v>
                </c:pt>
                <c:pt idx="125">
                  <c:v>21.922199999999997</c:v>
                </c:pt>
                <c:pt idx="126">
                  <c:v>21.721899999999994</c:v>
                </c:pt>
                <c:pt idx="127">
                  <c:v>21.521599999999996</c:v>
                </c:pt>
                <c:pt idx="128">
                  <c:v>21.321299999999997</c:v>
                </c:pt>
                <c:pt idx="129">
                  <c:v>21.120999999999995</c:v>
                </c:pt>
                <c:pt idx="130">
                  <c:v>20.920699999999997</c:v>
                </c:pt>
                <c:pt idx="131">
                  <c:v>20.720399999999994</c:v>
                </c:pt>
                <c:pt idx="132">
                  <c:v>20.520099999999996</c:v>
                </c:pt>
                <c:pt idx="133">
                  <c:v>20.319799999999997</c:v>
                </c:pt>
                <c:pt idx="134">
                  <c:v>20.119499999999995</c:v>
                </c:pt>
                <c:pt idx="135">
                  <c:v>19.919199999999996</c:v>
                </c:pt>
                <c:pt idx="136">
                  <c:v>19.718899999999994</c:v>
                </c:pt>
                <c:pt idx="137">
                  <c:v>19.518599999999996</c:v>
                </c:pt>
                <c:pt idx="138">
                  <c:v>19.318299999999997</c:v>
                </c:pt>
                <c:pt idx="139">
                  <c:v>19.117999999999995</c:v>
                </c:pt>
                <c:pt idx="140">
                  <c:v>18.917699999999996</c:v>
                </c:pt>
                <c:pt idx="141">
                  <c:v>18.717399999999994</c:v>
                </c:pt>
                <c:pt idx="142">
                  <c:v>18.517099999999996</c:v>
                </c:pt>
                <c:pt idx="143">
                  <c:v>18.316799999999997</c:v>
                </c:pt>
                <c:pt idx="144">
                  <c:v>18.116499999999995</c:v>
                </c:pt>
                <c:pt idx="145">
                  <c:v>17.916199999999996</c:v>
                </c:pt>
                <c:pt idx="146">
                  <c:v>17.715899999999994</c:v>
                </c:pt>
                <c:pt idx="147">
                  <c:v>17.515599999999996</c:v>
                </c:pt>
                <c:pt idx="148">
                  <c:v>17.315299999999997</c:v>
                </c:pt>
                <c:pt idx="149">
                  <c:v>17.114999999999995</c:v>
                </c:pt>
                <c:pt idx="150">
                  <c:v>16.914699999999996</c:v>
                </c:pt>
                <c:pt idx="151">
                  <c:v>16.714399999999994</c:v>
                </c:pt>
                <c:pt idx="152">
                  <c:v>16.514099999999996</c:v>
                </c:pt>
                <c:pt idx="153">
                  <c:v>16.313799999999997</c:v>
                </c:pt>
                <c:pt idx="154">
                  <c:v>16.113499999999995</c:v>
                </c:pt>
                <c:pt idx="155">
                  <c:v>15.913199999999996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7F-4706-A310-5B3FB3358881}"/>
            </c:ext>
          </c:extLst>
        </c:ser>
        <c:ser>
          <c:idx val="4"/>
          <c:order val="2"/>
          <c:tx>
            <c:strRef>
              <c:f>'Decomposition(Others)'!$E$1</c:f>
              <c:strCache>
                <c:ptCount val="1"/>
                <c:pt idx="0">
                  <c:v>Index_Seasonality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'Decomposition(Others)'!$E$2:$E$157</c:f>
              <c:numCache>
                <c:formatCode>General</c:formatCode>
                <c:ptCount val="156"/>
                <c:pt idx="0">
                  <c:v>1.0135621687614387</c:v>
                </c:pt>
                <c:pt idx="1">
                  <c:v>1.0086095928159931</c:v>
                </c:pt>
                <c:pt idx="2">
                  <c:v>1.0026504887120649</c:v>
                </c:pt>
                <c:pt idx="3">
                  <c:v>1.014691089594377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F-4706-A310-5B3FB3358881}"/>
            </c:ext>
          </c:extLst>
        </c:ser>
        <c:ser>
          <c:idx val="5"/>
          <c:order val="3"/>
          <c:tx>
            <c:strRef>
              <c:f>'Decomposition(Others)'!$F$1</c:f>
              <c:strCache>
                <c:ptCount val="1"/>
                <c:pt idx="0">
                  <c:v>Forecasted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'Decomposition(Others)'!$F$2:$F$157</c:f>
              <c:numCache>
                <c:formatCode>General</c:formatCode>
                <c:ptCount val="156"/>
                <c:pt idx="0">
                  <c:v>47.596575376386532</c:v>
                </c:pt>
                <c:pt idx="1">
                  <c:v>47.161979394320142</c:v>
                </c:pt>
                <c:pt idx="2">
                  <c:v>46.682504368993889</c:v>
                </c:pt>
                <c:pt idx="3">
                  <c:v>47.039861284287802</c:v>
                </c:pt>
                <c:pt idx="4">
                  <c:v>46.784509366774863</c:v>
                </c:pt>
                <c:pt idx="5">
                  <c:v>46.353881388555969</c:v>
                </c:pt>
                <c:pt idx="6">
                  <c:v>45.87918079743779</c:v>
                </c:pt>
                <c:pt idx="7">
                  <c:v>46.226890783304782</c:v>
                </c:pt>
                <c:pt idx="8">
                  <c:v>45.972443357163201</c:v>
                </c:pt>
                <c:pt idx="9">
                  <c:v>45.545783382791797</c:v>
                </c:pt>
                <c:pt idx="10">
                  <c:v>45.075857225881684</c:v>
                </c:pt>
                <c:pt idx="11">
                  <c:v>45.413920282321776</c:v>
                </c:pt>
                <c:pt idx="12">
                  <c:v>45.160377347551531</c:v>
                </c:pt>
                <c:pt idx="13">
                  <c:v>44.737685377027617</c:v>
                </c:pt>
                <c:pt idx="14">
                  <c:v>44.272533654325578</c:v>
                </c:pt>
                <c:pt idx="15">
                  <c:v>44.600949781338763</c:v>
                </c:pt>
                <c:pt idx="16">
                  <c:v>44.348311337939869</c:v>
                </c:pt>
                <c:pt idx="17">
                  <c:v>43.929587371263445</c:v>
                </c:pt>
                <c:pt idx="18">
                  <c:v>43.469210082769472</c:v>
                </c:pt>
                <c:pt idx="19">
                  <c:v>43.787979280355742</c:v>
                </c:pt>
                <c:pt idx="20">
                  <c:v>43.536245328328206</c:v>
                </c:pt>
                <c:pt idx="21">
                  <c:v>43.121489365499279</c:v>
                </c:pt>
                <c:pt idx="22">
                  <c:v>42.665886511213358</c:v>
                </c:pt>
                <c:pt idx="23">
                  <c:v>42.975008779372729</c:v>
                </c:pt>
                <c:pt idx="24">
                  <c:v>42.724179318716537</c:v>
                </c:pt>
                <c:pt idx="25">
                  <c:v>42.3133913597351</c:v>
                </c:pt>
                <c:pt idx="26">
                  <c:v>41.862562939657259</c:v>
                </c:pt>
                <c:pt idx="27">
                  <c:v>42.162038278389709</c:v>
                </c:pt>
                <c:pt idx="28">
                  <c:v>41.912113309104875</c:v>
                </c:pt>
                <c:pt idx="29">
                  <c:v>41.505293353970927</c:v>
                </c:pt>
                <c:pt idx="30">
                  <c:v>41.059239368101153</c:v>
                </c:pt>
                <c:pt idx="31">
                  <c:v>41.349067777406702</c:v>
                </c:pt>
                <c:pt idx="32">
                  <c:v>41.100047299493205</c:v>
                </c:pt>
                <c:pt idx="33">
                  <c:v>40.697195348206748</c:v>
                </c:pt>
                <c:pt idx="34">
                  <c:v>40.255915796545047</c:v>
                </c:pt>
                <c:pt idx="35">
                  <c:v>40.536097276423682</c:v>
                </c:pt>
                <c:pt idx="36">
                  <c:v>40.28798128988155</c:v>
                </c:pt>
                <c:pt idx="37">
                  <c:v>39.889097342442575</c:v>
                </c:pt>
                <c:pt idx="38">
                  <c:v>39.452592224988933</c:v>
                </c:pt>
                <c:pt idx="39">
                  <c:v>39.723126775440669</c:v>
                </c:pt>
                <c:pt idx="40">
                  <c:v>39.475915280269881</c:v>
                </c:pt>
                <c:pt idx="41">
                  <c:v>39.08099933667841</c:v>
                </c:pt>
                <c:pt idx="42">
                  <c:v>38.649268653432834</c:v>
                </c:pt>
                <c:pt idx="43">
                  <c:v>38.910156274457655</c:v>
                </c:pt>
                <c:pt idx="44">
                  <c:v>38.663849270658218</c:v>
                </c:pt>
                <c:pt idx="45">
                  <c:v>38.27290133091423</c:v>
                </c:pt>
                <c:pt idx="46">
                  <c:v>37.845945081876728</c:v>
                </c:pt>
                <c:pt idx="47">
                  <c:v>38.097185773474635</c:v>
                </c:pt>
                <c:pt idx="48">
                  <c:v>37.851783261046549</c:v>
                </c:pt>
                <c:pt idx="49">
                  <c:v>37.464803325150058</c:v>
                </c:pt>
                <c:pt idx="50">
                  <c:v>37.042621510320622</c:v>
                </c:pt>
                <c:pt idx="51">
                  <c:v>37.284215272491629</c:v>
                </c:pt>
                <c:pt idx="52">
                  <c:v>37.039717251434894</c:v>
                </c:pt>
                <c:pt idx="53">
                  <c:v>36.656705319385885</c:v>
                </c:pt>
                <c:pt idx="54">
                  <c:v>36.239297938764516</c:v>
                </c:pt>
                <c:pt idx="55">
                  <c:v>36.471244771508609</c:v>
                </c:pt>
                <c:pt idx="56">
                  <c:v>36.227651241823224</c:v>
                </c:pt>
                <c:pt idx="57">
                  <c:v>35.848607313621706</c:v>
                </c:pt>
                <c:pt idx="58">
                  <c:v>35.435974367208402</c:v>
                </c:pt>
                <c:pt idx="59">
                  <c:v>35.658274270525595</c:v>
                </c:pt>
                <c:pt idx="60">
                  <c:v>35.415585232211562</c:v>
                </c:pt>
                <c:pt idx="61">
                  <c:v>35.04050930785754</c:v>
                </c:pt>
                <c:pt idx="62">
                  <c:v>34.632650795652303</c:v>
                </c:pt>
                <c:pt idx="63">
                  <c:v>34.845303769542575</c:v>
                </c:pt>
                <c:pt idx="64">
                  <c:v>34.603519222599893</c:v>
                </c:pt>
                <c:pt idx="65">
                  <c:v>34.232411302093368</c:v>
                </c:pt>
                <c:pt idx="66">
                  <c:v>33.829327224096197</c:v>
                </c:pt>
                <c:pt idx="67">
                  <c:v>34.032333268559562</c:v>
                </c:pt>
                <c:pt idx="68">
                  <c:v>33.791453212988223</c:v>
                </c:pt>
                <c:pt idx="69">
                  <c:v>33.424313296329188</c:v>
                </c:pt>
                <c:pt idx="70">
                  <c:v>33.026003652540091</c:v>
                </c:pt>
                <c:pt idx="71">
                  <c:v>33.219362767576548</c:v>
                </c:pt>
                <c:pt idx="72">
                  <c:v>32.979387203376568</c:v>
                </c:pt>
                <c:pt idx="73">
                  <c:v>32.616215290565016</c:v>
                </c:pt>
                <c:pt idx="74">
                  <c:v>32.222680080983977</c:v>
                </c:pt>
                <c:pt idx="75">
                  <c:v>32.406392266593535</c:v>
                </c:pt>
                <c:pt idx="76">
                  <c:v>32.167321193764899</c:v>
                </c:pt>
                <c:pt idx="77">
                  <c:v>31.808117284800844</c:v>
                </c:pt>
                <c:pt idx="78">
                  <c:v>31.419356509427871</c:v>
                </c:pt>
                <c:pt idx="79">
                  <c:v>31.593421765610518</c:v>
                </c:pt>
                <c:pt idx="80">
                  <c:v>31.355255184153236</c:v>
                </c:pt>
                <c:pt idx="81">
                  <c:v>31.000019279036668</c:v>
                </c:pt>
                <c:pt idx="82">
                  <c:v>30.616032937871768</c:v>
                </c:pt>
                <c:pt idx="83">
                  <c:v>30.780451264627505</c:v>
                </c:pt>
                <c:pt idx="84">
                  <c:v>30.54318917454157</c:v>
                </c:pt>
                <c:pt idx="85">
                  <c:v>30.191921273272495</c:v>
                </c:pt>
                <c:pt idx="86">
                  <c:v>29.812709366315659</c:v>
                </c:pt>
                <c:pt idx="87">
                  <c:v>29.967480763644488</c:v>
                </c:pt>
                <c:pt idx="88">
                  <c:v>29.731123164929908</c:v>
                </c:pt>
                <c:pt idx="89">
                  <c:v>29.383823267508323</c:v>
                </c:pt>
                <c:pt idx="90">
                  <c:v>29.009385794759556</c:v>
                </c:pt>
                <c:pt idx="91">
                  <c:v>29.154510262661475</c:v>
                </c:pt>
                <c:pt idx="92">
                  <c:v>28.919057155318242</c:v>
                </c:pt>
                <c:pt idx="93">
                  <c:v>28.57572526174415</c:v>
                </c:pt>
                <c:pt idx="94">
                  <c:v>28.20606222320345</c:v>
                </c:pt>
                <c:pt idx="95">
                  <c:v>28.341539761678462</c:v>
                </c:pt>
                <c:pt idx="96">
                  <c:v>28.106991145706573</c:v>
                </c:pt>
                <c:pt idx="97">
                  <c:v>27.767627255979974</c:v>
                </c:pt>
                <c:pt idx="98">
                  <c:v>27.402738651647343</c:v>
                </c:pt>
                <c:pt idx="99">
                  <c:v>27.528569260695445</c:v>
                </c:pt>
                <c:pt idx="100">
                  <c:v>27.294925136094911</c:v>
                </c:pt>
                <c:pt idx="101">
                  <c:v>26.959529250215798</c:v>
                </c:pt>
                <c:pt idx="102">
                  <c:v>26.599415080091237</c:v>
                </c:pt>
                <c:pt idx="103">
                  <c:v>26.715598759712432</c:v>
                </c:pt>
                <c:pt idx="104">
                  <c:v>26.482859126483245</c:v>
                </c:pt>
                <c:pt idx="105">
                  <c:v>26.151431244451629</c:v>
                </c:pt>
                <c:pt idx="106">
                  <c:v>25.796091508535127</c:v>
                </c:pt>
                <c:pt idx="107">
                  <c:v>25.902628258729415</c:v>
                </c:pt>
                <c:pt idx="108">
                  <c:v>25.670793116871582</c:v>
                </c:pt>
                <c:pt idx="109">
                  <c:v>25.343333238687453</c:v>
                </c:pt>
                <c:pt idx="110">
                  <c:v>24.992767936979025</c:v>
                </c:pt>
                <c:pt idx="111">
                  <c:v>25.089657757746398</c:v>
                </c:pt>
                <c:pt idx="112">
                  <c:v>24.858727107259917</c:v>
                </c:pt>
                <c:pt idx="113">
                  <c:v>24.535235232923281</c:v>
                </c:pt>
                <c:pt idx="114">
                  <c:v>24.189444365422915</c:v>
                </c:pt>
                <c:pt idx="115">
                  <c:v>24.276687256763385</c:v>
                </c:pt>
                <c:pt idx="116">
                  <c:v>24.046661097648251</c:v>
                </c:pt>
                <c:pt idx="117">
                  <c:v>23.727137227159105</c:v>
                </c:pt>
                <c:pt idx="118">
                  <c:v>23.386120793866812</c:v>
                </c:pt>
                <c:pt idx="119">
                  <c:v>23.463716755780371</c:v>
                </c:pt>
                <c:pt idx="120">
                  <c:v>23.234595088036588</c:v>
                </c:pt>
                <c:pt idx="121">
                  <c:v>22.919039221394932</c:v>
                </c:pt>
                <c:pt idx="122">
                  <c:v>22.582797222310703</c:v>
                </c:pt>
                <c:pt idx="123">
                  <c:v>22.650746254797358</c:v>
                </c:pt>
                <c:pt idx="124">
                  <c:v>22.422529078424922</c:v>
                </c:pt>
                <c:pt idx="125">
                  <c:v>22.11094121563076</c:v>
                </c:pt>
                <c:pt idx="126">
                  <c:v>21.779473650754596</c:v>
                </c:pt>
                <c:pt idx="127">
                  <c:v>21.837775753814341</c:v>
                </c:pt>
                <c:pt idx="128">
                  <c:v>21.61046306881326</c:v>
                </c:pt>
                <c:pt idx="129">
                  <c:v>21.302843209866584</c:v>
                </c:pt>
                <c:pt idx="130">
                  <c:v>20.97615007919849</c:v>
                </c:pt>
                <c:pt idx="131">
                  <c:v>21.024805252831325</c:v>
                </c:pt>
                <c:pt idx="132">
                  <c:v>20.798397059201594</c:v>
                </c:pt>
                <c:pt idx="133">
                  <c:v>20.494745204102411</c:v>
                </c:pt>
                <c:pt idx="134">
                  <c:v>20.172826507642384</c:v>
                </c:pt>
                <c:pt idx="135">
                  <c:v>20.211834751848311</c:v>
                </c:pt>
                <c:pt idx="136">
                  <c:v>19.986331049589928</c:v>
                </c:pt>
                <c:pt idx="137">
                  <c:v>19.686647198338239</c:v>
                </c:pt>
                <c:pt idx="138">
                  <c:v>19.369502936086281</c:v>
                </c:pt>
                <c:pt idx="139">
                  <c:v>19.398864250865294</c:v>
                </c:pt>
                <c:pt idx="140">
                  <c:v>19.174265039978266</c:v>
                </c:pt>
                <c:pt idx="141">
                  <c:v>18.878549192574063</c:v>
                </c:pt>
                <c:pt idx="142">
                  <c:v>18.566179364530171</c:v>
                </c:pt>
                <c:pt idx="143">
                  <c:v>18.585893749882281</c:v>
                </c:pt>
                <c:pt idx="144">
                  <c:v>18.3621990303666</c:v>
                </c:pt>
                <c:pt idx="145">
                  <c:v>18.07045118680989</c:v>
                </c:pt>
                <c:pt idx="146">
                  <c:v>17.762855792974065</c:v>
                </c:pt>
                <c:pt idx="147">
                  <c:v>17.772923248899264</c:v>
                </c:pt>
                <c:pt idx="148">
                  <c:v>17.550133020754934</c:v>
                </c:pt>
                <c:pt idx="149">
                  <c:v>17.262353181045714</c:v>
                </c:pt>
                <c:pt idx="150">
                  <c:v>16.959532221417959</c:v>
                </c:pt>
                <c:pt idx="151">
                  <c:v>16.959952747916251</c:v>
                </c:pt>
                <c:pt idx="152">
                  <c:v>16.738067011143269</c:v>
                </c:pt>
                <c:pt idx="153">
                  <c:v>16.454255175281546</c:v>
                </c:pt>
                <c:pt idx="154">
                  <c:v>16.156208649861853</c:v>
                </c:pt>
                <c:pt idx="155">
                  <c:v>16.146982246933238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7F-4706-A310-5B3FB3358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6844616"/>
        <c:axId val="566840680"/>
      </c:lineChart>
      <c:catAx>
        <c:axId val="5668446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40680"/>
        <c:crosses val="autoZero"/>
        <c:auto val="1"/>
        <c:lblAlgn val="ctr"/>
        <c:lblOffset val="100"/>
        <c:noMultiLvlLbl val="0"/>
      </c:catAx>
      <c:valAx>
        <c:axId val="56684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44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sel="1" val="0">
  <itemLst>
    <item val="Summary statistics"/>
    <item val="Seasonal fitting: (Others)"/>
    <item val="Goodness of fit statistics (Others)"/>
    <item val="Goodness of fit statistics (Others)"/>
    <item val="Series before and after transformation (Others)"/>
    <item val="Seasonal decomposition: (Others)"/>
    <item val="Coefficients (Others)"/>
    <item val="Series before and after transformation (Others)"/>
  </itemLst>
</formControlPr>
</file>

<file path=xl/ctrlProps/ctrlProp2.xml><?xml version="1.0" encoding="utf-8"?>
<formControlPr xmlns="http://schemas.microsoft.com/office/spreadsheetml/2009/9/main" objectType="Drop" dropStyle="combo" dx="16" sel="1" val="0">
  <itemLst>
    <item val="Summary statistics"/>
    <item val="Seasonal fitting: (Others)"/>
    <item val="Goodness of fit statistics (Others)"/>
    <item val="Goodness of fit statistics (Others)"/>
    <item val="Series before and after transformation (Others)"/>
    <item val="Seasonal decomposition: (Others)"/>
    <item val="Coefficients (Others)"/>
    <item val="Series before and after transformation (Others)"/>
  </itemLst>
</formControlPr>
</file>

<file path=xl/ctrlProps/ctrlProp3.xml><?xml version="1.0" encoding="utf-8"?>
<formControlPr xmlns="http://schemas.microsoft.com/office/spreadsheetml/2009/9/main" objectType="Drop" dropStyle="combo" dx="16" sel="1" val="0">
  <itemLst>
    <item val="Summary statistics"/>
    <item val="Box-Cox transformation (Others)"/>
    <item val="Series before and after transformation (Others)"/>
    <item val="Seasonal decomposition: (Others)"/>
    <item val="Coefficients (Others)"/>
    <item val="Series before and after transformation (Others)"/>
  </itemLst>
</formControlPr>
</file>

<file path=xl/ctrlProps/ctrlProp4.xml><?xml version="1.0" encoding="utf-8"?>
<formControlPr xmlns="http://schemas.microsoft.com/office/spreadsheetml/2009/9/main" objectType="Drop" dropStyle="combo" dx="16" sel="1" val="0">
  <itemLst>
    <item val="Summary statistics"/>
    <item val="Results of ARIMA modeling of the Others series"/>
    <item val="Results after optimization (Others)"/>
    <item val="Goodness of fit statistics"/>
    <item val="Model parameters"/>
    <item val="Predictions and residuals"/>
    <item val="Descriptive analysis (Others)"/>
    <item val="Descriptive analysis (Residuals)"/>
  </itemLst>
</formControlPr>
</file>

<file path=xl/ctrlProps/ctrlProp5.xml><?xml version="1.0" encoding="utf-8"?>
<formControlPr xmlns="http://schemas.microsoft.com/office/spreadsheetml/2009/9/main" objectType="Drop" dropStyle="combo" dx="16" sel="1" val="0">
  <itemLst>
    <item val="Summary statistics"/>
    <item val="Seasonal decomposition: (Others)"/>
    <item val="Coefficients (Others)"/>
    <item val="Series before and after transformation (Others)"/>
  </itemLst>
</formControlPr>
</file>

<file path=xl/ctrlProps/ctrlProp6.xml><?xml version="1.0" encoding="utf-8"?>
<formControlPr xmlns="http://schemas.microsoft.com/office/spreadsheetml/2009/9/main" objectType="Drop" dropStyle="combo" dx="16" sel="1" val="0">
  <itemLst>
    <item val="Summary statistics"/>
    <item val="Time series"/>
  </itemLst>
</formControlPr>
</file>

<file path=xl/ctrlProps/ctrlProp7.xml><?xml version="1.0" encoding="utf-8"?>
<formControlPr xmlns="http://schemas.microsoft.com/office/spreadsheetml/2009/9/main" objectType="Drop" dropStyle="combo" dx="16" sel="1" val="0">
  <itemLst>
    <item val="Summary statistics"/>
    <item val="Dickey-Fuller test (ADF(stationary) / k: 5 / Others)"/>
  </itemLst>
</formControlPr>
</file>

<file path=xl/ctrlProps/ctrlProp8.xml><?xml version="1.0" encoding="utf-8"?>
<formControlPr xmlns="http://schemas.microsoft.com/office/spreadsheetml/2009/9/main" objectType="Drop" dropStyle="combo" dx="16" sel="1" val="0">
  <itemLst>
    <item val="Summary statistics"/>
    <item val="Goodness of fit statistics (Others)"/>
    <item val="Model parameters (Others)"/>
    <item val="Series before and after smoothing (Others)"/>
  </itemLst>
</formControlPr>
</file>

<file path=xl/ctrlProps/ctrlProp9.xml><?xml version="1.0" encoding="utf-8"?>
<formControlPr xmlns="http://schemas.microsoft.com/office/spreadsheetml/2009/9/main" objectType="Drop" dropStyle="combo" dx="16" sel="1" val="0">
  <itemLst>
    <item val="Summary statistics"/>
    <item val="Goodness of fit statistics (Others)"/>
    <item val="Model parameters (Others)"/>
    <item val="Series before and after smoothing (Others)"/>
  </itemLst>
</formControlPr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6.png"/><Relationship Id="rId7" Type="http://schemas.openxmlformats.org/officeDocument/2006/relationships/chart" Target="../charts/chart4.xml"/><Relationship Id="rId12" Type="http://schemas.openxmlformats.org/officeDocument/2006/relationships/chart" Target="../charts/chart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image" Target="../media/image8.png"/><Relationship Id="rId10" Type="http://schemas.openxmlformats.org/officeDocument/2006/relationships/chart" Target="../charts/chart7.xml"/><Relationship Id="rId4" Type="http://schemas.openxmlformats.org/officeDocument/2006/relationships/image" Target="../media/image7.png"/><Relationship Id="rId9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image" Target="../media/image6.png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image" Target="../media/image8.png"/><Relationship Id="rId10" Type="http://schemas.openxmlformats.org/officeDocument/2006/relationships/chart" Target="../charts/chart14.xml"/><Relationship Id="rId4" Type="http://schemas.openxmlformats.org/officeDocument/2006/relationships/image" Target="../media/image7.png"/><Relationship Id="rId9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image" Target="../media/image6.png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image" Target="../media/image8.png"/><Relationship Id="rId10" Type="http://schemas.openxmlformats.org/officeDocument/2006/relationships/chart" Target="../charts/chart21.xml"/><Relationship Id="rId4" Type="http://schemas.openxmlformats.org/officeDocument/2006/relationships/image" Target="../media/image7.png"/><Relationship Id="rId9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image" Target="../media/image6.png"/><Relationship Id="rId7" Type="http://schemas.openxmlformats.org/officeDocument/2006/relationships/chart" Target="../charts/chart25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image" Target="../media/image8.png"/><Relationship Id="rId10" Type="http://schemas.openxmlformats.org/officeDocument/2006/relationships/chart" Target="../charts/chart28.xml"/><Relationship Id="rId4" Type="http://schemas.openxmlformats.org/officeDocument/2006/relationships/image" Target="../media/image7.png"/><Relationship Id="rId9" Type="http://schemas.openxmlformats.org/officeDocument/2006/relationships/chart" Target="../charts/chart27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image" Target="../media/image6.png"/><Relationship Id="rId7" Type="http://schemas.openxmlformats.org/officeDocument/2006/relationships/chart" Target="../charts/chart31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30.xml"/><Relationship Id="rId5" Type="http://schemas.openxmlformats.org/officeDocument/2006/relationships/image" Target="../media/image8.png"/><Relationship Id="rId10" Type="http://schemas.openxmlformats.org/officeDocument/2006/relationships/chart" Target="../charts/chart34.xml"/><Relationship Id="rId4" Type="http://schemas.openxmlformats.org/officeDocument/2006/relationships/image" Target="../media/image7.png"/><Relationship Id="rId9" Type="http://schemas.openxmlformats.org/officeDocument/2006/relationships/chart" Target="../charts/chart3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35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36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chart" Target="../charts/chart39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38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chart" Target="../charts/chart41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chart" Target="../charts/chart40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2</xdr:row>
      <xdr:rowOff>133350</xdr:rowOff>
    </xdr:from>
    <xdr:to>
      <xdr:col>10</xdr:col>
      <xdr:colOff>285750</xdr:colOff>
      <xdr:row>15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352675" y="514350"/>
          <a:ext cx="4181475" cy="240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</a:t>
          </a:r>
          <a:r>
            <a:rPr lang="en-US" sz="1100" baseline="0"/>
            <a:t> models built for the Household electricity consumption, out of which finally ARIMA was selected [AR2]. Model tried were:</a:t>
          </a:r>
        </a:p>
        <a:p>
          <a:endParaRPr lang="en-US" sz="1100" baseline="0"/>
        </a:p>
        <a:p>
          <a:r>
            <a:rPr lang="en-US" sz="1100" baseline="0"/>
            <a:t>1) Exponential Smothing </a:t>
          </a:r>
          <a:r>
            <a:rPr lang="en-US" sz="1100" baseline="0">
              <a:solidFill>
                <a:srgbClr val="FF0000"/>
              </a:solidFill>
            </a:rPr>
            <a:t>(Rjected)</a:t>
          </a:r>
        </a:p>
        <a:p>
          <a:r>
            <a:rPr lang="en-US" sz="1100" baseline="0"/>
            <a:t>2) Decomposition </a:t>
          </a:r>
          <a:r>
            <a:rPr lang="en-US" sz="1100" baseline="0">
              <a:solidFill>
                <a:srgbClr val="FF0000"/>
              </a:solidFill>
            </a:rPr>
            <a:t>(Rejected)</a:t>
          </a:r>
        </a:p>
        <a:p>
          <a:r>
            <a:rPr lang="en-US" sz="1100" baseline="0"/>
            <a:t>3) ARIMA </a:t>
          </a:r>
          <a:r>
            <a:rPr lang="en-US" sz="1100" baseline="0">
              <a:solidFill>
                <a:srgbClr val="92D050"/>
              </a:solidFill>
            </a:rPr>
            <a:t>(Selected)</a:t>
          </a:r>
        </a:p>
        <a:p>
          <a:endParaRPr lang="en-US" sz="1100" baseline="0">
            <a:solidFill>
              <a:srgbClr val="92D050"/>
            </a:solidFill>
          </a:endParaRPr>
        </a:p>
        <a:p>
          <a:r>
            <a:rPr lang="en-US" sz="1100">
              <a:solidFill>
                <a:sysClr val="windowText" lastClr="000000"/>
              </a:solidFill>
            </a:rPr>
            <a:t>Criteria for selection/rejection</a:t>
          </a:r>
          <a:r>
            <a:rPr lang="en-US" sz="1100" baseline="0">
              <a:solidFill>
                <a:sysClr val="windowText" lastClr="000000"/>
              </a:solidFill>
            </a:rPr>
            <a:t> is the comparison of RMSE. Model with least error is selected.</a:t>
          </a:r>
        </a:p>
        <a:p>
          <a:endParaRPr lang="en-US" sz="1100" baseline="0">
            <a:solidFill>
              <a:sysClr val="windowText" lastClr="000000"/>
            </a:solidFill>
          </a:endParaRPr>
        </a:p>
        <a:p>
          <a:r>
            <a:rPr lang="en-US" sz="1100" b="1" baseline="0">
              <a:solidFill>
                <a:sysClr val="windowText" lastClr="000000"/>
              </a:solidFill>
            </a:rPr>
            <a:t>Final Model Selected:</a:t>
          </a: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AR(2) RMSE: 18.832	MAPE: 2.7186 </a:t>
          </a:r>
          <a:endParaRPr lang="en-US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5</xdr:row>
      <xdr:rowOff>128587</xdr:rowOff>
    </xdr:from>
    <xdr:to>
      <xdr:col>13</xdr:col>
      <xdr:colOff>123825</xdr:colOff>
      <xdr:row>20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7</xdr:row>
      <xdr:rowOff>14287</xdr:rowOff>
    </xdr:from>
    <xdr:to>
      <xdr:col>15</xdr:col>
      <xdr:colOff>66675</xdr:colOff>
      <xdr:row>21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28574</xdr:rowOff>
    </xdr:from>
    <xdr:to>
      <xdr:col>7</xdr:col>
      <xdr:colOff>123825</xdr:colOff>
      <xdr:row>16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47625" y="28574"/>
          <a:ext cx="4343400" cy="30765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Step1) </a:t>
          </a:r>
          <a:r>
            <a:rPr lang="en-US" sz="1100" b="0"/>
            <a:t>Test</a:t>
          </a:r>
          <a:r>
            <a:rPr lang="en-US" sz="1100" b="0" baseline="0"/>
            <a:t> for Stationarity</a:t>
          </a:r>
        </a:p>
        <a:p>
          <a:r>
            <a:rPr lang="en-US" sz="1100" b="0" baseline="0"/>
            <a:t>	Augmented Dicky Fuller test</a:t>
          </a:r>
        </a:p>
        <a:p>
          <a:r>
            <a:rPr lang="en-US" sz="1100" b="0" baseline="0"/>
            <a:t>	p-value = 7.195e-011</a:t>
          </a:r>
        </a:p>
        <a:p>
          <a:r>
            <a:rPr lang="en-US" sz="1100" b="0" baseline="0"/>
            <a:t>Significant p-value, hence the series is already stationary. </a:t>
          </a:r>
          <a:r>
            <a:rPr lang="en-US" sz="1100" b="1" baseline="0"/>
            <a:t>D=0</a:t>
          </a:r>
          <a:endParaRPr lang="en-US" sz="1100" b="1"/>
        </a:p>
        <a:p>
          <a:endParaRPr lang="en-US" sz="1100" b="1"/>
        </a:p>
        <a:p>
          <a:r>
            <a:rPr lang="en-US" sz="1100" b="1"/>
            <a:t>Step</a:t>
          </a:r>
          <a:r>
            <a:rPr lang="en-US" sz="1100" b="1" baseline="0"/>
            <a:t> 2) </a:t>
          </a:r>
          <a:r>
            <a:rPr lang="en-US" sz="1100" b="0" baseline="0"/>
            <a:t>Plot </a:t>
          </a:r>
          <a:r>
            <a:rPr lang="en-US" sz="1100" b="1" baseline="0"/>
            <a:t>ACF | PACF </a:t>
          </a:r>
          <a:r>
            <a:rPr lang="en-US" sz="1100" b="0" baseline="0"/>
            <a:t>graph of the series (</a:t>
          </a:r>
          <a:r>
            <a:rPr lang="en-US" sz="1100" b="0" i="1" baseline="0"/>
            <a:t>as seen in image below)</a:t>
          </a:r>
          <a:endParaRPr lang="en-US" sz="1100" b="0" baseline="0"/>
        </a:p>
        <a:p>
          <a:r>
            <a:rPr lang="en-US" sz="1100" b="0" baseline="0"/>
            <a:t>	acf is constantly reducing</a:t>
          </a:r>
        </a:p>
        <a:p>
          <a:r>
            <a:rPr lang="en-US" sz="1100" b="0" baseline="0"/>
            <a:t>	pacf cuts down at 2</a:t>
          </a:r>
        </a:p>
        <a:p>
          <a:r>
            <a:rPr lang="en-US" sz="1100" b="0" baseline="0"/>
            <a:t>Hence this is a case of AR modelling. 2 models tried - AR(1) AR(2)</a:t>
          </a:r>
          <a:endParaRPr lang="en-US" sz="1100" b="1" baseline="0"/>
        </a:p>
        <a:p>
          <a:endParaRPr lang="en-US" sz="1100" b="1" baseline="0"/>
        </a:p>
        <a:p>
          <a:r>
            <a:rPr lang="en-US" sz="1100" b="1" baseline="0"/>
            <a:t>Step 3) </a:t>
          </a:r>
          <a:r>
            <a:rPr lang="en-US" sz="1100" b="0" baseline="0"/>
            <a:t>AR(2) is selected finally as it gives the least RMSE and also has all the 4 input lag variables significant.</a:t>
          </a:r>
          <a:endParaRPr lang="en-US" sz="1100" b="1" baseline="0"/>
        </a:p>
        <a:p>
          <a:endParaRPr lang="en-US" sz="1100" b="1" baseline="0"/>
        </a:p>
        <a:p>
          <a:endParaRPr lang="en-US" sz="1100" b="1" baseline="0"/>
        </a:p>
        <a:p>
          <a:r>
            <a:rPr lang="en-US" sz="1100" b="0" baseline="0"/>
            <a:t>AR(1) RMSE: 21.886	MAPE: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3.0792</a:t>
          </a:r>
          <a:endParaRPr lang="en-US" sz="1100" b="0" baseline="0"/>
        </a:p>
        <a:p>
          <a:r>
            <a:rPr lang="en-US" sz="1100" b="1" baseline="0"/>
            <a:t>AR(2) RMSE: 18.832	MAPE: 2.7186 (Selected)</a:t>
          </a:r>
        </a:p>
        <a:p>
          <a:endParaRPr lang="en-US" sz="1100" b="1"/>
        </a:p>
      </xdr:txBody>
    </xdr:sp>
    <xdr:clientData/>
  </xdr:twoCellAnchor>
  <xdr:twoCellAnchor editAs="oneCell">
    <xdr:from>
      <xdr:col>0</xdr:col>
      <xdr:colOff>85725</xdr:colOff>
      <xdr:row>16</xdr:row>
      <xdr:rowOff>95250</xdr:rowOff>
    </xdr:from>
    <xdr:to>
      <xdr:col>7</xdr:col>
      <xdr:colOff>257175</xdr:colOff>
      <xdr:row>40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143250"/>
          <a:ext cx="4438650" cy="4638675"/>
        </a:xfrm>
        <a:prstGeom prst="rect">
          <a:avLst/>
        </a:prstGeom>
      </xdr:spPr>
    </xdr:pic>
    <xdr:clientData/>
  </xdr:twoCellAnchor>
  <xdr:twoCellAnchor>
    <xdr:from>
      <xdr:col>7</xdr:col>
      <xdr:colOff>342900</xdr:colOff>
      <xdr:row>0</xdr:row>
      <xdr:rowOff>9525</xdr:rowOff>
    </xdr:from>
    <xdr:to>
      <xdr:col>10</xdr:col>
      <xdr:colOff>180975</xdr:colOff>
      <xdr:row>141</xdr:row>
      <xdr:rowOff>38100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4610100" y="9525"/>
          <a:ext cx="1666875" cy="268890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Forecasted</a:t>
          </a:r>
          <a:r>
            <a:rPr lang="en-US" sz="1100" b="1" baseline="0"/>
            <a:t> Consumption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492.997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460.172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470.310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514.150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542.097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545.544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552.030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532.148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523.491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515.672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514.759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496.658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466.119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461.948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484.635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513.287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520.344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543.874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521.794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515.963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537.520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537.194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520.354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500.533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478.089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463.390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471.821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498.039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523.413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559.295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536.497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567.047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542.410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509.127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522.406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515.379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475.105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453.613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485.237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492.910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515.989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557.070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562.909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533.561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499.475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520.444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541.756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497.679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469.683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470.553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457.773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505.851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545.962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572.289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587.097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571.140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547.848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547.998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568.427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511.675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499.036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484.038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491.732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573.195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606.040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593.084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574.173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555.383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534.601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542.061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563.977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535.598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515.557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493.924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482.806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511.353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548.690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603.215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582.833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561.919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578.263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582.180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564.425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506.874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487.711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498.070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524.348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547.171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555.045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588.771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588.394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577.821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576.904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566.308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561.223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534.133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507.701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498.378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500.714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535.477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588.247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628.258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607.599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602.230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601.161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541.547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553.492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537.583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521.256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504.274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494.593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535.868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590.069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635.683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617.861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617.899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598.110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575.462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583.747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568.922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547.983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504.654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494.105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575.138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620.023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628.201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617.106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645.854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605.321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615.260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644.105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594.794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578.502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533.887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572.744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630.622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653.489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689.231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686.746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634.198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615.844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638.300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651.814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608.384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532.465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557.746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577.856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588.567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611.800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641.395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630.558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695.847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612.082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619.384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623.303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586.835</a:t>
          </a:r>
        </a:p>
        <a:p>
          <a:endParaRPr lang="en-US" sz="1100" b="1"/>
        </a:p>
      </xdr:txBody>
    </xdr:sp>
    <xdr:clientData/>
  </xdr:twoCellAnchor>
  <xdr:twoCellAnchor editAs="oneCell">
    <xdr:from>
      <xdr:col>10</xdr:col>
      <xdr:colOff>247649</xdr:colOff>
      <xdr:row>0</xdr:row>
      <xdr:rowOff>0</xdr:rowOff>
    </xdr:from>
    <xdr:to>
      <xdr:col>20</xdr:col>
      <xdr:colOff>257175</xdr:colOff>
      <xdr:row>20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49" y="0"/>
          <a:ext cx="6105526" cy="38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222251</xdr:colOff>
      <xdr:row>20</xdr:row>
      <xdr:rowOff>57149</xdr:rowOff>
    </xdr:from>
    <xdr:to>
      <xdr:col>20</xdr:col>
      <xdr:colOff>495301</xdr:colOff>
      <xdr:row>39</xdr:row>
      <xdr:rowOff>114298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251" y="3867149"/>
          <a:ext cx="6369050" cy="36766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344973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955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RunProcTTR
Form46.txt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CheckBoxVarLabels,CheckBox,True,True,000000000003_General,True,Series labels,False,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CheckBox_Desc,CheckBox,True,True,300000000000_Outputs,True,Descriptive statistics,False,
CheckBoxCharts,CheckBox,True,True,400000000000_Charts,True,Display charts,False,
CheckBoxBoxCox,CheckBox,False,True,100000000000_Options,True,Box-Cox transformation,False,
TextBoxLambda,TextBox,0,True,100000000100_Options,True,Lambda:,False,
CheckBoxOpt,CheckBox,False,True,100000000200_Options,True,Optimize,False,
RefEditT,RefEdit0,'Sheet1425690X765'!$D:$D,True,000000000001_General,True,,False,
CheckBoxDate,CheckBox,False,True,000000000201_General,True,Date data,False,
RefEditDate,RefEdit,,True,000000000301_General,True,Date data:,False,
CheckBoxCheckInt,CheckBox,False,True,000000000401_General,True,Check intervals,False,
TextBox_d,TextBox,0,True,100000000101_Options,True,d:,False,
TextBox_Gd,TextBox,0,True,100000000201_Options,True,D:,False,
TextBox_s,TextBox,0,True,100000000301_Options,True,s:,False,
CheckboxDiff,CheckBox,False,True,100000000001_Options,True,Differencing,False,
CheckBoxPoly,CheckBox,False,True,100000000002_Options,True,Polynomial regression,False,
TextBoxPoly,TextBox,1,True,100000000202_Options,True,Polynomial degree:,False,
CheckBoxSeason,CheckBox,True,True,100000000003_Options,True,Seasonal fitting,False,
TextBoxPeriod,TextBox,12,True,100000000103_Options,True,Period:,False,
OptionButtonEachY,OptionButton,True,True,200000000300_Missing data,True,Check for each series separately,False,
OptionButtonAcrossAll,OptionButton,False,True,200000010300_Missing data,True,Across all series,False,
CheckBoxSeasonDecomp,CheckBox,True,True,100000000004_Options,True,Seasonal decomposition,False,
TextBoxPeriodDecomp,TextBox,12,True,100000000304_Options,True,Period:,False,
ComboBoxDecomp,ComboBox,0,True,100000000104_Options,True,,False,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3</xdr:col>
      <xdr:colOff>582803</xdr:colOff>
      <xdr:row>3</xdr:row>
      <xdr:rowOff>0</xdr:rowOff>
    </xdr:to>
    <xdr:sp macro="" textlink="">
      <xdr:nvSpPr>
        <xdr:cNvPr id="3" name="BK34497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39725" y="387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2</xdr:row>
      <xdr:rowOff>43434</xdr:rowOff>
    </xdr:from>
    <xdr:to>
      <xdr:col>1</xdr:col>
      <xdr:colOff>392683</xdr:colOff>
      <xdr:row>2</xdr:row>
      <xdr:rowOff>386334</xdr:rowOff>
    </xdr:to>
    <xdr:pic macro="[0]!ReRunXLSTAT">
      <xdr:nvPicPr>
        <xdr:cNvPr id="4" name="BT34497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[0]!AddRemovGrid">
      <xdr:nvPicPr>
        <xdr:cNvPr id="5" name="RM34497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AddRemovGrid">
      <xdr:nvPicPr>
        <xdr:cNvPr id="6" name="AD344973" hidden="1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2</xdr:row>
      <xdr:rowOff>43434</xdr:rowOff>
    </xdr:from>
    <xdr:to>
      <xdr:col>3</xdr:col>
      <xdr:colOff>100456</xdr:colOff>
      <xdr:row>2</xdr:row>
      <xdr:rowOff>386334</xdr:rowOff>
    </xdr:to>
    <xdr:pic macro="[0]!SendToOfficeLocal">
      <xdr:nvPicPr>
        <xdr:cNvPr id="7" name="WD34497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191896</xdr:colOff>
      <xdr:row>2</xdr:row>
      <xdr:rowOff>43434</xdr:rowOff>
    </xdr:from>
    <xdr:to>
      <xdr:col>3</xdr:col>
      <xdr:colOff>534796</xdr:colOff>
      <xdr:row>2</xdr:row>
      <xdr:rowOff>386334</xdr:rowOff>
    </xdr:to>
    <xdr:pic macro="[0]!SendToOfficeLocal">
      <xdr:nvPicPr>
        <xdr:cNvPr id="8" name="PT34497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201</xdr:row>
      <xdr:rowOff>0</xdr:rowOff>
    </xdr:from>
    <xdr:to>
      <xdr:col>7</xdr:col>
      <xdr:colOff>0</xdr:colOff>
      <xdr:row>218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201</xdr:row>
      <xdr:rowOff>0</xdr:rowOff>
    </xdr:from>
    <xdr:to>
      <xdr:col>13</xdr:col>
      <xdr:colOff>155575</xdr:colOff>
      <xdr:row>218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239</xdr:row>
      <xdr:rowOff>0</xdr:rowOff>
    </xdr:from>
    <xdr:to>
      <xdr:col>7</xdr:col>
      <xdr:colOff>0</xdr:colOff>
      <xdr:row>256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419</xdr:row>
      <xdr:rowOff>0</xdr:rowOff>
    </xdr:from>
    <xdr:to>
      <xdr:col>7</xdr:col>
      <xdr:colOff>0</xdr:colOff>
      <xdr:row>436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127000</xdr:colOff>
      <xdr:row>419</xdr:row>
      <xdr:rowOff>0</xdr:rowOff>
    </xdr:from>
    <xdr:to>
      <xdr:col>13</xdr:col>
      <xdr:colOff>155575</xdr:colOff>
      <xdr:row>436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438</xdr:row>
      <xdr:rowOff>0</xdr:rowOff>
    </xdr:from>
    <xdr:to>
      <xdr:col>7</xdr:col>
      <xdr:colOff>0</xdr:colOff>
      <xdr:row>455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127000</xdr:colOff>
      <xdr:row>438</xdr:row>
      <xdr:rowOff>0</xdr:rowOff>
    </xdr:from>
    <xdr:to>
      <xdr:col>13</xdr:col>
      <xdr:colOff>155575</xdr:colOff>
      <xdr:row>455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3</xdr:row>
          <xdr:rowOff>0</xdr:rowOff>
        </xdr:from>
        <xdr:to>
          <xdr:col>4</xdr:col>
          <xdr:colOff>596900</xdr:colOff>
          <xdr:row>4</xdr:row>
          <xdr:rowOff>0</xdr:rowOff>
        </xdr:to>
        <xdr:sp macro="" textlink="">
          <xdr:nvSpPr>
            <xdr:cNvPr id="19457" name="DD532227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838704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55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RunProcTTR
Form46.txt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CheckBoxVarLabels,CheckBox,True,True,000000000003_General,True,Series labels,False,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CheckBox_Desc,CheckBox,True,True,300000000000_Outputs,True,Descriptive statistics,False,
CheckBoxCharts,CheckBox,True,True,400000000000_Charts,True,Display charts,False,
CheckBoxBoxCox,CheckBox,False,True,100000000000_Options,True,Box-Cox transformation,False,
TextBoxLambda,TextBox,0,True,100000000100_Options,True,Lambda:,False,
CheckBoxOpt,CheckBox,False,True,100000000200_Options,True,Optimize,False,
RefEditT,RefEdit0,'Sheet1425690X765'!$D:$D,True,000000000001_General,True,,False,
CheckBoxDate,CheckBox,False,True,000000000201_General,True,Date data,False,
RefEditDate,RefEdit,,True,000000000301_General,True,Date data:,False,
CheckBoxCheckInt,CheckBox,False,True,000000000401_General,True,Check intervals,False,
TextBox_d,TextBox,0,True,100000000101_Options,True,d:,False,
TextBox_Gd,TextBox,0,True,100000000201_Options,True,D:,False,
TextBox_s,TextBox,0,True,100000000301_Options,True,s:,False,
CheckboxDiff,CheckBox,False,True,100000000001_Options,True,Differencing,False,
CheckBoxPoly,CheckBox,False,True,100000000002_Options,True,Polynomial regression,False,
TextBoxPoly,TextBox,1,True,100000000202_Options,True,Polynomial degree:,False,
CheckBoxSeason,CheckBox,True,True,100000000003_Options,True,Seasonal fitting,False,
TextBoxPeriod,TextBox,12,True,100000000103_Options,True,Period:,False,
OptionButtonEachY,OptionButton,True,True,200000000300_Missing data,True,Check for each series separately,False,
OptionButtonAcrossAll,OptionButton,False,True,200000010300_Missing data,True,Across all series,False,
CheckBoxSeasonDecomp,CheckBox,True,True,100000000004_Options,True,Seasonal decomposition,False,
TextBoxPeriodDecomp,TextBox,12,True,100000000304_Options,True,Period:,False,
ComboBoxDecomp,ComboBox,1,True,100000000104_Options,True,,False,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3</xdr:col>
      <xdr:colOff>582803</xdr:colOff>
      <xdr:row>3</xdr:row>
      <xdr:rowOff>0</xdr:rowOff>
    </xdr:to>
    <xdr:sp macro="" textlink="">
      <xdr:nvSpPr>
        <xdr:cNvPr id="3" name="BK83870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39725" y="387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2</xdr:row>
      <xdr:rowOff>43434</xdr:rowOff>
    </xdr:from>
    <xdr:to>
      <xdr:col>1</xdr:col>
      <xdr:colOff>392683</xdr:colOff>
      <xdr:row>2</xdr:row>
      <xdr:rowOff>386334</xdr:rowOff>
    </xdr:to>
    <xdr:pic macro="[0]!ReRunXLSTAT">
      <xdr:nvPicPr>
        <xdr:cNvPr id="4" name="BT83870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[0]!AddRemovGrid">
      <xdr:nvPicPr>
        <xdr:cNvPr id="5" name="RM83870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AddRemovGrid">
      <xdr:nvPicPr>
        <xdr:cNvPr id="6" name="AD838704" hidden="1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2</xdr:row>
      <xdr:rowOff>43434</xdr:rowOff>
    </xdr:from>
    <xdr:to>
      <xdr:col>3</xdr:col>
      <xdr:colOff>100456</xdr:colOff>
      <xdr:row>2</xdr:row>
      <xdr:rowOff>386334</xdr:rowOff>
    </xdr:to>
    <xdr:pic macro="[0]!SendToOfficeLocal">
      <xdr:nvPicPr>
        <xdr:cNvPr id="7" name="WD83870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191896</xdr:colOff>
      <xdr:row>2</xdr:row>
      <xdr:rowOff>43434</xdr:rowOff>
    </xdr:from>
    <xdr:to>
      <xdr:col>3</xdr:col>
      <xdr:colOff>534796</xdr:colOff>
      <xdr:row>2</xdr:row>
      <xdr:rowOff>386334</xdr:rowOff>
    </xdr:to>
    <xdr:pic macro="[0]!SendToOfficeLocal">
      <xdr:nvPicPr>
        <xdr:cNvPr id="8" name="PT838704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201</xdr:row>
      <xdr:rowOff>0</xdr:rowOff>
    </xdr:from>
    <xdr:to>
      <xdr:col>7</xdr:col>
      <xdr:colOff>0</xdr:colOff>
      <xdr:row>218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201</xdr:row>
      <xdr:rowOff>0</xdr:rowOff>
    </xdr:from>
    <xdr:to>
      <xdr:col>13</xdr:col>
      <xdr:colOff>155575</xdr:colOff>
      <xdr:row>218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239</xdr:row>
      <xdr:rowOff>0</xdr:rowOff>
    </xdr:from>
    <xdr:to>
      <xdr:col>7</xdr:col>
      <xdr:colOff>0</xdr:colOff>
      <xdr:row>256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419</xdr:row>
      <xdr:rowOff>0</xdr:rowOff>
    </xdr:from>
    <xdr:to>
      <xdr:col>7</xdr:col>
      <xdr:colOff>0</xdr:colOff>
      <xdr:row>436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127000</xdr:colOff>
      <xdr:row>419</xdr:row>
      <xdr:rowOff>0</xdr:rowOff>
    </xdr:from>
    <xdr:to>
      <xdr:col>13</xdr:col>
      <xdr:colOff>155575</xdr:colOff>
      <xdr:row>436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438</xdr:row>
      <xdr:rowOff>0</xdr:rowOff>
    </xdr:from>
    <xdr:to>
      <xdr:col>7</xdr:col>
      <xdr:colOff>0</xdr:colOff>
      <xdr:row>455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127000</xdr:colOff>
      <xdr:row>438</xdr:row>
      <xdr:rowOff>0</xdr:rowOff>
    </xdr:from>
    <xdr:to>
      <xdr:col>13</xdr:col>
      <xdr:colOff>155575</xdr:colOff>
      <xdr:row>455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3</xdr:row>
          <xdr:rowOff>0</xdr:rowOff>
        </xdr:from>
        <xdr:to>
          <xdr:col>4</xdr:col>
          <xdr:colOff>596900</xdr:colOff>
          <xdr:row>4</xdr:row>
          <xdr:rowOff>0</xdr:rowOff>
        </xdr:to>
        <xdr:sp macro="" textlink="">
          <xdr:nvSpPr>
            <xdr:cNvPr id="18433" name="DD67807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508110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55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RunProcTTR
Form46.txt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CheckBoxVarLabels,CheckBox,True,True,000000000003_General,True,Series labels,False,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CheckBox_Desc,CheckBox,True,True,300000000000_Outputs,True,Descriptive statistics,False,
CheckBoxCharts,CheckBox,True,True,400000000000_Charts,True,Display charts,False,
CheckBoxBoxCox,CheckBox,True,True,100000000000_Options,True,Box-Cox transformation,False,
TextBoxLambda,TextBox,0,True,100000000100_Options,True,Lambda:,False,
CheckBoxOpt,CheckBox,False,True,100000000200_Options,True,Optimize,False,
RefEditT,RefEdit,'Sheet6'!$D:$D,True,000000000001_General,True,,False,
CheckBoxDate,CheckBox,False,True,000000000201_General,True,Date data,False,
RefEditDate,RefEdit,,True,000000000301_General,True,Date data:,False,
CheckBoxCheckInt,CheckBox,False,True,000000000401_General,True,Check intervals,False,
TextBox_d,TextBox,0,True,100000000101_Options,True,d:,False,
TextBox_Gd,TextBox,0,True,100000000201_Options,True,D:,False,
TextBox_s,TextBox,0,True,100000000301_Options,True,s:,False,
CheckboxDiff,CheckBox,False,True,100000000001_Options,True,Differencing,False,
CheckBoxPoly,CheckBox,False,True,100000000002_Options,True,Polynomial regression,False,
TextBoxPoly,TextBox,1,True,100000000202_Options,True,Polynomial degree:,False,
CheckBoxSeason,CheckBox,False,True,100000000003_Options,True,Seasonal fitting,False,
TextBoxPeriod,TextBox,12,True,100000000103_Options,True,Period:,False,
OptionButtonEachY,OptionButton,True,True,200000000300_Missing data,True,Check for each series separately,False,
OptionButtonAcrossAll,OptionButton,False,True,200000010300_Missing data,True,Across all series,False,
CheckBoxSeasonDecomp,CheckBox,True,True,100000000004_Options,True,Seasonal decomposition,False,
TextBoxPeriodDecomp,TextBox,12,True,100000000304_Options,True,Period:,False,
ComboBoxDecomp,ComboBox,0,True,100000000104_Options,True,,False,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4</xdr:col>
      <xdr:colOff>1778</xdr:colOff>
      <xdr:row>3</xdr:row>
      <xdr:rowOff>0</xdr:rowOff>
    </xdr:to>
    <xdr:sp macro="" textlink="">
      <xdr:nvSpPr>
        <xdr:cNvPr id="3" name="BK508110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9725" y="387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2</xdr:row>
      <xdr:rowOff>43434</xdr:rowOff>
    </xdr:from>
    <xdr:to>
      <xdr:col>1</xdr:col>
      <xdr:colOff>392683</xdr:colOff>
      <xdr:row>2</xdr:row>
      <xdr:rowOff>386334</xdr:rowOff>
    </xdr:to>
    <xdr:pic macro="[0]!ReRunXLSTAT">
      <xdr:nvPicPr>
        <xdr:cNvPr id="4" name="BT508110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[0]!AddRemovGrid">
      <xdr:nvPicPr>
        <xdr:cNvPr id="5" name="RM508110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AddRemovGrid">
      <xdr:nvPicPr>
        <xdr:cNvPr id="6" name="AD508110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2</xdr:row>
      <xdr:rowOff>43434</xdr:rowOff>
    </xdr:from>
    <xdr:to>
      <xdr:col>3</xdr:col>
      <xdr:colOff>129031</xdr:colOff>
      <xdr:row>2</xdr:row>
      <xdr:rowOff>386334</xdr:rowOff>
    </xdr:to>
    <xdr:pic macro="[0]!SendToOfficeLocal">
      <xdr:nvPicPr>
        <xdr:cNvPr id="7" name="WD508110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2</xdr:row>
      <xdr:rowOff>43434</xdr:rowOff>
    </xdr:from>
    <xdr:to>
      <xdr:col>3</xdr:col>
      <xdr:colOff>563371</xdr:colOff>
      <xdr:row>2</xdr:row>
      <xdr:rowOff>386334</xdr:rowOff>
    </xdr:to>
    <xdr:pic macro="[0]!SendToOfficeLocal">
      <xdr:nvPicPr>
        <xdr:cNvPr id="8" name="PT508110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178</xdr:row>
      <xdr:rowOff>0</xdr:rowOff>
    </xdr:from>
    <xdr:to>
      <xdr:col>7</xdr:col>
      <xdr:colOff>0</xdr:colOff>
      <xdr:row>195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178</xdr:row>
      <xdr:rowOff>0</xdr:rowOff>
    </xdr:from>
    <xdr:to>
      <xdr:col>13</xdr:col>
      <xdr:colOff>127000</xdr:colOff>
      <xdr:row>195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216</xdr:row>
      <xdr:rowOff>0</xdr:rowOff>
    </xdr:from>
    <xdr:to>
      <xdr:col>7</xdr:col>
      <xdr:colOff>0</xdr:colOff>
      <xdr:row>233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7</xdr:col>
      <xdr:colOff>0</xdr:colOff>
      <xdr:row>413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127000</xdr:colOff>
      <xdr:row>396</xdr:row>
      <xdr:rowOff>0</xdr:rowOff>
    </xdr:from>
    <xdr:to>
      <xdr:col>13</xdr:col>
      <xdr:colOff>127000</xdr:colOff>
      <xdr:row>413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415</xdr:row>
      <xdr:rowOff>0</xdr:rowOff>
    </xdr:from>
    <xdr:to>
      <xdr:col>7</xdr:col>
      <xdr:colOff>0</xdr:colOff>
      <xdr:row>432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127000</xdr:colOff>
      <xdr:row>415</xdr:row>
      <xdr:rowOff>0</xdr:rowOff>
    </xdr:from>
    <xdr:to>
      <xdr:col>13</xdr:col>
      <xdr:colOff>127000</xdr:colOff>
      <xdr:row>432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3</xdr:row>
          <xdr:rowOff>0</xdr:rowOff>
        </xdr:from>
        <xdr:to>
          <xdr:col>4</xdr:col>
          <xdr:colOff>596900</xdr:colOff>
          <xdr:row>4</xdr:row>
          <xdr:rowOff>0</xdr:rowOff>
        </xdr:to>
        <xdr:sp macro="" textlink="">
          <xdr:nvSpPr>
            <xdr:cNvPr id="15361" name="DD966396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8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431927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955675" y="1714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CheckBoxDate,CheckBox,False,True,000000000302_General,True,Date data,False,
RefEditDate,RefEdit0,'Total Data'!$A:$A,True,000000000402_General,True,Date data:,False,
CheckBoxCheckInt,CheckBox,False,True,000000000502_General,True,Check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TextBox_p,TextBox,1,True,000000000008_General,True,p:,False,
TextBox_d,TextBox,1,True,000000000308_General,True,d:,False,
TextBox_q,TextBox,0,True,000000000508_General,True,q:,False,
TextBox_Gd,TextBox,1,True,000000000908_General,True,D:,False,
TextBox_s,TextBox,12,True,000000001308_General,True,s:,False,
TextBox_GP,TextBox,1,True,000000000708_General,True,P:,False,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TextBoxTestNumber,TextBox,12,True,200000000000_Validation,True,,False,
CheckBox_Validation,CheckBox,True,True,200000000001_Validation,True,Validation,False,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RefEditT,RefEdit0,'Total Data'!$G$1:$G$157,True,000000000001_General,True,,False,
</a:t>
          </a:r>
        </a:p>
      </xdr:txBody>
    </xdr:sp>
    <xdr:clientData/>
  </xdr:twoCellAnchor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3" name="L1431927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955675" y="1714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1
ListBox
0
ListBoxMV
1
6
#N/A,0
N/A,0
NA,0
NULL,0
-,0
*,0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3</xdr:col>
      <xdr:colOff>611378</xdr:colOff>
      <xdr:row>10</xdr:row>
      <xdr:rowOff>0</xdr:rowOff>
    </xdr:to>
    <xdr:sp macro="" textlink="">
      <xdr:nvSpPr>
        <xdr:cNvPr id="4" name="BK431927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39725" y="1720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9</xdr:row>
      <xdr:rowOff>43434</xdr:rowOff>
    </xdr:from>
    <xdr:to>
      <xdr:col>1</xdr:col>
      <xdr:colOff>392683</xdr:colOff>
      <xdr:row>9</xdr:row>
      <xdr:rowOff>386334</xdr:rowOff>
    </xdr:to>
    <xdr:pic macro="[0]!ReRunXLSTAT">
      <xdr:nvPicPr>
        <xdr:cNvPr id="5" name="BT43192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9</xdr:row>
      <xdr:rowOff>43434</xdr:rowOff>
    </xdr:from>
    <xdr:to>
      <xdr:col>2</xdr:col>
      <xdr:colOff>260857</xdr:colOff>
      <xdr:row>9</xdr:row>
      <xdr:rowOff>386334</xdr:rowOff>
    </xdr:to>
    <xdr:pic macro="[0]!AddRemovGrid">
      <xdr:nvPicPr>
        <xdr:cNvPr id="6" name="RM431927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9</xdr:row>
      <xdr:rowOff>43434</xdr:rowOff>
    </xdr:from>
    <xdr:to>
      <xdr:col>2</xdr:col>
      <xdr:colOff>260857</xdr:colOff>
      <xdr:row>9</xdr:row>
      <xdr:rowOff>386334</xdr:rowOff>
    </xdr:to>
    <xdr:pic macro="AddRemovGrid">
      <xdr:nvPicPr>
        <xdr:cNvPr id="7" name="AD431927" hidden="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9</xdr:row>
      <xdr:rowOff>43434</xdr:rowOff>
    </xdr:from>
    <xdr:to>
      <xdr:col>3</xdr:col>
      <xdr:colOff>129031</xdr:colOff>
      <xdr:row>9</xdr:row>
      <xdr:rowOff>386334</xdr:rowOff>
    </xdr:to>
    <xdr:pic macro="[0]!SendToOfficeLocal">
      <xdr:nvPicPr>
        <xdr:cNvPr id="8" name="WD43192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9</xdr:row>
      <xdr:rowOff>43434</xdr:rowOff>
    </xdr:from>
    <xdr:to>
      <xdr:col>3</xdr:col>
      <xdr:colOff>563371</xdr:colOff>
      <xdr:row>9</xdr:row>
      <xdr:rowOff>386334</xdr:rowOff>
    </xdr:to>
    <xdr:pic macro="[0]!SendToOfficeLocal">
      <xdr:nvPicPr>
        <xdr:cNvPr id="9" name="PT431927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213</xdr:row>
      <xdr:rowOff>0</xdr:rowOff>
    </xdr:from>
    <xdr:to>
      <xdr:col>7</xdr:col>
      <xdr:colOff>0</xdr:colOff>
      <xdr:row>230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213</xdr:row>
      <xdr:rowOff>0</xdr:rowOff>
    </xdr:from>
    <xdr:to>
      <xdr:col>13</xdr:col>
      <xdr:colOff>127000</xdr:colOff>
      <xdr:row>230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260</xdr:row>
      <xdr:rowOff>0</xdr:rowOff>
    </xdr:from>
    <xdr:to>
      <xdr:col>7</xdr:col>
      <xdr:colOff>0</xdr:colOff>
      <xdr:row>277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127000</xdr:colOff>
      <xdr:row>260</xdr:row>
      <xdr:rowOff>0</xdr:rowOff>
    </xdr:from>
    <xdr:to>
      <xdr:col>13</xdr:col>
      <xdr:colOff>127000</xdr:colOff>
      <xdr:row>277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307</xdr:row>
      <xdr:rowOff>0</xdr:rowOff>
    </xdr:from>
    <xdr:to>
      <xdr:col>7</xdr:col>
      <xdr:colOff>0</xdr:colOff>
      <xdr:row>324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127000</xdr:colOff>
      <xdr:row>307</xdr:row>
      <xdr:rowOff>0</xdr:rowOff>
    </xdr:from>
    <xdr:to>
      <xdr:col>13</xdr:col>
      <xdr:colOff>127000</xdr:colOff>
      <xdr:row>324</xdr:row>
      <xdr:rowOff>0</xdr:rowOff>
    </xdr:to>
    <xdr:graphicFrame macro="">
      <xdr:nvGraphicFramePr>
        <xdr:cNvPr id="15" name="Chart 14-XLSTAT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10</xdr:row>
          <xdr:rowOff>0</xdr:rowOff>
        </xdr:from>
        <xdr:to>
          <xdr:col>3</xdr:col>
          <xdr:colOff>1206500</xdr:colOff>
          <xdr:row>11</xdr:row>
          <xdr:rowOff>0</xdr:rowOff>
        </xdr:to>
        <xdr:sp macro="" textlink="">
          <xdr:nvSpPr>
            <xdr:cNvPr id="9217" name="DD241933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943252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955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RunProcTTR
Form46.txt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CheckBoxVarLabels,CheckBox,True,True,000000000003_General,True,Series labels,False,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CheckBox_Desc,CheckBox,True,True,300000000000_Outputs,True,Descriptive statistics,False,
CheckBoxCharts,CheckBox,True,True,400000000000_Charts,True,Display charts,False,
CheckBoxBoxCox,CheckBox,False,True,100000000000_Options,True,Box-Cox transformation,False,
TextBoxLambda,TextBox,0,True,100000000100_Options,True,Lambda:,False,
CheckBoxOpt,CheckBox,False,True,100000000200_Options,True,Optimize,False,
RefEditT,RefEdit0,'Sheet1425690X765'!$D:$D,True,000000000001_General,True,,False,
CheckBoxDate,CheckBox,False,True,000000000201_General,True,Date data,False,
RefEditDate,RefEdit,,True,000000000301_General,True,Date data:,False,
CheckBoxCheckInt,CheckBox,False,True,000000000401_General,True,Check intervals,False,
TextBox_d,TextBox,0,True,100000000101_Options,True,d:,False,
TextBox_Gd,TextBox,0,True,100000000201_Options,True,D:,False,
TextBox_s,TextBox,0,True,100000000301_Options,True,s:,False,
CheckboxDiff,CheckBox,False,True,100000000001_Options,True,Differencing,False,
CheckBoxPoly,CheckBox,False,True,100000000002_Options,True,Polynomial regression,False,
TextBoxPoly,TextBox,1,True,100000000202_Options,True,Polynomial degree:,False,
CheckBoxSeason,CheckBox,False,True,100000000003_Options,True,Seasonal fitting,False,
TextBoxPeriod,TextBox,12,True,100000000103_Options,True,Period:,False,
OptionButtonEachY,OptionButton,True,True,200000000300_Missing data,True,Check for each series separately,False,
OptionButtonAcrossAll,OptionButton,False,True,200000010300_Missing data,True,Across all series,False,
CheckBoxSeasonDecomp,CheckBox,True,True,100000000004_Options,True,Seasonal decomposition,False,
TextBoxPeriodDecomp,TextBox,12,True,100000000304_Options,True,Period:,False,
ComboBoxDecomp,ComboBox,1,True,100000000104_Options,True,,False,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4</xdr:col>
      <xdr:colOff>1778</xdr:colOff>
      <xdr:row>3</xdr:row>
      <xdr:rowOff>0</xdr:rowOff>
    </xdr:to>
    <xdr:sp macro="" textlink="">
      <xdr:nvSpPr>
        <xdr:cNvPr id="3" name="BK94325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39725" y="387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2</xdr:row>
      <xdr:rowOff>43434</xdr:rowOff>
    </xdr:from>
    <xdr:to>
      <xdr:col>1</xdr:col>
      <xdr:colOff>392683</xdr:colOff>
      <xdr:row>2</xdr:row>
      <xdr:rowOff>386334</xdr:rowOff>
    </xdr:to>
    <xdr:pic macro="[0]!ReRunXLSTAT">
      <xdr:nvPicPr>
        <xdr:cNvPr id="4" name="BT94325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[0]!AddRemovGrid">
      <xdr:nvPicPr>
        <xdr:cNvPr id="5" name="RM943252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AddRemovGrid">
      <xdr:nvPicPr>
        <xdr:cNvPr id="6" name="AD943252" hidden="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2</xdr:row>
      <xdr:rowOff>43434</xdr:rowOff>
    </xdr:from>
    <xdr:to>
      <xdr:col>3</xdr:col>
      <xdr:colOff>129031</xdr:colOff>
      <xdr:row>2</xdr:row>
      <xdr:rowOff>386334</xdr:rowOff>
    </xdr:to>
    <xdr:pic macro="[0]!SendToOfficeLocal">
      <xdr:nvPicPr>
        <xdr:cNvPr id="7" name="WD943252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2</xdr:row>
      <xdr:rowOff>43434</xdr:rowOff>
    </xdr:from>
    <xdr:to>
      <xdr:col>3</xdr:col>
      <xdr:colOff>563371</xdr:colOff>
      <xdr:row>2</xdr:row>
      <xdr:rowOff>386334</xdr:rowOff>
    </xdr:to>
    <xdr:pic macro="[0]!SendToOfficeLocal">
      <xdr:nvPicPr>
        <xdr:cNvPr id="8" name="PT94325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31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211</xdr:row>
      <xdr:rowOff>0</xdr:rowOff>
    </xdr:from>
    <xdr:to>
      <xdr:col>7</xdr:col>
      <xdr:colOff>0</xdr:colOff>
      <xdr:row>228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127000</xdr:colOff>
      <xdr:row>211</xdr:row>
      <xdr:rowOff>0</xdr:rowOff>
    </xdr:from>
    <xdr:to>
      <xdr:col>13</xdr:col>
      <xdr:colOff>127000</xdr:colOff>
      <xdr:row>228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230</xdr:row>
      <xdr:rowOff>0</xdr:rowOff>
    </xdr:from>
    <xdr:to>
      <xdr:col>7</xdr:col>
      <xdr:colOff>0</xdr:colOff>
      <xdr:row>247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127000</xdr:colOff>
      <xdr:row>230</xdr:row>
      <xdr:rowOff>0</xdr:rowOff>
    </xdr:from>
    <xdr:to>
      <xdr:col>13</xdr:col>
      <xdr:colOff>127000</xdr:colOff>
      <xdr:row>247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3</xdr:row>
          <xdr:rowOff>0</xdr:rowOff>
        </xdr:from>
        <xdr:to>
          <xdr:col>4</xdr:col>
          <xdr:colOff>596900</xdr:colOff>
          <xdr:row>4</xdr:row>
          <xdr:rowOff>0</xdr:rowOff>
        </xdr:to>
        <xdr:sp macro="" textlink="">
          <xdr:nvSpPr>
            <xdr:cNvPr id="16385" name="DD851179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2</xdr:row>
      <xdr:rowOff>0</xdr:rowOff>
    </xdr:from>
    <xdr:to>
      <xdr:col>2</xdr:col>
      <xdr:colOff>38100</xdr:colOff>
      <xdr:row>2</xdr:row>
      <xdr:rowOff>25400</xdr:rowOff>
    </xdr:to>
    <xdr:sp macro="" textlink="">
      <xdr:nvSpPr>
        <xdr:cNvPr id="2" name="TX489832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955675" y="381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RunProcVTS
Form199.txt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CheckBoxVarLabels,CheckBox,True,True,000000000003_General,True,Series labels,False,
RefEditT,RefEdit,'Sheet1425690X765'!$D:$D,True,000000000001_General,True,,False,
RefEditDate,RefEdit,,True,000000000201_General,True,Date data:,False,
CheckBoxDate,CheckBox,False,True,000000000301_General,True,Date data,False,
CheckBoxLink,CheckBox,False,True,100000000000_Charts,True,Link the chart to the input data,False,
CheckBoxSingleChart,CheckBox,True,True,100000000100_Charts,True,Display all series on a single chart,False,
CheckBoxTrans,CheckBox,False,False,07,False,Trans,False,
</a:t>
          </a:r>
        </a:p>
      </xdr:txBody>
    </xdr:sp>
    <xdr:clientData/>
  </xdr:twoCellAnchor>
  <xdr:twoCellAnchor editAs="absolute">
    <xdr:from>
      <xdr:col>1</xdr:col>
      <xdr:colOff>6350</xdr:colOff>
      <xdr:row>2</xdr:row>
      <xdr:rowOff>6350</xdr:rowOff>
    </xdr:from>
    <xdr:to>
      <xdr:col>4</xdr:col>
      <xdr:colOff>1778</xdr:colOff>
      <xdr:row>3</xdr:row>
      <xdr:rowOff>0</xdr:rowOff>
    </xdr:to>
    <xdr:sp macro="" textlink="">
      <xdr:nvSpPr>
        <xdr:cNvPr id="3" name="BK48983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39725" y="387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2</xdr:row>
      <xdr:rowOff>43434</xdr:rowOff>
    </xdr:from>
    <xdr:to>
      <xdr:col>1</xdr:col>
      <xdr:colOff>392683</xdr:colOff>
      <xdr:row>2</xdr:row>
      <xdr:rowOff>386334</xdr:rowOff>
    </xdr:to>
    <xdr:pic macro="[0]!ReRunXLSTAT">
      <xdr:nvPicPr>
        <xdr:cNvPr id="4" name="BT48983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[0]!AddRemovGrid">
      <xdr:nvPicPr>
        <xdr:cNvPr id="5" name="RM489832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2</xdr:row>
      <xdr:rowOff>43434</xdr:rowOff>
    </xdr:from>
    <xdr:to>
      <xdr:col>2</xdr:col>
      <xdr:colOff>260857</xdr:colOff>
      <xdr:row>2</xdr:row>
      <xdr:rowOff>386334</xdr:rowOff>
    </xdr:to>
    <xdr:pic macro="AddRemovGrid">
      <xdr:nvPicPr>
        <xdr:cNvPr id="6" name="AD489832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2</xdr:row>
      <xdr:rowOff>43434</xdr:rowOff>
    </xdr:from>
    <xdr:to>
      <xdr:col>3</xdr:col>
      <xdr:colOff>129031</xdr:colOff>
      <xdr:row>2</xdr:row>
      <xdr:rowOff>386334</xdr:rowOff>
    </xdr:to>
    <xdr:pic macro="[0]!SendToOfficeLocal">
      <xdr:nvPicPr>
        <xdr:cNvPr id="7" name="WD489832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2</xdr:row>
      <xdr:rowOff>43434</xdr:rowOff>
    </xdr:from>
    <xdr:to>
      <xdr:col>3</xdr:col>
      <xdr:colOff>563371</xdr:colOff>
      <xdr:row>2</xdr:row>
      <xdr:rowOff>386334</xdr:rowOff>
    </xdr:to>
    <xdr:pic macro="[0]!SendToOfficeLocal">
      <xdr:nvPicPr>
        <xdr:cNvPr id="8" name="PT48983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424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14</xdr:row>
      <xdr:rowOff>0</xdr:rowOff>
    </xdr:from>
    <xdr:to>
      <xdr:col>7</xdr:col>
      <xdr:colOff>0</xdr:colOff>
      <xdr:row>31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3</xdr:row>
          <xdr:rowOff>0</xdr:rowOff>
        </xdr:from>
        <xdr:to>
          <xdr:col>2</xdr:col>
          <xdr:colOff>596900</xdr:colOff>
          <xdr:row>4</xdr:row>
          <xdr:rowOff>0</xdr:rowOff>
        </xdr:to>
        <xdr:sp macro="" textlink="">
          <xdr:nvSpPr>
            <xdr:cNvPr id="17409" name="DD291762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D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865716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955675" y="762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RunProcURT
Form186.txt
CheckBoxVarLabels,CheckBox,True,True,000000000003_General,True,Series labels,False,
RefEditT,RefEdit,'Sheet175204X765'!$G:$G,True,000000000001_General,True,,False,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CheckBoxDFuller,CheckBox,True,True,000000000004_General,True,Dickey-Fuller test,False,
CheckBoxPP,CheckBox,False,True,000000000006_General,True,Phillips-Perron test,False,
ComboBoxPP,ComboBox,0,True,000000000007_General,True,PP test:,False,
ComboBoxDF,ComboBox,0,True,000000000008_General,True,,False,
CheckBox_Desc,CheckBox,True,True,300000000000_Outputs,True,Descriptive statistics,False,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OptionButtonMVIgnore,OptionButton,False,True,200000000300_Missing data,True,Ignore missing data,False,
CheckBoxCharts,CheckBox,True,True,400000000000_Charts,True,Display charts,False,
CheckBoxNW,CheckBox,True,True,100000000104_Options,True,Newey-West,False,
TextBox_conf,TextBox,5,True,100000010000_Options,True,Significance level (%):,False,
RefEditDate,RefEdit,,True,000000000009_General,True,Date data:,False,
CheckBoxDate,CheckBox,False,True,000000000010_General,True,Date data,False,
CheckBoxKPSS,CheckBox,False,True,000000000005_General,True,KPSS test,False,
ComboBoxKPSS,ComboBox,0,True,000000000011_General,True,KPSS test:,False,
OptionButton1,OptionButton,True,True,100001010100_Options,True,Automatic,False,
OptionButton2,OptionButton,False,True,100002010100_Options,True,User defined,False,
TextBox1,TextBox,2,True,100003010100_Options,True,Automatic,False,
OptionButton3,OptionButton,True,True,100001010200_Options,True,Automatic,False,
OptionButton4,OptionButton,False,True,100002010200_Options,True,User defined,False,
TextBox2,TextBox,2,True,100003010200_Options,True,User defined:,False,
TextBoxUDFk,TextBox,2,True,100000010102_Options,True,,False,
ComboBoxPpTruncation,ComboBox,0,True,100000010103_Options,True,,False,
ComboBoxADFk,ComboBox,0,True,100000020102_Options,True,k:,False,
TextboxUDFLag,TextBox,2,True,100000000204_Options,True,,False,
ComboBoxKPSSLag,ComboBox,0,True,100000000304_Options,True,,False,
OptionButtonMc,OptionButton,False,True,100000000201_Options,True,Monte Carlo method,False,
OptionButtonMk,OptionButton,True,True,100000000001_Options,True,Surface regression,False,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4</xdr:col>
      <xdr:colOff>1778</xdr:colOff>
      <xdr:row>5</xdr:row>
      <xdr:rowOff>0</xdr:rowOff>
    </xdr:to>
    <xdr:sp macro="" textlink="">
      <xdr:nvSpPr>
        <xdr:cNvPr id="3" name="BK865716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339725" y="768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4</xdr:row>
      <xdr:rowOff>43434</xdr:rowOff>
    </xdr:from>
    <xdr:to>
      <xdr:col>1</xdr:col>
      <xdr:colOff>392683</xdr:colOff>
      <xdr:row>4</xdr:row>
      <xdr:rowOff>386334</xdr:rowOff>
    </xdr:to>
    <xdr:pic macro="[0]!ReRunXLSTAT">
      <xdr:nvPicPr>
        <xdr:cNvPr id="4" name="BT865716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4</xdr:row>
      <xdr:rowOff>43434</xdr:rowOff>
    </xdr:from>
    <xdr:to>
      <xdr:col>2</xdr:col>
      <xdr:colOff>260857</xdr:colOff>
      <xdr:row>4</xdr:row>
      <xdr:rowOff>386334</xdr:rowOff>
    </xdr:to>
    <xdr:pic macro="[0]!AddRemovGrid">
      <xdr:nvPicPr>
        <xdr:cNvPr id="5" name="RM865716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4</xdr:row>
      <xdr:rowOff>43434</xdr:rowOff>
    </xdr:from>
    <xdr:to>
      <xdr:col>2</xdr:col>
      <xdr:colOff>260857</xdr:colOff>
      <xdr:row>4</xdr:row>
      <xdr:rowOff>386334</xdr:rowOff>
    </xdr:to>
    <xdr:pic macro="AddRemovGrid">
      <xdr:nvPicPr>
        <xdr:cNvPr id="6" name="AD865716" hidden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4</xdr:row>
      <xdr:rowOff>43434</xdr:rowOff>
    </xdr:from>
    <xdr:to>
      <xdr:col>3</xdr:col>
      <xdr:colOff>129031</xdr:colOff>
      <xdr:row>4</xdr:row>
      <xdr:rowOff>386334</xdr:rowOff>
    </xdr:to>
    <xdr:pic macro="[0]!SendToOfficeLocal">
      <xdr:nvPicPr>
        <xdr:cNvPr id="7" name="WD86571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4</xdr:row>
      <xdr:rowOff>43434</xdr:rowOff>
    </xdr:from>
    <xdr:to>
      <xdr:col>3</xdr:col>
      <xdr:colOff>563371</xdr:colOff>
      <xdr:row>4</xdr:row>
      <xdr:rowOff>386334</xdr:rowOff>
    </xdr:to>
    <xdr:pic macro="[0]!SendToOfficeLocal">
      <xdr:nvPicPr>
        <xdr:cNvPr id="8" name="PT865716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28</xdr:row>
      <xdr:rowOff>0</xdr:rowOff>
    </xdr:from>
    <xdr:to>
      <xdr:col>7</xdr:col>
      <xdr:colOff>0</xdr:colOff>
      <xdr:row>45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5</xdr:row>
          <xdr:rowOff>0</xdr:rowOff>
        </xdr:from>
        <xdr:to>
          <xdr:col>4</xdr:col>
          <xdr:colOff>596900</xdr:colOff>
          <xdr:row>6</xdr:row>
          <xdr:rowOff>0</xdr:rowOff>
        </xdr:to>
        <xdr:sp macro="" textlink="">
          <xdr:nvSpPr>
            <xdr:cNvPr id="12289" name="DD211828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E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5</xdr:row>
      <xdr:rowOff>128587</xdr:rowOff>
    </xdr:from>
    <xdr:to>
      <xdr:col>13</xdr:col>
      <xdr:colOff>123825</xdr:colOff>
      <xdr:row>20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7</xdr:row>
      <xdr:rowOff>0</xdr:rowOff>
    </xdr:from>
    <xdr:to>
      <xdr:col>2</xdr:col>
      <xdr:colOff>38100</xdr:colOff>
      <xdr:row>7</xdr:row>
      <xdr:rowOff>25400</xdr:rowOff>
    </xdr:to>
    <xdr:sp macro="" textlink="">
      <xdr:nvSpPr>
        <xdr:cNvPr id="2" name="TX755509" hidden="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955675" y="1333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RunProcTSM
Form47.txt
CheckBoxVarLabels,CheckBox,True,True,000000000201_General,True,Series labels,False,
CheckBoxCharts,CheckBox,True,True,600000000000_Charts,True,Display charts,False,
CheckBoxLeft,CheckBox,False,True,100000000300_Options,True,Left side,False,
RefEditT,RefEdit0,'Sheet732704X765'!$B:$B,True,000000000100_General,True,,False,
CheckBoxDate,CheckBox,False,True,000000000300_General,True,Date data,False,
RefEditDate,RefEdit,,True,000000000400_General,True,Date data:,False,
CheckBoxCheckInt,CheckBox,False,True,000000000500_General,True,Check intervals,False,
TextBoxq,TextBox,2,True,100000000200_Options,True,q:,False,
RefEdit_W,RefEdit,,False,100000000100_Options,False,Workbook,False,
TextBoxp,TextBox,0.5,True,100000000001_Options,True,p:,False,
ScrollBarp,ScrollBar,40,True,100000000101_Options,False,,,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CheckBoxStrictly,CheckBox,False,True,100000000500_Options,True,Strictly,False,
OptionButtonEachY,OptionButton,True,True,400000000400_Missing data,True,Check for each series separately,False,
OptionButtonAcrossAll,OptionButton,False,True,400000010400_Missing data,True,Across all series,False,
TextBoxList,TextBox,,False,03,False,,False,
ScrollBarSelect,ScrollBar,0,False,04,False,,,
CheckBoxTrans,CheckBox,False,False,05,False,Trans,False,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CheckBox_Prediction,CheckBox,False,True,300000000000_Prediction,True,Prediction,False,
TextboxPredNumber,TextBox,1,True,300000000100_Prediction,True,,False,
CheckBox_Validation,CheckBox,False,True,200000000000_Validation,True,Validation,False,
TextBoxTestNumber,TextBox,1,True,200000000100_Validation,True,,False,
ComboBoxModel,ComboBox,0,True,000000010301_General,True,Choose this option to smooth the time series using the exponential smoothing method,False,
ComboBoxMethod,ComboBox,0,True,100000000002_Options,True,Series with no trend and no seasonal component,False,
TextBoxMaxIter,TextBox,500,True,100000000102_Options,True,Iterations:,False,
TextBoxConv,TextBox,0.00001,True,100000020102_Options,True,Convergence:,False,
TextBox_Conf,TextBox,95,True,100000010202_Options,True,Confidence intervals (%):,False,
TextBoxA,TextBox,0.6,True,100000000103_Options,True,Alpha:,False,
CheckBoxOptA,CheckBox,False,True,100000000203_Options,True,Optimize,False,
CheckBoxOptC,CheckBox,False,False,100000000603_Options,False,Optimize,False,
TextBoxC,TextBox,0.2,False,100000000503_Options,False,Gamma:,False,
CheckBoxOptB,CheckBox,False,False,100000000403_Options,False,Optimize,False,
TextBoxB,TextBox,0.2,False,100000000303_Options,False,Beta:,False,
ComboBoxS1,ComboBox,0,True,100000000003_Options,True,Choose the method to compute the initial values,False,
TextBoxPeriod,TextBox,12,False,100000000703_Options,False,Period:,False,
</a:t>
          </a:r>
        </a:p>
      </xdr:txBody>
    </xdr:sp>
    <xdr:clientData/>
  </xdr:twoCellAnchor>
  <xdr:twoCellAnchor editAs="absolute">
    <xdr:from>
      <xdr:col>1</xdr:col>
      <xdr:colOff>6350</xdr:colOff>
      <xdr:row>7</xdr:row>
      <xdr:rowOff>6350</xdr:rowOff>
    </xdr:from>
    <xdr:to>
      <xdr:col>4</xdr:col>
      <xdr:colOff>1778</xdr:colOff>
      <xdr:row>8</xdr:row>
      <xdr:rowOff>0</xdr:rowOff>
    </xdr:to>
    <xdr:sp macro="" textlink="">
      <xdr:nvSpPr>
        <xdr:cNvPr id="3" name="BK755509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39725" y="1339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7</xdr:row>
      <xdr:rowOff>43434</xdr:rowOff>
    </xdr:from>
    <xdr:to>
      <xdr:col>1</xdr:col>
      <xdr:colOff>392683</xdr:colOff>
      <xdr:row>7</xdr:row>
      <xdr:rowOff>386334</xdr:rowOff>
    </xdr:to>
    <xdr:pic macro="[0]!ReRunXLSTAT">
      <xdr:nvPicPr>
        <xdr:cNvPr id="4" name="BT755509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376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7</xdr:row>
      <xdr:rowOff>43434</xdr:rowOff>
    </xdr:from>
    <xdr:to>
      <xdr:col>2</xdr:col>
      <xdr:colOff>260857</xdr:colOff>
      <xdr:row>7</xdr:row>
      <xdr:rowOff>386334</xdr:rowOff>
    </xdr:to>
    <xdr:pic macro="[0]!AddRemovGrid">
      <xdr:nvPicPr>
        <xdr:cNvPr id="5" name="RM755509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376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7</xdr:row>
      <xdr:rowOff>43434</xdr:rowOff>
    </xdr:from>
    <xdr:to>
      <xdr:col>2</xdr:col>
      <xdr:colOff>260857</xdr:colOff>
      <xdr:row>7</xdr:row>
      <xdr:rowOff>386334</xdr:rowOff>
    </xdr:to>
    <xdr:pic macro="AddRemovGrid">
      <xdr:nvPicPr>
        <xdr:cNvPr id="6" name="AD755509" hidden="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376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7</xdr:row>
      <xdr:rowOff>43434</xdr:rowOff>
    </xdr:from>
    <xdr:to>
      <xdr:col>3</xdr:col>
      <xdr:colOff>129031</xdr:colOff>
      <xdr:row>7</xdr:row>
      <xdr:rowOff>386334</xdr:rowOff>
    </xdr:to>
    <xdr:pic macro="[0]!SendToOfficeLocal">
      <xdr:nvPicPr>
        <xdr:cNvPr id="7" name="WD755509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376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7</xdr:row>
      <xdr:rowOff>43434</xdr:rowOff>
    </xdr:from>
    <xdr:to>
      <xdr:col>3</xdr:col>
      <xdr:colOff>563371</xdr:colOff>
      <xdr:row>7</xdr:row>
      <xdr:rowOff>386334</xdr:rowOff>
    </xdr:to>
    <xdr:pic macro="[0]!SendToOfficeLocal">
      <xdr:nvPicPr>
        <xdr:cNvPr id="8" name="PT755509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376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199</xdr:row>
      <xdr:rowOff>0</xdr:rowOff>
    </xdr:from>
    <xdr:to>
      <xdr:col>7</xdr:col>
      <xdr:colOff>0</xdr:colOff>
      <xdr:row>216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199</xdr:row>
      <xdr:rowOff>0</xdr:rowOff>
    </xdr:from>
    <xdr:to>
      <xdr:col>13</xdr:col>
      <xdr:colOff>127000</xdr:colOff>
      <xdr:row>216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8</xdr:row>
          <xdr:rowOff>0</xdr:rowOff>
        </xdr:from>
        <xdr:to>
          <xdr:col>4</xdr:col>
          <xdr:colOff>596900</xdr:colOff>
          <xdr:row>9</xdr:row>
          <xdr:rowOff>0</xdr:rowOff>
        </xdr:to>
        <xdr:sp macro="" textlink="">
          <xdr:nvSpPr>
            <xdr:cNvPr id="11265" name="DD332518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641810" hidden="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955675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RunProcTSM
Form47.txt
CheckBoxVarLabels,CheckBox,True,True,000000000201_General,True,Series labels,False,
CheckBoxCharts,CheckBox,True,True,600000000000_Charts,True,Display charts,False,
CheckBoxLeft,CheckBox,False,True,100000000300_Options,True,Left side,False,
RefEditT,RefEdit,'Sheet732704X765'!$B:$B,True,000000000100_General,True,,False,
CheckBoxDate,CheckBox,False,True,000000000300_General,True,Date data,False,
RefEditDate,RefEdit,,True,000000000400_General,True,Date data:,False,
CheckBoxCheckInt,CheckBox,False,True,000000000500_General,True,Check intervals,False,
TextBoxq,TextBox,2,True,100000000200_Options,True,q:,False,
RefEdit_W,RefEdit,,False,100000000100_Options,False,Workbook,False,
TextBoxp,TextBox,0.5,True,100000000001_Options,True,p:,False,
ScrollBarp,ScrollBar,40,True,100000000101_Options,False,,,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CheckBoxStrictly,CheckBox,False,True,100000000500_Options,True,Strictly,False,
OptionButtonEachY,OptionButton,True,True,400000000400_Missing data,True,Check for each series separately,False,
OptionButtonAcrossAll,OptionButton,False,True,400000010400_Missing data,True,Across all series,False,
TextBoxList,TextBox,,False,03,False,,False,
ScrollBarSelect,ScrollBar,0,False,04,False,,,
CheckBoxTrans,CheckBox,False,False,05,False,Trans,False,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CheckBox_Prediction,CheckBox,False,True,300000000000_Prediction,True,Prediction,False,
TextboxPredNumber,TextBox,1,True,300000000100_Prediction,True,,False,
CheckBox_Validation,CheckBox,False,True,200000000000_Validation,True,Validation,False,
TextBoxTestNumber,TextBox,1,True,200000000100_Validation,True,,False,
ComboBoxModel,ComboBox,0,True,000000010301_General,True,Choose this option to smooth the time series using the exponential smoothing method,False,
ComboBoxMethod,ComboBox,0,True,100000000002_Options,True,Series with no trend and no seasonal component,False,
TextBoxMaxIter,TextBox,500,True,100000000102_Options,True,Iterations:,False,
TextBoxConv,TextBox,0.00001,True,100000020102_Options,True,Convergence:,False,
TextBox_Conf,TextBox,95,True,100000010202_Options,True,Confidence intervals (%):,False,
TextBoxA,TextBox,0.2,True,100000000103_Options,True,Alpha:,False,
CheckBoxOptA,CheckBox,True,True,100000000203_Options,True,Optimize,False,
CheckBoxOptC,CheckBox,True,False,100000000603_Options,False,Optimize,False,
TextBoxC,TextBox,0.2,False,100000000503_Options,False,Gamma:,False,
CheckBoxOptB,CheckBox,True,False,100000000403_Options,False,Optimize,False,
TextBoxB,TextBox,0.2,False,100000000303_Options,False,Beta:,False,
ComboBoxS1,ComboBox,0,True,100000000003_Options,True,Choose the method to compute the initial values,False,
TextBoxPeriod,TextBox,12,False,100000000703_Options,False,Period:,False,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4</xdr:col>
      <xdr:colOff>1778</xdr:colOff>
      <xdr:row>9</xdr:row>
      <xdr:rowOff>0</xdr:rowOff>
    </xdr:to>
    <xdr:sp macro="" textlink="">
      <xdr:nvSpPr>
        <xdr:cNvPr id="3" name="BK641810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339725" y="1530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49783</xdr:colOff>
      <xdr:row>8</xdr:row>
      <xdr:rowOff>43434</xdr:rowOff>
    </xdr:from>
    <xdr:to>
      <xdr:col>1</xdr:col>
      <xdr:colOff>392683</xdr:colOff>
      <xdr:row>8</xdr:row>
      <xdr:rowOff>386334</xdr:rowOff>
    </xdr:to>
    <xdr:pic macro="[0]!ReRunXLSTAT">
      <xdr:nvPicPr>
        <xdr:cNvPr id="4" name="BT641810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8</xdr:row>
      <xdr:rowOff>43434</xdr:rowOff>
    </xdr:from>
    <xdr:to>
      <xdr:col>2</xdr:col>
      <xdr:colOff>260857</xdr:colOff>
      <xdr:row>8</xdr:row>
      <xdr:rowOff>386334</xdr:rowOff>
    </xdr:to>
    <xdr:pic macro="[0]!AddRemovGrid">
      <xdr:nvPicPr>
        <xdr:cNvPr id="5" name="RM641810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8</xdr:row>
      <xdr:rowOff>43434</xdr:rowOff>
    </xdr:from>
    <xdr:to>
      <xdr:col>2</xdr:col>
      <xdr:colOff>260857</xdr:colOff>
      <xdr:row>8</xdr:row>
      <xdr:rowOff>386334</xdr:rowOff>
    </xdr:to>
    <xdr:pic macro="AddRemovGrid">
      <xdr:nvPicPr>
        <xdr:cNvPr id="6" name="AD641810" hidden="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8</xdr:row>
      <xdr:rowOff>43434</xdr:rowOff>
    </xdr:from>
    <xdr:to>
      <xdr:col>3</xdr:col>
      <xdr:colOff>129031</xdr:colOff>
      <xdr:row>8</xdr:row>
      <xdr:rowOff>386334</xdr:rowOff>
    </xdr:to>
    <xdr:pic macro="[0]!SendToOfficeLocal">
      <xdr:nvPicPr>
        <xdr:cNvPr id="7" name="WD641810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8</xdr:row>
      <xdr:rowOff>43434</xdr:rowOff>
    </xdr:from>
    <xdr:to>
      <xdr:col>3</xdr:col>
      <xdr:colOff>563371</xdr:colOff>
      <xdr:row>8</xdr:row>
      <xdr:rowOff>386334</xdr:rowOff>
    </xdr:to>
    <xdr:pic macro="[0]!SendToOfficeLocal">
      <xdr:nvPicPr>
        <xdr:cNvPr id="8" name="PT641810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202</xdr:row>
      <xdr:rowOff>0</xdr:rowOff>
    </xdr:from>
    <xdr:to>
      <xdr:col>7</xdr:col>
      <xdr:colOff>0</xdr:colOff>
      <xdr:row>219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202</xdr:row>
      <xdr:rowOff>0</xdr:rowOff>
    </xdr:from>
    <xdr:to>
      <xdr:col>13</xdr:col>
      <xdr:colOff>127000</xdr:colOff>
      <xdr:row>219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9</xdr:row>
          <xdr:rowOff>0</xdr:rowOff>
        </xdr:from>
        <xdr:to>
          <xdr:col>4</xdr:col>
          <xdr:colOff>596900</xdr:colOff>
          <xdr:row>10</xdr:row>
          <xdr:rowOff>0</xdr:rowOff>
        </xdr:to>
        <xdr:sp macro="" textlink="">
          <xdr:nvSpPr>
            <xdr:cNvPr id="10241" name="DD80837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371475</xdr:colOff>
      <xdr:row>7</xdr:row>
      <xdr:rowOff>14287</xdr:rowOff>
    </xdr:from>
    <xdr:to>
      <xdr:col>15</xdr:col>
      <xdr:colOff>66675</xdr:colOff>
      <xdr:row>21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28574</xdr:rowOff>
    </xdr:from>
    <xdr:to>
      <xdr:col>7</xdr:col>
      <xdr:colOff>123825</xdr:colOff>
      <xdr:row>16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47625" y="28574"/>
          <a:ext cx="4343400" cy="30765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Step1) </a:t>
          </a:r>
          <a:r>
            <a:rPr lang="en-US" sz="1100" b="0"/>
            <a:t>Test</a:t>
          </a:r>
          <a:r>
            <a:rPr lang="en-US" sz="1100" b="0" baseline="0"/>
            <a:t> for Stationarity</a:t>
          </a:r>
        </a:p>
        <a:p>
          <a:r>
            <a:rPr lang="en-US" sz="1100" b="0" baseline="0"/>
            <a:t>	Augmented Dicky Fuller test</a:t>
          </a:r>
        </a:p>
        <a:p>
          <a:r>
            <a:rPr lang="en-US" sz="1100" b="0" baseline="0"/>
            <a:t>	p-value = 7.195e-011</a:t>
          </a:r>
        </a:p>
        <a:p>
          <a:r>
            <a:rPr lang="en-US" sz="1100" b="0" baseline="0"/>
            <a:t>Significant p-value, hence the series is already stationary. </a:t>
          </a:r>
          <a:r>
            <a:rPr lang="en-US" sz="1100" b="1" baseline="0"/>
            <a:t>D=0</a:t>
          </a:r>
          <a:endParaRPr lang="en-US" sz="1100" b="1"/>
        </a:p>
        <a:p>
          <a:endParaRPr lang="en-US" sz="1100" b="1"/>
        </a:p>
        <a:p>
          <a:r>
            <a:rPr lang="en-US" sz="1100" b="1"/>
            <a:t>Step</a:t>
          </a:r>
          <a:r>
            <a:rPr lang="en-US" sz="1100" b="1" baseline="0"/>
            <a:t> 2) </a:t>
          </a:r>
          <a:r>
            <a:rPr lang="en-US" sz="1100" b="0" baseline="0"/>
            <a:t>Plot </a:t>
          </a:r>
          <a:r>
            <a:rPr lang="en-US" sz="1100" b="1" baseline="0"/>
            <a:t>ACF | PACF </a:t>
          </a:r>
          <a:r>
            <a:rPr lang="en-US" sz="1100" b="0" baseline="0"/>
            <a:t>graph of the series (</a:t>
          </a:r>
          <a:r>
            <a:rPr lang="en-US" sz="1100" b="0" i="1" baseline="0"/>
            <a:t>as seen in image below)</a:t>
          </a:r>
          <a:endParaRPr lang="en-US" sz="1100" b="0" baseline="0"/>
        </a:p>
        <a:p>
          <a:r>
            <a:rPr lang="en-US" sz="1100" b="0" baseline="0"/>
            <a:t>	acf is constantly reducing</a:t>
          </a:r>
        </a:p>
        <a:p>
          <a:r>
            <a:rPr lang="en-US" sz="1100" b="0" baseline="0"/>
            <a:t>	pacf cuts down at 2</a:t>
          </a:r>
        </a:p>
        <a:p>
          <a:r>
            <a:rPr lang="en-US" sz="1100" b="0" baseline="0"/>
            <a:t>Hence this is a case of AR modelling. 2 models tried - AR(1) AR(2)</a:t>
          </a:r>
          <a:endParaRPr lang="en-US" sz="1100" b="1" baseline="0"/>
        </a:p>
        <a:p>
          <a:endParaRPr lang="en-US" sz="1100" b="1" baseline="0"/>
        </a:p>
        <a:p>
          <a:r>
            <a:rPr lang="en-US" sz="1100" b="1" baseline="0"/>
            <a:t>Step 3) </a:t>
          </a:r>
          <a:r>
            <a:rPr lang="en-US" sz="1100" b="0" baseline="0"/>
            <a:t>AR(2) is selected finally as it gives the least RMSE and also has all the 4 input lag variables significant.</a:t>
          </a:r>
          <a:endParaRPr lang="en-US" sz="1100" b="1" baseline="0"/>
        </a:p>
        <a:p>
          <a:endParaRPr lang="en-US" sz="1100" b="1" baseline="0"/>
        </a:p>
        <a:p>
          <a:endParaRPr lang="en-US" sz="1100" b="1" baseline="0"/>
        </a:p>
        <a:p>
          <a:r>
            <a:rPr lang="en-US" sz="1100" b="0" baseline="0"/>
            <a:t>AR(1) RMSE: 21.886	MAPE: </a:t>
          </a:r>
          <a:r>
            <a:rPr lang="en-US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3.0792</a:t>
          </a:r>
          <a:endParaRPr lang="en-US" sz="1100" b="0" baseline="0"/>
        </a:p>
        <a:p>
          <a:r>
            <a:rPr lang="en-US" sz="1100" b="1" baseline="0"/>
            <a:t>AR(2) RMSE: 18.832	MAPE: 2.7186 (Selected)</a:t>
          </a:r>
        </a:p>
        <a:p>
          <a:endParaRPr lang="en-US" sz="1100" b="1"/>
        </a:p>
      </xdr:txBody>
    </xdr:sp>
    <xdr:clientData/>
  </xdr:twoCellAnchor>
  <xdr:twoCellAnchor editAs="oneCell">
    <xdr:from>
      <xdr:col>0</xdr:col>
      <xdr:colOff>85725</xdr:colOff>
      <xdr:row>16</xdr:row>
      <xdr:rowOff>95250</xdr:rowOff>
    </xdr:from>
    <xdr:to>
      <xdr:col>7</xdr:col>
      <xdr:colOff>257175</xdr:colOff>
      <xdr:row>40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143250"/>
          <a:ext cx="4438650" cy="4638675"/>
        </a:xfrm>
        <a:prstGeom prst="rect">
          <a:avLst/>
        </a:prstGeom>
      </xdr:spPr>
    </xdr:pic>
    <xdr:clientData/>
  </xdr:twoCellAnchor>
  <xdr:twoCellAnchor>
    <xdr:from>
      <xdr:col>7</xdr:col>
      <xdr:colOff>342900</xdr:colOff>
      <xdr:row>0</xdr:row>
      <xdr:rowOff>9525</xdr:rowOff>
    </xdr:from>
    <xdr:to>
      <xdr:col>10</xdr:col>
      <xdr:colOff>180975</xdr:colOff>
      <xdr:row>141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4610100" y="9525"/>
          <a:ext cx="1666875" cy="2688907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Forecasted</a:t>
          </a:r>
          <a:r>
            <a:rPr lang="en-US" sz="1100" b="1" baseline="0"/>
            <a:t> Consumption</a:t>
          </a: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492.997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460.172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470.310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514.150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542.097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545.544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552.030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532.148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523.491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515.672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514.759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496.658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466.119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461.948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484.635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513.287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520.344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543.874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521.794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515.963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537.520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537.194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520.354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500.533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478.089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463.390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471.821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498.039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523.413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559.295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536.497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567.047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542.410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509.127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522.406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515.379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475.105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453.613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485.237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492.910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515.989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557.070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562.909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533.561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499.475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520.444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541.756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497.679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469.683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470.553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457.773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505.851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545.962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572.289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587.097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571.140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547.848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547.998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568.427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511.675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499.036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484.038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491.732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573.195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606.040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593.084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574.173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555.383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534.601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542.061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563.977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535.598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515.557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493.924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482.806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511.353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548.690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603.215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582.833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561.919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578.263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582.180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564.425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506.874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487.711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498.070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524.348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547.171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555.045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588.771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588.394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577.821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576.904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566.308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561.223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534.133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507.701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498.378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500.714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535.477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588.247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628.258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607.599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602.230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601.161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541.547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553.492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537.583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521.256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504.274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494.593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535.868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590.069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635.683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617.861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617.899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598.110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575.462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583.747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568.922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547.983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504.654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494.105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575.138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620.023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628.201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617.106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645.854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605.321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615.260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644.105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594.794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578.502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533.887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572.744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630.622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653.489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689.231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686.746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634.198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615.844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638.300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651.814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608.384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532.465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557.746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577.856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588.567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611.800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641.395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630.558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695.847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612.082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619.384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623.303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586.835</a:t>
          </a:r>
        </a:p>
        <a:p>
          <a:endParaRPr lang="en-US" sz="1100" b="1"/>
        </a:p>
      </xdr:txBody>
    </xdr:sp>
    <xdr:clientData/>
  </xdr:twoCellAnchor>
  <xdr:twoCellAnchor editAs="oneCell">
    <xdr:from>
      <xdr:col>10</xdr:col>
      <xdr:colOff>247649</xdr:colOff>
      <xdr:row>0</xdr:row>
      <xdr:rowOff>0</xdr:rowOff>
    </xdr:from>
    <xdr:to>
      <xdr:col>20</xdr:col>
      <xdr:colOff>257175</xdr:colOff>
      <xdr:row>20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3649" y="0"/>
          <a:ext cx="6105526" cy="381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222251</xdr:colOff>
      <xdr:row>20</xdr:row>
      <xdr:rowOff>57149</xdr:rowOff>
    </xdr:from>
    <xdr:to>
      <xdr:col>20</xdr:col>
      <xdr:colOff>495301</xdr:colOff>
      <xdr:row>39</xdr:row>
      <xdr:rowOff>114298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8251" y="3867149"/>
          <a:ext cx="6369050" cy="36766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75204X765"/>
  <dimension ref="A1:G157"/>
  <sheetViews>
    <sheetView workbookViewId="0">
      <selection activeCell="I24" sqref="I24"/>
    </sheetView>
  </sheetViews>
  <sheetFormatPr baseColWidth="10" defaultColWidth="8.83203125" defaultRowHeight="15"/>
  <cols>
    <col min="1" max="1" width="18" bestFit="1" customWidth="1"/>
    <col min="2" max="2" width="15.33203125" bestFit="1" customWidth="1"/>
    <col min="3" max="3" width="14.5" bestFit="1" customWidth="1"/>
    <col min="4" max="4" width="16.5" bestFit="1" customWidth="1"/>
    <col min="5" max="5" width="11.5" bestFit="1" customWidth="1"/>
  </cols>
  <sheetData>
    <row r="1" spans="1:7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>
      <c r="A2" t="s">
        <v>7</v>
      </c>
      <c r="B2">
        <v>2796.8</v>
      </c>
      <c r="C2">
        <v>1179.4000000000001</v>
      </c>
      <c r="D2">
        <v>1023.2</v>
      </c>
      <c r="E2">
        <v>93.3</v>
      </c>
      <c r="F2">
        <v>447.8</v>
      </c>
      <c r="G2">
        <v>53.1</v>
      </c>
    </row>
    <row r="3" spans="1:7">
      <c r="A3" t="s">
        <v>8</v>
      </c>
      <c r="B3">
        <v>2791</v>
      </c>
      <c r="C3">
        <v>1171.2</v>
      </c>
      <c r="D3">
        <v>1036.2</v>
      </c>
      <c r="E3">
        <v>95.7</v>
      </c>
      <c r="F3">
        <v>437.1</v>
      </c>
      <c r="G3">
        <v>50.8</v>
      </c>
    </row>
    <row r="4" spans="1:7">
      <c r="A4" t="s">
        <v>9</v>
      </c>
      <c r="B4">
        <v>2754.2</v>
      </c>
      <c r="C4">
        <v>1108.5</v>
      </c>
      <c r="D4">
        <v>1022.1</v>
      </c>
      <c r="E4">
        <v>93.8</v>
      </c>
      <c r="F4">
        <v>479.7</v>
      </c>
      <c r="G4">
        <v>50.1</v>
      </c>
    </row>
    <row r="5" spans="1:7">
      <c r="A5" t="s">
        <v>10</v>
      </c>
      <c r="B5">
        <v>2968.7</v>
      </c>
      <c r="C5">
        <v>1233.8</v>
      </c>
      <c r="D5">
        <v>1050.0999999999999</v>
      </c>
      <c r="E5">
        <v>99.4</v>
      </c>
      <c r="F5">
        <v>533.6</v>
      </c>
      <c r="G5">
        <v>51.8</v>
      </c>
    </row>
    <row r="6" spans="1:7">
      <c r="A6" t="s">
        <v>11</v>
      </c>
      <c r="B6">
        <v>2957.3</v>
      </c>
      <c r="C6">
        <v>1163.0999999999999</v>
      </c>
      <c r="D6">
        <v>1105.3</v>
      </c>
      <c r="E6">
        <v>100</v>
      </c>
      <c r="F6">
        <v>535</v>
      </c>
      <c r="G6">
        <v>53.9</v>
      </c>
    </row>
    <row r="7" spans="1:7">
      <c r="A7" t="s">
        <v>12</v>
      </c>
      <c r="B7">
        <v>3097.4</v>
      </c>
      <c r="C7">
        <v>1220</v>
      </c>
      <c r="D7">
        <v>1157.3</v>
      </c>
      <c r="E7">
        <v>105.6</v>
      </c>
      <c r="F7">
        <v>560.20000000000005</v>
      </c>
      <c r="G7">
        <v>54.2</v>
      </c>
    </row>
    <row r="8" spans="1:7">
      <c r="A8" t="s">
        <v>13</v>
      </c>
      <c r="B8">
        <v>2994.9</v>
      </c>
      <c r="C8">
        <v>1243.0999999999999</v>
      </c>
      <c r="D8">
        <v>1064.9000000000001</v>
      </c>
      <c r="E8">
        <v>99.4</v>
      </c>
      <c r="F8">
        <v>537.4</v>
      </c>
      <c r="G8">
        <v>50.2</v>
      </c>
    </row>
    <row r="9" spans="1:7">
      <c r="A9" t="s">
        <v>14</v>
      </c>
      <c r="B9">
        <v>3116.5</v>
      </c>
      <c r="C9">
        <v>1272.0999999999999</v>
      </c>
      <c r="D9">
        <v>1155.9000000000001</v>
      </c>
      <c r="E9">
        <v>106.3</v>
      </c>
      <c r="F9">
        <v>528.79999999999995</v>
      </c>
      <c r="G9">
        <v>53.4</v>
      </c>
    </row>
    <row r="10" spans="1:7">
      <c r="A10" t="s">
        <v>15</v>
      </c>
      <c r="B10">
        <v>3037.8</v>
      </c>
      <c r="C10">
        <v>1226.3</v>
      </c>
      <c r="D10">
        <v>1140.3</v>
      </c>
      <c r="E10">
        <v>104.2</v>
      </c>
      <c r="F10">
        <v>516.29999999999995</v>
      </c>
      <c r="G10">
        <v>50.7</v>
      </c>
    </row>
    <row r="11" spans="1:7">
      <c r="A11" t="s">
        <v>16</v>
      </c>
      <c r="B11">
        <v>2916.7</v>
      </c>
      <c r="C11">
        <v>1150.0999999999999</v>
      </c>
      <c r="D11">
        <v>1098.8</v>
      </c>
      <c r="E11">
        <v>99.5</v>
      </c>
      <c r="F11">
        <v>520</v>
      </c>
      <c r="G11">
        <v>48.4</v>
      </c>
    </row>
    <row r="12" spans="1:7">
      <c r="A12" t="s">
        <v>17</v>
      </c>
      <c r="B12">
        <v>3156.6</v>
      </c>
      <c r="C12">
        <v>1318.2</v>
      </c>
      <c r="D12">
        <v>1163.2</v>
      </c>
      <c r="E12">
        <v>105.7</v>
      </c>
      <c r="F12">
        <v>518.6</v>
      </c>
      <c r="G12">
        <v>50.9</v>
      </c>
    </row>
    <row r="13" spans="1:7">
      <c r="A13" t="s">
        <v>18</v>
      </c>
      <c r="B13">
        <v>2901.3</v>
      </c>
      <c r="C13">
        <v>1223.2</v>
      </c>
      <c r="D13">
        <v>1058.3</v>
      </c>
      <c r="E13">
        <v>97.1</v>
      </c>
      <c r="F13">
        <v>478</v>
      </c>
      <c r="G13">
        <v>44.7</v>
      </c>
    </row>
    <row r="14" spans="1:7">
      <c r="A14" t="s">
        <v>19</v>
      </c>
      <c r="B14">
        <v>2975.3</v>
      </c>
      <c r="C14">
        <v>1266.3</v>
      </c>
      <c r="D14">
        <v>1096</v>
      </c>
      <c r="E14">
        <v>101.4</v>
      </c>
      <c r="F14">
        <v>465.5</v>
      </c>
      <c r="G14">
        <v>46</v>
      </c>
    </row>
    <row r="15" spans="1:7">
      <c r="A15" t="s">
        <v>20</v>
      </c>
      <c r="B15">
        <v>2887.4</v>
      </c>
      <c r="C15">
        <v>1212.9000000000001</v>
      </c>
      <c r="D15">
        <v>1079.8</v>
      </c>
      <c r="E15">
        <v>97.7</v>
      </c>
      <c r="F15">
        <v>452.3</v>
      </c>
      <c r="G15">
        <v>44.7</v>
      </c>
    </row>
    <row r="16" spans="1:7">
      <c r="A16" t="s">
        <v>21</v>
      </c>
      <c r="B16">
        <v>2893.8</v>
      </c>
      <c r="C16">
        <v>1184.4000000000001</v>
      </c>
      <c r="D16">
        <v>1098.9000000000001</v>
      </c>
      <c r="E16">
        <v>95.8</v>
      </c>
      <c r="F16">
        <v>470</v>
      </c>
      <c r="G16">
        <v>44.7</v>
      </c>
    </row>
    <row r="17" spans="1:7">
      <c r="A17" t="s">
        <v>22</v>
      </c>
      <c r="B17">
        <v>3023.6</v>
      </c>
      <c r="C17">
        <v>1262</v>
      </c>
      <c r="D17">
        <v>1102.0999999999999</v>
      </c>
      <c r="E17">
        <v>103</v>
      </c>
      <c r="F17">
        <v>511.3</v>
      </c>
      <c r="G17">
        <v>45.2</v>
      </c>
    </row>
    <row r="18" spans="1:7">
      <c r="A18" t="s">
        <v>23</v>
      </c>
      <c r="B18">
        <v>3092.5</v>
      </c>
      <c r="C18">
        <v>1243.7</v>
      </c>
      <c r="D18">
        <v>1174</v>
      </c>
      <c r="E18">
        <v>105</v>
      </c>
      <c r="F18">
        <v>522</v>
      </c>
      <c r="G18">
        <v>47.7</v>
      </c>
    </row>
    <row r="19" spans="1:7">
      <c r="A19" t="s">
        <v>24</v>
      </c>
      <c r="B19">
        <v>3182.1</v>
      </c>
      <c r="C19">
        <v>1324.6</v>
      </c>
      <c r="D19">
        <v>1171</v>
      </c>
      <c r="E19">
        <v>106.5</v>
      </c>
      <c r="F19">
        <v>533.20000000000005</v>
      </c>
      <c r="G19">
        <v>46.8</v>
      </c>
    </row>
    <row r="20" spans="1:7">
      <c r="A20" t="s">
        <v>25</v>
      </c>
      <c r="B20">
        <v>3007.5</v>
      </c>
      <c r="C20">
        <v>1230.9000000000001</v>
      </c>
      <c r="D20">
        <v>1118.0999999999999</v>
      </c>
      <c r="E20">
        <v>102</v>
      </c>
      <c r="F20">
        <v>513.20000000000005</v>
      </c>
      <c r="G20">
        <v>43.3</v>
      </c>
    </row>
    <row r="21" spans="1:7">
      <c r="A21" t="s">
        <v>26</v>
      </c>
      <c r="B21">
        <v>3264</v>
      </c>
      <c r="C21">
        <v>1321.1</v>
      </c>
      <c r="D21">
        <v>1239.0999999999999</v>
      </c>
      <c r="E21">
        <v>110.5</v>
      </c>
      <c r="F21">
        <v>544.20000000000005</v>
      </c>
      <c r="G21">
        <v>49.1</v>
      </c>
    </row>
    <row r="22" spans="1:7">
      <c r="A22" t="s">
        <v>27</v>
      </c>
      <c r="B22">
        <v>3114</v>
      </c>
      <c r="C22">
        <v>1257.5</v>
      </c>
      <c r="D22">
        <v>1164.4000000000001</v>
      </c>
      <c r="E22">
        <v>105.5</v>
      </c>
      <c r="F22">
        <v>541.4</v>
      </c>
      <c r="G22">
        <v>45.2</v>
      </c>
    </row>
    <row r="23" spans="1:7">
      <c r="A23" t="s">
        <v>28</v>
      </c>
      <c r="B23">
        <v>3107.1</v>
      </c>
      <c r="C23">
        <v>1249.8</v>
      </c>
      <c r="D23">
        <v>1180.2</v>
      </c>
      <c r="E23">
        <v>106.2</v>
      </c>
      <c r="F23">
        <v>525.70000000000005</v>
      </c>
      <c r="G23">
        <v>45.2</v>
      </c>
    </row>
    <row r="24" spans="1:7">
      <c r="A24" t="s">
        <v>29</v>
      </c>
      <c r="B24">
        <v>3215</v>
      </c>
      <c r="C24">
        <v>1291.8</v>
      </c>
      <c r="D24">
        <v>1231.5999999999999</v>
      </c>
      <c r="E24">
        <v>110</v>
      </c>
      <c r="F24">
        <v>535.20000000000005</v>
      </c>
      <c r="G24">
        <v>46.5</v>
      </c>
    </row>
    <row r="25" spans="1:7">
      <c r="A25" t="s">
        <v>30</v>
      </c>
      <c r="B25">
        <v>3039.4</v>
      </c>
      <c r="C25">
        <v>1270.3</v>
      </c>
      <c r="D25">
        <v>1130.5</v>
      </c>
      <c r="E25">
        <v>101.9</v>
      </c>
      <c r="F25">
        <v>495</v>
      </c>
      <c r="G25">
        <v>41.7</v>
      </c>
    </row>
    <row r="26" spans="1:7">
      <c r="A26" t="s">
        <v>31</v>
      </c>
      <c r="B26">
        <v>3166.4</v>
      </c>
      <c r="C26">
        <v>1338</v>
      </c>
      <c r="D26">
        <v>1202.5999999999999</v>
      </c>
      <c r="E26">
        <v>107.5</v>
      </c>
      <c r="F26">
        <v>473.6</v>
      </c>
      <c r="G26">
        <v>44.7</v>
      </c>
    </row>
    <row r="27" spans="1:7">
      <c r="A27" t="s">
        <v>32</v>
      </c>
      <c r="B27">
        <v>2938.6</v>
      </c>
      <c r="C27">
        <v>1257.2</v>
      </c>
      <c r="D27">
        <v>1098.3</v>
      </c>
      <c r="E27">
        <v>99.7</v>
      </c>
      <c r="F27">
        <v>444.4</v>
      </c>
      <c r="G27">
        <v>39.1</v>
      </c>
    </row>
    <row r="28" spans="1:7">
      <c r="A28" t="s">
        <v>33</v>
      </c>
      <c r="B28">
        <v>3018.8</v>
      </c>
      <c r="C28">
        <v>1241.4000000000001</v>
      </c>
      <c r="D28">
        <v>1182.4000000000001</v>
      </c>
      <c r="E28">
        <v>101.9</v>
      </c>
      <c r="F28">
        <v>451.8</v>
      </c>
      <c r="G28">
        <v>41.3</v>
      </c>
    </row>
    <row r="29" spans="1:7">
      <c r="A29" t="s">
        <v>34</v>
      </c>
      <c r="B29">
        <v>3150</v>
      </c>
      <c r="C29">
        <v>1311.7</v>
      </c>
      <c r="D29">
        <v>1180.9000000000001</v>
      </c>
      <c r="E29">
        <v>106.4</v>
      </c>
      <c r="F29">
        <v>511</v>
      </c>
      <c r="G29">
        <v>40</v>
      </c>
    </row>
    <row r="30" spans="1:7">
      <c r="A30" t="s">
        <v>35</v>
      </c>
      <c r="B30">
        <v>3271.1</v>
      </c>
      <c r="C30">
        <v>1323.7</v>
      </c>
      <c r="D30">
        <v>1251.2</v>
      </c>
      <c r="E30">
        <v>108.5</v>
      </c>
      <c r="F30">
        <v>542.79999999999995</v>
      </c>
      <c r="G30">
        <v>44.9</v>
      </c>
    </row>
    <row r="31" spans="1:7">
      <c r="A31" t="s">
        <v>36</v>
      </c>
      <c r="B31">
        <v>3222.5</v>
      </c>
      <c r="C31">
        <v>1304.4000000000001</v>
      </c>
      <c r="D31">
        <v>1212.5999999999999</v>
      </c>
      <c r="E31">
        <v>108.5</v>
      </c>
      <c r="F31">
        <v>556</v>
      </c>
      <c r="G31">
        <v>40.9</v>
      </c>
    </row>
    <row r="32" spans="1:7">
      <c r="A32" t="s">
        <v>37</v>
      </c>
      <c r="B32">
        <v>3288.9</v>
      </c>
      <c r="C32">
        <v>1344.6</v>
      </c>
      <c r="D32">
        <v>1225.2</v>
      </c>
      <c r="E32">
        <v>111.7</v>
      </c>
      <c r="F32">
        <v>563.1</v>
      </c>
      <c r="G32">
        <v>44.3</v>
      </c>
    </row>
    <row r="33" spans="1:7">
      <c r="A33" t="s">
        <v>38</v>
      </c>
      <c r="B33">
        <v>3277.4</v>
      </c>
      <c r="C33">
        <v>1296.5</v>
      </c>
      <c r="D33">
        <v>1268.2</v>
      </c>
      <c r="E33">
        <v>113.3</v>
      </c>
      <c r="F33">
        <v>555</v>
      </c>
      <c r="G33">
        <v>44.4</v>
      </c>
    </row>
    <row r="34" spans="1:7">
      <c r="A34" t="s">
        <v>39</v>
      </c>
      <c r="B34">
        <v>3205.8</v>
      </c>
      <c r="C34">
        <v>1359.9</v>
      </c>
      <c r="D34">
        <v>1182.2</v>
      </c>
      <c r="E34">
        <v>109.5</v>
      </c>
      <c r="F34">
        <v>513.6</v>
      </c>
      <c r="G34">
        <v>40.700000000000003</v>
      </c>
    </row>
    <row r="35" spans="1:7">
      <c r="A35" t="s">
        <v>40</v>
      </c>
      <c r="B35">
        <v>3268.2</v>
      </c>
      <c r="C35">
        <v>1345.8</v>
      </c>
      <c r="D35">
        <v>1253.5</v>
      </c>
      <c r="E35">
        <v>112.3</v>
      </c>
      <c r="F35">
        <v>514.70000000000005</v>
      </c>
      <c r="G35">
        <v>41.9</v>
      </c>
    </row>
    <row r="36" spans="1:7">
      <c r="A36" t="s">
        <v>41</v>
      </c>
      <c r="B36">
        <v>3378.1</v>
      </c>
      <c r="C36">
        <v>1403.2</v>
      </c>
      <c r="D36">
        <v>1271.4000000000001</v>
      </c>
      <c r="E36">
        <v>113.8</v>
      </c>
      <c r="F36">
        <v>547.9</v>
      </c>
      <c r="G36">
        <v>41.7</v>
      </c>
    </row>
    <row r="37" spans="1:7">
      <c r="A37" t="s">
        <v>42</v>
      </c>
      <c r="B37">
        <v>3119.2</v>
      </c>
      <c r="C37">
        <v>1292.4000000000001</v>
      </c>
      <c r="D37">
        <v>1192.0999999999999</v>
      </c>
      <c r="E37">
        <v>107.1</v>
      </c>
      <c r="F37">
        <v>489.9</v>
      </c>
      <c r="G37">
        <v>37.700000000000003</v>
      </c>
    </row>
    <row r="38" spans="1:7">
      <c r="A38" t="s">
        <v>43</v>
      </c>
      <c r="B38">
        <v>3149.8</v>
      </c>
      <c r="C38">
        <v>1280.9000000000001</v>
      </c>
      <c r="D38">
        <v>1248.7</v>
      </c>
      <c r="E38">
        <v>113.4</v>
      </c>
      <c r="F38">
        <v>467.1</v>
      </c>
      <c r="G38">
        <v>39.700000000000003</v>
      </c>
    </row>
    <row r="39" spans="1:7">
      <c r="A39" t="s">
        <v>44</v>
      </c>
      <c r="B39">
        <v>3166.2</v>
      </c>
      <c r="C39">
        <v>1329.7</v>
      </c>
      <c r="D39">
        <v>1217.0999999999999</v>
      </c>
      <c r="E39">
        <v>110.5</v>
      </c>
      <c r="F39">
        <v>472.7</v>
      </c>
      <c r="G39">
        <v>36.1</v>
      </c>
    </row>
    <row r="40" spans="1:7">
      <c r="A40" t="s">
        <v>45</v>
      </c>
      <c r="B40">
        <v>2987.2</v>
      </c>
      <c r="C40">
        <v>1236</v>
      </c>
      <c r="D40">
        <v>1163.0999999999999</v>
      </c>
      <c r="E40">
        <v>105.5</v>
      </c>
      <c r="F40">
        <v>449.5</v>
      </c>
      <c r="G40">
        <v>33.1</v>
      </c>
    </row>
    <row r="41" spans="1:7">
      <c r="A41" t="s">
        <v>46</v>
      </c>
      <c r="B41">
        <v>3289</v>
      </c>
      <c r="C41">
        <v>1362.3</v>
      </c>
      <c r="D41">
        <v>1281.4000000000001</v>
      </c>
      <c r="E41">
        <v>116.5</v>
      </c>
      <c r="F41">
        <v>491.5</v>
      </c>
      <c r="G41">
        <v>37.200000000000003</v>
      </c>
    </row>
    <row r="42" spans="1:7">
      <c r="A42" t="s">
        <v>47</v>
      </c>
      <c r="B42">
        <v>3279.6</v>
      </c>
      <c r="C42">
        <v>1335.3</v>
      </c>
      <c r="D42">
        <v>1249.0999999999999</v>
      </c>
      <c r="E42">
        <v>114.2</v>
      </c>
      <c r="F42">
        <v>544</v>
      </c>
      <c r="G42">
        <v>36.9</v>
      </c>
    </row>
    <row r="43" spans="1:7">
      <c r="A43" t="s">
        <v>48</v>
      </c>
      <c r="B43">
        <v>3396.1</v>
      </c>
      <c r="C43">
        <v>1352.4</v>
      </c>
      <c r="D43">
        <v>1311.2</v>
      </c>
      <c r="E43">
        <v>121.8</v>
      </c>
      <c r="F43">
        <v>572.5</v>
      </c>
      <c r="G43">
        <v>38.1</v>
      </c>
    </row>
    <row r="44" spans="1:7">
      <c r="A44" t="s">
        <v>49</v>
      </c>
      <c r="B44">
        <v>3368.5</v>
      </c>
      <c r="C44">
        <v>1385.2</v>
      </c>
      <c r="D44">
        <v>1298.7</v>
      </c>
      <c r="E44">
        <v>121.2</v>
      </c>
      <c r="F44">
        <v>525.79999999999995</v>
      </c>
      <c r="G44">
        <v>37.6</v>
      </c>
    </row>
    <row r="45" spans="1:7">
      <c r="A45" t="s">
        <v>50</v>
      </c>
      <c r="B45">
        <v>3176.1</v>
      </c>
      <c r="C45">
        <v>1320.1</v>
      </c>
      <c r="D45">
        <v>1190.2</v>
      </c>
      <c r="E45">
        <v>117.4</v>
      </c>
      <c r="F45">
        <v>510.1</v>
      </c>
      <c r="G45">
        <v>38.4</v>
      </c>
    </row>
    <row r="46" spans="1:7">
      <c r="A46" t="s">
        <v>51</v>
      </c>
      <c r="B46">
        <v>3381.5</v>
      </c>
      <c r="C46">
        <v>1398.4</v>
      </c>
      <c r="D46">
        <v>1298.5999999999999</v>
      </c>
      <c r="E46">
        <v>123.5</v>
      </c>
      <c r="F46">
        <v>519.1</v>
      </c>
      <c r="G46">
        <v>41.8</v>
      </c>
    </row>
    <row r="47" spans="1:7">
      <c r="A47" t="s">
        <v>52</v>
      </c>
      <c r="B47">
        <v>3364.9</v>
      </c>
      <c r="C47">
        <v>1395.4</v>
      </c>
      <c r="D47">
        <v>1282.5999999999999</v>
      </c>
      <c r="E47">
        <v>120.1</v>
      </c>
      <c r="F47">
        <v>522.1</v>
      </c>
      <c r="G47">
        <v>44.7</v>
      </c>
    </row>
    <row r="48" spans="1:7">
      <c r="A48" t="s">
        <v>53</v>
      </c>
      <c r="B48">
        <v>3249</v>
      </c>
      <c r="C48">
        <v>1340.1</v>
      </c>
      <c r="D48">
        <v>1218.4000000000001</v>
      </c>
      <c r="E48">
        <v>117.5</v>
      </c>
      <c r="F48">
        <v>535.6</v>
      </c>
      <c r="G48">
        <v>37.5</v>
      </c>
    </row>
    <row r="49" spans="1:7">
      <c r="A49" t="s">
        <v>54</v>
      </c>
      <c r="B49">
        <v>3179.2</v>
      </c>
      <c r="C49">
        <v>1294.7</v>
      </c>
      <c r="D49">
        <v>1245.8</v>
      </c>
      <c r="E49">
        <v>118.2</v>
      </c>
      <c r="F49">
        <v>484</v>
      </c>
      <c r="G49">
        <v>36.5</v>
      </c>
    </row>
    <row r="50" spans="1:7">
      <c r="A50" t="s">
        <v>55</v>
      </c>
      <c r="B50">
        <v>3005.9</v>
      </c>
      <c r="C50">
        <v>1217.9000000000001</v>
      </c>
      <c r="D50">
        <v>1169.5</v>
      </c>
      <c r="E50">
        <v>109</v>
      </c>
      <c r="F50">
        <v>476.4</v>
      </c>
      <c r="G50">
        <v>33.200000000000003</v>
      </c>
    </row>
    <row r="51" spans="1:7">
      <c r="A51" t="s">
        <v>56</v>
      </c>
      <c r="B51">
        <v>3004.8</v>
      </c>
      <c r="C51">
        <v>1210.5</v>
      </c>
      <c r="D51">
        <v>1190.2</v>
      </c>
      <c r="E51">
        <v>109.7</v>
      </c>
      <c r="F51">
        <v>460.5</v>
      </c>
      <c r="G51">
        <v>34</v>
      </c>
    </row>
    <row r="52" spans="1:7">
      <c r="A52" t="s">
        <v>57</v>
      </c>
      <c r="B52">
        <v>2931.1</v>
      </c>
      <c r="C52">
        <v>1142.4000000000001</v>
      </c>
      <c r="D52">
        <v>1188.3</v>
      </c>
      <c r="E52">
        <v>106.3</v>
      </c>
      <c r="F52">
        <v>461.2</v>
      </c>
      <c r="G52">
        <v>32.799999999999997</v>
      </c>
    </row>
    <row r="53" spans="1:7">
      <c r="A53" t="s">
        <v>58</v>
      </c>
      <c r="B53">
        <v>3103.5</v>
      </c>
      <c r="C53">
        <v>1229.2</v>
      </c>
      <c r="D53">
        <v>1211.7</v>
      </c>
      <c r="E53">
        <v>117.6</v>
      </c>
      <c r="F53">
        <v>510.5</v>
      </c>
      <c r="G53">
        <v>34.4</v>
      </c>
    </row>
    <row r="54" spans="1:7">
      <c r="A54" t="s">
        <v>59</v>
      </c>
      <c r="B54">
        <v>3054.9</v>
      </c>
      <c r="C54">
        <v>1143.9000000000001</v>
      </c>
      <c r="D54">
        <v>1207.2</v>
      </c>
      <c r="E54">
        <v>112.5</v>
      </c>
      <c r="F54">
        <v>556.6</v>
      </c>
      <c r="G54">
        <v>34.700000000000003</v>
      </c>
    </row>
    <row r="55" spans="1:7">
      <c r="A55" t="s">
        <v>60</v>
      </c>
      <c r="B55">
        <v>3425.6</v>
      </c>
      <c r="C55">
        <v>1340.6</v>
      </c>
      <c r="D55">
        <v>1315.3</v>
      </c>
      <c r="E55">
        <v>123.2</v>
      </c>
      <c r="F55">
        <v>609.5</v>
      </c>
      <c r="G55">
        <v>37</v>
      </c>
    </row>
    <row r="56" spans="1:7">
      <c r="A56" t="s">
        <v>61</v>
      </c>
      <c r="B56">
        <v>3414.1</v>
      </c>
      <c r="C56">
        <v>1361.2</v>
      </c>
      <c r="D56">
        <v>1304.7</v>
      </c>
      <c r="E56">
        <v>119.9</v>
      </c>
      <c r="F56">
        <v>592.70000000000005</v>
      </c>
      <c r="G56">
        <v>35.6</v>
      </c>
    </row>
    <row r="57" spans="1:7">
      <c r="A57" t="s">
        <v>62</v>
      </c>
      <c r="B57">
        <v>3342.7</v>
      </c>
      <c r="C57">
        <v>1365.1</v>
      </c>
      <c r="D57">
        <v>1241.4000000000001</v>
      </c>
      <c r="E57">
        <v>129.1</v>
      </c>
      <c r="F57">
        <v>572.1</v>
      </c>
      <c r="G57">
        <v>35</v>
      </c>
    </row>
    <row r="58" spans="1:7">
      <c r="A58" t="s">
        <v>63</v>
      </c>
      <c r="B58">
        <v>3395.7</v>
      </c>
      <c r="C58">
        <v>1391.5</v>
      </c>
      <c r="D58">
        <v>1241.8</v>
      </c>
      <c r="E58">
        <v>172.3</v>
      </c>
      <c r="F58">
        <v>554.9</v>
      </c>
      <c r="G58">
        <v>35.4</v>
      </c>
    </row>
    <row r="59" spans="1:7">
      <c r="A59" t="s">
        <v>64</v>
      </c>
      <c r="B59">
        <v>3419.5</v>
      </c>
      <c r="C59">
        <v>1377.1</v>
      </c>
      <c r="D59">
        <v>1277.5</v>
      </c>
      <c r="E59">
        <v>171.8</v>
      </c>
      <c r="F59">
        <v>557.4</v>
      </c>
      <c r="G59">
        <v>35.700000000000003</v>
      </c>
    </row>
    <row r="60" spans="1:7">
      <c r="A60" t="s">
        <v>65</v>
      </c>
      <c r="B60">
        <v>3379.9</v>
      </c>
      <c r="C60">
        <v>1394.2</v>
      </c>
      <c r="D60">
        <v>1222.7</v>
      </c>
      <c r="E60">
        <v>167.3</v>
      </c>
      <c r="F60">
        <v>562.9</v>
      </c>
      <c r="G60">
        <v>32.799999999999997</v>
      </c>
    </row>
    <row r="61" spans="1:7">
      <c r="A61" t="s">
        <v>66</v>
      </c>
      <c r="B61">
        <v>3345.1</v>
      </c>
      <c r="C61">
        <v>1396.8</v>
      </c>
      <c r="D61">
        <v>1229.7</v>
      </c>
      <c r="E61">
        <v>169.1</v>
      </c>
      <c r="F61">
        <v>516</v>
      </c>
      <c r="G61">
        <v>33.5</v>
      </c>
    </row>
    <row r="62" spans="1:7">
      <c r="A62" t="s">
        <v>67</v>
      </c>
      <c r="B62">
        <v>3242.9</v>
      </c>
      <c r="C62">
        <v>1395.9</v>
      </c>
      <c r="D62">
        <v>1161.7</v>
      </c>
      <c r="E62">
        <v>163.80000000000001</v>
      </c>
      <c r="F62">
        <v>490.6</v>
      </c>
      <c r="G62">
        <v>30.9</v>
      </c>
    </row>
    <row r="63" spans="1:7">
      <c r="A63" t="s">
        <v>68</v>
      </c>
      <c r="B63">
        <v>3287.1</v>
      </c>
      <c r="C63">
        <v>1405.9</v>
      </c>
      <c r="D63">
        <v>1180</v>
      </c>
      <c r="E63">
        <v>166.3</v>
      </c>
      <c r="F63">
        <v>503.9</v>
      </c>
      <c r="G63">
        <v>31</v>
      </c>
    </row>
    <row r="64" spans="1:7">
      <c r="A64" t="s">
        <v>69</v>
      </c>
      <c r="B64">
        <v>3420.6</v>
      </c>
      <c r="C64">
        <v>1329.3</v>
      </c>
      <c r="D64">
        <v>1345.4</v>
      </c>
      <c r="E64">
        <v>165</v>
      </c>
      <c r="F64">
        <v>547.6</v>
      </c>
      <c r="G64">
        <v>33.200000000000003</v>
      </c>
    </row>
    <row r="65" spans="1:7">
      <c r="A65" t="s">
        <v>70</v>
      </c>
      <c r="B65">
        <v>3588.8</v>
      </c>
      <c r="C65">
        <v>1488.9</v>
      </c>
      <c r="D65">
        <v>1308.8</v>
      </c>
      <c r="E65">
        <v>173.6</v>
      </c>
      <c r="F65">
        <v>585</v>
      </c>
      <c r="G65">
        <v>32.4</v>
      </c>
    </row>
    <row r="66" spans="1:7">
      <c r="A66" t="s">
        <v>71</v>
      </c>
      <c r="B66">
        <v>3479.4</v>
      </c>
      <c r="C66">
        <v>1471.5</v>
      </c>
      <c r="D66">
        <v>1235</v>
      </c>
      <c r="E66">
        <v>167.3</v>
      </c>
      <c r="F66">
        <v>573.5</v>
      </c>
      <c r="G66">
        <v>32.1</v>
      </c>
    </row>
    <row r="67" spans="1:7">
      <c r="A67" t="s">
        <v>72</v>
      </c>
      <c r="B67">
        <v>3718.7</v>
      </c>
      <c r="C67">
        <v>1523.8</v>
      </c>
      <c r="D67">
        <v>1373.2</v>
      </c>
      <c r="E67">
        <v>181</v>
      </c>
      <c r="F67">
        <v>606</v>
      </c>
      <c r="G67">
        <v>34.799999999999997</v>
      </c>
    </row>
    <row r="68" spans="1:7">
      <c r="A68" t="s">
        <v>73</v>
      </c>
      <c r="B68">
        <v>3571.7</v>
      </c>
      <c r="C68">
        <v>1474.1</v>
      </c>
      <c r="D68">
        <v>1317.3</v>
      </c>
      <c r="E68">
        <v>173.4</v>
      </c>
      <c r="F68">
        <v>575.20000000000005</v>
      </c>
      <c r="G68">
        <v>31.7</v>
      </c>
    </row>
    <row r="69" spans="1:7">
      <c r="A69" t="s">
        <v>74</v>
      </c>
      <c r="B69">
        <v>3601.5</v>
      </c>
      <c r="C69">
        <v>1538.4</v>
      </c>
      <c r="D69">
        <v>1308.3</v>
      </c>
      <c r="E69">
        <v>182.8</v>
      </c>
      <c r="F69">
        <v>539.70000000000005</v>
      </c>
      <c r="G69">
        <v>32.299999999999997</v>
      </c>
    </row>
    <row r="70" spans="1:7">
      <c r="A70" t="s">
        <v>75</v>
      </c>
      <c r="B70">
        <v>3555.8</v>
      </c>
      <c r="C70">
        <v>1516.6</v>
      </c>
      <c r="D70">
        <v>1287.3</v>
      </c>
      <c r="E70">
        <v>181.1</v>
      </c>
      <c r="F70">
        <v>539.20000000000005</v>
      </c>
      <c r="G70">
        <v>31.6</v>
      </c>
    </row>
    <row r="71" spans="1:7">
      <c r="A71" t="s">
        <v>76</v>
      </c>
      <c r="B71">
        <v>3514.9</v>
      </c>
      <c r="C71">
        <v>1472.5</v>
      </c>
      <c r="D71">
        <v>1278.3</v>
      </c>
      <c r="E71">
        <v>174.9</v>
      </c>
      <c r="F71">
        <v>557.79999999999995</v>
      </c>
      <c r="G71">
        <v>31.3</v>
      </c>
    </row>
    <row r="72" spans="1:7">
      <c r="A72" t="s">
        <v>77</v>
      </c>
      <c r="B72">
        <v>3614.4</v>
      </c>
      <c r="C72">
        <v>1516.5</v>
      </c>
      <c r="D72">
        <v>1299.2</v>
      </c>
      <c r="E72">
        <v>185.5</v>
      </c>
      <c r="F72">
        <v>581.4</v>
      </c>
      <c r="G72">
        <v>31.7</v>
      </c>
    </row>
    <row r="73" spans="1:7">
      <c r="A73" t="s">
        <v>78</v>
      </c>
      <c r="B73">
        <v>3656</v>
      </c>
      <c r="C73">
        <v>1529</v>
      </c>
      <c r="D73">
        <v>1375.3</v>
      </c>
      <c r="E73">
        <v>183.7</v>
      </c>
      <c r="F73">
        <v>536.20000000000005</v>
      </c>
      <c r="G73">
        <v>31.8</v>
      </c>
    </row>
    <row r="74" spans="1:7">
      <c r="A74" t="s">
        <v>79</v>
      </c>
      <c r="B74">
        <v>3470.4</v>
      </c>
      <c r="C74">
        <v>1498.5</v>
      </c>
      <c r="D74">
        <v>1266.4000000000001</v>
      </c>
      <c r="E74">
        <v>176.9</v>
      </c>
      <c r="F74">
        <v>499.3</v>
      </c>
      <c r="G74">
        <v>29.3</v>
      </c>
    </row>
    <row r="75" spans="1:7">
      <c r="A75" t="s">
        <v>80</v>
      </c>
      <c r="B75">
        <v>3426.5</v>
      </c>
      <c r="C75">
        <v>1506.3</v>
      </c>
      <c r="D75">
        <v>1253.8</v>
      </c>
      <c r="E75">
        <v>176.7</v>
      </c>
      <c r="F75">
        <v>461.7</v>
      </c>
      <c r="G75">
        <v>27.9</v>
      </c>
    </row>
    <row r="76" spans="1:7">
      <c r="A76" t="s">
        <v>81</v>
      </c>
      <c r="B76">
        <v>3308</v>
      </c>
      <c r="C76">
        <v>1386.5</v>
      </c>
      <c r="D76">
        <v>1261.5</v>
      </c>
      <c r="E76">
        <v>166.3</v>
      </c>
      <c r="F76">
        <v>465.7</v>
      </c>
      <c r="G76">
        <v>28</v>
      </c>
    </row>
    <row r="77" spans="1:7">
      <c r="A77" t="s">
        <v>82</v>
      </c>
      <c r="B77">
        <v>3489.2</v>
      </c>
      <c r="C77">
        <v>1472.5</v>
      </c>
      <c r="D77">
        <v>1283.4000000000001</v>
      </c>
      <c r="E77">
        <v>180.2</v>
      </c>
      <c r="F77">
        <v>524.4</v>
      </c>
      <c r="G77">
        <v>28.7</v>
      </c>
    </row>
    <row r="78" spans="1:7">
      <c r="A78" t="s">
        <v>83</v>
      </c>
      <c r="B78">
        <v>3552</v>
      </c>
      <c r="C78">
        <v>1458.2</v>
      </c>
      <c r="D78">
        <v>1314.3</v>
      </c>
      <c r="E78">
        <v>184</v>
      </c>
      <c r="F78">
        <v>565.1</v>
      </c>
      <c r="G78">
        <v>30.5</v>
      </c>
    </row>
    <row r="79" spans="1:7">
      <c r="A79" t="s">
        <v>84</v>
      </c>
      <c r="B79">
        <v>3859.7</v>
      </c>
      <c r="C79">
        <v>1624.4</v>
      </c>
      <c r="D79">
        <v>1405.6</v>
      </c>
      <c r="E79">
        <v>195.6</v>
      </c>
      <c r="F79">
        <v>602.79999999999995</v>
      </c>
      <c r="G79">
        <v>31.3</v>
      </c>
    </row>
    <row r="80" spans="1:7">
      <c r="A80" t="s">
        <v>85</v>
      </c>
      <c r="B80">
        <v>3639.9</v>
      </c>
      <c r="C80">
        <v>1537.9</v>
      </c>
      <c r="D80">
        <v>1300.5999999999999</v>
      </c>
      <c r="E80">
        <v>186.2</v>
      </c>
      <c r="F80">
        <v>586</v>
      </c>
      <c r="G80">
        <v>29.2</v>
      </c>
    </row>
    <row r="81" spans="1:7">
      <c r="A81" t="s">
        <v>86</v>
      </c>
      <c r="B81">
        <v>3854.2</v>
      </c>
      <c r="C81">
        <v>1591.2</v>
      </c>
      <c r="D81">
        <v>1440.5</v>
      </c>
      <c r="E81">
        <v>201</v>
      </c>
      <c r="F81">
        <v>590.6</v>
      </c>
      <c r="G81">
        <v>30.9</v>
      </c>
    </row>
    <row r="82" spans="1:7">
      <c r="A82" t="s">
        <v>87</v>
      </c>
      <c r="B82">
        <v>3697.8</v>
      </c>
      <c r="C82">
        <v>1530.2</v>
      </c>
      <c r="D82">
        <v>1361.9</v>
      </c>
      <c r="E82">
        <v>194.1</v>
      </c>
      <c r="F82">
        <v>582.6</v>
      </c>
      <c r="G82">
        <v>29.1</v>
      </c>
    </row>
    <row r="83" spans="1:7">
      <c r="A83" t="s">
        <v>88</v>
      </c>
      <c r="B83">
        <v>3582</v>
      </c>
      <c r="C83">
        <v>1513.1</v>
      </c>
      <c r="D83">
        <v>1299.7</v>
      </c>
      <c r="E83">
        <v>183.9</v>
      </c>
      <c r="F83">
        <v>557.70000000000005</v>
      </c>
      <c r="G83">
        <v>27.6</v>
      </c>
    </row>
    <row r="84" spans="1:7">
      <c r="A84" t="s">
        <v>89</v>
      </c>
      <c r="B84">
        <v>3652.8</v>
      </c>
      <c r="C84">
        <v>1500.8</v>
      </c>
      <c r="D84">
        <v>1386.2</v>
      </c>
      <c r="E84">
        <v>196.5</v>
      </c>
      <c r="F84">
        <v>541.1</v>
      </c>
      <c r="G84">
        <v>28.3</v>
      </c>
    </row>
    <row r="85" spans="1:7">
      <c r="A85" t="s">
        <v>90</v>
      </c>
      <c r="B85">
        <v>3474.7</v>
      </c>
      <c r="C85">
        <v>1457.9</v>
      </c>
      <c r="D85">
        <v>1302.5</v>
      </c>
      <c r="E85">
        <v>182.8</v>
      </c>
      <c r="F85">
        <v>505.9</v>
      </c>
      <c r="G85">
        <v>25.8</v>
      </c>
    </row>
    <row r="86" spans="1:7">
      <c r="A86" t="s">
        <v>91</v>
      </c>
      <c r="B86">
        <v>3413.9</v>
      </c>
      <c r="C86">
        <v>1494.9</v>
      </c>
      <c r="D86">
        <v>1202.5999999999999</v>
      </c>
      <c r="E86">
        <v>187.8</v>
      </c>
      <c r="F86">
        <v>503.3</v>
      </c>
      <c r="G86">
        <v>25.3</v>
      </c>
    </row>
    <row r="87" spans="1:7">
      <c r="A87" t="s">
        <v>92</v>
      </c>
      <c r="B87">
        <v>3520.9</v>
      </c>
      <c r="C87">
        <v>1456</v>
      </c>
      <c r="D87">
        <v>1344.4</v>
      </c>
      <c r="E87">
        <v>189.8</v>
      </c>
      <c r="F87">
        <v>505</v>
      </c>
      <c r="G87">
        <v>25.6</v>
      </c>
    </row>
    <row r="88" spans="1:7">
      <c r="A88" t="s">
        <v>93</v>
      </c>
      <c r="B88">
        <v>3464.8</v>
      </c>
      <c r="C88">
        <v>1459.3</v>
      </c>
      <c r="D88">
        <v>1291.5</v>
      </c>
      <c r="E88">
        <v>181.3</v>
      </c>
      <c r="F88">
        <v>508.6</v>
      </c>
      <c r="G88">
        <v>24.1</v>
      </c>
    </row>
    <row r="89" spans="1:7">
      <c r="A89" t="s">
        <v>94</v>
      </c>
      <c r="B89">
        <v>3713.5</v>
      </c>
      <c r="C89">
        <v>1560.6</v>
      </c>
      <c r="D89">
        <v>1391.3</v>
      </c>
      <c r="E89">
        <v>194.9</v>
      </c>
      <c r="F89">
        <v>540.9</v>
      </c>
      <c r="G89">
        <v>25.8</v>
      </c>
    </row>
    <row r="90" spans="1:7">
      <c r="A90" t="s">
        <v>95</v>
      </c>
      <c r="B90">
        <v>3689.9</v>
      </c>
      <c r="C90">
        <v>1522.4</v>
      </c>
      <c r="D90">
        <v>1388.1</v>
      </c>
      <c r="E90">
        <v>196</v>
      </c>
      <c r="F90">
        <v>557.1</v>
      </c>
      <c r="G90">
        <v>26.2</v>
      </c>
    </row>
    <row r="91" spans="1:7">
      <c r="A91" t="s">
        <v>96</v>
      </c>
      <c r="B91">
        <v>3820</v>
      </c>
      <c r="C91">
        <v>1595</v>
      </c>
      <c r="D91">
        <v>1391.2</v>
      </c>
      <c r="E91">
        <v>199.2</v>
      </c>
      <c r="F91">
        <v>607.9</v>
      </c>
      <c r="G91">
        <v>26.6</v>
      </c>
    </row>
    <row r="92" spans="1:7">
      <c r="A92" t="s">
        <v>97</v>
      </c>
      <c r="B92">
        <v>3736</v>
      </c>
      <c r="C92">
        <v>1540.3</v>
      </c>
      <c r="D92">
        <v>1375.8</v>
      </c>
      <c r="E92">
        <v>199.1</v>
      </c>
      <c r="F92">
        <v>594.79999999999995</v>
      </c>
      <c r="G92">
        <v>26</v>
      </c>
    </row>
    <row r="93" spans="1:7">
      <c r="A93" t="s">
        <v>98</v>
      </c>
      <c r="B93">
        <v>3869.3</v>
      </c>
      <c r="C93">
        <v>1613.8</v>
      </c>
      <c r="D93">
        <v>1443.2</v>
      </c>
      <c r="E93">
        <v>200.1</v>
      </c>
      <c r="F93">
        <v>585.6</v>
      </c>
      <c r="G93">
        <v>26.6</v>
      </c>
    </row>
    <row r="94" spans="1:7">
      <c r="A94" t="s">
        <v>99</v>
      </c>
      <c r="B94">
        <v>3833.2</v>
      </c>
      <c r="C94">
        <v>1634.4</v>
      </c>
      <c r="D94">
        <v>1401.3</v>
      </c>
      <c r="E94">
        <v>198.9</v>
      </c>
      <c r="F94">
        <v>573.20000000000005</v>
      </c>
      <c r="G94">
        <v>25.3</v>
      </c>
    </row>
    <row r="95" spans="1:7">
      <c r="A95" t="s">
        <v>100</v>
      </c>
      <c r="B95">
        <v>3716.3</v>
      </c>
      <c r="C95">
        <v>1558.8</v>
      </c>
      <c r="D95">
        <v>1378.7</v>
      </c>
      <c r="E95">
        <v>193.6</v>
      </c>
      <c r="F95">
        <v>560.20000000000005</v>
      </c>
      <c r="G95">
        <v>24.9</v>
      </c>
    </row>
    <row r="96" spans="1:7">
      <c r="A96" t="s">
        <v>101</v>
      </c>
      <c r="B96">
        <v>3772.2</v>
      </c>
      <c r="C96">
        <v>1602</v>
      </c>
      <c r="D96">
        <v>1378.8</v>
      </c>
      <c r="E96">
        <v>198.5</v>
      </c>
      <c r="F96">
        <v>568.1</v>
      </c>
      <c r="G96">
        <v>24.8</v>
      </c>
    </row>
    <row r="97" spans="1:7">
      <c r="A97" t="s">
        <v>102</v>
      </c>
      <c r="B97">
        <v>3650.8</v>
      </c>
      <c r="C97">
        <v>1534.9</v>
      </c>
      <c r="D97">
        <v>1378.9</v>
      </c>
      <c r="E97">
        <v>189.3</v>
      </c>
      <c r="F97">
        <v>524.79999999999995</v>
      </c>
      <c r="G97">
        <v>22.9</v>
      </c>
    </row>
    <row r="98" spans="1:7">
      <c r="A98" t="s">
        <v>103</v>
      </c>
      <c r="B98">
        <v>3711</v>
      </c>
      <c r="C98">
        <v>1594.3</v>
      </c>
      <c r="D98">
        <v>1383.3</v>
      </c>
      <c r="E98">
        <v>197.2</v>
      </c>
      <c r="F98">
        <v>513.1</v>
      </c>
      <c r="G98">
        <v>23.2</v>
      </c>
    </row>
    <row r="99" spans="1:7">
      <c r="A99" t="s">
        <v>104</v>
      </c>
      <c r="B99">
        <v>3470.8</v>
      </c>
      <c r="C99">
        <v>1479.1</v>
      </c>
      <c r="D99">
        <v>1283.3</v>
      </c>
      <c r="E99">
        <v>189.6</v>
      </c>
      <c r="F99">
        <v>498</v>
      </c>
      <c r="G99">
        <v>20.8</v>
      </c>
    </row>
    <row r="100" spans="1:7">
      <c r="A100" t="s">
        <v>105</v>
      </c>
      <c r="B100">
        <v>3397.3</v>
      </c>
      <c r="C100">
        <v>1410.8</v>
      </c>
      <c r="D100">
        <v>1291.0999999999999</v>
      </c>
      <c r="E100">
        <v>176.4</v>
      </c>
      <c r="F100">
        <v>498.3</v>
      </c>
      <c r="G100">
        <v>20.7</v>
      </c>
    </row>
    <row r="101" spans="1:7">
      <c r="A101" t="s">
        <v>106</v>
      </c>
      <c r="B101">
        <v>3772</v>
      </c>
      <c r="C101">
        <v>1576.8</v>
      </c>
      <c r="D101">
        <v>1406.5</v>
      </c>
      <c r="E101">
        <v>198.1</v>
      </c>
      <c r="F101">
        <v>568.29999999999995</v>
      </c>
      <c r="G101">
        <v>22.4</v>
      </c>
    </row>
    <row r="102" spans="1:7">
      <c r="A102" t="s">
        <v>107</v>
      </c>
      <c r="B102">
        <v>3793.3</v>
      </c>
      <c r="C102">
        <v>1567.9</v>
      </c>
      <c r="D102">
        <v>1400.9</v>
      </c>
      <c r="E102">
        <v>199.8</v>
      </c>
      <c r="F102">
        <v>601.79999999999995</v>
      </c>
      <c r="G102">
        <v>23</v>
      </c>
    </row>
    <row r="103" spans="1:7">
      <c r="A103" t="s">
        <v>108</v>
      </c>
      <c r="B103">
        <v>3853.7</v>
      </c>
      <c r="C103">
        <v>1586</v>
      </c>
      <c r="D103">
        <v>1412.7</v>
      </c>
      <c r="E103">
        <v>202.1</v>
      </c>
      <c r="F103">
        <v>629.6</v>
      </c>
      <c r="G103">
        <v>23.4</v>
      </c>
    </row>
    <row r="104" spans="1:7">
      <c r="A104" t="s">
        <v>109</v>
      </c>
      <c r="B104">
        <v>3904.5</v>
      </c>
      <c r="C104">
        <v>1598.4</v>
      </c>
      <c r="D104">
        <v>1466.6</v>
      </c>
      <c r="E104">
        <v>204.5</v>
      </c>
      <c r="F104">
        <v>612</v>
      </c>
      <c r="G104">
        <v>23.1</v>
      </c>
    </row>
    <row r="105" spans="1:7">
      <c r="A105" t="s">
        <v>110</v>
      </c>
      <c r="B105">
        <v>3911.2</v>
      </c>
      <c r="C105">
        <v>1644.9</v>
      </c>
      <c r="D105">
        <v>1423.7</v>
      </c>
      <c r="E105">
        <v>202.5</v>
      </c>
      <c r="F105">
        <v>617.5</v>
      </c>
      <c r="G105">
        <v>22.6</v>
      </c>
    </row>
    <row r="106" spans="1:7">
      <c r="A106" t="s">
        <v>111</v>
      </c>
      <c r="B106">
        <v>3832.5</v>
      </c>
      <c r="C106">
        <v>1636.3</v>
      </c>
      <c r="D106">
        <v>1411.2</v>
      </c>
      <c r="E106">
        <v>202.7</v>
      </c>
      <c r="F106">
        <v>560.6</v>
      </c>
      <c r="G106">
        <v>21.6</v>
      </c>
    </row>
    <row r="107" spans="1:7">
      <c r="A107" t="s">
        <v>112</v>
      </c>
      <c r="B107">
        <v>3717.4</v>
      </c>
      <c r="C107">
        <v>1534.1</v>
      </c>
      <c r="D107">
        <v>1411</v>
      </c>
      <c r="E107">
        <v>196.2</v>
      </c>
      <c r="F107">
        <v>555</v>
      </c>
      <c r="G107">
        <v>21.1</v>
      </c>
    </row>
    <row r="108" spans="1:7">
      <c r="A108" t="s">
        <v>113</v>
      </c>
      <c r="B108">
        <v>3884.6</v>
      </c>
      <c r="C108">
        <v>1641.7</v>
      </c>
      <c r="D108">
        <v>1447.4</v>
      </c>
      <c r="E108">
        <v>203.5</v>
      </c>
      <c r="F108">
        <v>570.70000000000005</v>
      </c>
      <c r="G108">
        <v>21.3</v>
      </c>
    </row>
    <row r="109" spans="1:7">
      <c r="A109" t="s">
        <v>114</v>
      </c>
      <c r="B109">
        <v>3700.4</v>
      </c>
      <c r="C109">
        <v>1572.5</v>
      </c>
      <c r="D109">
        <v>1381.1</v>
      </c>
      <c r="E109">
        <v>196.4</v>
      </c>
      <c r="F109">
        <v>530.1</v>
      </c>
      <c r="G109">
        <v>20.3</v>
      </c>
    </row>
    <row r="110" spans="1:7">
      <c r="A110" t="s">
        <v>115</v>
      </c>
      <c r="B110">
        <v>3726.7</v>
      </c>
      <c r="C110">
        <v>1645.6</v>
      </c>
      <c r="D110">
        <v>1354</v>
      </c>
      <c r="E110">
        <v>197.7</v>
      </c>
      <c r="F110">
        <v>509.7</v>
      </c>
      <c r="G110">
        <v>19.7</v>
      </c>
    </row>
    <row r="111" spans="1:7">
      <c r="A111" t="s">
        <v>116</v>
      </c>
      <c r="B111">
        <v>3680.6</v>
      </c>
      <c r="C111">
        <v>1609.5</v>
      </c>
      <c r="D111">
        <v>1370.3</v>
      </c>
      <c r="E111">
        <v>193</v>
      </c>
      <c r="F111">
        <v>489.3</v>
      </c>
      <c r="G111">
        <v>18.5</v>
      </c>
    </row>
    <row r="112" spans="1:7">
      <c r="A112" t="s">
        <v>117</v>
      </c>
      <c r="B112">
        <v>3491.4</v>
      </c>
      <c r="C112">
        <v>1488.1</v>
      </c>
      <c r="D112">
        <v>1316.5</v>
      </c>
      <c r="E112">
        <v>180.1</v>
      </c>
      <c r="F112">
        <v>488.7</v>
      </c>
      <c r="G112">
        <v>17.899999999999999</v>
      </c>
    </row>
    <row r="113" spans="1:7">
      <c r="A113" t="s">
        <v>118</v>
      </c>
      <c r="B113">
        <v>3874.3</v>
      </c>
      <c r="C113">
        <v>1666.3</v>
      </c>
      <c r="D113">
        <v>1416.3</v>
      </c>
      <c r="E113">
        <v>203.7</v>
      </c>
      <c r="F113">
        <v>568.1</v>
      </c>
      <c r="G113">
        <v>19.899999999999999</v>
      </c>
    </row>
    <row r="114" spans="1:7">
      <c r="A114" t="s">
        <v>119</v>
      </c>
      <c r="B114">
        <v>3931.1</v>
      </c>
      <c r="C114">
        <v>1681.2</v>
      </c>
      <c r="D114">
        <v>1416.9</v>
      </c>
      <c r="E114">
        <v>202.8</v>
      </c>
      <c r="F114">
        <v>609.5</v>
      </c>
      <c r="G114">
        <v>20.6</v>
      </c>
    </row>
    <row r="115" spans="1:7">
      <c r="A115" t="s">
        <v>120</v>
      </c>
      <c r="B115">
        <v>3973</v>
      </c>
      <c r="C115">
        <v>1656.8</v>
      </c>
      <c r="D115">
        <v>1447.2</v>
      </c>
      <c r="E115">
        <v>209.1</v>
      </c>
      <c r="F115">
        <v>639</v>
      </c>
      <c r="G115">
        <v>20.9</v>
      </c>
    </row>
    <row r="116" spans="1:7">
      <c r="A116" t="s">
        <v>121</v>
      </c>
      <c r="B116">
        <v>3971.4</v>
      </c>
      <c r="C116">
        <v>1663.1</v>
      </c>
      <c r="D116">
        <v>1451.6</v>
      </c>
      <c r="E116">
        <v>208.2</v>
      </c>
      <c r="F116">
        <v>628.1</v>
      </c>
      <c r="G116">
        <v>20.3</v>
      </c>
    </row>
    <row r="117" spans="1:7">
      <c r="A117" t="s">
        <v>122</v>
      </c>
      <c r="B117">
        <v>4103.6000000000004</v>
      </c>
      <c r="C117">
        <v>1746.1</v>
      </c>
      <c r="D117">
        <v>1486.1</v>
      </c>
      <c r="E117">
        <v>214.7</v>
      </c>
      <c r="F117">
        <v>635.5</v>
      </c>
      <c r="G117">
        <v>21.2</v>
      </c>
    </row>
    <row r="118" spans="1:7">
      <c r="A118" t="s">
        <v>123</v>
      </c>
      <c r="B118">
        <v>3945.7</v>
      </c>
      <c r="C118">
        <v>1676.4</v>
      </c>
      <c r="D118">
        <v>1447.1</v>
      </c>
      <c r="E118">
        <v>210.1</v>
      </c>
      <c r="F118">
        <v>592.4</v>
      </c>
      <c r="G118">
        <v>19.8</v>
      </c>
    </row>
    <row r="119" spans="1:7">
      <c r="A119" t="s">
        <v>124</v>
      </c>
      <c r="B119">
        <v>3977.8</v>
      </c>
      <c r="C119">
        <v>1712.3</v>
      </c>
      <c r="D119">
        <v>1458</v>
      </c>
      <c r="E119">
        <v>206.9</v>
      </c>
      <c r="F119">
        <v>580.9</v>
      </c>
      <c r="G119">
        <v>19.8</v>
      </c>
    </row>
    <row r="120" spans="1:7">
      <c r="A120" t="s">
        <v>125</v>
      </c>
      <c r="B120">
        <v>3931.2</v>
      </c>
      <c r="C120">
        <v>1632.2</v>
      </c>
      <c r="D120">
        <v>1457.4</v>
      </c>
      <c r="E120">
        <v>210.4</v>
      </c>
      <c r="F120">
        <v>611.5</v>
      </c>
      <c r="G120">
        <v>19.7</v>
      </c>
    </row>
    <row r="121" spans="1:7">
      <c r="A121" t="s">
        <v>126</v>
      </c>
      <c r="B121">
        <v>3796.3</v>
      </c>
      <c r="C121">
        <v>1575.6</v>
      </c>
      <c r="D121">
        <v>1425.1</v>
      </c>
      <c r="E121">
        <v>204.4</v>
      </c>
      <c r="F121">
        <v>571.79999999999995</v>
      </c>
      <c r="G121">
        <v>19.399999999999999</v>
      </c>
    </row>
    <row r="122" spans="1:7">
      <c r="A122" t="s">
        <v>127</v>
      </c>
      <c r="B122">
        <v>3897.3</v>
      </c>
      <c r="C122">
        <v>1732.8</v>
      </c>
      <c r="D122">
        <v>1412.2</v>
      </c>
      <c r="E122">
        <v>203.9</v>
      </c>
      <c r="F122">
        <v>525.20000000000005</v>
      </c>
      <c r="G122">
        <v>23.2</v>
      </c>
    </row>
    <row r="123" spans="1:7">
      <c r="A123" t="s">
        <v>128</v>
      </c>
      <c r="B123">
        <v>3685.9</v>
      </c>
      <c r="C123">
        <v>1636.4</v>
      </c>
      <c r="D123">
        <v>1335.3</v>
      </c>
      <c r="E123">
        <v>199.1</v>
      </c>
      <c r="F123">
        <v>493.6</v>
      </c>
      <c r="G123">
        <v>21.6</v>
      </c>
    </row>
    <row r="124" spans="1:7">
      <c r="A124" t="s">
        <v>129</v>
      </c>
      <c r="B124">
        <v>3687</v>
      </c>
      <c r="C124">
        <v>1581.1</v>
      </c>
      <c r="D124">
        <v>1386.4</v>
      </c>
      <c r="E124">
        <v>183.1</v>
      </c>
      <c r="F124">
        <v>513.9</v>
      </c>
      <c r="G124">
        <v>22.5</v>
      </c>
    </row>
    <row r="125" spans="1:7">
      <c r="A125" t="s">
        <v>130</v>
      </c>
      <c r="B125">
        <v>3973.2</v>
      </c>
      <c r="C125">
        <v>1693.7</v>
      </c>
      <c r="D125">
        <v>1455.8</v>
      </c>
      <c r="E125">
        <v>206.2</v>
      </c>
      <c r="F125">
        <v>594.20000000000005</v>
      </c>
      <c r="G125">
        <v>23.2</v>
      </c>
    </row>
    <row r="126" spans="1:7">
      <c r="A126" t="s">
        <v>131</v>
      </c>
      <c r="B126">
        <v>3981.6</v>
      </c>
      <c r="C126">
        <v>1675.9</v>
      </c>
      <c r="D126">
        <v>1467.5</v>
      </c>
      <c r="E126">
        <v>204</v>
      </c>
      <c r="F126">
        <v>610.70000000000005</v>
      </c>
      <c r="G126">
        <v>23.5</v>
      </c>
    </row>
    <row r="127" spans="1:7">
      <c r="A127" t="s">
        <v>132</v>
      </c>
      <c r="B127">
        <v>4030.6</v>
      </c>
      <c r="C127">
        <v>1674.8</v>
      </c>
      <c r="D127">
        <v>1491.5</v>
      </c>
      <c r="E127">
        <v>207.7</v>
      </c>
      <c r="F127">
        <v>632.29999999999995</v>
      </c>
      <c r="G127">
        <v>24.3</v>
      </c>
    </row>
    <row r="128" spans="1:7">
      <c r="A128" t="s">
        <v>133</v>
      </c>
      <c r="B128">
        <v>4030.6</v>
      </c>
      <c r="C128">
        <v>1679.7</v>
      </c>
      <c r="D128">
        <v>1475.4</v>
      </c>
      <c r="E128">
        <v>204.9</v>
      </c>
      <c r="F128">
        <v>647</v>
      </c>
      <c r="G128">
        <v>23.6</v>
      </c>
    </row>
    <row r="129" spans="1:7">
      <c r="A129" t="s">
        <v>134</v>
      </c>
      <c r="B129">
        <v>4148.3</v>
      </c>
      <c r="C129">
        <v>1736.7</v>
      </c>
      <c r="D129">
        <v>1520.4</v>
      </c>
      <c r="E129">
        <v>210</v>
      </c>
      <c r="F129">
        <v>656.7</v>
      </c>
      <c r="G129">
        <v>24.4</v>
      </c>
    </row>
    <row r="130" spans="1:7">
      <c r="A130" t="s">
        <v>135</v>
      </c>
      <c r="B130">
        <v>4068.8</v>
      </c>
      <c r="C130">
        <v>1717</v>
      </c>
      <c r="D130">
        <v>1486</v>
      </c>
      <c r="E130">
        <v>206.7</v>
      </c>
      <c r="F130">
        <v>635.70000000000005</v>
      </c>
      <c r="G130">
        <v>23.5</v>
      </c>
    </row>
    <row r="131" spans="1:7">
      <c r="A131" t="s">
        <v>136</v>
      </c>
      <c r="B131">
        <v>4045.7</v>
      </c>
      <c r="C131">
        <v>1676.6</v>
      </c>
      <c r="D131">
        <v>1499.6</v>
      </c>
      <c r="E131">
        <v>202.5</v>
      </c>
      <c r="F131">
        <v>643.6</v>
      </c>
      <c r="G131">
        <v>23.4</v>
      </c>
    </row>
    <row r="132" spans="1:7">
      <c r="A132" t="s">
        <v>137</v>
      </c>
      <c r="B132">
        <v>4043.5</v>
      </c>
      <c r="C132">
        <v>1657.7</v>
      </c>
      <c r="D132">
        <v>1506.2</v>
      </c>
      <c r="E132">
        <v>211.1</v>
      </c>
      <c r="F132">
        <v>645.70000000000005</v>
      </c>
      <c r="G132">
        <v>22.9</v>
      </c>
    </row>
    <row r="133" spans="1:7">
      <c r="A133" t="s">
        <v>138</v>
      </c>
      <c r="B133">
        <v>3921.4</v>
      </c>
      <c r="C133">
        <v>1625.7</v>
      </c>
      <c r="D133">
        <v>1444.7</v>
      </c>
      <c r="E133">
        <v>205.6</v>
      </c>
      <c r="F133">
        <v>622.4</v>
      </c>
      <c r="G133">
        <v>22.9</v>
      </c>
    </row>
    <row r="134" spans="1:7">
      <c r="A134" t="s">
        <v>139</v>
      </c>
      <c r="B134">
        <v>3876.3</v>
      </c>
      <c r="C134">
        <v>1649.1</v>
      </c>
      <c r="D134">
        <v>1419.1</v>
      </c>
      <c r="E134">
        <v>214.4</v>
      </c>
      <c r="F134">
        <v>570.29999999999995</v>
      </c>
      <c r="G134">
        <v>23.4</v>
      </c>
    </row>
    <row r="135" spans="1:7">
      <c r="A135" t="s">
        <v>140</v>
      </c>
      <c r="B135">
        <v>3928.4</v>
      </c>
      <c r="C135">
        <v>1661.6</v>
      </c>
      <c r="D135">
        <v>1449</v>
      </c>
      <c r="E135">
        <v>214.9</v>
      </c>
      <c r="F135">
        <v>580.4</v>
      </c>
      <c r="G135">
        <v>22.5</v>
      </c>
    </row>
    <row r="136" spans="1:7">
      <c r="A136" t="s">
        <v>141</v>
      </c>
      <c r="B136">
        <v>3727.7</v>
      </c>
      <c r="C136">
        <v>1533.8</v>
      </c>
      <c r="D136">
        <v>1383.4</v>
      </c>
      <c r="E136">
        <v>203.6</v>
      </c>
      <c r="F136">
        <v>585.4</v>
      </c>
      <c r="G136">
        <v>21.5</v>
      </c>
    </row>
    <row r="137" spans="1:7">
      <c r="A137" t="s">
        <v>142</v>
      </c>
      <c r="B137">
        <v>4044.9</v>
      </c>
      <c r="C137">
        <v>1647.1</v>
      </c>
      <c r="D137">
        <v>1504.2</v>
      </c>
      <c r="E137">
        <v>221.9</v>
      </c>
      <c r="F137">
        <v>648.70000000000005</v>
      </c>
      <c r="G137">
        <v>23</v>
      </c>
    </row>
    <row r="138" spans="1:7">
      <c r="A138" t="s">
        <v>143</v>
      </c>
      <c r="B138">
        <v>4068.6</v>
      </c>
      <c r="C138">
        <v>1644.8</v>
      </c>
      <c r="D138">
        <v>1490.3</v>
      </c>
      <c r="E138">
        <v>220.3</v>
      </c>
      <c r="F138">
        <v>689.1</v>
      </c>
      <c r="G138">
        <v>24.1</v>
      </c>
    </row>
    <row r="139" spans="1:7">
      <c r="A139" t="s">
        <v>144</v>
      </c>
      <c r="B139">
        <v>4240.1000000000004</v>
      </c>
      <c r="C139">
        <v>1742.5</v>
      </c>
      <c r="D139">
        <v>1536.4</v>
      </c>
      <c r="E139">
        <v>228.4</v>
      </c>
      <c r="F139">
        <v>708.4</v>
      </c>
      <c r="G139">
        <v>24.4</v>
      </c>
    </row>
    <row r="140" spans="1:7">
      <c r="A140" t="s">
        <v>145</v>
      </c>
      <c r="B140">
        <v>4052.5</v>
      </c>
      <c r="C140">
        <v>1719.7</v>
      </c>
      <c r="D140">
        <v>1449.7</v>
      </c>
      <c r="E140">
        <v>217.7</v>
      </c>
      <c r="F140">
        <v>642.20000000000005</v>
      </c>
      <c r="G140">
        <v>23.2</v>
      </c>
    </row>
    <row r="141" spans="1:7">
      <c r="A141" t="s">
        <v>146</v>
      </c>
      <c r="B141">
        <v>4230.7</v>
      </c>
      <c r="C141">
        <v>1798.7</v>
      </c>
      <c r="D141">
        <v>1533.2</v>
      </c>
      <c r="E141">
        <v>226.7</v>
      </c>
      <c r="F141">
        <v>647.1</v>
      </c>
      <c r="G141">
        <v>25</v>
      </c>
    </row>
    <row r="142" spans="1:7">
      <c r="A142" t="s">
        <v>147</v>
      </c>
      <c r="B142">
        <v>4093</v>
      </c>
      <c r="C142">
        <v>1739.3</v>
      </c>
      <c r="D142">
        <v>1464.3</v>
      </c>
      <c r="E142">
        <v>218.6</v>
      </c>
      <c r="F142">
        <v>647.79999999999995</v>
      </c>
      <c r="G142">
        <v>23</v>
      </c>
    </row>
    <row r="143" spans="1:7">
      <c r="A143" t="s">
        <v>148</v>
      </c>
      <c r="B143">
        <v>4174.1000000000004</v>
      </c>
      <c r="C143">
        <v>1786.2</v>
      </c>
      <c r="D143">
        <v>1493.2</v>
      </c>
      <c r="E143">
        <v>220.4</v>
      </c>
      <c r="F143">
        <v>650.4</v>
      </c>
      <c r="G143">
        <v>23.9</v>
      </c>
    </row>
    <row r="144" spans="1:7">
      <c r="A144" t="s">
        <v>149</v>
      </c>
      <c r="B144">
        <v>4192.3</v>
      </c>
      <c r="C144">
        <v>1785.8</v>
      </c>
      <c r="D144">
        <v>1504.4</v>
      </c>
      <c r="E144">
        <v>233.8</v>
      </c>
      <c r="F144">
        <v>644.70000000000005</v>
      </c>
      <c r="G144">
        <v>23.6</v>
      </c>
    </row>
    <row r="145" spans="1:7">
      <c r="A145" t="s">
        <v>150</v>
      </c>
      <c r="B145">
        <v>3998.1</v>
      </c>
      <c r="C145">
        <v>1712.4</v>
      </c>
      <c r="D145">
        <v>1471</v>
      </c>
      <c r="E145">
        <v>217.1</v>
      </c>
      <c r="F145">
        <v>575.20000000000005</v>
      </c>
      <c r="G145">
        <v>22.4</v>
      </c>
    </row>
    <row r="146" spans="1:7">
      <c r="A146" t="s">
        <v>151</v>
      </c>
      <c r="B146">
        <v>4115.8</v>
      </c>
      <c r="C146">
        <v>1841.1</v>
      </c>
      <c r="D146">
        <v>1459</v>
      </c>
      <c r="E146">
        <v>226.1</v>
      </c>
      <c r="F146">
        <v>567.1</v>
      </c>
      <c r="G146">
        <v>22.5</v>
      </c>
    </row>
    <row r="147" spans="1:7">
      <c r="A147" t="s">
        <v>152</v>
      </c>
      <c r="B147">
        <v>4048.7</v>
      </c>
      <c r="C147">
        <v>1775.8</v>
      </c>
      <c r="D147">
        <v>1454.4</v>
      </c>
      <c r="E147">
        <v>222.6</v>
      </c>
      <c r="F147">
        <v>574</v>
      </c>
      <c r="G147">
        <v>22</v>
      </c>
    </row>
    <row r="148" spans="1:7">
      <c r="A148" t="s">
        <v>153</v>
      </c>
      <c r="B148">
        <v>3854.8</v>
      </c>
      <c r="C148">
        <v>1647.4</v>
      </c>
      <c r="D148">
        <v>1441.8</v>
      </c>
      <c r="E148">
        <v>209.7</v>
      </c>
      <c r="F148">
        <v>533.1</v>
      </c>
      <c r="G148">
        <v>22.8</v>
      </c>
    </row>
    <row r="149" spans="1:7">
      <c r="A149" t="s">
        <v>154</v>
      </c>
      <c r="B149">
        <v>3930.9</v>
      </c>
      <c r="C149">
        <v>1663.6</v>
      </c>
      <c r="D149">
        <v>1442.2</v>
      </c>
      <c r="E149">
        <v>220.9</v>
      </c>
      <c r="F149">
        <v>583.70000000000005</v>
      </c>
      <c r="G149">
        <v>20.399999999999999</v>
      </c>
    </row>
    <row r="150" spans="1:7">
      <c r="A150" t="s">
        <v>155</v>
      </c>
      <c r="B150">
        <v>4169.3</v>
      </c>
      <c r="C150">
        <v>1770.3</v>
      </c>
      <c r="D150">
        <v>1523.6</v>
      </c>
      <c r="E150">
        <v>230</v>
      </c>
      <c r="F150">
        <v>619.9</v>
      </c>
      <c r="G150">
        <v>25.5</v>
      </c>
    </row>
    <row r="151" spans="1:7">
      <c r="A151" t="s">
        <v>156</v>
      </c>
      <c r="B151">
        <v>4070.6</v>
      </c>
      <c r="C151">
        <v>1707</v>
      </c>
      <c r="D151">
        <v>1464.2</v>
      </c>
      <c r="E151">
        <v>228.9</v>
      </c>
      <c r="F151">
        <v>649</v>
      </c>
      <c r="G151">
        <v>21.5</v>
      </c>
    </row>
    <row r="152" spans="1:7">
      <c r="A152" t="s">
        <v>157</v>
      </c>
      <c r="B152">
        <v>4223.5</v>
      </c>
      <c r="C152">
        <v>1761.3</v>
      </c>
      <c r="D152">
        <v>1507.1</v>
      </c>
      <c r="E152">
        <v>232.2</v>
      </c>
      <c r="F152">
        <v>698.1</v>
      </c>
      <c r="G152">
        <v>24.7</v>
      </c>
    </row>
    <row r="153" spans="1:7">
      <c r="A153" t="s">
        <v>158</v>
      </c>
      <c r="B153">
        <v>4369.3</v>
      </c>
      <c r="C153">
        <v>1826.5</v>
      </c>
      <c r="D153">
        <v>1644.4</v>
      </c>
      <c r="E153">
        <v>242.1</v>
      </c>
      <c r="F153">
        <v>630.20000000000005</v>
      </c>
      <c r="G153">
        <v>26.2</v>
      </c>
    </row>
    <row r="154" spans="1:7">
      <c r="A154" t="s">
        <v>159</v>
      </c>
      <c r="B154">
        <v>4112.6000000000004</v>
      </c>
      <c r="C154">
        <v>1719.3</v>
      </c>
      <c r="D154">
        <v>1527.1</v>
      </c>
      <c r="E154">
        <v>231.9</v>
      </c>
      <c r="F154">
        <v>613.1</v>
      </c>
      <c r="G154">
        <v>21.2</v>
      </c>
    </row>
    <row r="155" spans="1:7">
      <c r="A155" t="s">
        <v>160</v>
      </c>
      <c r="B155">
        <v>4165.6000000000004</v>
      </c>
      <c r="C155">
        <v>1760.9</v>
      </c>
      <c r="D155">
        <v>1524</v>
      </c>
      <c r="E155">
        <v>235</v>
      </c>
      <c r="F155">
        <v>622</v>
      </c>
      <c r="G155">
        <v>23.7</v>
      </c>
    </row>
    <row r="156" spans="1:7">
      <c r="A156" t="s">
        <v>161</v>
      </c>
      <c r="B156">
        <v>4212.6000000000004</v>
      </c>
      <c r="C156">
        <v>1758.4</v>
      </c>
      <c r="D156">
        <v>1561.6</v>
      </c>
      <c r="E156">
        <v>247</v>
      </c>
      <c r="F156">
        <v>622.1</v>
      </c>
      <c r="G156">
        <v>23.5</v>
      </c>
    </row>
    <row r="157" spans="1:7">
      <c r="A157" t="s">
        <v>162</v>
      </c>
      <c r="B157">
        <v>4163.5</v>
      </c>
      <c r="C157">
        <v>1802.7</v>
      </c>
      <c r="D157">
        <v>1513.7</v>
      </c>
      <c r="E157">
        <v>241.5</v>
      </c>
      <c r="F157">
        <v>583.1</v>
      </c>
      <c r="G157">
        <v>22.4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25690X765"/>
  <dimension ref="A1:E157"/>
  <sheetViews>
    <sheetView workbookViewId="0">
      <selection activeCell="K9" sqref="K9"/>
    </sheetView>
  </sheetViews>
  <sheetFormatPr baseColWidth="10" defaultColWidth="8.83203125" defaultRowHeight="15"/>
  <cols>
    <col min="1" max="1" width="18" bestFit="1" customWidth="1"/>
    <col min="2" max="3" width="18" customWidth="1"/>
    <col min="5" max="5" width="18.5" bestFit="1" customWidth="1"/>
  </cols>
  <sheetData>
    <row r="1" spans="1:5">
      <c r="A1" t="s">
        <v>6</v>
      </c>
      <c r="B1" t="s">
        <v>260</v>
      </c>
      <c r="C1" t="s">
        <v>261</v>
      </c>
      <c r="D1" t="s">
        <v>5</v>
      </c>
      <c r="E1" t="s">
        <v>307</v>
      </c>
    </row>
    <row r="2" spans="1:5">
      <c r="A2" t="s">
        <v>7</v>
      </c>
      <c r="B2">
        <v>2005</v>
      </c>
      <c r="C2">
        <v>1</v>
      </c>
      <c r="D2">
        <v>53.1</v>
      </c>
      <c r="E2" s="20">
        <v>53.1</v>
      </c>
    </row>
    <row r="3" spans="1:5">
      <c r="A3" t="s">
        <v>8</v>
      </c>
      <c r="B3">
        <v>2005</v>
      </c>
      <c r="C3">
        <v>2</v>
      </c>
      <c r="D3">
        <v>50.8</v>
      </c>
      <c r="E3" s="22">
        <v>50.8</v>
      </c>
    </row>
    <row r="4" spans="1:5">
      <c r="A4" t="s">
        <v>9</v>
      </c>
      <c r="B4">
        <v>2005</v>
      </c>
      <c r="C4">
        <v>3</v>
      </c>
      <c r="D4">
        <v>50.1</v>
      </c>
      <c r="E4" s="22">
        <v>50.1</v>
      </c>
    </row>
    <row r="5" spans="1:5">
      <c r="A5" t="s">
        <v>10</v>
      </c>
      <c r="B5">
        <v>2005</v>
      </c>
      <c r="C5">
        <v>4</v>
      </c>
      <c r="D5">
        <v>51.8</v>
      </c>
      <c r="E5" s="22">
        <v>51.8</v>
      </c>
    </row>
    <row r="6" spans="1:5">
      <c r="A6" t="s">
        <v>11</v>
      </c>
      <c r="B6">
        <v>2005</v>
      </c>
      <c r="C6">
        <v>5</v>
      </c>
      <c r="D6">
        <v>53.9</v>
      </c>
      <c r="E6" s="22">
        <v>53.9</v>
      </c>
    </row>
    <row r="7" spans="1:5">
      <c r="A7" t="s">
        <v>12</v>
      </c>
      <c r="B7">
        <v>2005</v>
      </c>
      <c r="C7">
        <v>6</v>
      </c>
      <c r="D7">
        <v>54.2</v>
      </c>
      <c r="E7" s="22">
        <v>54.2</v>
      </c>
    </row>
    <row r="8" spans="1:5">
      <c r="A8" t="s">
        <v>13</v>
      </c>
      <c r="B8">
        <v>2005</v>
      </c>
      <c r="C8">
        <v>7</v>
      </c>
      <c r="D8">
        <v>50.2</v>
      </c>
      <c r="E8" s="22">
        <v>50.2</v>
      </c>
    </row>
    <row r="9" spans="1:5">
      <c r="A9" t="s">
        <v>14</v>
      </c>
      <c r="B9">
        <v>2005</v>
      </c>
      <c r="C9">
        <v>8</v>
      </c>
      <c r="D9">
        <v>53.4</v>
      </c>
      <c r="E9" s="22">
        <v>53.4</v>
      </c>
    </row>
    <row r="10" spans="1:5">
      <c r="A10" t="s">
        <v>15</v>
      </c>
      <c r="B10">
        <v>2005</v>
      </c>
      <c r="C10">
        <v>9</v>
      </c>
      <c r="D10">
        <v>50.7</v>
      </c>
      <c r="E10" s="22">
        <v>50.7</v>
      </c>
    </row>
    <row r="11" spans="1:5">
      <c r="A11" t="s">
        <v>16</v>
      </c>
      <c r="B11">
        <v>2005</v>
      </c>
      <c r="C11">
        <v>10</v>
      </c>
      <c r="D11">
        <v>48.4</v>
      </c>
      <c r="E11" s="22">
        <v>48.4</v>
      </c>
    </row>
    <row r="12" spans="1:5">
      <c r="A12" t="s">
        <v>17</v>
      </c>
      <c r="B12">
        <v>2005</v>
      </c>
      <c r="C12">
        <v>11</v>
      </c>
      <c r="D12">
        <v>50.9</v>
      </c>
      <c r="E12" s="22">
        <v>50.9</v>
      </c>
    </row>
    <row r="13" spans="1:5">
      <c r="A13" t="s">
        <v>18</v>
      </c>
      <c r="B13">
        <v>2005</v>
      </c>
      <c r="C13">
        <v>12</v>
      </c>
      <c r="D13">
        <v>44.7</v>
      </c>
      <c r="E13" s="22">
        <v>44.7</v>
      </c>
    </row>
    <row r="14" spans="1:5">
      <c r="A14" t="s">
        <v>19</v>
      </c>
      <c r="B14">
        <v>2006</v>
      </c>
      <c r="C14">
        <v>1</v>
      </c>
      <c r="D14">
        <v>46</v>
      </c>
      <c r="E14" s="22">
        <v>46</v>
      </c>
    </row>
    <row r="15" spans="1:5">
      <c r="A15" t="s">
        <v>20</v>
      </c>
      <c r="B15">
        <v>2006</v>
      </c>
      <c r="C15">
        <v>2</v>
      </c>
      <c r="D15">
        <v>44.7</v>
      </c>
      <c r="E15" s="22">
        <v>43.922022958254956</v>
      </c>
    </row>
    <row r="16" spans="1:5">
      <c r="A16" t="s">
        <v>21</v>
      </c>
      <c r="B16">
        <v>2006</v>
      </c>
      <c r="C16">
        <v>3</v>
      </c>
      <c r="D16">
        <v>44.7</v>
      </c>
      <c r="E16" s="22">
        <v>43.60938049255622</v>
      </c>
    </row>
    <row r="17" spans="1:5">
      <c r="A17" t="s">
        <v>22</v>
      </c>
      <c r="B17">
        <v>2006</v>
      </c>
      <c r="C17">
        <v>4</v>
      </c>
      <c r="D17">
        <v>45.2</v>
      </c>
      <c r="E17" s="22">
        <v>46.079843963039636</v>
      </c>
    </row>
    <row r="18" spans="1:5">
      <c r="A18" t="s">
        <v>23</v>
      </c>
      <c r="B18">
        <v>2006</v>
      </c>
      <c r="C18">
        <v>5</v>
      </c>
      <c r="D18">
        <v>47.7</v>
      </c>
      <c r="E18" s="22">
        <v>47.988065905450661</v>
      </c>
    </row>
    <row r="19" spans="1:5">
      <c r="A19" t="s">
        <v>24</v>
      </c>
      <c r="B19">
        <v>2006</v>
      </c>
      <c r="C19">
        <v>6</v>
      </c>
      <c r="D19">
        <v>46.8</v>
      </c>
      <c r="E19" s="22">
        <v>47.827860450776328</v>
      </c>
    </row>
    <row r="20" spans="1:5">
      <c r="A20" t="s">
        <v>25</v>
      </c>
      <c r="B20">
        <v>2006</v>
      </c>
      <c r="C20">
        <v>7</v>
      </c>
      <c r="D20">
        <v>43.3</v>
      </c>
      <c r="E20" s="22">
        <v>43.49352493332092</v>
      </c>
    </row>
    <row r="21" spans="1:5">
      <c r="A21" t="s">
        <v>26</v>
      </c>
      <c r="B21">
        <v>2006</v>
      </c>
      <c r="C21">
        <v>8</v>
      </c>
      <c r="D21">
        <v>49.1</v>
      </c>
      <c r="E21" s="22">
        <v>46.43135846679715</v>
      </c>
    </row>
    <row r="22" spans="1:5">
      <c r="A22" t="s">
        <v>27</v>
      </c>
      <c r="B22">
        <v>2006</v>
      </c>
      <c r="C22">
        <v>9</v>
      </c>
      <c r="D22">
        <v>45.2</v>
      </c>
      <c r="E22" s="22">
        <v>45.145268228006572</v>
      </c>
    </row>
    <row r="23" spans="1:5">
      <c r="A23" t="s">
        <v>28</v>
      </c>
      <c r="B23">
        <v>2006</v>
      </c>
      <c r="C23">
        <v>10</v>
      </c>
      <c r="D23">
        <v>45.2</v>
      </c>
      <c r="E23" s="22">
        <v>43.651544318449325</v>
      </c>
    </row>
    <row r="24" spans="1:5">
      <c r="A24" t="s">
        <v>29</v>
      </c>
      <c r="B24">
        <v>2006</v>
      </c>
      <c r="C24">
        <v>11</v>
      </c>
      <c r="D24">
        <v>46.5</v>
      </c>
      <c r="E24" s="22">
        <v>46.614313134630684</v>
      </c>
    </row>
    <row r="25" spans="1:5">
      <c r="A25" t="s">
        <v>30</v>
      </c>
      <c r="B25">
        <v>2006</v>
      </c>
      <c r="C25">
        <v>12</v>
      </c>
      <c r="D25">
        <v>41.7</v>
      </c>
      <c r="E25" s="22">
        <v>40.97391610981996</v>
      </c>
    </row>
    <row r="26" spans="1:5">
      <c r="A26" t="s">
        <v>31</v>
      </c>
      <c r="B26">
        <v>2007</v>
      </c>
      <c r="C26">
        <v>1</v>
      </c>
      <c r="D26">
        <v>44.7</v>
      </c>
      <c r="E26" s="22">
        <v>42.543478484694717</v>
      </c>
    </row>
    <row r="27" spans="1:5">
      <c r="A27" t="s">
        <v>32</v>
      </c>
      <c r="B27">
        <v>2007</v>
      </c>
      <c r="C27">
        <v>2</v>
      </c>
      <c r="D27">
        <v>39.1</v>
      </c>
      <c r="E27" s="22">
        <v>42.414797905995087</v>
      </c>
    </row>
    <row r="28" spans="1:5">
      <c r="A28" t="s">
        <v>33</v>
      </c>
      <c r="B28">
        <v>2007</v>
      </c>
      <c r="C28">
        <v>3</v>
      </c>
      <c r="D28">
        <v>41.3</v>
      </c>
      <c r="E28" s="22">
        <v>41.080038347821578</v>
      </c>
    </row>
    <row r="29" spans="1:5">
      <c r="A29" t="s">
        <v>34</v>
      </c>
      <c r="B29">
        <v>2007</v>
      </c>
      <c r="C29">
        <v>4</v>
      </c>
      <c r="D29">
        <v>40</v>
      </c>
      <c r="E29" s="22">
        <v>41.002363352202735</v>
      </c>
    </row>
    <row r="30" spans="1:5">
      <c r="A30" t="s">
        <v>35</v>
      </c>
      <c r="B30">
        <v>2007</v>
      </c>
      <c r="C30">
        <v>5</v>
      </c>
      <c r="D30">
        <v>44.9</v>
      </c>
      <c r="E30" s="22">
        <v>43.594973445250062</v>
      </c>
    </row>
    <row r="31" spans="1:5">
      <c r="A31" t="s">
        <v>36</v>
      </c>
      <c r="B31">
        <v>2007</v>
      </c>
      <c r="C31">
        <v>6</v>
      </c>
      <c r="D31">
        <v>40.9</v>
      </c>
      <c r="E31" s="22">
        <v>43.14291982656875</v>
      </c>
    </row>
    <row r="32" spans="1:5">
      <c r="A32" t="s">
        <v>37</v>
      </c>
      <c r="B32">
        <v>2007</v>
      </c>
      <c r="C32">
        <v>7</v>
      </c>
      <c r="D32">
        <v>44.3</v>
      </c>
      <c r="E32" s="22">
        <v>39.138633810450983</v>
      </c>
    </row>
    <row r="33" spans="1:5">
      <c r="A33" t="s">
        <v>38</v>
      </c>
      <c r="B33">
        <v>2007</v>
      </c>
      <c r="C33">
        <v>8</v>
      </c>
      <c r="D33">
        <v>44.4</v>
      </c>
      <c r="E33" s="22">
        <v>45.825415632965715</v>
      </c>
    </row>
    <row r="34" spans="1:5">
      <c r="A34" t="s">
        <v>39</v>
      </c>
      <c r="B34">
        <v>2007</v>
      </c>
      <c r="C34">
        <v>9</v>
      </c>
      <c r="D34">
        <v>40.700000000000003</v>
      </c>
      <c r="E34" s="22">
        <v>43.507737163641309</v>
      </c>
    </row>
    <row r="35" spans="1:5">
      <c r="A35" t="s">
        <v>40</v>
      </c>
      <c r="B35">
        <v>2007</v>
      </c>
      <c r="C35">
        <v>10</v>
      </c>
      <c r="D35">
        <v>41.9</v>
      </c>
      <c r="E35" s="22">
        <v>40.222774567881068</v>
      </c>
    </row>
    <row r="36" spans="1:5">
      <c r="A36" t="s">
        <v>41</v>
      </c>
      <c r="B36">
        <v>2007</v>
      </c>
      <c r="C36">
        <v>11</v>
      </c>
      <c r="D36">
        <v>41.7</v>
      </c>
      <c r="E36" s="22">
        <v>42.684934200986746</v>
      </c>
    </row>
    <row r="37" spans="1:5">
      <c r="A37" t="s">
        <v>42</v>
      </c>
      <c r="B37">
        <v>2007</v>
      </c>
      <c r="C37">
        <v>12</v>
      </c>
      <c r="D37">
        <v>37.700000000000003</v>
      </c>
      <c r="E37" s="22">
        <v>37.556550155113946</v>
      </c>
    </row>
    <row r="38" spans="1:5">
      <c r="A38" t="s">
        <v>43</v>
      </c>
      <c r="B38">
        <v>2008</v>
      </c>
      <c r="C38">
        <v>1</v>
      </c>
      <c r="D38">
        <v>39.700000000000003</v>
      </c>
      <c r="E38" s="22">
        <v>39.701815209142062</v>
      </c>
    </row>
    <row r="39" spans="1:5">
      <c r="A39" t="s">
        <v>44</v>
      </c>
      <c r="B39">
        <v>2008</v>
      </c>
      <c r="C39">
        <v>2</v>
      </c>
      <c r="D39">
        <v>36.1</v>
      </c>
      <c r="E39" s="22">
        <v>35.688414611801122</v>
      </c>
    </row>
    <row r="40" spans="1:5">
      <c r="A40" t="s">
        <v>45</v>
      </c>
      <c r="B40">
        <v>2008</v>
      </c>
      <c r="C40">
        <v>3</v>
      </c>
      <c r="D40">
        <v>33.1</v>
      </c>
      <c r="E40" s="22">
        <v>37.374704704163676</v>
      </c>
    </row>
    <row r="41" spans="1:5">
      <c r="A41" t="s">
        <v>46</v>
      </c>
      <c r="B41">
        <v>2008</v>
      </c>
      <c r="C41">
        <v>4</v>
      </c>
      <c r="D41">
        <v>37.200000000000003</v>
      </c>
      <c r="E41" s="22">
        <v>34.777873118374913</v>
      </c>
    </row>
    <row r="42" spans="1:5">
      <c r="A42" t="s">
        <v>47</v>
      </c>
      <c r="B42">
        <v>2008</v>
      </c>
      <c r="C42">
        <v>5</v>
      </c>
      <c r="D42">
        <v>36.9</v>
      </c>
      <c r="E42" s="22">
        <v>38.994340036168424</v>
      </c>
    </row>
    <row r="43" spans="1:5">
      <c r="A43" t="s">
        <v>48</v>
      </c>
      <c r="B43">
        <v>2008</v>
      </c>
      <c r="C43">
        <v>6</v>
      </c>
      <c r="D43">
        <v>38.1</v>
      </c>
      <c r="E43" s="22">
        <v>36.21693130238635</v>
      </c>
    </row>
    <row r="44" spans="1:5">
      <c r="A44" t="s">
        <v>49</v>
      </c>
      <c r="B44">
        <v>2008</v>
      </c>
      <c r="C44">
        <v>7</v>
      </c>
      <c r="D44">
        <v>37.6</v>
      </c>
      <c r="E44" s="22">
        <v>37.413068306957832</v>
      </c>
    </row>
    <row r="45" spans="1:5">
      <c r="A45" t="s">
        <v>50</v>
      </c>
      <c r="B45">
        <v>2008</v>
      </c>
      <c r="C45">
        <v>8</v>
      </c>
      <c r="D45">
        <v>38.4</v>
      </c>
      <c r="E45" s="22">
        <v>40.422534600941844</v>
      </c>
    </row>
    <row r="46" spans="1:5">
      <c r="A46" t="s">
        <v>51</v>
      </c>
      <c r="B46">
        <v>2008</v>
      </c>
      <c r="C46">
        <v>9</v>
      </c>
      <c r="D46">
        <v>41.8</v>
      </c>
      <c r="E46" s="22">
        <v>35.218449719109231</v>
      </c>
    </row>
    <row r="47" spans="1:5">
      <c r="A47" t="s">
        <v>52</v>
      </c>
      <c r="B47">
        <v>2008</v>
      </c>
      <c r="C47">
        <v>10</v>
      </c>
      <c r="D47">
        <v>44.7</v>
      </c>
      <c r="E47" s="22">
        <v>39.062658599559825</v>
      </c>
    </row>
    <row r="48" spans="1:5">
      <c r="A48" t="s">
        <v>53</v>
      </c>
      <c r="B48">
        <v>2008</v>
      </c>
      <c r="C48">
        <v>11</v>
      </c>
      <c r="D48">
        <v>37.5</v>
      </c>
      <c r="E48" s="22">
        <v>43.972593363087007</v>
      </c>
    </row>
    <row r="49" spans="1:5">
      <c r="A49" t="s">
        <v>54</v>
      </c>
      <c r="B49">
        <v>2008</v>
      </c>
      <c r="C49">
        <v>12</v>
      </c>
      <c r="D49">
        <v>36.5</v>
      </c>
      <c r="E49" s="22">
        <v>37.213555244211435</v>
      </c>
    </row>
    <row r="50" spans="1:5">
      <c r="A50" t="s">
        <v>55</v>
      </c>
      <c r="B50">
        <v>2009</v>
      </c>
      <c r="C50">
        <v>1</v>
      </c>
      <c r="D50">
        <v>33.200000000000003</v>
      </c>
      <c r="E50" s="22">
        <v>37.217511618760476</v>
      </c>
    </row>
    <row r="51" spans="1:5">
      <c r="A51" t="s">
        <v>56</v>
      </c>
      <c r="B51">
        <v>2009</v>
      </c>
      <c r="C51">
        <v>2</v>
      </c>
      <c r="D51">
        <v>34</v>
      </c>
      <c r="E51" s="22">
        <v>32.021541511714503</v>
      </c>
    </row>
    <row r="52" spans="1:5">
      <c r="A52" t="s">
        <v>57</v>
      </c>
      <c r="B52">
        <v>2009</v>
      </c>
      <c r="C52">
        <v>3</v>
      </c>
      <c r="D52">
        <v>32.799999999999997</v>
      </c>
      <c r="E52" s="22">
        <v>30.008122696272412</v>
      </c>
    </row>
    <row r="53" spans="1:5">
      <c r="A53" t="s">
        <v>58</v>
      </c>
      <c r="B53">
        <v>2009</v>
      </c>
      <c r="C53">
        <v>4</v>
      </c>
      <c r="D53">
        <v>34.4</v>
      </c>
      <c r="E53" s="22">
        <v>35.303197600192739</v>
      </c>
    </row>
    <row r="54" spans="1:5">
      <c r="A54" t="s">
        <v>59</v>
      </c>
      <c r="B54">
        <v>2009</v>
      </c>
      <c r="C54">
        <v>5</v>
      </c>
      <c r="D54">
        <v>34.700000000000003</v>
      </c>
      <c r="E54" s="22">
        <v>36.176875497964296</v>
      </c>
    </row>
    <row r="55" spans="1:5">
      <c r="A55" t="s">
        <v>60</v>
      </c>
      <c r="B55">
        <v>2009</v>
      </c>
      <c r="C55">
        <v>6</v>
      </c>
      <c r="D55">
        <v>37</v>
      </c>
      <c r="E55" s="22">
        <v>34.980170281832422</v>
      </c>
    </row>
    <row r="56" spans="1:5">
      <c r="A56" t="s">
        <v>61</v>
      </c>
      <c r="B56">
        <v>2009</v>
      </c>
      <c r="C56">
        <v>7</v>
      </c>
      <c r="D56">
        <v>35.6</v>
      </c>
      <c r="E56" s="22">
        <v>36.376907765702995</v>
      </c>
    </row>
    <row r="57" spans="1:5">
      <c r="A57" t="s">
        <v>62</v>
      </c>
      <c r="B57">
        <v>2009</v>
      </c>
      <c r="C57">
        <v>8</v>
      </c>
      <c r="D57">
        <v>35</v>
      </c>
      <c r="E57" s="22">
        <v>37.340204853272112</v>
      </c>
    </row>
    <row r="58" spans="1:5">
      <c r="A58" t="s">
        <v>63</v>
      </c>
      <c r="B58">
        <v>2009</v>
      </c>
      <c r="C58">
        <v>9</v>
      </c>
      <c r="D58">
        <v>35.4</v>
      </c>
      <c r="E58" s="22">
        <v>37.111488696528937</v>
      </c>
    </row>
    <row r="59" spans="1:5">
      <c r="A59" t="s">
        <v>64</v>
      </c>
      <c r="B59">
        <v>2009</v>
      </c>
      <c r="C59">
        <v>10</v>
      </c>
      <c r="D59">
        <v>35.700000000000003</v>
      </c>
      <c r="E59" s="22">
        <v>38.431242196187704</v>
      </c>
    </row>
    <row r="60" spans="1:5">
      <c r="A60" t="s">
        <v>65</v>
      </c>
      <c r="B60">
        <v>2009</v>
      </c>
      <c r="C60">
        <v>11</v>
      </c>
      <c r="D60">
        <v>32.799999999999997</v>
      </c>
      <c r="E60" s="22">
        <v>31.680523757145703</v>
      </c>
    </row>
    <row r="61" spans="1:5">
      <c r="A61" t="s">
        <v>66</v>
      </c>
      <c r="B61">
        <v>2009</v>
      </c>
      <c r="C61">
        <v>12</v>
      </c>
      <c r="D61">
        <v>33.5</v>
      </c>
      <c r="E61" s="22">
        <v>29.854575318419791</v>
      </c>
    </row>
    <row r="62" spans="1:5">
      <c r="A62" t="s">
        <v>67</v>
      </c>
      <c r="B62">
        <v>2010</v>
      </c>
      <c r="C62">
        <v>1</v>
      </c>
      <c r="D62">
        <v>30.9</v>
      </c>
      <c r="E62" s="22">
        <v>30.485671813045748</v>
      </c>
    </row>
    <row r="63" spans="1:5">
      <c r="A63" t="s">
        <v>68</v>
      </c>
      <c r="B63">
        <v>2010</v>
      </c>
      <c r="C63">
        <v>2</v>
      </c>
      <c r="D63">
        <v>31</v>
      </c>
      <c r="E63" s="22">
        <v>30.969803124881391</v>
      </c>
    </row>
    <row r="64" spans="1:5">
      <c r="A64" t="s">
        <v>69</v>
      </c>
      <c r="B64">
        <v>2010</v>
      </c>
      <c r="C64">
        <v>3</v>
      </c>
      <c r="D64">
        <v>33.200000000000003</v>
      </c>
      <c r="E64" s="22">
        <v>29.109456056557853</v>
      </c>
    </row>
    <row r="65" spans="1:5">
      <c r="A65" t="s">
        <v>70</v>
      </c>
      <c r="B65">
        <v>2010</v>
      </c>
      <c r="C65">
        <v>4</v>
      </c>
      <c r="D65">
        <v>32.4</v>
      </c>
      <c r="E65" s="22">
        <v>33.58929733899118</v>
      </c>
    </row>
    <row r="66" spans="1:5">
      <c r="A66" t="s">
        <v>71</v>
      </c>
      <c r="B66">
        <v>2010</v>
      </c>
      <c r="C66">
        <v>5</v>
      </c>
      <c r="D66">
        <v>32.1</v>
      </c>
      <c r="E66" s="22">
        <v>34.238863669751929</v>
      </c>
    </row>
    <row r="67" spans="1:5">
      <c r="A67" t="s">
        <v>72</v>
      </c>
      <c r="B67">
        <v>2010</v>
      </c>
      <c r="C67">
        <v>6</v>
      </c>
      <c r="D67">
        <v>34.799999999999997</v>
      </c>
      <c r="E67" s="22">
        <v>34.412684987439995</v>
      </c>
    </row>
    <row r="68" spans="1:5">
      <c r="A68" t="s">
        <v>73</v>
      </c>
      <c r="B68">
        <v>2010</v>
      </c>
      <c r="C68">
        <v>7</v>
      </c>
      <c r="D68">
        <v>31.7</v>
      </c>
      <c r="E68" s="22">
        <v>33.38922676044951</v>
      </c>
    </row>
    <row r="69" spans="1:5">
      <c r="A69" t="s">
        <v>74</v>
      </c>
      <c r="B69">
        <v>2010</v>
      </c>
      <c r="C69">
        <v>8</v>
      </c>
      <c r="D69">
        <v>32.299999999999997</v>
      </c>
      <c r="E69" s="22">
        <v>32.609366665204099</v>
      </c>
    </row>
    <row r="70" spans="1:5">
      <c r="A70" t="s">
        <v>75</v>
      </c>
      <c r="B70">
        <v>2010</v>
      </c>
      <c r="C70">
        <v>9</v>
      </c>
      <c r="D70">
        <v>31.6</v>
      </c>
      <c r="E70" s="22">
        <v>33.236890528272312</v>
      </c>
    </row>
    <row r="71" spans="1:5">
      <c r="A71" t="s">
        <v>76</v>
      </c>
      <c r="B71">
        <v>2010</v>
      </c>
      <c r="C71">
        <v>10</v>
      </c>
      <c r="D71">
        <v>31.3</v>
      </c>
      <c r="E71" s="22">
        <v>33.746814434271229</v>
      </c>
    </row>
    <row r="72" spans="1:5">
      <c r="A72" t="s">
        <v>77</v>
      </c>
      <c r="B72">
        <v>2010</v>
      </c>
      <c r="C72">
        <v>11</v>
      </c>
      <c r="D72">
        <v>31.7</v>
      </c>
      <c r="E72" s="22">
        <v>27.974669945552932</v>
      </c>
    </row>
    <row r="73" spans="1:5">
      <c r="A73" t="s">
        <v>78</v>
      </c>
      <c r="B73">
        <v>2010</v>
      </c>
      <c r="C73">
        <v>12</v>
      </c>
      <c r="D73">
        <v>31.8</v>
      </c>
      <c r="E73" s="22">
        <v>29.684760309555429</v>
      </c>
    </row>
    <row r="74" spans="1:5">
      <c r="A74" t="s">
        <v>79</v>
      </c>
      <c r="B74">
        <v>2011</v>
      </c>
      <c r="C74">
        <v>1</v>
      </c>
      <c r="D74">
        <v>29.3</v>
      </c>
      <c r="E74" s="22">
        <v>29.16490941197463</v>
      </c>
    </row>
    <row r="75" spans="1:5">
      <c r="A75" t="s">
        <v>80</v>
      </c>
      <c r="B75">
        <v>2011</v>
      </c>
      <c r="C75">
        <v>2</v>
      </c>
      <c r="D75">
        <v>27.9</v>
      </c>
      <c r="E75" s="22">
        <v>29.546220174790843</v>
      </c>
    </row>
    <row r="76" spans="1:5">
      <c r="A76" t="s">
        <v>81</v>
      </c>
      <c r="B76">
        <v>2011</v>
      </c>
      <c r="C76">
        <v>3</v>
      </c>
      <c r="D76">
        <v>28</v>
      </c>
      <c r="E76" s="22">
        <v>30.116621269287215</v>
      </c>
    </row>
    <row r="77" spans="1:5">
      <c r="A77" t="s">
        <v>82</v>
      </c>
      <c r="B77">
        <v>2011</v>
      </c>
      <c r="C77">
        <v>4</v>
      </c>
      <c r="D77">
        <v>28.7</v>
      </c>
      <c r="E77" s="22">
        <v>28.569670373642662</v>
      </c>
    </row>
    <row r="78" spans="1:5">
      <c r="A78" t="s">
        <v>83</v>
      </c>
      <c r="B78">
        <v>2011</v>
      </c>
      <c r="C78">
        <v>5</v>
      </c>
      <c r="D78">
        <v>30.5</v>
      </c>
      <c r="E78" s="22">
        <v>28.248248539767037</v>
      </c>
    </row>
    <row r="79" spans="1:5">
      <c r="A79" t="s">
        <v>84</v>
      </c>
      <c r="B79">
        <v>2011</v>
      </c>
      <c r="C79">
        <v>6</v>
      </c>
      <c r="D79">
        <v>31.3</v>
      </c>
      <c r="E79" s="22">
        <v>32.191107424997355</v>
      </c>
    </row>
    <row r="80" spans="1:5">
      <c r="A80" t="s">
        <v>85</v>
      </c>
      <c r="B80">
        <v>2011</v>
      </c>
      <c r="C80">
        <v>7</v>
      </c>
      <c r="D80">
        <v>29.2</v>
      </c>
      <c r="E80" s="22">
        <v>29.707346645313741</v>
      </c>
    </row>
    <row r="81" spans="1:5">
      <c r="A81" t="s">
        <v>86</v>
      </c>
      <c r="B81">
        <v>2011</v>
      </c>
      <c r="C81">
        <v>8</v>
      </c>
      <c r="D81">
        <v>30.9</v>
      </c>
      <c r="E81" s="22">
        <v>29.29415525353739</v>
      </c>
    </row>
    <row r="82" spans="1:5">
      <c r="A82" t="s">
        <v>87</v>
      </c>
      <c r="B82">
        <v>2011</v>
      </c>
      <c r="C82">
        <v>9</v>
      </c>
      <c r="D82">
        <v>29.1</v>
      </c>
      <c r="E82" s="22">
        <v>29.869405956682535</v>
      </c>
    </row>
    <row r="83" spans="1:5">
      <c r="A83" t="s">
        <v>88</v>
      </c>
      <c r="B83">
        <v>2011</v>
      </c>
      <c r="C83">
        <v>10</v>
      </c>
      <c r="D83">
        <v>27.6</v>
      </c>
      <c r="E83" s="22">
        <v>29.801830637041995</v>
      </c>
    </row>
    <row r="84" spans="1:5">
      <c r="A84" t="s">
        <v>89</v>
      </c>
      <c r="B84">
        <v>2011</v>
      </c>
      <c r="C84">
        <v>11</v>
      </c>
      <c r="D84">
        <v>28.3</v>
      </c>
      <c r="E84" s="22">
        <v>27.87523344365869</v>
      </c>
    </row>
    <row r="85" spans="1:5">
      <c r="A85" t="s">
        <v>90</v>
      </c>
      <c r="B85">
        <v>2011</v>
      </c>
      <c r="C85">
        <v>12</v>
      </c>
      <c r="D85">
        <v>25.8</v>
      </c>
      <c r="E85" s="22">
        <v>28.033685297521103</v>
      </c>
    </row>
    <row r="86" spans="1:5">
      <c r="A86" t="s">
        <v>91</v>
      </c>
      <c r="B86">
        <v>2012</v>
      </c>
      <c r="C86">
        <v>1</v>
      </c>
      <c r="D86">
        <v>25.3</v>
      </c>
      <c r="E86" s="22">
        <v>24.805632472435935</v>
      </c>
    </row>
    <row r="87" spans="1:5">
      <c r="A87" t="s">
        <v>92</v>
      </c>
      <c r="B87">
        <v>2012</v>
      </c>
      <c r="C87">
        <v>2</v>
      </c>
      <c r="D87">
        <v>25.6</v>
      </c>
      <c r="E87" s="22">
        <v>23.378632140644338</v>
      </c>
    </row>
    <row r="88" spans="1:5">
      <c r="A88" t="s">
        <v>93</v>
      </c>
      <c r="B88">
        <v>2012</v>
      </c>
      <c r="C88">
        <v>3</v>
      </c>
      <c r="D88">
        <v>24.1</v>
      </c>
      <c r="E88" s="22">
        <v>25.738064903175296</v>
      </c>
    </row>
    <row r="89" spans="1:5">
      <c r="A89" t="s">
        <v>94</v>
      </c>
      <c r="B89">
        <v>2012</v>
      </c>
      <c r="C89">
        <v>4</v>
      </c>
      <c r="D89">
        <v>25.8</v>
      </c>
      <c r="E89" s="22">
        <v>25.611728352037943</v>
      </c>
    </row>
    <row r="90" spans="1:5">
      <c r="A90" t="s">
        <v>95</v>
      </c>
      <c r="B90">
        <v>2012</v>
      </c>
      <c r="C90">
        <v>5</v>
      </c>
      <c r="D90">
        <v>26.2</v>
      </c>
      <c r="E90" s="22">
        <v>26.370445568185058</v>
      </c>
    </row>
    <row r="91" spans="1:5">
      <c r="A91" t="s">
        <v>96</v>
      </c>
      <c r="B91">
        <v>2012</v>
      </c>
      <c r="C91">
        <v>6</v>
      </c>
      <c r="D91">
        <v>26.6</v>
      </c>
      <c r="E91" s="22">
        <v>28.056561235164146</v>
      </c>
    </row>
    <row r="92" spans="1:5">
      <c r="A92" t="s">
        <v>97</v>
      </c>
      <c r="B92">
        <v>2012</v>
      </c>
      <c r="C92">
        <v>7</v>
      </c>
      <c r="D92">
        <v>26</v>
      </c>
      <c r="E92" s="22">
        <v>24.803805357740519</v>
      </c>
    </row>
    <row r="93" spans="1:5">
      <c r="A93" t="s">
        <v>98</v>
      </c>
      <c r="B93">
        <v>2012</v>
      </c>
      <c r="C93">
        <v>8</v>
      </c>
      <c r="D93">
        <v>26.6</v>
      </c>
      <c r="E93" s="22">
        <v>26.568567300084002</v>
      </c>
    </row>
    <row r="94" spans="1:5">
      <c r="A94" t="s">
        <v>99</v>
      </c>
      <c r="B94">
        <v>2012</v>
      </c>
      <c r="C94">
        <v>9</v>
      </c>
      <c r="D94">
        <v>25.3</v>
      </c>
      <c r="E94" s="22">
        <v>25.621275237776679</v>
      </c>
    </row>
    <row r="95" spans="1:5">
      <c r="A95" t="s">
        <v>100</v>
      </c>
      <c r="B95">
        <v>2012</v>
      </c>
      <c r="C95">
        <v>10</v>
      </c>
      <c r="D95">
        <v>24.9</v>
      </c>
      <c r="E95" s="22">
        <v>24.144768223377909</v>
      </c>
    </row>
    <row r="96" spans="1:5">
      <c r="A96" t="s">
        <v>101</v>
      </c>
      <c r="B96">
        <v>2012</v>
      </c>
      <c r="C96">
        <v>11</v>
      </c>
      <c r="D96">
        <v>24.8</v>
      </c>
      <c r="E96" s="22">
        <v>25.224242169715868</v>
      </c>
    </row>
    <row r="97" spans="1:5">
      <c r="A97" t="s">
        <v>102</v>
      </c>
      <c r="B97">
        <v>2012</v>
      </c>
      <c r="C97">
        <v>12</v>
      </c>
      <c r="D97">
        <v>22.9</v>
      </c>
      <c r="E97" s="22">
        <v>23.508394918849277</v>
      </c>
    </row>
    <row r="98" spans="1:5">
      <c r="A98" t="s">
        <v>103</v>
      </c>
      <c r="B98">
        <v>2013</v>
      </c>
      <c r="C98">
        <v>1</v>
      </c>
      <c r="D98">
        <v>23.2</v>
      </c>
      <c r="E98" s="22">
        <v>22.006066000034838</v>
      </c>
    </row>
    <row r="99" spans="1:5">
      <c r="A99" t="s">
        <v>104</v>
      </c>
      <c r="B99">
        <v>2013</v>
      </c>
      <c r="C99">
        <v>2</v>
      </c>
      <c r="D99">
        <v>20.8</v>
      </c>
      <c r="E99" s="22">
        <v>22.413934532826705</v>
      </c>
    </row>
    <row r="100" spans="1:5">
      <c r="A100" t="s">
        <v>105</v>
      </c>
      <c r="B100">
        <v>2013</v>
      </c>
      <c r="C100">
        <v>3</v>
      </c>
      <c r="D100">
        <v>20.7</v>
      </c>
      <c r="E100" s="22">
        <v>21.002139219018911</v>
      </c>
    </row>
    <row r="101" spans="1:5">
      <c r="A101" t="s">
        <v>106</v>
      </c>
      <c r="B101">
        <v>2013</v>
      </c>
      <c r="C101">
        <v>4</v>
      </c>
      <c r="D101">
        <v>22.4</v>
      </c>
      <c r="E101" s="22">
        <v>21.72941024545791</v>
      </c>
    </row>
    <row r="102" spans="1:5">
      <c r="A102" t="s">
        <v>107</v>
      </c>
      <c r="B102">
        <v>2013</v>
      </c>
      <c r="C102">
        <v>5</v>
      </c>
      <c r="D102">
        <v>23</v>
      </c>
      <c r="E102" s="22">
        <v>23.15231501464303</v>
      </c>
    </row>
    <row r="103" spans="1:5">
      <c r="A103" t="s">
        <v>108</v>
      </c>
      <c r="B103">
        <v>2013</v>
      </c>
      <c r="C103">
        <v>6</v>
      </c>
      <c r="D103">
        <v>23.4</v>
      </c>
      <c r="E103" s="22">
        <v>23.717106361664168</v>
      </c>
    </row>
    <row r="104" spans="1:5">
      <c r="A104" t="s">
        <v>109</v>
      </c>
      <c r="B104">
        <v>2013</v>
      </c>
      <c r="C104">
        <v>7</v>
      </c>
      <c r="D104">
        <v>23.1</v>
      </c>
      <c r="E104" s="22">
        <v>22.535662192144493</v>
      </c>
    </row>
    <row r="105" spans="1:5">
      <c r="A105" t="s">
        <v>110</v>
      </c>
      <c r="B105">
        <v>2013</v>
      </c>
      <c r="C105">
        <v>8</v>
      </c>
      <c r="D105">
        <v>22.6</v>
      </c>
      <c r="E105" s="22">
        <v>23.73900107369149</v>
      </c>
    </row>
    <row r="106" spans="1:5">
      <c r="A106" t="s">
        <v>111</v>
      </c>
      <c r="B106">
        <v>2013</v>
      </c>
      <c r="C106">
        <v>9</v>
      </c>
      <c r="D106">
        <v>21.6</v>
      </c>
      <c r="E106" s="22">
        <v>21.990148393148505</v>
      </c>
    </row>
    <row r="107" spans="1:5">
      <c r="A107" t="s">
        <v>112</v>
      </c>
      <c r="B107">
        <v>2013</v>
      </c>
      <c r="C107">
        <v>10</v>
      </c>
      <c r="D107">
        <v>21.1</v>
      </c>
      <c r="E107" s="22">
        <v>20.762104379763425</v>
      </c>
    </row>
    <row r="108" spans="1:5">
      <c r="A108" t="s">
        <v>113</v>
      </c>
      <c r="B108">
        <v>2013</v>
      </c>
      <c r="C108">
        <v>11</v>
      </c>
      <c r="D108">
        <v>21.3</v>
      </c>
      <c r="E108" s="22">
        <v>21.219351670483793</v>
      </c>
    </row>
    <row r="109" spans="1:5">
      <c r="A109" t="s">
        <v>114</v>
      </c>
      <c r="B109">
        <v>2013</v>
      </c>
      <c r="C109">
        <v>12</v>
      </c>
      <c r="D109">
        <v>20.3</v>
      </c>
      <c r="E109" s="22">
        <v>19.294186259004345</v>
      </c>
    </row>
    <row r="110" spans="1:5">
      <c r="A110" t="s">
        <v>115</v>
      </c>
      <c r="B110">
        <v>2014</v>
      </c>
      <c r="C110">
        <v>1</v>
      </c>
      <c r="D110">
        <v>19.7</v>
      </c>
      <c r="E110" s="22">
        <v>19.922310257337145</v>
      </c>
    </row>
    <row r="111" spans="1:5">
      <c r="A111" t="s">
        <v>116</v>
      </c>
      <c r="B111">
        <v>2014</v>
      </c>
      <c r="C111">
        <v>2</v>
      </c>
      <c r="D111">
        <v>18.5</v>
      </c>
      <c r="E111" s="22">
        <v>18.515187703260512</v>
      </c>
    </row>
    <row r="112" spans="1:5">
      <c r="A112" t="s">
        <v>117</v>
      </c>
      <c r="B112">
        <v>2014</v>
      </c>
      <c r="C112">
        <v>3</v>
      </c>
      <c r="D112">
        <v>17.899999999999999</v>
      </c>
      <c r="E112" s="22">
        <v>17.880569684714935</v>
      </c>
    </row>
    <row r="113" spans="1:5">
      <c r="A113" t="s">
        <v>118</v>
      </c>
      <c r="B113">
        <v>2014</v>
      </c>
      <c r="C113">
        <v>4</v>
      </c>
      <c r="D113">
        <v>19.899999999999999</v>
      </c>
      <c r="E113" s="22">
        <v>19.755501064350522</v>
      </c>
    </row>
    <row r="114" spans="1:5">
      <c r="A114" t="s">
        <v>119</v>
      </c>
      <c r="B114">
        <v>2014</v>
      </c>
      <c r="C114">
        <v>5</v>
      </c>
      <c r="D114">
        <v>20.6</v>
      </c>
      <c r="E114" s="22">
        <v>20.390351021696656</v>
      </c>
    </row>
    <row r="115" spans="1:5">
      <c r="A115" t="s">
        <v>120</v>
      </c>
      <c r="B115">
        <v>2014</v>
      </c>
      <c r="C115">
        <v>6</v>
      </c>
      <c r="D115">
        <v>20.9</v>
      </c>
      <c r="E115" s="22">
        <v>21.021110825606257</v>
      </c>
    </row>
    <row r="116" spans="1:5">
      <c r="A116" t="s">
        <v>121</v>
      </c>
      <c r="B116">
        <v>2014</v>
      </c>
      <c r="C116">
        <v>7</v>
      </c>
      <c r="D116">
        <v>20.3</v>
      </c>
      <c r="E116" s="22">
        <v>20.668783999835114</v>
      </c>
    </row>
    <row r="117" spans="1:5">
      <c r="A117" t="s">
        <v>122</v>
      </c>
      <c r="B117">
        <v>2014</v>
      </c>
      <c r="C117">
        <v>8</v>
      </c>
      <c r="D117">
        <v>21.2</v>
      </c>
      <c r="E117" s="22">
        <v>20.324914017697182</v>
      </c>
    </row>
    <row r="118" spans="1:5">
      <c r="A118" t="s">
        <v>123</v>
      </c>
      <c r="B118">
        <v>2014</v>
      </c>
      <c r="C118">
        <v>9</v>
      </c>
      <c r="D118">
        <v>19.8</v>
      </c>
      <c r="E118" s="22">
        <v>19.654519594642487</v>
      </c>
    </row>
    <row r="119" spans="1:5">
      <c r="A119" t="s">
        <v>124</v>
      </c>
      <c r="B119">
        <v>2014</v>
      </c>
      <c r="C119">
        <v>10</v>
      </c>
      <c r="D119">
        <v>19.8</v>
      </c>
      <c r="E119" s="22">
        <v>19.593258455144376</v>
      </c>
    </row>
    <row r="120" spans="1:5">
      <c r="A120" t="s">
        <v>125</v>
      </c>
      <c r="B120">
        <v>2014</v>
      </c>
      <c r="C120">
        <v>11</v>
      </c>
      <c r="D120">
        <v>19.7</v>
      </c>
      <c r="E120" s="22">
        <v>19.773279187846029</v>
      </c>
    </row>
    <row r="121" spans="1:5">
      <c r="A121" t="s">
        <v>126</v>
      </c>
      <c r="B121">
        <v>2014</v>
      </c>
      <c r="C121">
        <v>12</v>
      </c>
      <c r="D121">
        <v>19.399999999999999</v>
      </c>
      <c r="E121" s="22">
        <v>18.658219028799913</v>
      </c>
    </row>
    <row r="122" spans="1:5">
      <c r="A122" t="s">
        <v>127</v>
      </c>
      <c r="B122">
        <v>2015</v>
      </c>
      <c r="C122">
        <v>1</v>
      </c>
      <c r="D122">
        <v>23.2</v>
      </c>
      <c r="E122" s="22">
        <v>18.663444523533798</v>
      </c>
    </row>
    <row r="123" spans="1:5">
      <c r="A123" t="s">
        <v>128</v>
      </c>
      <c r="B123">
        <v>2015</v>
      </c>
      <c r="C123">
        <v>2</v>
      </c>
      <c r="D123">
        <v>21.6</v>
      </c>
      <c r="E123" s="22">
        <v>19.619455333992043</v>
      </c>
    </row>
    <row r="124" spans="1:5">
      <c r="A124" t="s">
        <v>129</v>
      </c>
      <c r="B124">
        <v>2015</v>
      </c>
      <c r="C124">
        <v>3</v>
      </c>
      <c r="D124">
        <v>22.5</v>
      </c>
      <c r="E124" s="22">
        <v>21.274776438450793</v>
      </c>
    </row>
    <row r="125" spans="1:5">
      <c r="A125" t="s">
        <v>130</v>
      </c>
      <c r="B125">
        <v>2015</v>
      </c>
      <c r="C125">
        <v>4</v>
      </c>
      <c r="D125">
        <v>23.2</v>
      </c>
      <c r="E125" s="22">
        <v>23.814946986431302</v>
      </c>
    </row>
    <row r="126" spans="1:5">
      <c r="A126" t="s">
        <v>131</v>
      </c>
      <c r="B126">
        <v>2015</v>
      </c>
      <c r="C126">
        <v>5</v>
      </c>
      <c r="D126">
        <v>23.5</v>
      </c>
      <c r="E126" s="22">
        <v>24.601816343317118</v>
      </c>
    </row>
    <row r="127" spans="1:5">
      <c r="A127" t="s">
        <v>132</v>
      </c>
      <c r="B127">
        <v>2015</v>
      </c>
      <c r="C127">
        <v>6</v>
      </c>
      <c r="D127">
        <v>24.3</v>
      </c>
      <c r="E127" s="22">
        <v>24.12255201391616</v>
      </c>
    </row>
    <row r="128" spans="1:5">
      <c r="A128" t="s">
        <v>133</v>
      </c>
      <c r="B128">
        <v>2015</v>
      </c>
      <c r="C128">
        <v>7</v>
      </c>
      <c r="D128">
        <v>23.6</v>
      </c>
      <c r="E128" s="22">
        <v>23.643287684515208</v>
      </c>
    </row>
    <row r="129" spans="1:5">
      <c r="A129" t="s">
        <v>134</v>
      </c>
      <c r="B129">
        <v>2015</v>
      </c>
      <c r="C129">
        <v>8</v>
      </c>
      <c r="D129">
        <v>24.4</v>
      </c>
      <c r="E129" s="22">
        <v>24.301042094099294</v>
      </c>
    </row>
    <row r="130" spans="1:5">
      <c r="A130" t="s">
        <v>135</v>
      </c>
      <c r="B130">
        <v>2015</v>
      </c>
      <c r="C130">
        <v>9</v>
      </c>
      <c r="D130">
        <v>23.5</v>
      </c>
      <c r="E130" s="22">
        <v>23.062072334546659</v>
      </c>
    </row>
    <row r="131" spans="1:5">
      <c r="A131" t="s">
        <v>136</v>
      </c>
      <c r="B131">
        <v>2015</v>
      </c>
      <c r="C131">
        <v>10</v>
      </c>
      <c r="D131">
        <v>23.4</v>
      </c>
      <c r="E131" s="22">
        <v>23.260550027113979</v>
      </c>
    </row>
    <row r="132" spans="1:5">
      <c r="A132" t="s">
        <v>137</v>
      </c>
      <c r="B132">
        <v>2015</v>
      </c>
      <c r="C132">
        <v>11</v>
      </c>
      <c r="D132">
        <v>22.9</v>
      </c>
      <c r="E132" s="22">
        <v>23.465558599574827</v>
      </c>
    </row>
    <row r="133" spans="1:5">
      <c r="A133" t="s">
        <v>138</v>
      </c>
      <c r="B133">
        <v>2015</v>
      </c>
      <c r="C133">
        <v>12</v>
      </c>
      <c r="D133">
        <v>22.9</v>
      </c>
      <c r="E133" s="22">
        <v>22.754461135900822</v>
      </c>
    </row>
    <row r="134" spans="1:5">
      <c r="A134" t="s">
        <v>139</v>
      </c>
      <c r="B134">
        <v>2016</v>
      </c>
      <c r="C134">
        <v>1</v>
      </c>
      <c r="D134">
        <v>23.4</v>
      </c>
      <c r="E134" s="22">
        <v>25.297764089311144</v>
      </c>
    </row>
    <row r="135" spans="1:5">
      <c r="A135" t="s">
        <v>140</v>
      </c>
      <c r="B135">
        <v>2016</v>
      </c>
      <c r="C135">
        <v>2</v>
      </c>
      <c r="D135">
        <v>22.5</v>
      </c>
      <c r="E135" s="22">
        <v>23.076810773636424</v>
      </c>
    </row>
    <row r="136" spans="1:5">
      <c r="A136" t="s">
        <v>141</v>
      </c>
      <c r="B136">
        <v>2016</v>
      </c>
      <c r="C136">
        <v>3</v>
      </c>
      <c r="D136">
        <v>21.5</v>
      </c>
      <c r="E136" s="22">
        <v>22.773818668873684</v>
      </c>
    </row>
    <row r="137" spans="1:5">
      <c r="A137" t="s">
        <v>142</v>
      </c>
      <c r="B137">
        <v>2016</v>
      </c>
      <c r="C137">
        <v>4</v>
      </c>
      <c r="D137">
        <v>23</v>
      </c>
      <c r="E137" s="22">
        <v>23.432893074289467</v>
      </c>
    </row>
    <row r="138" spans="1:5">
      <c r="A138" t="s">
        <v>143</v>
      </c>
      <c r="B138">
        <v>2016</v>
      </c>
      <c r="C138">
        <v>5</v>
      </c>
      <c r="D138">
        <v>24.1</v>
      </c>
      <c r="E138" s="22">
        <v>23.292307990903296</v>
      </c>
    </row>
    <row r="139" spans="1:5">
      <c r="A139" t="s">
        <v>144</v>
      </c>
      <c r="B139">
        <v>2016</v>
      </c>
      <c r="C139">
        <v>6</v>
      </c>
      <c r="D139">
        <v>24.4</v>
      </c>
      <c r="E139" s="22">
        <v>24.50547423142649</v>
      </c>
    </row>
    <row r="140" spans="1:5">
      <c r="A140" t="s">
        <v>145</v>
      </c>
      <c r="B140">
        <v>2016</v>
      </c>
      <c r="C140">
        <v>7</v>
      </c>
      <c r="D140">
        <v>23.2</v>
      </c>
      <c r="E140" s="22">
        <v>24.015656828268423</v>
      </c>
    </row>
    <row r="141" spans="1:5">
      <c r="A141" t="s">
        <v>146</v>
      </c>
      <c r="B141">
        <v>2016</v>
      </c>
      <c r="C141">
        <v>8</v>
      </c>
      <c r="D141">
        <v>25</v>
      </c>
      <c r="E141" s="22">
        <v>24.403537504583774</v>
      </c>
    </row>
    <row r="142" spans="1:5">
      <c r="A142" t="s">
        <v>147</v>
      </c>
      <c r="B142">
        <v>2016</v>
      </c>
      <c r="C142">
        <v>9</v>
      </c>
      <c r="D142">
        <v>23</v>
      </c>
      <c r="E142" s="22">
        <v>23.558150029477154</v>
      </c>
    </row>
    <row r="143" spans="1:5">
      <c r="A143" t="s">
        <v>148</v>
      </c>
      <c r="B143">
        <v>2016</v>
      </c>
      <c r="C143">
        <v>10</v>
      </c>
      <c r="D143">
        <v>23.9</v>
      </c>
      <c r="E143" s="22">
        <v>23.525808419643397</v>
      </c>
    </row>
    <row r="144" spans="1:5">
      <c r="A144" t="s">
        <v>149</v>
      </c>
      <c r="B144">
        <v>2016</v>
      </c>
      <c r="C144">
        <v>11</v>
      </c>
      <c r="D144">
        <v>23.6</v>
      </c>
      <c r="E144" s="22">
        <v>23.113162774480923</v>
      </c>
    </row>
    <row r="145" spans="1:5">
      <c r="A145" t="s">
        <v>150</v>
      </c>
      <c r="B145">
        <v>2016</v>
      </c>
      <c r="C145">
        <v>12</v>
      </c>
      <c r="D145">
        <v>22.4</v>
      </c>
      <c r="E145" s="22">
        <v>23.572295321691193</v>
      </c>
    </row>
    <row r="146" spans="1:5">
      <c r="A146" t="s">
        <v>151</v>
      </c>
      <c r="B146">
        <v>2017</v>
      </c>
      <c r="C146">
        <v>1</v>
      </c>
      <c r="D146">
        <v>22.5</v>
      </c>
      <c r="E146" s="22">
        <v>24.461060985114052</v>
      </c>
    </row>
    <row r="147" spans="1:5">
      <c r="A147" t="s">
        <v>152</v>
      </c>
      <c r="B147">
        <v>2017</v>
      </c>
      <c r="C147">
        <v>2</v>
      </c>
      <c r="D147">
        <v>22</v>
      </c>
      <c r="E147" s="22">
        <v>23.061660500465347</v>
      </c>
    </row>
    <row r="148" spans="1:5">
      <c r="A148" t="s">
        <v>153</v>
      </c>
      <c r="B148">
        <v>2017</v>
      </c>
      <c r="C148">
        <v>3</v>
      </c>
      <c r="D148">
        <v>22.8</v>
      </c>
      <c r="E148" s="22">
        <v>22.77818466563696</v>
      </c>
    </row>
    <row r="149" spans="1:5">
      <c r="A149" t="s">
        <v>154</v>
      </c>
      <c r="B149">
        <v>2017</v>
      </c>
      <c r="C149">
        <v>4</v>
      </c>
      <c r="D149">
        <v>20.399999999999999</v>
      </c>
      <c r="E149" s="22">
        <v>23.981951917940744</v>
      </c>
    </row>
    <row r="150" spans="1:5">
      <c r="A150" t="s">
        <v>155</v>
      </c>
      <c r="B150">
        <v>2017</v>
      </c>
      <c r="C150">
        <v>5</v>
      </c>
      <c r="D150">
        <v>25.5</v>
      </c>
      <c r="E150" s="22">
        <v>24.913769740495365</v>
      </c>
    </row>
    <row r="151" spans="1:5">
      <c r="A151" t="s">
        <v>156</v>
      </c>
      <c r="B151">
        <v>2017</v>
      </c>
      <c r="C151">
        <v>6</v>
      </c>
      <c r="D151">
        <v>21.5</v>
      </c>
      <c r="E151" s="22">
        <v>25.347747492266922</v>
      </c>
    </row>
    <row r="152" spans="1:5">
      <c r="A152" t="s">
        <v>157</v>
      </c>
      <c r="B152">
        <v>2017</v>
      </c>
      <c r="C152">
        <v>7</v>
      </c>
      <c r="D152">
        <v>24.7</v>
      </c>
      <c r="E152" s="22">
        <v>24.315941071227783</v>
      </c>
    </row>
    <row r="153" spans="1:5">
      <c r="A153" t="s">
        <v>158</v>
      </c>
      <c r="B153">
        <v>2017</v>
      </c>
      <c r="C153">
        <v>8</v>
      </c>
      <c r="D153">
        <v>26.2</v>
      </c>
      <c r="E153" s="22">
        <v>25.841426586427406</v>
      </c>
    </row>
    <row r="154" spans="1:5">
      <c r="A154" t="s">
        <v>159</v>
      </c>
      <c r="B154">
        <v>2017</v>
      </c>
      <c r="C154">
        <v>9</v>
      </c>
      <c r="D154">
        <v>21.2</v>
      </c>
      <c r="E154" s="22">
        <v>24.171084499997573</v>
      </c>
    </row>
    <row r="155" spans="1:5">
      <c r="A155" t="s">
        <v>160</v>
      </c>
      <c r="B155">
        <v>2017</v>
      </c>
      <c r="C155">
        <v>10</v>
      </c>
      <c r="D155">
        <v>23.7</v>
      </c>
      <c r="E155" s="22">
        <v>24.800986657630251</v>
      </c>
    </row>
    <row r="156" spans="1:5">
      <c r="A156" t="s">
        <v>161</v>
      </c>
      <c r="B156">
        <v>2017</v>
      </c>
      <c r="C156">
        <v>11</v>
      </c>
      <c r="D156">
        <v>23.5</v>
      </c>
      <c r="E156" s="22">
        <v>24.460009780618623</v>
      </c>
    </row>
    <row r="157" spans="1:5" ht="16" thickBot="1">
      <c r="A157" t="s">
        <v>162</v>
      </c>
      <c r="B157">
        <v>2017</v>
      </c>
      <c r="C157">
        <v>12</v>
      </c>
      <c r="D157">
        <v>22.4</v>
      </c>
      <c r="E157" s="21">
        <v>23.614456577551493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57"/>
  <sheetViews>
    <sheetView workbookViewId="0">
      <selection activeCell="E19" sqref="E19"/>
    </sheetView>
  </sheetViews>
  <sheetFormatPr baseColWidth="10" defaultColWidth="8.83203125" defaultRowHeight="15"/>
  <cols>
    <col min="2" max="2" width="11.5" bestFit="1" customWidth="1"/>
  </cols>
  <sheetData>
    <row r="1" spans="1:2">
      <c r="A1" t="s">
        <v>163</v>
      </c>
      <c r="B1" t="s">
        <v>4</v>
      </c>
    </row>
    <row r="2" spans="1:2">
      <c r="A2">
        <v>1</v>
      </c>
      <c r="B2">
        <v>447.8</v>
      </c>
    </row>
    <row r="3" spans="1:2">
      <c r="A3">
        <f>A2+1</f>
        <v>2</v>
      </c>
      <c r="B3">
        <v>437.1</v>
      </c>
    </row>
    <row r="4" spans="1:2">
      <c r="A4">
        <f t="shared" ref="A4:A67" si="0">A3+1</f>
        <v>3</v>
      </c>
      <c r="B4">
        <v>479.7</v>
      </c>
    </row>
    <row r="5" spans="1:2">
      <c r="A5">
        <f t="shared" si="0"/>
        <v>4</v>
      </c>
      <c r="B5">
        <v>533.6</v>
      </c>
    </row>
    <row r="6" spans="1:2">
      <c r="A6">
        <f t="shared" si="0"/>
        <v>5</v>
      </c>
      <c r="B6">
        <v>535</v>
      </c>
    </row>
    <row r="7" spans="1:2">
      <c r="A7">
        <f t="shared" si="0"/>
        <v>6</v>
      </c>
      <c r="B7">
        <v>560.20000000000005</v>
      </c>
    </row>
    <row r="8" spans="1:2">
      <c r="A8">
        <f t="shared" si="0"/>
        <v>7</v>
      </c>
      <c r="B8">
        <v>537.4</v>
      </c>
    </row>
    <row r="9" spans="1:2">
      <c r="A9">
        <f t="shared" si="0"/>
        <v>8</v>
      </c>
      <c r="B9">
        <v>528.79999999999995</v>
      </c>
    </row>
    <row r="10" spans="1:2">
      <c r="A10">
        <f t="shared" si="0"/>
        <v>9</v>
      </c>
      <c r="B10">
        <v>516.29999999999995</v>
      </c>
    </row>
    <row r="11" spans="1:2">
      <c r="A11">
        <f t="shared" si="0"/>
        <v>10</v>
      </c>
      <c r="B11">
        <v>520</v>
      </c>
    </row>
    <row r="12" spans="1:2">
      <c r="A12">
        <f t="shared" si="0"/>
        <v>11</v>
      </c>
      <c r="B12">
        <v>518.6</v>
      </c>
    </row>
    <row r="13" spans="1:2">
      <c r="A13">
        <f t="shared" si="0"/>
        <v>12</v>
      </c>
      <c r="B13">
        <v>478</v>
      </c>
    </row>
    <row r="14" spans="1:2">
      <c r="A14">
        <f t="shared" si="0"/>
        <v>13</v>
      </c>
      <c r="B14">
        <v>465.5</v>
      </c>
    </row>
    <row r="15" spans="1:2">
      <c r="A15">
        <f t="shared" si="0"/>
        <v>14</v>
      </c>
      <c r="B15">
        <v>452.3</v>
      </c>
    </row>
    <row r="16" spans="1:2">
      <c r="A16">
        <f t="shared" si="0"/>
        <v>15</v>
      </c>
      <c r="B16">
        <v>470</v>
      </c>
    </row>
    <row r="17" spans="1:2">
      <c r="A17">
        <f t="shared" si="0"/>
        <v>16</v>
      </c>
      <c r="B17">
        <v>511.3</v>
      </c>
    </row>
    <row r="18" spans="1:2">
      <c r="A18">
        <f t="shared" si="0"/>
        <v>17</v>
      </c>
      <c r="B18">
        <v>522</v>
      </c>
    </row>
    <row r="19" spans="1:2">
      <c r="A19">
        <f t="shared" si="0"/>
        <v>18</v>
      </c>
      <c r="B19">
        <v>533.20000000000005</v>
      </c>
    </row>
    <row r="20" spans="1:2">
      <c r="A20">
        <f t="shared" si="0"/>
        <v>19</v>
      </c>
      <c r="B20">
        <v>513.20000000000005</v>
      </c>
    </row>
    <row r="21" spans="1:2">
      <c r="A21">
        <f t="shared" si="0"/>
        <v>20</v>
      </c>
      <c r="B21">
        <v>544.20000000000005</v>
      </c>
    </row>
    <row r="22" spans="1:2">
      <c r="A22">
        <f t="shared" si="0"/>
        <v>21</v>
      </c>
      <c r="B22">
        <v>541.4</v>
      </c>
    </row>
    <row r="23" spans="1:2">
      <c r="A23">
        <f t="shared" si="0"/>
        <v>22</v>
      </c>
      <c r="B23">
        <v>525.70000000000005</v>
      </c>
    </row>
    <row r="24" spans="1:2">
      <c r="A24">
        <f t="shared" si="0"/>
        <v>23</v>
      </c>
      <c r="B24">
        <v>535.20000000000005</v>
      </c>
    </row>
    <row r="25" spans="1:2">
      <c r="A25">
        <f t="shared" si="0"/>
        <v>24</v>
      </c>
      <c r="B25">
        <v>495</v>
      </c>
    </row>
    <row r="26" spans="1:2">
      <c r="A26">
        <f t="shared" si="0"/>
        <v>25</v>
      </c>
      <c r="B26">
        <v>473.6</v>
      </c>
    </row>
    <row r="27" spans="1:2">
      <c r="A27">
        <f t="shared" si="0"/>
        <v>26</v>
      </c>
      <c r="B27">
        <v>444.4</v>
      </c>
    </row>
    <row r="28" spans="1:2">
      <c r="A28">
        <f t="shared" si="0"/>
        <v>27</v>
      </c>
      <c r="B28">
        <v>451.8</v>
      </c>
    </row>
    <row r="29" spans="1:2">
      <c r="A29">
        <f t="shared" si="0"/>
        <v>28</v>
      </c>
      <c r="B29">
        <v>511</v>
      </c>
    </row>
    <row r="30" spans="1:2">
      <c r="A30">
        <f t="shared" si="0"/>
        <v>29</v>
      </c>
      <c r="B30">
        <v>542.79999999999995</v>
      </c>
    </row>
    <row r="31" spans="1:2">
      <c r="A31">
        <f t="shared" si="0"/>
        <v>30</v>
      </c>
      <c r="B31">
        <v>556</v>
      </c>
    </row>
    <row r="32" spans="1:2">
      <c r="A32">
        <f t="shared" si="0"/>
        <v>31</v>
      </c>
      <c r="B32">
        <v>563.1</v>
      </c>
    </row>
    <row r="33" spans="1:2">
      <c r="A33">
        <f t="shared" si="0"/>
        <v>32</v>
      </c>
      <c r="B33">
        <v>555</v>
      </c>
    </row>
    <row r="34" spans="1:2">
      <c r="A34">
        <f t="shared" si="0"/>
        <v>33</v>
      </c>
      <c r="B34">
        <v>513.6</v>
      </c>
    </row>
    <row r="35" spans="1:2">
      <c r="A35">
        <f t="shared" si="0"/>
        <v>34</v>
      </c>
      <c r="B35">
        <v>514.70000000000005</v>
      </c>
    </row>
    <row r="36" spans="1:2">
      <c r="A36">
        <f t="shared" si="0"/>
        <v>35</v>
      </c>
      <c r="B36">
        <v>547.9</v>
      </c>
    </row>
    <row r="37" spans="1:2">
      <c r="A37">
        <f t="shared" si="0"/>
        <v>36</v>
      </c>
      <c r="B37">
        <v>489.9</v>
      </c>
    </row>
    <row r="38" spans="1:2">
      <c r="A38">
        <f t="shared" si="0"/>
        <v>37</v>
      </c>
      <c r="B38">
        <v>467.1</v>
      </c>
    </row>
    <row r="39" spans="1:2">
      <c r="A39">
        <f t="shared" si="0"/>
        <v>38</v>
      </c>
      <c r="B39">
        <v>472.7</v>
      </c>
    </row>
    <row r="40" spans="1:2">
      <c r="A40">
        <f t="shared" si="0"/>
        <v>39</v>
      </c>
      <c r="B40">
        <v>449.5</v>
      </c>
    </row>
    <row r="41" spans="1:2">
      <c r="A41">
        <f t="shared" si="0"/>
        <v>40</v>
      </c>
      <c r="B41">
        <v>491.5</v>
      </c>
    </row>
    <row r="42" spans="1:2">
      <c r="A42">
        <f t="shared" si="0"/>
        <v>41</v>
      </c>
      <c r="B42">
        <v>544</v>
      </c>
    </row>
    <row r="43" spans="1:2">
      <c r="A43">
        <f t="shared" si="0"/>
        <v>42</v>
      </c>
      <c r="B43">
        <v>572.5</v>
      </c>
    </row>
    <row r="44" spans="1:2">
      <c r="A44">
        <f t="shared" si="0"/>
        <v>43</v>
      </c>
      <c r="B44">
        <v>525.79999999999995</v>
      </c>
    </row>
    <row r="45" spans="1:2">
      <c r="A45">
        <f t="shared" si="0"/>
        <v>44</v>
      </c>
      <c r="B45">
        <v>510.1</v>
      </c>
    </row>
    <row r="46" spans="1:2">
      <c r="A46">
        <f t="shared" si="0"/>
        <v>45</v>
      </c>
      <c r="B46">
        <v>519.1</v>
      </c>
    </row>
    <row r="47" spans="1:2">
      <c r="A47">
        <f t="shared" si="0"/>
        <v>46</v>
      </c>
      <c r="B47">
        <v>522.1</v>
      </c>
    </row>
    <row r="48" spans="1:2">
      <c r="A48">
        <f t="shared" si="0"/>
        <v>47</v>
      </c>
      <c r="B48">
        <v>535.6</v>
      </c>
    </row>
    <row r="49" spans="1:2">
      <c r="A49">
        <f t="shared" si="0"/>
        <v>48</v>
      </c>
      <c r="B49">
        <v>484</v>
      </c>
    </row>
    <row r="50" spans="1:2">
      <c r="A50">
        <f t="shared" si="0"/>
        <v>49</v>
      </c>
      <c r="B50">
        <v>476.4</v>
      </c>
    </row>
    <row r="51" spans="1:2">
      <c r="A51">
        <f t="shared" si="0"/>
        <v>50</v>
      </c>
      <c r="B51">
        <v>460.5</v>
      </c>
    </row>
    <row r="52" spans="1:2">
      <c r="A52">
        <f t="shared" si="0"/>
        <v>51</v>
      </c>
      <c r="B52">
        <v>461.2</v>
      </c>
    </row>
    <row r="53" spans="1:2">
      <c r="A53">
        <f t="shared" si="0"/>
        <v>52</v>
      </c>
      <c r="B53">
        <v>510.5</v>
      </c>
    </row>
    <row r="54" spans="1:2">
      <c r="A54">
        <f t="shared" si="0"/>
        <v>53</v>
      </c>
      <c r="B54">
        <v>556.6</v>
      </c>
    </row>
    <row r="55" spans="1:2">
      <c r="A55">
        <f t="shared" si="0"/>
        <v>54</v>
      </c>
      <c r="B55">
        <v>609.5</v>
      </c>
    </row>
    <row r="56" spans="1:2">
      <c r="A56">
        <f t="shared" si="0"/>
        <v>55</v>
      </c>
      <c r="B56">
        <v>592.70000000000005</v>
      </c>
    </row>
    <row r="57" spans="1:2">
      <c r="A57">
        <f t="shared" si="0"/>
        <v>56</v>
      </c>
      <c r="B57">
        <v>572.1</v>
      </c>
    </row>
    <row r="58" spans="1:2">
      <c r="A58">
        <f t="shared" si="0"/>
        <v>57</v>
      </c>
      <c r="B58">
        <v>554.9</v>
      </c>
    </row>
    <row r="59" spans="1:2">
      <c r="A59">
        <f t="shared" si="0"/>
        <v>58</v>
      </c>
      <c r="B59">
        <v>557.4</v>
      </c>
    </row>
    <row r="60" spans="1:2">
      <c r="A60">
        <f t="shared" si="0"/>
        <v>59</v>
      </c>
      <c r="B60">
        <v>562.9</v>
      </c>
    </row>
    <row r="61" spans="1:2">
      <c r="A61">
        <f t="shared" si="0"/>
        <v>60</v>
      </c>
      <c r="B61">
        <v>516</v>
      </c>
    </row>
    <row r="62" spans="1:2">
      <c r="A62">
        <f t="shared" si="0"/>
        <v>61</v>
      </c>
      <c r="B62">
        <v>490.6</v>
      </c>
    </row>
    <row r="63" spans="1:2">
      <c r="A63">
        <f t="shared" si="0"/>
        <v>62</v>
      </c>
      <c r="B63">
        <v>503.9</v>
      </c>
    </row>
    <row r="64" spans="1:2">
      <c r="A64">
        <f t="shared" si="0"/>
        <v>63</v>
      </c>
      <c r="B64">
        <v>547.6</v>
      </c>
    </row>
    <row r="65" spans="1:2">
      <c r="A65">
        <f t="shared" si="0"/>
        <v>64</v>
      </c>
      <c r="B65">
        <v>585</v>
      </c>
    </row>
    <row r="66" spans="1:2">
      <c r="A66">
        <f t="shared" si="0"/>
        <v>65</v>
      </c>
      <c r="B66">
        <v>573.5</v>
      </c>
    </row>
    <row r="67" spans="1:2">
      <c r="A67">
        <f t="shared" si="0"/>
        <v>66</v>
      </c>
      <c r="B67">
        <v>606</v>
      </c>
    </row>
    <row r="68" spans="1:2">
      <c r="A68">
        <f t="shared" ref="A68:A131" si="1">A67+1</f>
        <v>67</v>
      </c>
      <c r="B68">
        <v>575.20000000000005</v>
      </c>
    </row>
    <row r="69" spans="1:2">
      <c r="A69">
        <f t="shared" si="1"/>
        <v>68</v>
      </c>
      <c r="B69">
        <v>539.70000000000005</v>
      </c>
    </row>
    <row r="70" spans="1:2">
      <c r="A70">
        <f t="shared" si="1"/>
        <v>69</v>
      </c>
      <c r="B70">
        <v>539.20000000000005</v>
      </c>
    </row>
    <row r="71" spans="1:2">
      <c r="A71">
        <f t="shared" si="1"/>
        <v>70</v>
      </c>
      <c r="B71">
        <v>557.79999999999995</v>
      </c>
    </row>
    <row r="72" spans="1:2">
      <c r="A72">
        <f t="shared" si="1"/>
        <v>71</v>
      </c>
      <c r="B72">
        <v>581.4</v>
      </c>
    </row>
    <row r="73" spans="1:2">
      <c r="A73">
        <f t="shared" si="1"/>
        <v>72</v>
      </c>
      <c r="B73">
        <v>536.20000000000005</v>
      </c>
    </row>
    <row r="74" spans="1:2">
      <c r="A74">
        <f t="shared" si="1"/>
        <v>73</v>
      </c>
      <c r="B74">
        <v>499.3</v>
      </c>
    </row>
    <row r="75" spans="1:2">
      <c r="A75">
        <f t="shared" si="1"/>
        <v>74</v>
      </c>
      <c r="B75">
        <v>461.7</v>
      </c>
    </row>
    <row r="76" spans="1:2">
      <c r="A76">
        <f t="shared" si="1"/>
        <v>75</v>
      </c>
      <c r="B76">
        <v>465.7</v>
      </c>
    </row>
    <row r="77" spans="1:2">
      <c r="A77">
        <f t="shared" si="1"/>
        <v>76</v>
      </c>
      <c r="B77">
        <v>524.4</v>
      </c>
    </row>
    <row r="78" spans="1:2">
      <c r="A78">
        <f t="shared" si="1"/>
        <v>77</v>
      </c>
      <c r="B78">
        <v>565.1</v>
      </c>
    </row>
    <row r="79" spans="1:2">
      <c r="A79">
        <f t="shared" si="1"/>
        <v>78</v>
      </c>
      <c r="B79">
        <v>602.79999999999995</v>
      </c>
    </row>
    <row r="80" spans="1:2">
      <c r="A80">
        <f t="shared" si="1"/>
        <v>79</v>
      </c>
      <c r="B80">
        <v>586</v>
      </c>
    </row>
    <row r="81" spans="1:2">
      <c r="A81">
        <f t="shared" si="1"/>
        <v>80</v>
      </c>
      <c r="B81">
        <v>590.6</v>
      </c>
    </row>
    <row r="82" spans="1:2">
      <c r="A82">
        <f t="shared" si="1"/>
        <v>81</v>
      </c>
      <c r="B82">
        <v>582.6</v>
      </c>
    </row>
    <row r="83" spans="1:2">
      <c r="A83">
        <f t="shared" si="1"/>
        <v>82</v>
      </c>
      <c r="B83">
        <v>557.70000000000005</v>
      </c>
    </row>
    <row r="84" spans="1:2">
      <c r="A84">
        <f t="shared" si="1"/>
        <v>83</v>
      </c>
      <c r="B84">
        <v>541.1</v>
      </c>
    </row>
    <row r="85" spans="1:2">
      <c r="A85">
        <f t="shared" si="1"/>
        <v>84</v>
      </c>
      <c r="B85">
        <v>505.9</v>
      </c>
    </row>
    <row r="86" spans="1:2">
      <c r="A86">
        <f t="shared" si="1"/>
        <v>85</v>
      </c>
      <c r="B86">
        <v>503.3</v>
      </c>
    </row>
    <row r="87" spans="1:2">
      <c r="A87">
        <f t="shared" si="1"/>
        <v>86</v>
      </c>
      <c r="B87">
        <v>505</v>
      </c>
    </row>
    <row r="88" spans="1:2">
      <c r="A88">
        <f t="shared" si="1"/>
        <v>87</v>
      </c>
      <c r="B88">
        <v>508.6</v>
      </c>
    </row>
    <row r="89" spans="1:2">
      <c r="A89">
        <f t="shared" si="1"/>
        <v>88</v>
      </c>
      <c r="B89">
        <v>540.9</v>
      </c>
    </row>
    <row r="90" spans="1:2">
      <c r="A90">
        <f t="shared" si="1"/>
        <v>89</v>
      </c>
      <c r="B90">
        <v>557.1</v>
      </c>
    </row>
    <row r="91" spans="1:2">
      <c r="A91">
        <f t="shared" si="1"/>
        <v>90</v>
      </c>
      <c r="B91">
        <v>607.9</v>
      </c>
    </row>
    <row r="92" spans="1:2">
      <c r="A92">
        <f t="shared" si="1"/>
        <v>91</v>
      </c>
      <c r="B92">
        <v>594.79999999999995</v>
      </c>
    </row>
    <row r="93" spans="1:2">
      <c r="A93">
        <f t="shared" si="1"/>
        <v>92</v>
      </c>
      <c r="B93">
        <v>585.6</v>
      </c>
    </row>
    <row r="94" spans="1:2">
      <c r="A94">
        <f t="shared" si="1"/>
        <v>93</v>
      </c>
      <c r="B94">
        <v>573.20000000000005</v>
      </c>
    </row>
    <row r="95" spans="1:2">
      <c r="A95">
        <f t="shared" si="1"/>
        <v>94</v>
      </c>
      <c r="B95">
        <v>560.20000000000005</v>
      </c>
    </row>
    <row r="96" spans="1:2">
      <c r="A96">
        <f t="shared" si="1"/>
        <v>95</v>
      </c>
      <c r="B96">
        <v>568.1</v>
      </c>
    </row>
    <row r="97" spans="1:2">
      <c r="A97">
        <f t="shared" si="1"/>
        <v>96</v>
      </c>
      <c r="B97">
        <v>524.79999999999995</v>
      </c>
    </row>
    <row r="98" spans="1:2">
      <c r="A98">
        <f t="shared" si="1"/>
        <v>97</v>
      </c>
      <c r="B98">
        <v>513.1</v>
      </c>
    </row>
    <row r="99" spans="1:2">
      <c r="A99">
        <f t="shared" si="1"/>
        <v>98</v>
      </c>
      <c r="B99">
        <v>498</v>
      </c>
    </row>
    <row r="100" spans="1:2">
      <c r="A100">
        <f t="shared" si="1"/>
        <v>99</v>
      </c>
      <c r="B100">
        <v>498.3</v>
      </c>
    </row>
    <row r="101" spans="1:2">
      <c r="A101">
        <f t="shared" si="1"/>
        <v>100</v>
      </c>
      <c r="B101">
        <v>568.29999999999995</v>
      </c>
    </row>
    <row r="102" spans="1:2">
      <c r="A102">
        <f t="shared" si="1"/>
        <v>101</v>
      </c>
      <c r="B102">
        <v>601.79999999999995</v>
      </c>
    </row>
    <row r="103" spans="1:2">
      <c r="A103">
        <f t="shared" si="1"/>
        <v>102</v>
      </c>
      <c r="B103">
        <v>629.6</v>
      </c>
    </row>
    <row r="104" spans="1:2">
      <c r="A104">
        <f t="shared" si="1"/>
        <v>103</v>
      </c>
      <c r="B104">
        <v>612</v>
      </c>
    </row>
    <row r="105" spans="1:2">
      <c r="A105">
        <f t="shared" si="1"/>
        <v>104</v>
      </c>
      <c r="B105">
        <v>617.5</v>
      </c>
    </row>
    <row r="106" spans="1:2">
      <c r="A106">
        <f t="shared" si="1"/>
        <v>105</v>
      </c>
      <c r="B106">
        <v>560.6</v>
      </c>
    </row>
    <row r="107" spans="1:2">
      <c r="A107">
        <f t="shared" si="1"/>
        <v>106</v>
      </c>
      <c r="B107">
        <v>555</v>
      </c>
    </row>
    <row r="108" spans="1:2">
      <c r="A108">
        <f t="shared" si="1"/>
        <v>107</v>
      </c>
      <c r="B108">
        <v>570.70000000000005</v>
      </c>
    </row>
    <row r="109" spans="1:2">
      <c r="A109">
        <f t="shared" si="1"/>
        <v>108</v>
      </c>
      <c r="B109">
        <v>530.1</v>
      </c>
    </row>
    <row r="110" spans="1:2">
      <c r="A110">
        <f t="shared" si="1"/>
        <v>109</v>
      </c>
      <c r="B110">
        <v>509.7</v>
      </c>
    </row>
    <row r="111" spans="1:2">
      <c r="A111">
        <f t="shared" si="1"/>
        <v>110</v>
      </c>
      <c r="B111">
        <v>489.3</v>
      </c>
    </row>
    <row r="112" spans="1:2">
      <c r="A112">
        <f t="shared" si="1"/>
        <v>111</v>
      </c>
      <c r="B112">
        <v>488.7</v>
      </c>
    </row>
    <row r="113" spans="1:2">
      <c r="A113">
        <f t="shared" si="1"/>
        <v>112</v>
      </c>
      <c r="B113">
        <v>568.1</v>
      </c>
    </row>
    <row r="114" spans="1:2">
      <c r="A114">
        <f t="shared" si="1"/>
        <v>113</v>
      </c>
      <c r="B114">
        <v>609.5</v>
      </c>
    </row>
    <row r="115" spans="1:2">
      <c r="A115">
        <f t="shared" si="1"/>
        <v>114</v>
      </c>
      <c r="B115">
        <v>639</v>
      </c>
    </row>
    <row r="116" spans="1:2">
      <c r="A116">
        <f t="shared" si="1"/>
        <v>115</v>
      </c>
      <c r="B116">
        <v>628.1</v>
      </c>
    </row>
    <row r="117" spans="1:2">
      <c r="A117">
        <f t="shared" si="1"/>
        <v>116</v>
      </c>
      <c r="B117">
        <v>635.5</v>
      </c>
    </row>
    <row r="118" spans="1:2">
      <c r="A118">
        <f t="shared" si="1"/>
        <v>117</v>
      </c>
      <c r="B118">
        <v>592.4</v>
      </c>
    </row>
    <row r="119" spans="1:2">
      <c r="A119">
        <f t="shared" si="1"/>
        <v>118</v>
      </c>
      <c r="B119">
        <v>580.9</v>
      </c>
    </row>
    <row r="120" spans="1:2">
      <c r="A120">
        <f t="shared" si="1"/>
        <v>119</v>
      </c>
      <c r="B120">
        <v>611.5</v>
      </c>
    </row>
    <row r="121" spans="1:2">
      <c r="A121">
        <f t="shared" si="1"/>
        <v>120</v>
      </c>
      <c r="B121">
        <v>571.79999999999995</v>
      </c>
    </row>
    <row r="122" spans="1:2">
      <c r="A122">
        <f t="shared" si="1"/>
        <v>121</v>
      </c>
      <c r="B122">
        <v>525.20000000000005</v>
      </c>
    </row>
    <row r="123" spans="1:2">
      <c r="A123">
        <f t="shared" si="1"/>
        <v>122</v>
      </c>
      <c r="B123">
        <v>493.6</v>
      </c>
    </row>
    <row r="124" spans="1:2">
      <c r="A124">
        <f t="shared" si="1"/>
        <v>123</v>
      </c>
      <c r="B124">
        <v>513.9</v>
      </c>
    </row>
    <row r="125" spans="1:2">
      <c r="A125">
        <f t="shared" si="1"/>
        <v>124</v>
      </c>
      <c r="B125">
        <v>594.20000000000005</v>
      </c>
    </row>
    <row r="126" spans="1:2">
      <c r="A126">
        <f t="shared" si="1"/>
        <v>125</v>
      </c>
      <c r="B126">
        <v>610.70000000000005</v>
      </c>
    </row>
    <row r="127" spans="1:2">
      <c r="A127">
        <f t="shared" si="1"/>
        <v>126</v>
      </c>
      <c r="B127">
        <v>632.29999999999995</v>
      </c>
    </row>
    <row r="128" spans="1:2">
      <c r="A128">
        <f t="shared" si="1"/>
        <v>127</v>
      </c>
      <c r="B128">
        <v>647</v>
      </c>
    </row>
    <row r="129" spans="1:2">
      <c r="A129">
        <f t="shared" si="1"/>
        <v>128</v>
      </c>
      <c r="B129">
        <v>656.7</v>
      </c>
    </row>
    <row r="130" spans="1:2">
      <c r="A130">
        <f t="shared" si="1"/>
        <v>129</v>
      </c>
      <c r="B130">
        <v>635.70000000000005</v>
      </c>
    </row>
    <row r="131" spans="1:2">
      <c r="A131">
        <f t="shared" si="1"/>
        <v>130</v>
      </c>
      <c r="B131">
        <v>643.6</v>
      </c>
    </row>
    <row r="132" spans="1:2">
      <c r="A132">
        <f t="shared" ref="A132:A157" si="2">A131+1</f>
        <v>131</v>
      </c>
      <c r="B132">
        <v>645.70000000000005</v>
      </c>
    </row>
    <row r="133" spans="1:2">
      <c r="A133">
        <f t="shared" si="2"/>
        <v>132</v>
      </c>
      <c r="B133">
        <v>622.4</v>
      </c>
    </row>
    <row r="134" spans="1:2">
      <c r="A134">
        <f t="shared" si="2"/>
        <v>133</v>
      </c>
      <c r="B134">
        <v>570.29999999999995</v>
      </c>
    </row>
    <row r="135" spans="1:2">
      <c r="A135">
        <f t="shared" si="2"/>
        <v>134</v>
      </c>
      <c r="B135">
        <v>580.4</v>
      </c>
    </row>
    <row r="136" spans="1:2">
      <c r="A136">
        <f t="shared" si="2"/>
        <v>135</v>
      </c>
      <c r="B136">
        <v>585.4</v>
      </c>
    </row>
    <row r="137" spans="1:2">
      <c r="A137">
        <f t="shared" si="2"/>
        <v>136</v>
      </c>
      <c r="B137">
        <v>648.70000000000005</v>
      </c>
    </row>
    <row r="138" spans="1:2">
      <c r="A138">
        <f t="shared" si="2"/>
        <v>137</v>
      </c>
      <c r="B138">
        <v>689.1</v>
      </c>
    </row>
    <row r="139" spans="1:2">
      <c r="A139">
        <f t="shared" si="2"/>
        <v>138</v>
      </c>
      <c r="B139">
        <v>708.4</v>
      </c>
    </row>
    <row r="140" spans="1:2">
      <c r="A140">
        <f t="shared" si="2"/>
        <v>139</v>
      </c>
      <c r="B140">
        <v>642.20000000000005</v>
      </c>
    </row>
    <row r="141" spans="1:2">
      <c r="A141">
        <f t="shared" si="2"/>
        <v>140</v>
      </c>
      <c r="B141">
        <v>647.1</v>
      </c>
    </row>
    <row r="142" spans="1:2">
      <c r="A142">
        <f t="shared" si="2"/>
        <v>141</v>
      </c>
      <c r="B142">
        <v>647.79999999999995</v>
      </c>
    </row>
    <row r="143" spans="1:2">
      <c r="A143">
        <f t="shared" si="2"/>
        <v>142</v>
      </c>
      <c r="B143">
        <v>650.4</v>
      </c>
    </row>
    <row r="144" spans="1:2">
      <c r="A144">
        <f t="shared" si="2"/>
        <v>143</v>
      </c>
      <c r="B144">
        <v>644.70000000000005</v>
      </c>
    </row>
    <row r="145" spans="1:2">
      <c r="A145">
        <f t="shared" si="2"/>
        <v>144</v>
      </c>
      <c r="B145">
        <v>575.20000000000005</v>
      </c>
    </row>
    <row r="146" spans="1:2">
      <c r="A146">
        <f t="shared" si="2"/>
        <v>145</v>
      </c>
      <c r="B146">
        <v>567.1</v>
      </c>
    </row>
    <row r="147" spans="1:2">
      <c r="A147">
        <f t="shared" si="2"/>
        <v>146</v>
      </c>
      <c r="B147">
        <v>574</v>
      </c>
    </row>
    <row r="148" spans="1:2">
      <c r="A148">
        <f t="shared" si="2"/>
        <v>147</v>
      </c>
      <c r="B148">
        <v>533.1</v>
      </c>
    </row>
    <row r="149" spans="1:2">
      <c r="A149">
        <f t="shared" si="2"/>
        <v>148</v>
      </c>
      <c r="B149">
        <v>583.70000000000005</v>
      </c>
    </row>
    <row r="150" spans="1:2">
      <c r="A150">
        <f t="shared" si="2"/>
        <v>149</v>
      </c>
      <c r="B150">
        <v>619.9</v>
      </c>
    </row>
    <row r="151" spans="1:2">
      <c r="A151">
        <f t="shared" si="2"/>
        <v>150</v>
      </c>
      <c r="B151">
        <v>649</v>
      </c>
    </row>
    <row r="152" spans="1:2">
      <c r="A152">
        <f t="shared" si="2"/>
        <v>151</v>
      </c>
      <c r="B152">
        <v>698.1</v>
      </c>
    </row>
    <row r="153" spans="1:2">
      <c r="A153">
        <f t="shared" si="2"/>
        <v>152</v>
      </c>
      <c r="B153">
        <v>630.20000000000005</v>
      </c>
    </row>
    <row r="154" spans="1:2">
      <c r="A154">
        <f t="shared" si="2"/>
        <v>153</v>
      </c>
      <c r="B154">
        <v>613.1</v>
      </c>
    </row>
    <row r="155" spans="1:2">
      <c r="A155">
        <f t="shared" si="2"/>
        <v>154</v>
      </c>
      <c r="B155">
        <v>622</v>
      </c>
    </row>
    <row r="156" spans="1:2">
      <c r="A156">
        <f t="shared" si="2"/>
        <v>155</v>
      </c>
      <c r="B156">
        <v>622.1</v>
      </c>
    </row>
    <row r="157" spans="1:2">
      <c r="A157">
        <f t="shared" si="2"/>
        <v>156</v>
      </c>
      <c r="B157">
        <v>583.1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57"/>
  <sheetViews>
    <sheetView workbookViewId="0">
      <selection activeCell="C3" sqref="C3"/>
    </sheetView>
  </sheetViews>
  <sheetFormatPr baseColWidth="10" defaultColWidth="8.83203125" defaultRowHeight="15"/>
  <cols>
    <col min="2" max="2" width="11.5" bestFit="1" customWidth="1"/>
    <col min="3" max="3" width="10.6640625" bestFit="1" customWidth="1"/>
    <col min="4" max="4" width="10.5" bestFit="1" customWidth="1"/>
  </cols>
  <sheetData>
    <row r="1" spans="1:9">
      <c r="A1" s="1" t="s">
        <v>163</v>
      </c>
      <c r="B1" s="1" t="s">
        <v>4</v>
      </c>
      <c r="C1" s="2" t="s">
        <v>164</v>
      </c>
      <c r="D1" s="3" t="s">
        <v>165</v>
      </c>
    </row>
    <row r="2" spans="1:9">
      <c r="A2" s="1">
        <v>1</v>
      </c>
      <c r="B2" s="1">
        <v>447.8</v>
      </c>
      <c r="C2" s="2">
        <v>447.8</v>
      </c>
      <c r="D2" s="3">
        <f>C2-B2</f>
        <v>0</v>
      </c>
      <c r="H2" s="2" t="s">
        <v>166</v>
      </c>
      <c r="I2" s="2">
        <v>1</v>
      </c>
    </row>
    <row r="3" spans="1:9">
      <c r="A3" s="1">
        <f>A2+1</f>
        <v>2</v>
      </c>
      <c r="B3" s="1">
        <v>437.1</v>
      </c>
      <c r="C3" s="2">
        <f>B2*$I$2+(1-$I$2)*C2</f>
        <v>447.8</v>
      </c>
      <c r="D3" s="3">
        <f t="shared" ref="D3:D66" si="0">C3-B3</f>
        <v>10.699999999999989</v>
      </c>
      <c r="H3" s="2" t="s">
        <v>167</v>
      </c>
      <c r="I3" s="2">
        <f>SQRT(SUMSQ(D2:D157)/COUNTA(D2:D157))</f>
        <v>31.038796029716725</v>
      </c>
    </row>
    <row r="4" spans="1:9">
      <c r="A4" s="1">
        <f t="shared" ref="A4:A67" si="1">A3+1</f>
        <v>3</v>
      </c>
      <c r="B4" s="1">
        <v>479.7</v>
      </c>
      <c r="C4" s="2">
        <f t="shared" ref="C4:C67" si="2">B3*$I$2+(1-$I$2)*C3</f>
        <v>437.1</v>
      </c>
      <c r="D4" s="3">
        <f t="shared" si="0"/>
        <v>-42.599999999999966</v>
      </c>
    </row>
    <row r="5" spans="1:9">
      <c r="A5" s="1">
        <f t="shared" si="1"/>
        <v>4</v>
      </c>
      <c r="B5" s="1">
        <v>533.6</v>
      </c>
      <c r="C5" s="2">
        <f t="shared" si="2"/>
        <v>479.7</v>
      </c>
      <c r="D5" s="3">
        <f t="shared" si="0"/>
        <v>-53.900000000000034</v>
      </c>
    </row>
    <row r="6" spans="1:9">
      <c r="A6" s="1">
        <f t="shared" si="1"/>
        <v>5</v>
      </c>
      <c r="B6" s="1">
        <v>535</v>
      </c>
      <c r="C6" s="2">
        <f t="shared" si="2"/>
        <v>533.6</v>
      </c>
      <c r="D6" s="3">
        <f t="shared" si="0"/>
        <v>-1.3999999999999773</v>
      </c>
    </row>
    <row r="7" spans="1:9">
      <c r="A7" s="1">
        <f t="shared" si="1"/>
        <v>6</v>
      </c>
      <c r="B7" s="1">
        <v>560.20000000000005</v>
      </c>
      <c r="C7" s="2">
        <f t="shared" si="2"/>
        <v>535</v>
      </c>
      <c r="D7" s="3">
        <f t="shared" si="0"/>
        <v>-25.200000000000045</v>
      </c>
    </row>
    <row r="8" spans="1:9">
      <c r="A8" s="1">
        <f t="shared" si="1"/>
        <v>7</v>
      </c>
      <c r="B8" s="1">
        <v>537.4</v>
      </c>
      <c r="C8" s="2">
        <f t="shared" si="2"/>
        <v>560.20000000000005</v>
      </c>
      <c r="D8" s="3">
        <f t="shared" si="0"/>
        <v>22.800000000000068</v>
      </c>
    </row>
    <row r="9" spans="1:9">
      <c r="A9" s="1">
        <f t="shared" si="1"/>
        <v>8</v>
      </c>
      <c r="B9" s="1">
        <v>528.79999999999995</v>
      </c>
      <c r="C9" s="2">
        <f t="shared" si="2"/>
        <v>537.4</v>
      </c>
      <c r="D9" s="3">
        <f t="shared" si="0"/>
        <v>8.6000000000000227</v>
      </c>
    </row>
    <row r="10" spans="1:9">
      <c r="A10" s="1">
        <f t="shared" si="1"/>
        <v>9</v>
      </c>
      <c r="B10" s="1">
        <v>516.29999999999995</v>
      </c>
      <c r="C10" s="2">
        <f t="shared" si="2"/>
        <v>528.79999999999995</v>
      </c>
      <c r="D10" s="3">
        <f t="shared" si="0"/>
        <v>12.5</v>
      </c>
    </row>
    <row r="11" spans="1:9">
      <c r="A11" s="1">
        <f t="shared" si="1"/>
        <v>10</v>
      </c>
      <c r="B11" s="1">
        <v>520</v>
      </c>
      <c r="C11" s="2">
        <f t="shared" si="2"/>
        <v>516.29999999999995</v>
      </c>
      <c r="D11" s="3">
        <f t="shared" si="0"/>
        <v>-3.7000000000000455</v>
      </c>
    </row>
    <row r="12" spans="1:9">
      <c r="A12" s="1">
        <f t="shared" si="1"/>
        <v>11</v>
      </c>
      <c r="B12" s="1">
        <v>518.6</v>
      </c>
      <c r="C12" s="2">
        <f t="shared" si="2"/>
        <v>520</v>
      </c>
      <c r="D12" s="3">
        <f t="shared" si="0"/>
        <v>1.3999999999999773</v>
      </c>
    </row>
    <row r="13" spans="1:9">
      <c r="A13" s="1">
        <f t="shared" si="1"/>
        <v>12</v>
      </c>
      <c r="B13" s="1">
        <v>478</v>
      </c>
      <c r="C13" s="2">
        <f t="shared" si="2"/>
        <v>518.6</v>
      </c>
      <c r="D13" s="3">
        <f t="shared" si="0"/>
        <v>40.600000000000023</v>
      </c>
    </row>
    <row r="14" spans="1:9">
      <c r="A14" s="1">
        <f t="shared" si="1"/>
        <v>13</v>
      </c>
      <c r="B14" s="1">
        <v>465.5</v>
      </c>
      <c r="C14" s="2">
        <f t="shared" si="2"/>
        <v>478</v>
      </c>
      <c r="D14" s="3">
        <f t="shared" si="0"/>
        <v>12.5</v>
      </c>
    </row>
    <row r="15" spans="1:9">
      <c r="A15" s="1">
        <f t="shared" si="1"/>
        <v>14</v>
      </c>
      <c r="B15" s="1">
        <v>452.3</v>
      </c>
      <c r="C15" s="2">
        <f t="shared" si="2"/>
        <v>465.5</v>
      </c>
      <c r="D15" s="3">
        <f t="shared" si="0"/>
        <v>13.199999999999989</v>
      </c>
    </row>
    <row r="16" spans="1:9">
      <c r="A16" s="1">
        <f t="shared" si="1"/>
        <v>15</v>
      </c>
      <c r="B16" s="1">
        <v>470</v>
      </c>
      <c r="C16" s="2">
        <f t="shared" si="2"/>
        <v>452.3</v>
      </c>
      <c r="D16" s="3">
        <f t="shared" si="0"/>
        <v>-17.699999999999989</v>
      </c>
    </row>
    <row r="17" spans="1:4">
      <c r="A17" s="1">
        <f t="shared" si="1"/>
        <v>16</v>
      </c>
      <c r="B17" s="1">
        <v>511.3</v>
      </c>
      <c r="C17" s="2">
        <f t="shared" si="2"/>
        <v>470</v>
      </c>
      <c r="D17" s="3">
        <f t="shared" si="0"/>
        <v>-41.300000000000011</v>
      </c>
    </row>
    <row r="18" spans="1:4">
      <c r="A18" s="1">
        <f t="shared" si="1"/>
        <v>17</v>
      </c>
      <c r="B18" s="1">
        <v>522</v>
      </c>
      <c r="C18" s="2">
        <f t="shared" si="2"/>
        <v>511.3</v>
      </c>
      <c r="D18" s="3">
        <f t="shared" si="0"/>
        <v>-10.699999999999989</v>
      </c>
    </row>
    <row r="19" spans="1:4">
      <c r="A19" s="1">
        <f t="shared" si="1"/>
        <v>18</v>
      </c>
      <c r="B19" s="1">
        <v>533.20000000000005</v>
      </c>
      <c r="C19" s="2">
        <f t="shared" si="2"/>
        <v>522</v>
      </c>
      <c r="D19" s="3">
        <f t="shared" si="0"/>
        <v>-11.200000000000045</v>
      </c>
    </row>
    <row r="20" spans="1:4">
      <c r="A20" s="1">
        <f t="shared" si="1"/>
        <v>19</v>
      </c>
      <c r="B20" s="1">
        <v>513.20000000000005</v>
      </c>
      <c r="C20" s="2">
        <f t="shared" si="2"/>
        <v>533.20000000000005</v>
      </c>
      <c r="D20" s="3">
        <f t="shared" si="0"/>
        <v>20</v>
      </c>
    </row>
    <row r="21" spans="1:4">
      <c r="A21" s="1">
        <f t="shared" si="1"/>
        <v>20</v>
      </c>
      <c r="B21" s="1">
        <v>544.20000000000005</v>
      </c>
      <c r="C21" s="2">
        <f t="shared" si="2"/>
        <v>513.20000000000005</v>
      </c>
      <c r="D21" s="3">
        <f t="shared" si="0"/>
        <v>-31</v>
      </c>
    </row>
    <row r="22" spans="1:4">
      <c r="A22" s="1">
        <f t="shared" si="1"/>
        <v>21</v>
      </c>
      <c r="B22" s="1">
        <v>541.4</v>
      </c>
      <c r="C22" s="2">
        <f t="shared" si="2"/>
        <v>544.20000000000005</v>
      </c>
      <c r="D22" s="3">
        <f t="shared" si="0"/>
        <v>2.8000000000000682</v>
      </c>
    </row>
    <row r="23" spans="1:4">
      <c r="A23" s="1">
        <f t="shared" si="1"/>
        <v>22</v>
      </c>
      <c r="B23" s="1">
        <v>525.70000000000005</v>
      </c>
      <c r="C23" s="2">
        <f t="shared" si="2"/>
        <v>541.4</v>
      </c>
      <c r="D23" s="3">
        <f t="shared" si="0"/>
        <v>15.699999999999932</v>
      </c>
    </row>
    <row r="24" spans="1:4">
      <c r="A24" s="1">
        <f t="shared" si="1"/>
        <v>23</v>
      </c>
      <c r="B24" s="1">
        <v>535.20000000000005</v>
      </c>
      <c r="C24" s="2">
        <f t="shared" si="2"/>
        <v>525.70000000000005</v>
      </c>
      <c r="D24" s="3">
        <f t="shared" si="0"/>
        <v>-9.5</v>
      </c>
    </row>
    <row r="25" spans="1:4">
      <c r="A25" s="1">
        <f t="shared" si="1"/>
        <v>24</v>
      </c>
      <c r="B25" s="1">
        <v>495</v>
      </c>
      <c r="C25" s="2">
        <f t="shared" si="2"/>
        <v>535.20000000000005</v>
      </c>
      <c r="D25" s="3">
        <f t="shared" si="0"/>
        <v>40.200000000000045</v>
      </c>
    </row>
    <row r="26" spans="1:4">
      <c r="A26" s="1">
        <f t="shared" si="1"/>
        <v>25</v>
      </c>
      <c r="B26" s="1">
        <v>473.6</v>
      </c>
      <c r="C26" s="2">
        <f t="shared" si="2"/>
        <v>495</v>
      </c>
      <c r="D26" s="3">
        <f t="shared" si="0"/>
        <v>21.399999999999977</v>
      </c>
    </row>
    <row r="27" spans="1:4">
      <c r="A27" s="1">
        <f t="shared" si="1"/>
        <v>26</v>
      </c>
      <c r="B27" s="1">
        <v>444.4</v>
      </c>
      <c r="C27" s="2">
        <f t="shared" si="2"/>
        <v>473.6</v>
      </c>
      <c r="D27" s="3">
        <f t="shared" si="0"/>
        <v>29.200000000000045</v>
      </c>
    </row>
    <row r="28" spans="1:4">
      <c r="A28" s="1">
        <f t="shared" si="1"/>
        <v>27</v>
      </c>
      <c r="B28" s="1">
        <v>451.8</v>
      </c>
      <c r="C28" s="2">
        <f t="shared" si="2"/>
        <v>444.4</v>
      </c>
      <c r="D28" s="3">
        <f t="shared" si="0"/>
        <v>-7.4000000000000341</v>
      </c>
    </row>
    <row r="29" spans="1:4">
      <c r="A29" s="1">
        <f t="shared" si="1"/>
        <v>28</v>
      </c>
      <c r="B29" s="1">
        <v>511</v>
      </c>
      <c r="C29" s="2">
        <f t="shared" si="2"/>
        <v>451.8</v>
      </c>
      <c r="D29" s="3">
        <f t="shared" si="0"/>
        <v>-59.199999999999989</v>
      </c>
    </row>
    <row r="30" spans="1:4">
      <c r="A30" s="1">
        <f t="shared" si="1"/>
        <v>29</v>
      </c>
      <c r="B30" s="1">
        <v>542.79999999999995</v>
      </c>
      <c r="C30" s="2">
        <f t="shared" si="2"/>
        <v>511</v>
      </c>
      <c r="D30" s="3">
        <f t="shared" si="0"/>
        <v>-31.799999999999955</v>
      </c>
    </row>
    <row r="31" spans="1:4">
      <c r="A31" s="1">
        <f t="shared" si="1"/>
        <v>30</v>
      </c>
      <c r="B31" s="1">
        <v>556</v>
      </c>
      <c r="C31" s="2">
        <f t="shared" si="2"/>
        <v>542.79999999999995</v>
      </c>
      <c r="D31" s="3">
        <f t="shared" si="0"/>
        <v>-13.200000000000045</v>
      </c>
    </row>
    <row r="32" spans="1:4">
      <c r="A32" s="1">
        <f t="shared" si="1"/>
        <v>31</v>
      </c>
      <c r="B32" s="1">
        <v>563.1</v>
      </c>
      <c r="C32" s="2">
        <f t="shared" si="2"/>
        <v>556</v>
      </c>
      <c r="D32" s="3">
        <f t="shared" si="0"/>
        <v>-7.1000000000000227</v>
      </c>
    </row>
    <row r="33" spans="1:4">
      <c r="A33" s="1">
        <f t="shared" si="1"/>
        <v>32</v>
      </c>
      <c r="B33" s="1">
        <v>555</v>
      </c>
      <c r="C33" s="2">
        <f t="shared" si="2"/>
        <v>563.1</v>
      </c>
      <c r="D33" s="3">
        <f t="shared" si="0"/>
        <v>8.1000000000000227</v>
      </c>
    </row>
    <row r="34" spans="1:4">
      <c r="A34" s="1">
        <f t="shared" si="1"/>
        <v>33</v>
      </c>
      <c r="B34" s="1">
        <v>513.6</v>
      </c>
      <c r="C34" s="2">
        <f t="shared" si="2"/>
        <v>555</v>
      </c>
      <c r="D34" s="3">
        <f t="shared" si="0"/>
        <v>41.399999999999977</v>
      </c>
    </row>
    <row r="35" spans="1:4">
      <c r="A35" s="1">
        <f t="shared" si="1"/>
        <v>34</v>
      </c>
      <c r="B35" s="1">
        <v>514.70000000000005</v>
      </c>
      <c r="C35" s="2">
        <f t="shared" si="2"/>
        <v>513.6</v>
      </c>
      <c r="D35" s="3">
        <f t="shared" si="0"/>
        <v>-1.1000000000000227</v>
      </c>
    </row>
    <row r="36" spans="1:4">
      <c r="A36" s="1">
        <f t="shared" si="1"/>
        <v>35</v>
      </c>
      <c r="B36" s="1">
        <v>547.9</v>
      </c>
      <c r="C36" s="2">
        <f t="shared" si="2"/>
        <v>514.70000000000005</v>
      </c>
      <c r="D36" s="3">
        <f t="shared" si="0"/>
        <v>-33.199999999999932</v>
      </c>
    </row>
    <row r="37" spans="1:4">
      <c r="A37" s="1">
        <f t="shared" si="1"/>
        <v>36</v>
      </c>
      <c r="B37" s="1">
        <v>489.9</v>
      </c>
      <c r="C37" s="2">
        <f t="shared" si="2"/>
        <v>547.9</v>
      </c>
      <c r="D37" s="3">
        <f t="shared" si="0"/>
        <v>58</v>
      </c>
    </row>
    <row r="38" spans="1:4">
      <c r="A38" s="1">
        <f t="shared" si="1"/>
        <v>37</v>
      </c>
      <c r="B38" s="1">
        <v>467.1</v>
      </c>
      <c r="C38" s="2">
        <f t="shared" si="2"/>
        <v>489.9</v>
      </c>
      <c r="D38" s="3">
        <f t="shared" si="0"/>
        <v>22.799999999999955</v>
      </c>
    </row>
    <row r="39" spans="1:4">
      <c r="A39" s="1">
        <f t="shared" si="1"/>
        <v>38</v>
      </c>
      <c r="B39" s="1">
        <v>472.7</v>
      </c>
      <c r="C39" s="2">
        <f t="shared" si="2"/>
        <v>467.1</v>
      </c>
      <c r="D39" s="3">
        <f t="shared" si="0"/>
        <v>-5.5999999999999659</v>
      </c>
    </row>
    <row r="40" spans="1:4">
      <c r="A40" s="1">
        <f t="shared" si="1"/>
        <v>39</v>
      </c>
      <c r="B40" s="1">
        <v>449.5</v>
      </c>
      <c r="C40" s="2">
        <f t="shared" si="2"/>
        <v>472.7</v>
      </c>
      <c r="D40" s="3">
        <f t="shared" si="0"/>
        <v>23.199999999999989</v>
      </c>
    </row>
    <row r="41" spans="1:4">
      <c r="A41" s="1">
        <f t="shared" si="1"/>
        <v>40</v>
      </c>
      <c r="B41" s="1">
        <v>491.5</v>
      </c>
      <c r="C41" s="2">
        <f t="shared" si="2"/>
        <v>449.5</v>
      </c>
      <c r="D41" s="3">
        <f t="shared" si="0"/>
        <v>-42</v>
      </c>
    </row>
    <row r="42" spans="1:4">
      <c r="A42" s="1">
        <f t="shared" si="1"/>
        <v>41</v>
      </c>
      <c r="B42" s="1">
        <v>544</v>
      </c>
      <c r="C42" s="2">
        <f t="shared" si="2"/>
        <v>491.5</v>
      </c>
      <c r="D42" s="3">
        <f t="shared" si="0"/>
        <v>-52.5</v>
      </c>
    </row>
    <row r="43" spans="1:4">
      <c r="A43" s="1">
        <f t="shared" si="1"/>
        <v>42</v>
      </c>
      <c r="B43" s="1">
        <v>572.5</v>
      </c>
      <c r="C43" s="2">
        <f t="shared" si="2"/>
        <v>544</v>
      </c>
      <c r="D43" s="3">
        <f t="shared" si="0"/>
        <v>-28.5</v>
      </c>
    </row>
    <row r="44" spans="1:4">
      <c r="A44" s="1">
        <f t="shared" si="1"/>
        <v>43</v>
      </c>
      <c r="B44" s="1">
        <v>525.79999999999995</v>
      </c>
      <c r="C44" s="2">
        <f t="shared" si="2"/>
        <v>572.5</v>
      </c>
      <c r="D44" s="3">
        <f t="shared" si="0"/>
        <v>46.700000000000045</v>
      </c>
    </row>
    <row r="45" spans="1:4">
      <c r="A45" s="1">
        <f t="shared" si="1"/>
        <v>44</v>
      </c>
      <c r="B45" s="1">
        <v>510.1</v>
      </c>
      <c r="C45" s="2">
        <f t="shared" si="2"/>
        <v>525.79999999999995</v>
      </c>
      <c r="D45" s="3">
        <f t="shared" si="0"/>
        <v>15.699999999999932</v>
      </c>
    </row>
    <row r="46" spans="1:4">
      <c r="A46" s="1">
        <f t="shared" si="1"/>
        <v>45</v>
      </c>
      <c r="B46" s="1">
        <v>519.1</v>
      </c>
      <c r="C46" s="2">
        <f t="shared" si="2"/>
        <v>510.1</v>
      </c>
      <c r="D46" s="3">
        <f t="shared" si="0"/>
        <v>-9</v>
      </c>
    </row>
    <row r="47" spans="1:4">
      <c r="A47" s="1">
        <f t="shared" si="1"/>
        <v>46</v>
      </c>
      <c r="B47" s="1">
        <v>522.1</v>
      </c>
      <c r="C47" s="2">
        <f t="shared" si="2"/>
        <v>519.1</v>
      </c>
      <c r="D47" s="3">
        <f t="shared" si="0"/>
        <v>-3</v>
      </c>
    </row>
    <row r="48" spans="1:4">
      <c r="A48" s="1">
        <f t="shared" si="1"/>
        <v>47</v>
      </c>
      <c r="B48" s="1">
        <v>535.6</v>
      </c>
      <c r="C48" s="2">
        <f t="shared" si="2"/>
        <v>522.1</v>
      </c>
      <c r="D48" s="3">
        <f t="shared" si="0"/>
        <v>-13.5</v>
      </c>
    </row>
    <row r="49" spans="1:4">
      <c r="A49" s="1">
        <f t="shared" si="1"/>
        <v>48</v>
      </c>
      <c r="B49" s="1">
        <v>484</v>
      </c>
      <c r="C49" s="2">
        <f t="shared" si="2"/>
        <v>535.6</v>
      </c>
      <c r="D49" s="3">
        <f t="shared" si="0"/>
        <v>51.600000000000023</v>
      </c>
    </row>
    <row r="50" spans="1:4">
      <c r="A50" s="1">
        <f t="shared" si="1"/>
        <v>49</v>
      </c>
      <c r="B50" s="1">
        <v>476.4</v>
      </c>
      <c r="C50" s="2">
        <f t="shared" si="2"/>
        <v>484</v>
      </c>
      <c r="D50" s="3">
        <f t="shared" si="0"/>
        <v>7.6000000000000227</v>
      </c>
    </row>
    <row r="51" spans="1:4">
      <c r="A51" s="1">
        <f t="shared" si="1"/>
        <v>50</v>
      </c>
      <c r="B51" s="1">
        <v>460.5</v>
      </c>
      <c r="C51" s="2">
        <f t="shared" si="2"/>
        <v>476.4</v>
      </c>
      <c r="D51" s="3">
        <f t="shared" si="0"/>
        <v>15.899999999999977</v>
      </c>
    </row>
    <row r="52" spans="1:4">
      <c r="A52" s="1">
        <f t="shared" si="1"/>
        <v>51</v>
      </c>
      <c r="B52" s="1">
        <v>461.2</v>
      </c>
      <c r="C52" s="2">
        <f t="shared" si="2"/>
        <v>460.5</v>
      </c>
      <c r="D52" s="3">
        <f t="shared" si="0"/>
        <v>-0.69999999999998863</v>
      </c>
    </row>
    <row r="53" spans="1:4">
      <c r="A53" s="1">
        <f t="shared" si="1"/>
        <v>52</v>
      </c>
      <c r="B53" s="1">
        <v>510.5</v>
      </c>
      <c r="C53" s="2">
        <f t="shared" si="2"/>
        <v>461.2</v>
      </c>
      <c r="D53" s="3">
        <f t="shared" si="0"/>
        <v>-49.300000000000011</v>
      </c>
    </row>
    <row r="54" spans="1:4">
      <c r="A54" s="1">
        <f t="shared" si="1"/>
        <v>53</v>
      </c>
      <c r="B54" s="1">
        <v>556.6</v>
      </c>
      <c r="C54" s="2">
        <f t="shared" si="2"/>
        <v>510.5</v>
      </c>
      <c r="D54" s="3">
        <f t="shared" si="0"/>
        <v>-46.100000000000023</v>
      </c>
    </row>
    <row r="55" spans="1:4">
      <c r="A55" s="1">
        <f t="shared" si="1"/>
        <v>54</v>
      </c>
      <c r="B55" s="1">
        <v>609.5</v>
      </c>
      <c r="C55" s="2">
        <f t="shared" si="2"/>
        <v>556.6</v>
      </c>
      <c r="D55" s="3">
        <f t="shared" si="0"/>
        <v>-52.899999999999977</v>
      </c>
    </row>
    <row r="56" spans="1:4">
      <c r="A56" s="1">
        <f t="shared" si="1"/>
        <v>55</v>
      </c>
      <c r="B56" s="1">
        <v>592.70000000000005</v>
      </c>
      <c r="C56" s="2">
        <f t="shared" si="2"/>
        <v>609.5</v>
      </c>
      <c r="D56" s="3">
        <f t="shared" si="0"/>
        <v>16.799999999999955</v>
      </c>
    </row>
    <row r="57" spans="1:4">
      <c r="A57" s="1">
        <f t="shared" si="1"/>
        <v>56</v>
      </c>
      <c r="B57" s="1">
        <v>572.1</v>
      </c>
      <c r="C57" s="2">
        <f t="shared" si="2"/>
        <v>592.70000000000005</v>
      </c>
      <c r="D57" s="3">
        <f t="shared" si="0"/>
        <v>20.600000000000023</v>
      </c>
    </row>
    <row r="58" spans="1:4">
      <c r="A58" s="1">
        <f t="shared" si="1"/>
        <v>57</v>
      </c>
      <c r="B58" s="1">
        <v>554.9</v>
      </c>
      <c r="C58" s="2">
        <f t="shared" si="2"/>
        <v>572.1</v>
      </c>
      <c r="D58" s="3">
        <f t="shared" si="0"/>
        <v>17.200000000000045</v>
      </c>
    </row>
    <row r="59" spans="1:4">
      <c r="A59" s="1">
        <f t="shared" si="1"/>
        <v>58</v>
      </c>
      <c r="B59" s="1">
        <v>557.4</v>
      </c>
      <c r="C59" s="2">
        <f t="shared" si="2"/>
        <v>554.9</v>
      </c>
      <c r="D59" s="3">
        <f t="shared" si="0"/>
        <v>-2.5</v>
      </c>
    </row>
    <row r="60" spans="1:4">
      <c r="A60" s="1">
        <f t="shared" si="1"/>
        <v>59</v>
      </c>
      <c r="B60" s="1">
        <v>562.9</v>
      </c>
      <c r="C60" s="2">
        <f t="shared" si="2"/>
        <v>557.4</v>
      </c>
      <c r="D60" s="3">
        <f t="shared" si="0"/>
        <v>-5.5</v>
      </c>
    </row>
    <row r="61" spans="1:4">
      <c r="A61" s="1">
        <f t="shared" si="1"/>
        <v>60</v>
      </c>
      <c r="B61" s="1">
        <v>516</v>
      </c>
      <c r="C61" s="2">
        <f t="shared" si="2"/>
        <v>562.9</v>
      </c>
      <c r="D61" s="3">
        <f t="shared" si="0"/>
        <v>46.899999999999977</v>
      </c>
    </row>
    <row r="62" spans="1:4">
      <c r="A62" s="1">
        <f t="shared" si="1"/>
        <v>61</v>
      </c>
      <c r="B62" s="1">
        <v>490.6</v>
      </c>
      <c r="C62" s="2">
        <f t="shared" si="2"/>
        <v>516</v>
      </c>
      <c r="D62" s="3">
        <f t="shared" si="0"/>
        <v>25.399999999999977</v>
      </c>
    </row>
    <row r="63" spans="1:4">
      <c r="A63" s="1">
        <f t="shared" si="1"/>
        <v>62</v>
      </c>
      <c r="B63" s="1">
        <v>503.9</v>
      </c>
      <c r="C63" s="2">
        <f t="shared" si="2"/>
        <v>490.6</v>
      </c>
      <c r="D63" s="3">
        <f t="shared" si="0"/>
        <v>-13.299999999999955</v>
      </c>
    </row>
    <row r="64" spans="1:4">
      <c r="A64" s="1">
        <f t="shared" si="1"/>
        <v>63</v>
      </c>
      <c r="B64" s="1">
        <v>547.6</v>
      </c>
      <c r="C64" s="2">
        <f t="shared" si="2"/>
        <v>503.9</v>
      </c>
      <c r="D64" s="3">
        <f t="shared" si="0"/>
        <v>-43.700000000000045</v>
      </c>
    </row>
    <row r="65" spans="1:4">
      <c r="A65" s="1">
        <f t="shared" si="1"/>
        <v>64</v>
      </c>
      <c r="B65" s="1">
        <v>585</v>
      </c>
      <c r="C65" s="2">
        <f t="shared" si="2"/>
        <v>547.6</v>
      </c>
      <c r="D65" s="3">
        <f t="shared" si="0"/>
        <v>-37.399999999999977</v>
      </c>
    </row>
    <row r="66" spans="1:4">
      <c r="A66" s="1">
        <f t="shared" si="1"/>
        <v>65</v>
      </c>
      <c r="B66" s="1">
        <v>573.5</v>
      </c>
      <c r="C66" s="2">
        <f t="shared" si="2"/>
        <v>585</v>
      </c>
      <c r="D66" s="3">
        <f t="shared" si="0"/>
        <v>11.5</v>
      </c>
    </row>
    <row r="67" spans="1:4">
      <c r="A67" s="1">
        <f t="shared" si="1"/>
        <v>66</v>
      </c>
      <c r="B67" s="1">
        <v>606</v>
      </c>
      <c r="C67" s="2">
        <f t="shared" si="2"/>
        <v>573.5</v>
      </c>
      <c r="D67" s="3">
        <f t="shared" ref="D67:D130" si="3">C67-B67</f>
        <v>-32.5</v>
      </c>
    </row>
    <row r="68" spans="1:4">
      <c r="A68" s="1">
        <f t="shared" ref="A68:A131" si="4">A67+1</f>
        <v>67</v>
      </c>
      <c r="B68" s="1">
        <v>575.20000000000005</v>
      </c>
      <c r="C68" s="2">
        <f t="shared" ref="C68:C131" si="5">B67*$I$2+(1-$I$2)*C67</f>
        <v>606</v>
      </c>
      <c r="D68" s="3">
        <f t="shared" si="3"/>
        <v>30.799999999999955</v>
      </c>
    </row>
    <row r="69" spans="1:4">
      <c r="A69" s="1">
        <f t="shared" si="4"/>
        <v>68</v>
      </c>
      <c r="B69" s="1">
        <v>539.70000000000005</v>
      </c>
      <c r="C69" s="2">
        <f t="shared" si="5"/>
        <v>575.20000000000005</v>
      </c>
      <c r="D69" s="3">
        <f t="shared" si="3"/>
        <v>35.5</v>
      </c>
    </row>
    <row r="70" spans="1:4">
      <c r="A70" s="1">
        <f t="shared" si="4"/>
        <v>69</v>
      </c>
      <c r="B70" s="1">
        <v>539.20000000000005</v>
      </c>
      <c r="C70" s="2">
        <f t="shared" si="5"/>
        <v>539.70000000000005</v>
      </c>
      <c r="D70" s="3">
        <f t="shared" si="3"/>
        <v>0.5</v>
      </c>
    </row>
    <row r="71" spans="1:4">
      <c r="A71" s="1">
        <f t="shared" si="4"/>
        <v>70</v>
      </c>
      <c r="B71" s="1">
        <v>557.79999999999995</v>
      </c>
      <c r="C71" s="2">
        <f t="shared" si="5"/>
        <v>539.20000000000005</v>
      </c>
      <c r="D71" s="3">
        <f t="shared" si="3"/>
        <v>-18.599999999999909</v>
      </c>
    </row>
    <row r="72" spans="1:4">
      <c r="A72" s="1">
        <f t="shared" si="4"/>
        <v>71</v>
      </c>
      <c r="B72" s="1">
        <v>581.4</v>
      </c>
      <c r="C72" s="2">
        <f t="shared" si="5"/>
        <v>557.79999999999995</v>
      </c>
      <c r="D72" s="3">
        <f t="shared" si="3"/>
        <v>-23.600000000000023</v>
      </c>
    </row>
    <row r="73" spans="1:4">
      <c r="A73" s="1">
        <f t="shared" si="4"/>
        <v>72</v>
      </c>
      <c r="B73" s="1">
        <v>536.20000000000005</v>
      </c>
      <c r="C73" s="2">
        <f t="shared" si="5"/>
        <v>581.4</v>
      </c>
      <c r="D73" s="3">
        <f t="shared" si="3"/>
        <v>45.199999999999932</v>
      </c>
    </row>
    <row r="74" spans="1:4">
      <c r="A74" s="1">
        <f t="shared" si="4"/>
        <v>73</v>
      </c>
      <c r="B74" s="1">
        <v>499.3</v>
      </c>
      <c r="C74" s="2">
        <f t="shared" si="5"/>
        <v>536.20000000000005</v>
      </c>
      <c r="D74" s="3">
        <f t="shared" si="3"/>
        <v>36.900000000000034</v>
      </c>
    </row>
    <row r="75" spans="1:4">
      <c r="A75" s="1">
        <f t="shared" si="4"/>
        <v>74</v>
      </c>
      <c r="B75" s="1">
        <v>461.7</v>
      </c>
      <c r="C75" s="2">
        <f t="shared" si="5"/>
        <v>499.3</v>
      </c>
      <c r="D75" s="3">
        <f t="shared" si="3"/>
        <v>37.600000000000023</v>
      </c>
    </row>
    <row r="76" spans="1:4">
      <c r="A76" s="1">
        <f t="shared" si="4"/>
        <v>75</v>
      </c>
      <c r="B76" s="1">
        <v>465.7</v>
      </c>
      <c r="C76" s="2">
        <f t="shared" si="5"/>
        <v>461.7</v>
      </c>
      <c r="D76" s="3">
        <f t="shared" si="3"/>
        <v>-4</v>
      </c>
    </row>
    <row r="77" spans="1:4">
      <c r="A77" s="1">
        <f t="shared" si="4"/>
        <v>76</v>
      </c>
      <c r="B77" s="1">
        <v>524.4</v>
      </c>
      <c r="C77" s="2">
        <f t="shared" si="5"/>
        <v>465.7</v>
      </c>
      <c r="D77" s="3">
        <f t="shared" si="3"/>
        <v>-58.699999999999989</v>
      </c>
    </row>
    <row r="78" spans="1:4">
      <c r="A78" s="1">
        <f t="shared" si="4"/>
        <v>77</v>
      </c>
      <c r="B78" s="1">
        <v>565.1</v>
      </c>
      <c r="C78" s="2">
        <f t="shared" si="5"/>
        <v>524.4</v>
      </c>
      <c r="D78" s="3">
        <f t="shared" si="3"/>
        <v>-40.700000000000045</v>
      </c>
    </row>
    <row r="79" spans="1:4">
      <c r="A79" s="1">
        <f t="shared" si="4"/>
        <v>78</v>
      </c>
      <c r="B79" s="1">
        <v>602.79999999999995</v>
      </c>
      <c r="C79" s="2">
        <f t="shared" si="5"/>
        <v>565.1</v>
      </c>
      <c r="D79" s="3">
        <f t="shared" si="3"/>
        <v>-37.699999999999932</v>
      </c>
    </row>
    <row r="80" spans="1:4">
      <c r="A80" s="1">
        <f t="shared" si="4"/>
        <v>79</v>
      </c>
      <c r="B80" s="1">
        <v>586</v>
      </c>
      <c r="C80" s="2">
        <f t="shared" si="5"/>
        <v>602.79999999999995</v>
      </c>
      <c r="D80" s="3">
        <f t="shared" si="3"/>
        <v>16.799999999999955</v>
      </c>
    </row>
    <row r="81" spans="1:4">
      <c r="A81" s="1">
        <f t="shared" si="4"/>
        <v>80</v>
      </c>
      <c r="B81" s="1">
        <v>590.6</v>
      </c>
      <c r="C81" s="2">
        <f t="shared" si="5"/>
        <v>586</v>
      </c>
      <c r="D81" s="3">
        <f t="shared" si="3"/>
        <v>-4.6000000000000227</v>
      </c>
    </row>
    <row r="82" spans="1:4">
      <c r="A82" s="1">
        <f t="shared" si="4"/>
        <v>81</v>
      </c>
      <c r="B82" s="1">
        <v>582.6</v>
      </c>
      <c r="C82" s="2">
        <f t="shared" si="5"/>
        <v>590.6</v>
      </c>
      <c r="D82" s="3">
        <f t="shared" si="3"/>
        <v>8</v>
      </c>
    </row>
    <row r="83" spans="1:4">
      <c r="A83" s="1">
        <f t="shared" si="4"/>
        <v>82</v>
      </c>
      <c r="B83" s="1">
        <v>557.70000000000005</v>
      </c>
      <c r="C83" s="2">
        <f t="shared" si="5"/>
        <v>582.6</v>
      </c>
      <c r="D83" s="3">
        <f t="shared" si="3"/>
        <v>24.899999999999977</v>
      </c>
    </row>
    <row r="84" spans="1:4">
      <c r="A84" s="1">
        <f t="shared" si="4"/>
        <v>83</v>
      </c>
      <c r="B84" s="1">
        <v>541.1</v>
      </c>
      <c r="C84" s="2">
        <f t="shared" si="5"/>
        <v>557.70000000000005</v>
      </c>
      <c r="D84" s="3">
        <f t="shared" si="3"/>
        <v>16.600000000000023</v>
      </c>
    </row>
    <row r="85" spans="1:4">
      <c r="A85" s="1">
        <f t="shared" si="4"/>
        <v>84</v>
      </c>
      <c r="B85" s="1">
        <v>505.9</v>
      </c>
      <c r="C85" s="2">
        <f t="shared" si="5"/>
        <v>541.1</v>
      </c>
      <c r="D85" s="3">
        <f t="shared" si="3"/>
        <v>35.200000000000045</v>
      </c>
    </row>
    <row r="86" spans="1:4">
      <c r="A86" s="1">
        <f t="shared" si="4"/>
        <v>85</v>
      </c>
      <c r="B86" s="1">
        <v>503.3</v>
      </c>
      <c r="C86" s="2">
        <f t="shared" si="5"/>
        <v>505.9</v>
      </c>
      <c r="D86" s="3">
        <f t="shared" si="3"/>
        <v>2.5999999999999659</v>
      </c>
    </row>
    <row r="87" spans="1:4">
      <c r="A87" s="1">
        <f t="shared" si="4"/>
        <v>86</v>
      </c>
      <c r="B87" s="1">
        <v>505</v>
      </c>
      <c r="C87" s="2">
        <f t="shared" si="5"/>
        <v>503.3</v>
      </c>
      <c r="D87" s="3">
        <f t="shared" si="3"/>
        <v>-1.6999999999999886</v>
      </c>
    </row>
    <row r="88" spans="1:4">
      <c r="A88" s="1">
        <f t="shared" si="4"/>
        <v>87</v>
      </c>
      <c r="B88" s="1">
        <v>508.6</v>
      </c>
      <c r="C88" s="2">
        <f t="shared" si="5"/>
        <v>505</v>
      </c>
      <c r="D88" s="3">
        <f t="shared" si="3"/>
        <v>-3.6000000000000227</v>
      </c>
    </row>
    <row r="89" spans="1:4">
      <c r="A89" s="1">
        <f t="shared" si="4"/>
        <v>88</v>
      </c>
      <c r="B89" s="1">
        <v>540.9</v>
      </c>
      <c r="C89" s="2">
        <f t="shared" si="5"/>
        <v>508.6</v>
      </c>
      <c r="D89" s="3">
        <f t="shared" si="3"/>
        <v>-32.299999999999955</v>
      </c>
    </row>
    <row r="90" spans="1:4">
      <c r="A90" s="1">
        <f t="shared" si="4"/>
        <v>89</v>
      </c>
      <c r="B90" s="1">
        <v>557.1</v>
      </c>
      <c r="C90" s="2">
        <f t="shared" si="5"/>
        <v>540.9</v>
      </c>
      <c r="D90" s="3">
        <f t="shared" si="3"/>
        <v>-16.200000000000045</v>
      </c>
    </row>
    <row r="91" spans="1:4">
      <c r="A91" s="1">
        <f t="shared" si="4"/>
        <v>90</v>
      </c>
      <c r="B91" s="1">
        <v>607.9</v>
      </c>
      <c r="C91" s="2">
        <f t="shared" si="5"/>
        <v>557.1</v>
      </c>
      <c r="D91" s="3">
        <f t="shared" si="3"/>
        <v>-50.799999999999955</v>
      </c>
    </row>
    <row r="92" spans="1:4">
      <c r="A92" s="1">
        <f t="shared" si="4"/>
        <v>91</v>
      </c>
      <c r="B92" s="1">
        <v>594.79999999999995</v>
      </c>
      <c r="C92" s="2">
        <f t="shared" si="5"/>
        <v>607.9</v>
      </c>
      <c r="D92" s="3">
        <f t="shared" si="3"/>
        <v>13.100000000000023</v>
      </c>
    </row>
    <row r="93" spans="1:4">
      <c r="A93" s="1">
        <f t="shared" si="4"/>
        <v>92</v>
      </c>
      <c r="B93" s="1">
        <v>585.6</v>
      </c>
      <c r="C93" s="2">
        <f t="shared" si="5"/>
        <v>594.79999999999995</v>
      </c>
      <c r="D93" s="3">
        <f t="shared" si="3"/>
        <v>9.1999999999999318</v>
      </c>
    </row>
    <row r="94" spans="1:4">
      <c r="A94" s="1">
        <f t="shared" si="4"/>
        <v>93</v>
      </c>
      <c r="B94" s="1">
        <v>573.20000000000005</v>
      </c>
      <c r="C94" s="2">
        <f t="shared" si="5"/>
        <v>585.6</v>
      </c>
      <c r="D94" s="3">
        <f t="shared" si="3"/>
        <v>12.399999999999977</v>
      </c>
    </row>
    <row r="95" spans="1:4">
      <c r="A95" s="1">
        <f t="shared" si="4"/>
        <v>94</v>
      </c>
      <c r="B95" s="1">
        <v>560.20000000000005</v>
      </c>
      <c r="C95" s="2">
        <f t="shared" si="5"/>
        <v>573.20000000000005</v>
      </c>
      <c r="D95" s="3">
        <f t="shared" si="3"/>
        <v>13</v>
      </c>
    </row>
    <row r="96" spans="1:4">
      <c r="A96" s="1">
        <f t="shared" si="4"/>
        <v>95</v>
      </c>
      <c r="B96" s="1">
        <v>568.1</v>
      </c>
      <c r="C96" s="2">
        <f t="shared" si="5"/>
        <v>560.20000000000005</v>
      </c>
      <c r="D96" s="3">
        <f t="shared" si="3"/>
        <v>-7.8999999999999773</v>
      </c>
    </row>
    <row r="97" spans="1:4">
      <c r="A97" s="1">
        <f t="shared" si="4"/>
        <v>96</v>
      </c>
      <c r="B97" s="1">
        <v>524.79999999999995</v>
      </c>
      <c r="C97" s="2">
        <f t="shared" si="5"/>
        <v>568.1</v>
      </c>
      <c r="D97" s="3">
        <f t="shared" si="3"/>
        <v>43.300000000000068</v>
      </c>
    </row>
    <row r="98" spans="1:4">
      <c r="A98" s="1">
        <f t="shared" si="4"/>
        <v>97</v>
      </c>
      <c r="B98" s="1">
        <v>513.1</v>
      </c>
      <c r="C98" s="2">
        <f t="shared" si="5"/>
        <v>524.79999999999995</v>
      </c>
      <c r="D98" s="3">
        <f t="shared" si="3"/>
        <v>11.699999999999932</v>
      </c>
    </row>
    <row r="99" spans="1:4">
      <c r="A99" s="1">
        <f t="shared" si="4"/>
        <v>98</v>
      </c>
      <c r="B99" s="1">
        <v>498</v>
      </c>
      <c r="C99" s="2">
        <f t="shared" si="5"/>
        <v>513.1</v>
      </c>
      <c r="D99" s="3">
        <f t="shared" si="3"/>
        <v>15.100000000000023</v>
      </c>
    </row>
    <row r="100" spans="1:4">
      <c r="A100" s="1">
        <f t="shared" si="4"/>
        <v>99</v>
      </c>
      <c r="B100" s="1">
        <v>498.3</v>
      </c>
      <c r="C100" s="2">
        <f t="shared" si="5"/>
        <v>498</v>
      </c>
      <c r="D100" s="3">
        <f t="shared" si="3"/>
        <v>-0.30000000000001137</v>
      </c>
    </row>
    <row r="101" spans="1:4">
      <c r="A101" s="1">
        <f t="shared" si="4"/>
        <v>100</v>
      </c>
      <c r="B101" s="1">
        <v>568.29999999999995</v>
      </c>
      <c r="C101" s="2">
        <f t="shared" si="5"/>
        <v>498.3</v>
      </c>
      <c r="D101" s="3">
        <f t="shared" si="3"/>
        <v>-69.999999999999943</v>
      </c>
    </row>
    <row r="102" spans="1:4">
      <c r="A102" s="1">
        <f t="shared" si="4"/>
        <v>101</v>
      </c>
      <c r="B102" s="1">
        <v>601.79999999999995</v>
      </c>
      <c r="C102" s="2">
        <f t="shared" si="5"/>
        <v>568.29999999999995</v>
      </c>
      <c r="D102" s="3">
        <f t="shared" si="3"/>
        <v>-33.5</v>
      </c>
    </row>
    <row r="103" spans="1:4">
      <c r="A103" s="1">
        <f t="shared" si="4"/>
        <v>102</v>
      </c>
      <c r="B103" s="1">
        <v>629.6</v>
      </c>
      <c r="C103" s="2">
        <f t="shared" si="5"/>
        <v>601.79999999999995</v>
      </c>
      <c r="D103" s="3">
        <f t="shared" si="3"/>
        <v>-27.800000000000068</v>
      </c>
    </row>
    <row r="104" spans="1:4">
      <c r="A104" s="1">
        <f t="shared" si="4"/>
        <v>103</v>
      </c>
      <c r="B104" s="1">
        <v>612</v>
      </c>
      <c r="C104" s="2">
        <f t="shared" si="5"/>
        <v>629.6</v>
      </c>
      <c r="D104" s="3">
        <f t="shared" si="3"/>
        <v>17.600000000000023</v>
      </c>
    </row>
    <row r="105" spans="1:4">
      <c r="A105" s="1">
        <f t="shared" si="4"/>
        <v>104</v>
      </c>
      <c r="B105" s="1">
        <v>617.5</v>
      </c>
      <c r="C105" s="2">
        <f t="shared" si="5"/>
        <v>612</v>
      </c>
      <c r="D105" s="3">
        <f t="shared" si="3"/>
        <v>-5.5</v>
      </c>
    </row>
    <row r="106" spans="1:4">
      <c r="A106" s="1">
        <f t="shared" si="4"/>
        <v>105</v>
      </c>
      <c r="B106" s="1">
        <v>560.6</v>
      </c>
      <c r="C106" s="2">
        <f t="shared" si="5"/>
        <v>617.5</v>
      </c>
      <c r="D106" s="3">
        <f t="shared" si="3"/>
        <v>56.899999999999977</v>
      </c>
    </row>
    <row r="107" spans="1:4">
      <c r="A107" s="1">
        <f t="shared" si="4"/>
        <v>106</v>
      </c>
      <c r="B107" s="1">
        <v>555</v>
      </c>
      <c r="C107" s="2">
        <f t="shared" si="5"/>
        <v>560.6</v>
      </c>
      <c r="D107" s="3">
        <f t="shared" si="3"/>
        <v>5.6000000000000227</v>
      </c>
    </row>
    <row r="108" spans="1:4">
      <c r="A108" s="1">
        <f t="shared" si="4"/>
        <v>107</v>
      </c>
      <c r="B108" s="1">
        <v>570.70000000000005</v>
      </c>
      <c r="C108" s="2">
        <f t="shared" si="5"/>
        <v>555</v>
      </c>
      <c r="D108" s="3">
        <f t="shared" si="3"/>
        <v>-15.700000000000045</v>
      </c>
    </row>
    <row r="109" spans="1:4">
      <c r="A109" s="1">
        <f t="shared" si="4"/>
        <v>108</v>
      </c>
      <c r="B109" s="1">
        <v>530.1</v>
      </c>
      <c r="C109" s="2">
        <f t="shared" si="5"/>
        <v>570.70000000000005</v>
      </c>
      <c r="D109" s="3">
        <f t="shared" si="3"/>
        <v>40.600000000000023</v>
      </c>
    </row>
    <row r="110" spans="1:4">
      <c r="A110" s="1">
        <f t="shared" si="4"/>
        <v>109</v>
      </c>
      <c r="B110" s="1">
        <v>509.7</v>
      </c>
      <c r="C110" s="2">
        <f t="shared" si="5"/>
        <v>530.1</v>
      </c>
      <c r="D110" s="3">
        <f t="shared" si="3"/>
        <v>20.400000000000034</v>
      </c>
    </row>
    <row r="111" spans="1:4">
      <c r="A111" s="1">
        <f t="shared" si="4"/>
        <v>110</v>
      </c>
      <c r="B111" s="1">
        <v>489.3</v>
      </c>
      <c r="C111" s="2">
        <f t="shared" si="5"/>
        <v>509.7</v>
      </c>
      <c r="D111" s="3">
        <f t="shared" si="3"/>
        <v>20.399999999999977</v>
      </c>
    </row>
    <row r="112" spans="1:4">
      <c r="A112" s="1">
        <f t="shared" si="4"/>
        <v>111</v>
      </c>
      <c r="B112" s="1">
        <v>488.7</v>
      </c>
      <c r="C112" s="2">
        <f t="shared" si="5"/>
        <v>489.3</v>
      </c>
      <c r="D112" s="3">
        <f t="shared" si="3"/>
        <v>0.60000000000002274</v>
      </c>
    </row>
    <row r="113" spans="1:4">
      <c r="A113" s="1">
        <f t="shared" si="4"/>
        <v>112</v>
      </c>
      <c r="B113" s="1">
        <v>568.1</v>
      </c>
      <c r="C113" s="2">
        <f t="shared" si="5"/>
        <v>488.7</v>
      </c>
      <c r="D113" s="3">
        <f t="shared" si="3"/>
        <v>-79.400000000000034</v>
      </c>
    </row>
    <row r="114" spans="1:4">
      <c r="A114" s="1">
        <f t="shared" si="4"/>
        <v>113</v>
      </c>
      <c r="B114" s="1">
        <v>609.5</v>
      </c>
      <c r="C114" s="2">
        <f t="shared" si="5"/>
        <v>568.1</v>
      </c>
      <c r="D114" s="3">
        <f t="shared" si="3"/>
        <v>-41.399999999999977</v>
      </c>
    </row>
    <row r="115" spans="1:4">
      <c r="A115" s="1">
        <f t="shared" si="4"/>
        <v>114</v>
      </c>
      <c r="B115" s="1">
        <v>639</v>
      </c>
      <c r="C115" s="2">
        <f t="shared" si="5"/>
        <v>609.5</v>
      </c>
      <c r="D115" s="3">
        <f t="shared" si="3"/>
        <v>-29.5</v>
      </c>
    </row>
    <row r="116" spans="1:4">
      <c r="A116" s="1">
        <f t="shared" si="4"/>
        <v>115</v>
      </c>
      <c r="B116" s="1">
        <v>628.1</v>
      </c>
      <c r="C116" s="2">
        <f t="shared" si="5"/>
        <v>639</v>
      </c>
      <c r="D116" s="3">
        <f t="shared" si="3"/>
        <v>10.899999999999977</v>
      </c>
    </row>
    <row r="117" spans="1:4">
      <c r="A117" s="1">
        <f t="shared" si="4"/>
        <v>116</v>
      </c>
      <c r="B117" s="1">
        <v>635.5</v>
      </c>
      <c r="C117" s="2">
        <f t="shared" si="5"/>
        <v>628.1</v>
      </c>
      <c r="D117" s="3">
        <f t="shared" si="3"/>
        <v>-7.3999999999999773</v>
      </c>
    </row>
    <row r="118" spans="1:4">
      <c r="A118" s="1">
        <f t="shared" si="4"/>
        <v>117</v>
      </c>
      <c r="B118" s="1">
        <v>592.4</v>
      </c>
      <c r="C118" s="2">
        <f t="shared" si="5"/>
        <v>635.5</v>
      </c>
      <c r="D118" s="3">
        <f t="shared" si="3"/>
        <v>43.100000000000023</v>
      </c>
    </row>
    <row r="119" spans="1:4">
      <c r="A119" s="1">
        <f t="shared" si="4"/>
        <v>118</v>
      </c>
      <c r="B119" s="1">
        <v>580.9</v>
      </c>
      <c r="C119" s="2">
        <f t="shared" si="5"/>
        <v>592.4</v>
      </c>
      <c r="D119" s="3">
        <f t="shared" si="3"/>
        <v>11.5</v>
      </c>
    </row>
    <row r="120" spans="1:4">
      <c r="A120" s="1">
        <f t="shared" si="4"/>
        <v>119</v>
      </c>
      <c r="B120" s="1">
        <v>611.5</v>
      </c>
      <c r="C120" s="2">
        <f t="shared" si="5"/>
        <v>580.9</v>
      </c>
      <c r="D120" s="3">
        <f t="shared" si="3"/>
        <v>-30.600000000000023</v>
      </c>
    </row>
    <row r="121" spans="1:4">
      <c r="A121" s="1">
        <f t="shared" si="4"/>
        <v>120</v>
      </c>
      <c r="B121" s="1">
        <v>571.79999999999995</v>
      </c>
      <c r="C121" s="2">
        <f t="shared" si="5"/>
        <v>611.5</v>
      </c>
      <c r="D121" s="3">
        <f t="shared" si="3"/>
        <v>39.700000000000045</v>
      </c>
    </row>
    <row r="122" spans="1:4">
      <c r="A122" s="1">
        <f t="shared" si="4"/>
        <v>121</v>
      </c>
      <c r="B122" s="1">
        <v>525.20000000000005</v>
      </c>
      <c r="C122" s="2">
        <f t="shared" si="5"/>
        <v>571.79999999999995</v>
      </c>
      <c r="D122" s="3">
        <f t="shared" si="3"/>
        <v>46.599999999999909</v>
      </c>
    </row>
    <row r="123" spans="1:4">
      <c r="A123" s="1">
        <f t="shared" si="4"/>
        <v>122</v>
      </c>
      <c r="B123" s="1">
        <v>493.6</v>
      </c>
      <c r="C123" s="2">
        <f t="shared" si="5"/>
        <v>525.20000000000005</v>
      </c>
      <c r="D123" s="3">
        <f t="shared" si="3"/>
        <v>31.600000000000023</v>
      </c>
    </row>
    <row r="124" spans="1:4">
      <c r="A124" s="1">
        <f t="shared" si="4"/>
        <v>123</v>
      </c>
      <c r="B124" s="1">
        <v>513.9</v>
      </c>
      <c r="C124" s="2">
        <f t="shared" si="5"/>
        <v>493.6</v>
      </c>
      <c r="D124" s="3">
        <f t="shared" si="3"/>
        <v>-20.299999999999955</v>
      </c>
    </row>
    <row r="125" spans="1:4">
      <c r="A125" s="1">
        <f t="shared" si="4"/>
        <v>124</v>
      </c>
      <c r="B125" s="1">
        <v>594.20000000000005</v>
      </c>
      <c r="C125" s="2">
        <f t="shared" si="5"/>
        <v>513.9</v>
      </c>
      <c r="D125" s="3">
        <f t="shared" si="3"/>
        <v>-80.300000000000068</v>
      </c>
    </row>
    <row r="126" spans="1:4">
      <c r="A126" s="1">
        <f t="shared" si="4"/>
        <v>125</v>
      </c>
      <c r="B126" s="1">
        <v>610.70000000000005</v>
      </c>
      <c r="C126" s="2">
        <f t="shared" si="5"/>
        <v>594.20000000000005</v>
      </c>
      <c r="D126" s="3">
        <f t="shared" si="3"/>
        <v>-16.5</v>
      </c>
    </row>
    <row r="127" spans="1:4">
      <c r="A127" s="1">
        <f t="shared" si="4"/>
        <v>126</v>
      </c>
      <c r="B127" s="1">
        <v>632.29999999999995</v>
      </c>
      <c r="C127" s="2">
        <f t="shared" si="5"/>
        <v>610.70000000000005</v>
      </c>
      <c r="D127" s="3">
        <f t="shared" si="3"/>
        <v>-21.599999999999909</v>
      </c>
    </row>
    <row r="128" spans="1:4">
      <c r="A128" s="1">
        <f t="shared" si="4"/>
        <v>127</v>
      </c>
      <c r="B128" s="1">
        <v>647</v>
      </c>
      <c r="C128" s="2">
        <f t="shared" si="5"/>
        <v>632.29999999999995</v>
      </c>
      <c r="D128" s="3">
        <f t="shared" si="3"/>
        <v>-14.700000000000045</v>
      </c>
    </row>
    <row r="129" spans="1:4">
      <c r="A129" s="1">
        <f t="shared" si="4"/>
        <v>128</v>
      </c>
      <c r="B129" s="1">
        <v>656.7</v>
      </c>
      <c r="C129" s="2">
        <f t="shared" si="5"/>
        <v>647</v>
      </c>
      <c r="D129" s="3">
        <f t="shared" si="3"/>
        <v>-9.7000000000000455</v>
      </c>
    </row>
    <row r="130" spans="1:4">
      <c r="A130" s="1">
        <f t="shared" si="4"/>
        <v>129</v>
      </c>
      <c r="B130" s="1">
        <v>635.70000000000005</v>
      </c>
      <c r="C130" s="2">
        <f t="shared" si="5"/>
        <v>656.7</v>
      </c>
      <c r="D130" s="3">
        <f t="shared" si="3"/>
        <v>21</v>
      </c>
    </row>
    <row r="131" spans="1:4">
      <c r="A131" s="1">
        <f t="shared" si="4"/>
        <v>130</v>
      </c>
      <c r="B131" s="1">
        <v>643.6</v>
      </c>
      <c r="C131" s="2">
        <f t="shared" si="5"/>
        <v>635.70000000000005</v>
      </c>
      <c r="D131" s="3">
        <f t="shared" ref="D131:D157" si="6">C131-B131</f>
        <v>-7.8999999999999773</v>
      </c>
    </row>
    <row r="132" spans="1:4">
      <c r="A132" s="1">
        <f t="shared" ref="A132:A157" si="7">A131+1</f>
        <v>131</v>
      </c>
      <c r="B132" s="1">
        <v>645.70000000000005</v>
      </c>
      <c r="C132" s="2">
        <f t="shared" ref="C132:C157" si="8">B131*$I$2+(1-$I$2)*C131</f>
        <v>643.6</v>
      </c>
      <c r="D132" s="3">
        <f t="shared" si="6"/>
        <v>-2.1000000000000227</v>
      </c>
    </row>
    <row r="133" spans="1:4">
      <c r="A133" s="1">
        <f t="shared" si="7"/>
        <v>132</v>
      </c>
      <c r="B133" s="1">
        <v>622.4</v>
      </c>
      <c r="C133" s="2">
        <f t="shared" si="8"/>
        <v>645.70000000000005</v>
      </c>
      <c r="D133" s="3">
        <f t="shared" si="6"/>
        <v>23.300000000000068</v>
      </c>
    </row>
    <row r="134" spans="1:4">
      <c r="A134" s="1">
        <f t="shared" si="7"/>
        <v>133</v>
      </c>
      <c r="B134" s="1">
        <v>570.29999999999995</v>
      </c>
      <c r="C134" s="2">
        <f t="shared" si="8"/>
        <v>622.4</v>
      </c>
      <c r="D134" s="3">
        <f t="shared" si="6"/>
        <v>52.100000000000023</v>
      </c>
    </row>
    <row r="135" spans="1:4">
      <c r="A135" s="1">
        <f t="shared" si="7"/>
        <v>134</v>
      </c>
      <c r="B135" s="1">
        <v>580.4</v>
      </c>
      <c r="C135" s="2">
        <f t="shared" si="8"/>
        <v>570.29999999999995</v>
      </c>
      <c r="D135" s="3">
        <f t="shared" si="6"/>
        <v>-10.100000000000023</v>
      </c>
    </row>
    <row r="136" spans="1:4">
      <c r="A136" s="1">
        <f t="shared" si="7"/>
        <v>135</v>
      </c>
      <c r="B136" s="1">
        <v>585.4</v>
      </c>
      <c r="C136" s="2">
        <f t="shared" si="8"/>
        <v>580.4</v>
      </c>
      <c r="D136" s="3">
        <f t="shared" si="6"/>
        <v>-5</v>
      </c>
    </row>
    <row r="137" spans="1:4">
      <c r="A137" s="1">
        <f t="shared" si="7"/>
        <v>136</v>
      </c>
      <c r="B137" s="1">
        <v>648.70000000000005</v>
      </c>
      <c r="C137" s="2">
        <f t="shared" si="8"/>
        <v>585.4</v>
      </c>
      <c r="D137" s="3">
        <f t="shared" si="6"/>
        <v>-63.300000000000068</v>
      </c>
    </row>
    <row r="138" spans="1:4">
      <c r="A138" s="1">
        <f t="shared" si="7"/>
        <v>137</v>
      </c>
      <c r="B138" s="1">
        <v>689.1</v>
      </c>
      <c r="C138" s="2">
        <f t="shared" si="8"/>
        <v>648.70000000000005</v>
      </c>
      <c r="D138" s="3">
        <f t="shared" si="6"/>
        <v>-40.399999999999977</v>
      </c>
    </row>
    <row r="139" spans="1:4">
      <c r="A139" s="1">
        <f t="shared" si="7"/>
        <v>138</v>
      </c>
      <c r="B139" s="1">
        <v>708.4</v>
      </c>
      <c r="C139" s="2">
        <f t="shared" si="8"/>
        <v>689.1</v>
      </c>
      <c r="D139" s="3">
        <f t="shared" si="6"/>
        <v>-19.299999999999955</v>
      </c>
    </row>
    <row r="140" spans="1:4">
      <c r="A140" s="1">
        <f t="shared" si="7"/>
        <v>139</v>
      </c>
      <c r="B140" s="1">
        <v>642.20000000000005</v>
      </c>
      <c r="C140" s="2">
        <f t="shared" si="8"/>
        <v>708.4</v>
      </c>
      <c r="D140" s="3">
        <f t="shared" si="6"/>
        <v>66.199999999999932</v>
      </c>
    </row>
    <row r="141" spans="1:4">
      <c r="A141" s="1">
        <f t="shared" si="7"/>
        <v>140</v>
      </c>
      <c r="B141" s="1">
        <v>647.1</v>
      </c>
      <c r="C141" s="2">
        <f t="shared" si="8"/>
        <v>642.20000000000005</v>
      </c>
      <c r="D141" s="3">
        <f t="shared" si="6"/>
        <v>-4.8999999999999773</v>
      </c>
    </row>
    <row r="142" spans="1:4">
      <c r="A142" s="1">
        <f t="shared" si="7"/>
        <v>141</v>
      </c>
      <c r="B142" s="1">
        <v>647.79999999999995</v>
      </c>
      <c r="C142" s="2">
        <f t="shared" si="8"/>
        <v>647.1</v>
      </c>
      <c r="D142" s="3">
        <f t="shared" si="6"/>
        <v>-0.69999999999993179</v>
      </c>
    </row>
    <row r="143" spans="1:4">
      <c r="A143" s="1">
        <f t="shared" si="7"/>
        <v>142</v>
      </c>
      <c r="B143" s="1">
        <v>650.4</v>
      </c>
      <c r="C143" s="2">
        <f t="shared" si="8"/>
        <v>647.79999999999995</v>
      </c>
      <c r="D143" s="3">
        <f t="shared" si="6"/>
        <v>-2.6000000000000227</v>
      </c>
    </row>
    <row r="144" spans="1:4">
      <c r="A144" s="1">
        <f t="shared" si="7"/>
        <v>143</v>
      </c>
      <c r="B144" s="1">
        <v>644.70000000000005</v>
      </c>
      <c r="C144" s="2">
        <f t="shared" si="8"/>
        <v>650.4</v>
      </c>
      <c r="D144" s="3">
        <f t="shared" si="6"/>
        <v>5.6999999999999318</v>
      </c>
    </row>
    <row r="145" spans="1:4">
      <c r="A145" s="1">
        <f t="shared" si="7"/>
        <v>144</v>
      </c>
      <c r="B145" s="1">
        <v>575.20000000000005</v>
      </c>
      <c r="C145" s="2">
        <f t="shared" si="8"/>
        <v>644.70000000000005</v>
      </c>
      <c r="D145" s="3">
        <f t="shared" si="6"/>
        <v>69.5</v>
      </c>
    </row>
    <row r="146" spans="1:4">
      <c r="A146" s="1">
        <f t="shared" si="7"/>
        <v>145</v>
      </c>
      <c r="B146" s="1">
        <v>567.1</v>
      </c>
      <c r="C146" s="2">
        <f t="shared" si="8"/>
        <v>575.20000000000005</v>
      </c>
      <c r="D146" s="3">
        <f t="shared" si="6"/>
        <v>8.1000000000000227</v>
      </c>
    </row>
    <row r="147" spans="1:4">
      <c r="A147" s="1">
        <f t="shared" si="7"/>
        <v>146</v>
      </c>
      <c r="B147" s="1">
        <v>574</v>
      </c>
      <c r="C147" s="2">
        <f t="shared" si="8"/>
        <v>567.1</v>
      </c>
      <c r="D147" s="3">
        <f t="shared" si="6"/>
        <v>-6.8999999999999773</v>
      </c>
    </row>
    <row r="148" spans="1:4">
      <c r="A148" s="1">
        <f t="shared" si="7"/>
        <v>147</v>
      </c>
      <c r="B148" s="1">
        <v>533.1</v>
      </c>
      <c r="C148" s="2">
        <f t="shared" si="8"/>
        <v>574</v>
      </c>
      <c r="D148" s="3">
        <f t="shared" si="6"/>
        <v>40.899999999999977</v>
      </c>
    </row>
    <row r="149" spans="1:4">
      <c r="A149" s="1">
        <f t="shared" si="7"/>
        <v>148</v>
      </c>
      <c r="B149" s="1">
        <v>583.70000000000005</v>
      </c>
      <c r="C149" s="2">
        <f t="shared" si="8"/>
        <v>533.1</v>
      </c>
      <c r="D149" s="3">
        <f t="shared" si="6"/>
        <v>-50.600000000000023</v>
      </c>
    </row>
    <row r="150" spans="1:4">
      <c r="A150" s="1">
        <f t="shared" si="7"/>
        <v>149</v>
      </c>
      <c r="B150" s="1">
        <v>619.9</v>
      </c>
      <c r="C150" s="2">
        <f t="shared" si="8"/>
        <v>583.70000000000005</v>
      </c>
      <c r="D150" s="3">
        <f t="shared" si="6"/>
        <v>-36.199999999999932</v>
      </c>
    </row>
    <row r="151" spans="1:4">
      <c r="A151" s="1">
        <f t="shared" si="7"/>
        <v>150</v>
      </c>
      <c r="B151" s="1">
        <v>649</v>
      </c>
      <c r="C151" s="2">
        <f t="shared" si="8"/>
        <v>619.9</v>
      </c>
      <c r="D151" s="3">
        <f t="shared" si="6"/>
        <v>-29.100000000000023</v>
      </c>
    </row>
    <row r="152" spans="1:4">
      <c r="A152" s="1">
        <f t="shared" si="7"/>
        <v>151</v>
      </c>
      <c r="B152" s="1">
        <v>698.1</v>
      </c>
      <c r="C152" s="2">
        <f t="shared" si="8"/>
        <v>649</v>
      </c>
      <c r="D152" s="3">
        <f t="shared" si="6"/>
        <v>-49.100000000000023</v>
      </c>
    </row>
    <row r="153" spans="1:4">
      <c r="A153" s="1">
        <f t="shared" si="7"/>
        <v>152</v>
      </c>
      <c r="B153" s="1">
        <v>630.20000000000005</v>
      </c>
      <c r="C153" s="2">
        <f t="shared" si="8"/>
        <v>698.1</v>
      </c>
      <c r="D153" s="3">
        <f t="shared" si="6"/>
        <v>67.899999999999977</v>
      </c>
    </row>
    <row r="154" spans="1:4">
      <c r="A154" s="1">
        <f t="shared" si="7"/>
        <v>153</v>
      </c>
      <c r="B154" s="1">
        <v>613.1</v>
      </c>
      <c r="C154" s="2">
        <f t="shared" si="8"/>
        <v>630.20000000000005</v>
      </c>
      <c r="D154" s="3">
        <f t="shared" si="6"/>
        <v>17.100000000000023</v>
      </c>
    </row>
    <row r="155" spans="1:4">
      <c r="A155" s="1">
        <f t="shared" si="7"/>
        <v>154</v>
      </c>
      <c r="B155" s="1">
        <v>622</v>
      </c>
      <c r="C155" s="2">
        <f t="shared" si="8"/>
        <v>613.1</v>
      </c>
      <c r="D155" s="3">
        <f t="shared" si="6"/>
        <v>-8.8999999999999773</v>
      </c>
    </row>
    <row r="156" spans="1:4">
      <c r="A156" s="1">
        <f t="shared" si="7"/>
        <v>155</v>
      </c>
      <c r="B156" s="1">
        <v>622.1</v>
      </c>
      <c r="C156" s="2">
        <f t="shared" si="8"/>
        <v>622</v>
      </c>
      <c r="D156" s="3">
        <f t="shared" si="6"/>
        <v>-0.10000000000002274</v>
      </c>
    </row>
    <row r="157" spans="1:4">
      <c r="A157" s="1">
        <f t="shared" si="7"/>
        <v>156</v>
      </c>
      <c r="B157" s="1">
        <v>583.1</v>
      </c>
      <c r="C157" s="2">
        <f t="shared" si="8"/>
        <v>622.1</v>
      </c>
      <c r="D157" s="3">
        <f t="shared" si="6"/>
        <v>39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157"/>
  <sheetViews>
    <sheetView workbookViewId="0">
      <selection activeCell="H30" sqref="H30"/>
    </sheetView>
  </sheetViews>
  <sheetFormatPr baseColWidth="10" defaultColWidth="8.83203125" defaultRowHeight="15"/>
  <cols>
    <col min="2" max="2" width="11.5" bestFit="1" customWidth="1"/>
    <col min="5" max="5" width="16.6640625" bestFit="1" customWidth="1"/>
    <col min="6" max="6" width="10.6640625" bestFit="1" customWidth="1"/>
    <col min="10" max="10" width="20.6640625" bestFit="1" customWidth="1"/>
  </cols>
  <sheetData>
    <row r="1" spans="1:10">
      <c r="A1" s="1" t="s">
        <v>163</v>
      </c>
      <c r="B1" s="1" t="s">
        <v>4</v>
      </c>
      <c r="C1" s="1" t="s">
        <v>168</v>
      </c>
      <c r="D1" s="1" t="s">
        <v>169</v>
      </c>
      <c r="E1" s="1" t="s">
        <v>170</v>
      </c>
      <c r="F1" s="2" t="s">
        <v>164</v>
      </c>
      <c r="G1" s="4" t="s">
        <v>165</v>
      </c>
    </row>
    <row r="2" spans="1:10">
      <c r="A2" s="1">
        <v>1</v>
      </c>
      <c r="B2" s="1">
        <v>447.8</v>
      </c>
      <c r="C2" s="1">
        <f>0.8687*A2+485.81</f>
        <v>486.67869999999999</v>
      </c>
      <c r="D2" s="1">
        <f>B2/C2</f>
        <v>0.92011423553157357</v>
      </c>
      <c r="E2" s="1">
        <f>AVERAGE(D2,D6,D10,D14,D18,D22,D26,D30,D34,D38,D42,D46,D50,D54,D58,D62,D66,D70,D74,D78,D82,D86,D90,D94,D98,D102,D106,D110,D114,D118,D122,D126,D130,D134,D138,D142,D146,D150,D154)</f>
        <v>0.99403512311612097</v>
      </c>
      <c r="F2" s="2">
        <f>C2*$E$2</f>
        <v>483.77572147249367</v>
      </c>
      <c r="G2" s="4">
        <f>B2-F2</f>
        <v>-35.97572147249366</v>
      </c>
      <c r="I2" s="2" t="s">
        <v>167</v>
      </c>
      <c r="J2" s="2">
        <f>SQRT(SUMSQ(G2:G157)/COUNTA(G2:G157))</f>
        <v>42.469114459369067</v>
      </c>
    </row>
    <row r="3" spans="1:10">
      <c r="A3" s="1">
        <f>A2+1</f>
        <v>2</v>
      </c>
      <c r="B3" s="1">
        <v>437.1</v>
      </c>
      <c r="C3" s="1">
        <f t="shared" ref="C3:C66" si="0">0.8687*A3+485.81</f>
        <v>487.54739999999998</v>
      </c>
      <c r="D3" s="1">
        <f t="shared" ref="D3:D66" si="1">B3/C3</f>
        <v>0.89652821448745301</v>
      </c>
      <c r="E3" s="1">
        <f t="shared" ref="E3:E5" si="2">AVERAGE(D3,D7,D11,D15,D19,D23,D27,D31,D35,D39,D43,D47,D51,D55,D59,D63,D67,D71,D75,D79,D83,D87,D91,D95,D99,D103,D107,D111,D115,D119,D123,D127,D131,D135,D139,D143,D147,D151,D155)</f>
        <v>1.0024859669329731</v>
      </c>
      <c r="F3" s="2">
        <f>C3*$E$3</f>
        <v>488.75942671465697</v>
      </c>
      <c r="G3" s="4">
        <f t="shared" ref="G3:G66" si="3">B3-F3</f>
        <v>-51.659426714656945</v>
      </c>
      <c r="I3" s="2" t="s">
        <v>168</v>
      </c>
      <c r="J3" s="2" t="s">
        <v>171</v>
      </c>
    </row>
    <row r="4" spans="1:10">
      <c r="A4" s="1">
        <f t="shared" ref="A4:A67" si="4">A3+1</f>
        <v>3</v>
      </c>
      <c r="B4" s="1">
        <v>479.7</v>
      </c>
      <c r="C4" s="1">
        <f t="shared" si="0"/>
        <v>488.41610000000003</v>
      </c>
      <c r="D4" s="1">
        <f t="shared" si="1"/>
        <v>0.98215435568155918</v>
      </c>
      <c r="E4" s="1">
        <f t="shared" si="2"/>
        <v>1.0015050374937817</v>
      </c>
      <c r="F4" s="2">
        <f>C4*$E$4</f>
        <v>489.15118454306668</v>
      </c>
      <c r="G4" s="4">
        <f t="shared" si="3"/>
        <v>-9.4511845430666881</v>
      </c>
    </row>
    <row r="5" spans="1:10">
      <c r="A5" s="1">
        <f t="shared" si="4"/>
        <v>4</v>
      </c>
      <c r="B5" s="1">
        <v>533.6</v>
      </c>
      <c r="C5" s="1">
        <f t="shared" si="0"/>
        <v>489.28480000000002</v>
      </c>
      <c r="D5" s="1">
        <f t="shared" si="1"/>
        <v>1.0905713809217046</v>
      </c>
      <c r="E5" s="1">
        <f t="shared" si="2"/>
        <v>1.0021607929307894</v>
      </c>
      <c r="F5" s="2">
        <f>C5*$E$5</f>
        <v>490.34204313698274</v>
      </c>
      <c r="G5" s="4">
        <f t="shared" si="3"/>
        <v>43.257956863017284</v>
      </c>
    </row>
    <row r="6" spans="1:10">
      <c r="A6" s="1">
        <f t="shared" si="4"/>
        <v>5</v>
      </c>
      <c r="B6" s="1">
        <v>535</v>
      </c>
      <c r="C6" s="1">
        <f t="shared" si="0"/>
        <v>490.15350000000001</v>
      </c>
      <c r="D6" s="1">
        <f t="shared" si="1"/>
        <v>1.0914948072389568</v>
      </c>
      <c r="E6" s="1"/>
      <c r="F6" s="2">
        <f>C6*$E$2</f>
        <v>487.22979471829763</v>
      </c>
      <c r="G6" s="4">
        <f t="shared" si="3"/>
        <v>47.770205281702374</v>
      </c>
    </row>
    <row r="7" spans="1:10">
      <c r="A7" s="1">
        <f t="shared" si="4"/>
        <v>6</v>
      </c>
      <c r="B7" s="1">
        <v>560.20000000000005</v>
      </c>
      <c r="C7" s="1">
        <f t="shared" si="0"/>
        <v>491.0222</v>
      </c>
      <c r="D7" s="1">
        <f t="shared" si="1"/>
        <v>1.1408852797286966</v>
      </c>
      <c r="E7" s="1"/>
      <c r="F7" s="2">
        <f>C7*$E$3</f>
        <v>492.24286495255569</v>
      </c>
      <c r="G7" s="4">
        <f t="shared" si="3"/>
        <v>67.957135047444353</v>
      </c>
    </row>
    <row r="8" spans="1:10">
      <c r="A8" s="1">
        <f t="shared" si="4"/>
        <v>7</v>
      </c>
      <c r="B8" s="1">
        <v>537.4</v>
      </c>
      <c r="C8" s="1">
        <f t="shared" si="0"/>
        <v>491.89089999999999</v>
      </c>
      <c r="D8" s="1">
        <f t="shared" si="1"/>
        <v>1.0925186865624064</v>
      </c>
      <c r="E8" s="1"/>
      <c r="F8" s="2">
        <f>C8*$E$4</f>
        <v>492.63121424735004</v>
      </c>
      <c r="G8" s="4">
        <f t="shared" si="3"/>
        <v>44.768785752649933</v>
      </c>
    </row>
    <row r="9" spans="1:10">
      <c r="A9" s="1">
        <f t="shared" si="4"/>
        <v>8</v>
      </c>
      <c r="B9" s="1">
        <v>528.79999999999995</v>
      </c>
      <c r="C9" s="1">
        <f t="shared" si="0"/>
        <v>492.75959999999998</v>
      </c>
      <c r="D9" s="1">
        <f t="shared" si="1"/>
        <v>1.0731399246204436</v>
      </c>
      <c r="E9" s="1"/>
      <c r="F9" s="2">
        <f>C9*$E$5</f>
        <v>493.82435146025858</v>
      </c>
      <c r="G9" s="4">
        <f t="shared" si="3"/>
        <v>34.975648539741371</v>
      </c>
    </row>
    <row r="10" spans="1:10">
      <c r="A10" s="1">
        <f t="shared" si="4"/>
        <v>9</v>
      </c>
      <c r="B10" s="1">
        <v>516.29999999999995</v>
      </c>
      <c r="C10" s="1">
        <f t="shared" si="0"/>
        <v>493.62830000000002</v>
      </c>
      <c r="D10" s="1">
        <f t="shared" si="1"/>
        <v>1.0459286876380465</v>
      </c>
      <c r="E10" s="1"/>
      <c r="F10" s="2">
        <f>C10*$E$2</f>
        <v>490.68386796410152</v>
      </c>
      <c r="G10" s="4">
        <f t="shared" si="3"/>
        <v>25.616132035898431</v>
      </c>
    </row>
    <row r="11" spans="1:10">
      <c r="A11" s="1">
        <f t="shared" si="4"/>
        <v>10</v>
      </c>
      <c r="B11" s="1">
        <v>520</v>
      </c>
      <c r="C11" s="1">
        <f t="shared" si="0"/>
        <v>494.49700000000001</v>
      </c>
      <c r="D11" s="1">
        <f t="shared" si="1"/>
        <v>1.0515736192535041</v>
      </c>
      <c r="E11" s="1"/>
      <c r="F11" s="2">
        <f>C11*$E$3</f>
        <v>495.72630319045442</v>
      </c>
      <c r="G11" s="4">
        <f t="shared" si="3"/>
        <v>24.273696809545584</v>
      </c>
    </row>
    <row r="12" spans="1:10">
      <c r="A12" s="1">
        <f t="shared" si="4"/>
        <v>11</v>
      </c>
      <c r="B12" s="1">
        <v>518.6</v>
      </c>
      <c r="C12" s="1">
        <f t="shared" si="0"/>
        <v>495.3657</v>
      </c>
      <c r="D12" s="1">
        <f t="shared" si="1"/>
        <v>1.0469033281876401</v>
      </c>
      <c r="E12" s="1"/>
      <c r="F12" s="2">
        <f>C12*$E$4</f>
        <v>496.11124395163341</v>
      </c>
      <c r="G12" s="4">
        <f t="shared" si="3"/>
        <v>22.488756048366611</v>
      </c>
    </row>
    <row r="13" spans="1:10">
      <c r="A13" s="1">
        <f t="shared" si="4"/>
        <v>12</v>
      </c>
      <c r="B13" s="1">
        <v>478</v>
      </c>
      <c r="C13" s="1">
        <f t="shared" si="0"/>
        <v>496.23439999999999</v>
      </c>
      <c r="D13" s="1">
        <f t="shared" si="1"/>
        <v>0.96325446200424636</v>
      </c>
      <c r="E13" s="1"/>
      <c r="F13" s="2">
        <f>C13*$E$5</f>
        <v>497.30665978353454</v>
      </c>
      <c r="G13" s="4">
        <f t="shared" si="3"/>
        <v>-19.306659783534542</v>
      </c>
    </row>
    <row r="14" spans="1:10">
      <c r="A14" s="1">
        <f t="shared" si="4"/>
        <v>13</v>
      </c>
      <c r="B14" s="1">
        <v>465.5</v>
      </c>
      <c r="C14" s="1">
        <f t="shared" si="0"/>
        <v>497.10309999999998</v>
      </c>
      <c r="D14" s="1">
        <f t="shared" si="1"/>
        <v>0.93642546184081332</v>
      </c>
      <c r="E14" s="1"/>
      <c r="F14" s="2">
        <f>C14*$E$2</f>
        <v>494.13794120990536</v>
      </c>
      <c r="G14" s="4">
        <f t="shared" si="3"/>
        <v>-28.637941209905364</v>
      </c>
    </row>
    <row r="15" spans="1:10">
      <c r="A15" s="1">
        <f t="shared" si="4"/>
        <v>14</v>
      </c>
      <c r="B15" s="1">
        <v>452.3</v>
      </c>
      <c r="C15" s="1">
        <f t="shared" si="0"/>
        <v>497.97180000000003</v>
      </c>
      <c r="D15" s="1">
        <f t="shared" si="1"/>
        <v>0.90828436469695673</v>
      </c>
      <c r="E15" s="1"/>
      <c r="F15" s="2">
        <f>C15*$E$3</f>
        <v>499.20974142835314</v>
      </c>
      <c r="G15" s="4">
        <f t="shared" si="3"/>
        <v>-46.909741428353129</v>
      </c>
    </row>
    <row r="16" spans="1:10">
      <c r="A16" s="1">
        <f t="shared" si="4"/>
        <v>15</v>
      </c>
      <c r="B16" s="1">
        <v>470</v>
      </c>
      <c r="C16" s="1">
        <f t="shared" si="0"/>
        <v>498.84050000000002</v>
      </c>
      <c r="D16" s="1">
        <f t="shared" si="1"/>
        <v>0.94218492684535438</v>
      </c>
      <c r="E16" s="1"/>
      <c r="F16" s="2">
        <f>C16*$E$4</f>
        <v>499.59127365591684</v>
      </c>
      <c r="G16" s="4">
        <f t="shared" si="3"/>
        <v>-29.591273655916837</v>
      </c>
    </row>
    <row r="17" spans="1:7">
      <c r="A17" s="1">
        <f t="shared" si="4"/>
        <v>16</v>
      </c>
      <c r="B17" s="1">
        <v>511.3</v>
      </c>
      <c r="C17" s="1">
        <f t="shared" si="0"/>
        <v>499.70920000000001</v>
      </c>
      <c r="D17" s="1">
        <f t="shared" si="1"/>
        <v>1.0231950902644977</v>
      </c>
      <c r="E17" s="1"/>
      <c r="F17" s="2">
        <f>C17*$E$5</f>
        <v>500.78896810681044</v>
      </c>
      <c r="G17" s="4">
        <f t="shared" si="3"/>
        <v>10.511031893189568</v>
      </c>
    </row>
    <row r="18" spans="1:7">
      <c r="A18" s="1">
        <f t="shared" si="4"/>
        <v>17</v>
      </c>
      <c r="B18" s="1">
        <v>522</v>
      </c>
      <c r="C18" s="1">
        <f t="shared" si="0"/>
        <v>500.5779</v>
      </c>
      <c r="D18" s="1">
        <f t="shared" si="1"/>
        <v>1.0427947378420022</v>
      </c>
      <c r="E18" s="1"/>
      <c r="F18" s="2">
        <f>C18*$E$2</f>
        <v>497.59201445570926</v>
      </c>
      <c r="G18" s="4">
        <f t="shared" si="3"/>
        <v>24.407985544290739</v>
      </c>
    </row>
    <row r="19" spans="1:7">
      <c r="A19" s="1">
        <f t="shared" si="4"/>
        <v>18</v>
      </c>
      <c r="B19" s="1">
        <v>533.20000000000005</v>
      </c>
      <c r="C19" s="1">
        <f t="shared" si="0"/>
        <v>501.44659999999999</v>
      </c>
      <c r="D19" s="1">
        <f t="shared" si="1"/>
        <v>1.0633235921830959</v>
      </c>
      <c r="E19" s="1"/>
      <c r="F19" s="2">
        <f>C19*$E$3</f>
        <v>502.69317966625175</v>
      </c>
      <c r="G19" s="4">
        <f t="shared" si="3"/>
        <v>30.506820333748294</v>
      </c>
    </row>
    <row r="20" spans="1:7">
      <c r="A20" s="1">
        <f t="shared" si="4"/>
        <v>19</v>
      </c>
      <c r="B20" s="1">
        <v>513.20000000000005</v>
      </c>
      <c r="C20" s="1">
        <f t="shared" si="0"/>
        <v>502.31529999999998</v>
      </c>
      <c r="D20" s="1">
        <f t="shared" si="1"/>
        <v>1.0216690592542175</v>
      </c>
      <c r="E20" s="1"/>
      <c r="F20" s="2">
        <f>C20*$E$4</f>
        <v>503.0713033602002</v>
      </c>
      <c r="G20" s="4">
        <f t="shared" si="3"/>
        <v>10.128696639799841</v>
      </c>
    </row>
    <row r="21" spans="1:7">
      <c r="A21" s="1">
        <f t="shared" si="4"/>
        <v>20</v>
      </c>
      <c r="B21" s="1">
        <v>544.20000000000005</v>
      </c>
      <c r="C21" s="1">
        <f t="shared" si="0"/>
        <v>503.18400000000003</v>
      </c>
      <c r="D21" s="1">
        <f t="shared" si="1"/>
        <v>1.0815129256892111</v>
      </c>
      <c r="E21" s="1"/>
      <c r="F21" s="2">
        <f>C21*$E$5</f>
        <v>504.27127643008635</v>
      </c>
      <c r="G21" s="4">
        <f t="shared" si="3"/>
        <v>39.9287235699137</v>
      </c>
    </row>
    <row r="22" spans="1:7">
      <c r="A22" s="1">
        <f t="shared" si="4"/>
        <v>21</v>
      </c>
      <c r="B22" s="1">
        <v>541.4</v>
      </c>
      <c r="C22" s="1">
        <f t="shared" si="0"/>
        <v>504.05270000000002</v>
      </c>
      <c r="D22" s="1">
        <f t="shared" si="1"/>
        <v>1.074094038182912</v>
      </c>
      <c r="E22" s="1"/>
      <c r="F22" s="2">
        <f>C22*$E$2</f>
        <v>501.04608770151322</v>
      </c>
      <c r="G22" s="4">
        <f t="shared" si="3"/>
        <v>40.353912298486762</v>
      </c>
    </row>
    <row r="23" spans="1:7">
      <c r="A23" s="1">
        <f t="shared" si="4"/>
        <v>22</v>
      </c>
      <c r="B23" s="1">
        <v>525.70000000000005</v>
      </c>
      <c r="C23" s="1">
        <f t="shared" si="0"/>
        <v>504.92140000000001</v>
      </c>
      <c r="D23" s="1">
        <f t="shared" si="1"/>
        <v>1.0411521476411973</v>
      </c>
      <c r="E23" s="1"/>
      <c r="F23" s="2">
        <f>C23*$E$3</f>
        <v>506.17661790415048</v>
      </c>
      <c r="G23" s="4">
        <f t="shared" si="3"/>
        <v>19.52338209584957</v>
      </c>
    </row>
    <row r="24" spans="1:7">
      <c r="A24" s="1">
        <f t="shared" si="4"/>
        <v>23</v>
      </c>
      <c r="B24" s="1">
        <v>535.20000000000005</v>
      </c>
      <c r="C24" s="1">
        <f t="shared" si="0"/>
        <v>505.7901</v>
      </c>
      <c r="D24" s="1">
        <f t="shared" si="1"/>
        <v>1.0581464524513233</v>
      </c>
      <c r="E24" s="1"/>
      <c r="F24" s="2">
        <f>C24*$E$4</f>
        <v>506.55133306448363</v>
      </c>
      <c r="G24" s="4">
        <f t="shared" si="3"/>
        <v>28.648666935516417</v>
      </c>
    </row>
    <row r="25" spans="1:7">
      <c r="A25" s="1">
        <f t="shared" si="4"/>
        <v>24</v>
      </c>
      <c r="B25" s="1">
        <v>495</v>
      </c>
      <c r="C25" s="1">
        <f t="shared" si="0"/>
        <v>506.65879999999999</v>
      </c>
      <c r="D25" s="1">
        <f t="shared" si="1"/>
        <v>0.97698885324798468</v>
      </c>
      <c r="E25" s="1"/>
      <c r="F25" s="2">
        <f>C25*$E$5</f>
        <v>507.75358475336225</v>
      </c>
      <c r="G25" s="4">
        <f t="shared" si="3"/>
        <v>-12.753584753362247</v>
      </c>
    </row>
    <row r="26" spans="1:7">
      <c r="A26" s="1">
        <f t="shared" si="4"/>
        <v>25</v>
      </c>
      <c r="B26" s="1">
        <v>473.6</v>
      </c>
      <c r="C26" s="1">
        <f t="shared" si="0"/>
        <v>507.52750000000003</v>
      </c>
      <c r="D26" s="1">
        <f t="shared" si="1"/>
        <v>0.93315140558885967</v>
      </c>
      <c r="E26" s="1"/>
      <c r="F26" s="2">
        <f>C26*$E$2</f>
        <v>504.50016094731711</v>
      </c>
      <c r="G26" s="4">
        <f t="shared" si="3"/>
        <v>-30.90016094731709</v>
      </c>
    </row>
    <row r="27" spans="1:7">
      <c r="A27" s="1">
        <f t="shared" si="4"/>
        <v>26</v>
      </c>
      <c r="B27" s="1">
        <v>444.4</v>
      </c>
      <c r="C27" s="1">
        <f t="shared" si="0"/>
        <v>508.39620000000002</v>
      </c>
      <c r="D27" s="1">
        <f t="shared" si="1"/>
        <v>0.87412140373983904</v>
      </c>
      <c r="E27" s="1"/>
      <c r="F27" s="2">
        <f>C27*$E$3</f>
        <v>509.6600561420492</v>
      </c>
      <c r="G27" s="4">
        <f t="shared" si="3"/>
        <v>-65.260056142049223</v>
      </c>
    </row>
    <row r="28" spans="1:7">
      <c r="A28" s="1">
        <f t="shared" si="4"/>
        <v>27</v>
      </c>
      <c r="B28" s="1">
        <v>451.8</v>
      </c>
      <c r="C28" s="1">
        <f t="shared" si="0"/>
        <v>509.26490000000001</v>
      </c>
      <c r="D28" s="1">
        <f t="shared" si="1"/>
        <v>0.88716108257215454</v>
      </c>
      <c r="E28" s="1"/>
      <c r="F28" s="2">
        <f>C28*$E$4</f>
        <v>510.031362768767</v>
      </c>
      <c r="G28" s="4">
        <f t="shared" si="3"/>
        <v>-58.231362768766985</v>
      </c>
    </row>
    <row r="29" spans="1:7">
      <c r="A29" s="1">
        <f t="shared" si="4"/>
        <v>28</v>
      </c>
      <c r="B29" s="1">
        <v>511</v>
      </c>
      <c r="C29" s="1">
        <f t="shared" si="0"/>
        <v>510.1336</v>
      </c>
      <c r="D29" s="1">
        <f t="shared" si="1"/>
        <v>1.0016983786208162</v>
      </c>
      <c r="E29" s="1"/>
      <c r="F29" s="2">
        <f>C29*$E$5</f>
        <v>511.23589307663815</v>
      </c>
      <c r="G29" s="4">
        <f t="shared" si="3"/>
        <v>-0.23589307663814907</v>
      </c>
    </row>
    <row r="30" spans="1:7">
      <c r="A30" s="1">
        <f t="shared" si="4"/>
        <v>29</v>
      </c>
      <c r="B30" s="1">
        <v>542.79999999999995</v>
      </c>
      <c r="C30" s="1">
        <f t="shared" si="0"/>
        <v>511.00229999999999</v>
      </c>
      <c r="D30" s="1">
        <f t="shared" si="1"/>
        <v>1.0622261387081819</v>
      </c>
      <c r="E30" s="1"/>
      <c r="F30" s="2">
        <f>C30*$E$2</f>
        <v>507.95423419312095</v>
      </c>
      <c r="G30" s="4">
        <f t="shared" si="3"/>
        <v>34.845765806879001</v>
      </c>
    </row>
    <row r="31" spans="1:7">
      <c r="A31" s="1">
        <f t="shared" si="4"/>
        <v>30</v>
      </c>
      <c r="B31" s="1">
        <v>556</v>
      </c>
      <c r="C31" s="1">
        <f t="shared" si="0"/>
        <v>511.87099999999998</v>
      </c>
      <c r="D31" s="1">
        <f t="shared" si="1"/>
        <v>1.0862111742997749</v>
      </c>
      <c r="E31" s="1"/>
      <c r="F31" s="2">
        <f>C31*$E$3</f>
        <v>513.14349437994781</v>
      </c>
      <c r="G31" s="4">
        <f t="shared" si="3"/>
        <v>42.856505620052189</v>
      </c>
    </row>
    <row r="32" spans="1:7">
      <c r="A32" s="1">
        <f t="shared" si="4"/>
        <v>31</v>
      </c>
      <c r="B32" s="1">
        <v>563.1</v>
      </c>
      <c r="C32" s="1">
        <f t="shared" si="0"/>
        <v>512.73969999999997</v>
      </c>
      <c r="D32" s="1">
        <f t="shared" si="1"/>
        <v>1.0982180626934097</v>
      </c>
      <c r="E32" s="1"/>
      <c r="F32" s="2">
        <f>C32*$E$4</f>
        <v>513.51139247305036</v>
      </c>
      <c r="G32" s="4">
        <f t="shared" si="3"/>
        <v>49.588607526949659</v>
      </c>
    </row>
    <row r="33" spans="1:7">
      <c r="A33" s="1">
        <f t="shared" si="4"/>
        <v>32</v>
      </c>
      <c r="B33" s="1">
        <v>555</v>
      </c>
      <c r="C33" s="1">
        <f t="shared" si="0"/>
        <v>513.60839999999996</v>
      </c>
      <c r="D33" s="1">
        <f t="shared" si="1"/>
        <v>1.0805898034377943</v>
      </c>
      <c r="E33" s="1"/>
      <c r="F33" s="2">
        <f>C33*$E$5</f>
        <v>514.71820139991405</v>
      </c>
      <c r="G33" s="4">
        <f t="shared" si="3"/>
        <v>40.281798600085949</v>
      </c>
    </row>
    <row r="34" spans="1:7">
      <c r="A34" s="1">
        <f t="shared" si="4"/>
        <v>33</v>
      </c>
      <c r="B34" s="1">
        <v>513.6</v>
      </c>
      <c r="C34" s="1">
        <f t="shared" si="0"/>
        <v>514.47709999999995</v>
      </c>
      <c r="D34" s="1">
        <f t="shared" si="1"/>
        <v>0.99829516221421721</v>
      </c>
      <c r="E34" s="1"/>
      <c r="F34" s="2">
        <f>C34*$E$2</f>
        <v>511.40830743892485</v>
      </c>
      <c r="G34" s="4">
        <f t="shared" si="3"/>
        <v>2.1916925610751719</v>
      </c>
    </row>
    <row r="35" spans="1:7">
      <c r="A35" s="1">
        <f t="shared" si="4"/>
        <v>34</v>
      </c>
      <c r="B35" s="1">
        <v>514.70000000000005</v>
      </c>
      <c r="C35" s="1">
        <f t="shared" si="0"/>
        <v>515.34580000000005</v>
      </c>
      <c r="D35" s="1">
        <f t="shared" si="1"/>
        <v>0.99874686084566899</v>
      </c>
      <c r="E35" s="1"/>
      <c r="F35" s="2">
        <f>C35*$E$3</f>
        <v>516.62693261784659</v>
      </c>
      <c r="G35" s="4">
        <f t="shared" si="3"/>
        <v>-1.9269326178465462</v>
      </c>
    </row>
    <row r="36" spans="1:7">
      <c r="A36" s="1">
        <f t="shared" si="4"/>
        <v>35</v>
      </c>
      <c r="B36" s="1">
        <v>547.9</v>
      </c>
      <c r="C36" s="1">
        <f t="shared" si="0"/>
        <v>516.21450000000004</v>
      </c>
      <c r="D36" s="1">
        <f t="shared" si="1"/>
        <v>1.0613804920241487</v>
      </c>
      <c r="E36" s="1"/>
      <c r="F36" s="2">
        <f>C36*$E$4</f>
        <v>516.99142217733379</v>
      </c>
      <c r="G36" s="4">
        <f t="shared" si="3"/>
        <v>30.908577822666189</v>
      </c>
    </row>
    <row r="37" spans="1:7">
      <c r="A37" s="1">
        <f t="shared" si="4"/>
        <v>36</v>
      </c>
      <c r="B37" s="1">
        <v>489.9</v>
      </c>
      <c r="C37" s="1">
        <f t="shared" si="0"/>
        <v>517.08320000000003</v>
      </c>
      <c r="D37" s="1">
        <f t="shared" si="1"/>
        <v>0.94742973664586272</v>
      </c>
      <c r="E37" s="1"/>
      <c r="F37" s="2">
        <f>C37*$E$5</f>
        <v>518.20050972318995</v>
      </c>
      <c r="G37" s="4">
        <f t="shared" si="3"/>
        <v>-28.300509723189975</v>
      </c>
    </row>
    <row r="38" spans="1:7">
      <c r="A38" s="1">
        <f t="shared" si="4"/>
        <v>37</v>
      </c>
      <c r="B38" s="1">
        <v>467.1</v>
      </c>
      <c r="C38" s="1">
        <f t="shared" si="0"/>
        <v>517.95190000000002</v>
      </c>
      <c r="D38" s="1">
        <f t="shared" si="1"/>
        <v>0.90182119227673463</v>
      </c>
      <c r="E38" s="1"/>
      <c r="F38" s="2">
        <f>C38*$E$2</f>
        <v>514.86238068472881</v>
      </c>
      <c r="G38" s="4">
        <f t="shared" si="3"/>
        <v>-47.762380684728782</v>
      </c>
    </row>
    <row r="39" spans="1:7">
      <c r="A39" s="1">
        <f t="shared" si="4"/>
        <v>38</v>
      </c>
      <c r="B39" s="1">
        <v>472.7</v>
      </c>
      <c r="C39" s="1">
        <f t="shared" si="0"/>
        <v>518.82060000000001</v>
      </c>
      <c r="D39" s="1">
        <f t="shared" si="1"/>
        <v>0.91110491757651868</v>
      </c>
      <c r="E39" s="1"/>
      <c r="F39" s="2">
        <f>C39*$E$3</f>
        <v>520.11037085574526</v>
      </c>
      <c r="G39" s="4">
        <f t="shared" si="3"/>
        <v>-47.410370855745271</v>
      </c>
    </row>
    <row r="40" spans="1:7">
      <c r="A40" s="1">
        <f t="shared" si="4"/>
        <v>39</v>
      </c>
      <c r="B40" s="1">
        <v>449.5</v>
      </c>
      <c r="C40" s="1">
        <f t="shared" si="0"/>
        <v>519.6893</v>
      </c>
      <c r="D40" s="1">
        <f t="shared" si="1"/>
        <v>0.86493987850048093</v>
      </c>
      <c r="E40" s="1"/>
      <c r="F40" s="2">
        <f>C40*$E$4</f>
        <v>520.47145188161721</v>
      </c>
      <c r="G40" s="4">
        <f t="shared" si="3"/>
        <v>-70.971451881617213</v>
      </c>
    </row>
    <row r="41" spans="1:7">
      <c r="A41" s="1">
        <f t="shared" si="4"/>
        <v>40</v>
      </c>
      <c r="B41" s="1">
        <v>491.5</v>
      </c>
      <c r="C41" s="1">
        <f t="shared" si="0"/>
        <v>520.55799999999999</v>
      </c>
      <c r="D41" s="1">
        <f t="shared" si="1"/>
        <v>0.94417913085573557</v>
      </c>
      <c r="E41" s="1"/>
      <c r="F41" s="2">
        <f>C41*$E$5</f>
        <v>521.68281804646585</v>
      </c>
      <c r="G41" s="4">
        <f t="shared" si="3"/>
        <v>-30.182818046465854</v>
      </c>
    </row>
    <row r="42" spans="1:7">
      <c r="A42" s="1">
        <f t="shared" si="4"/>
        <v>41</v>
      </c>
      <c r="B42" s="1">
        <v>544</v>
      </c>
      <c r="C42" s="1">
        <f t="shared" si="0"/>
        <v>521.42669999999998</v>
      </c>
      <c r="D42" s="1">
        <f t="shared" si="1"/>
        <v>1.0432914156486426</v>
      </c>
      <c r="E42" s="1"/>
      <c r="F42" s="2">
        <f>C42*$E$2</f>
        <v>518.3164539305327</v>
      </c>
      <c r="G42" s="4">
        <f t="shared" si="3"/>
        <v>25.683546069467297</v>
      </c>
    </row>
    <row r="43" spans="1:7">
      <c r="A43" s="1">
        <f t="shared" si="4"/>
        <v>42</v>
      </c>
      <c r="B43" s="1">
        <v>572.5</v>
      </c>
      <c r="C43" s="1">
        <f t="shared" si="0"/>
        <v>522.29539999999997</v>
      </c>
      <c r="D43" s="1">
        <f t="shared" si="1"/>
        <v>1.0961229985942822</v>
      </c>
      <c r="E43" s="1"/>
      <c r="F43" s="2">
        <f>C43*$E$3</f>
        <v>523.59380909364393</v>
      </c>
      <c r="G43" s="4">
        <f t="shared" si="3"/>
        <v>48.906190906356073</v>
      </c>
    </row>
    <row r="44" spans="1:7">
      <c r="A44" s="1">
        <f t="shared" si="4"/>
        <v>43</v>
      </c>
      <c r="B44" s="1">
        <v>525.79999999999995</v>
      </c>
      <c r="C44" s="1">
        <f t="shared" si="0"/>
        <v>523.16409999999996</v>
      </c>
      <c r="D44" s="1">
        <f t="shared" si="1"/>
        <v>1.0050383808827861</v>
      </c>
      <c r="E44" s="1"/>
      <c r="F44" s="2">
        <f>C44*$E$4</f>
        <v>523.95148158590052</v>
      </c>
      <c r="G44" s="4">
        <f t="shared" si="3"/>
        <v>1.8485184140994306</v>
      </c>
    </row>
    <row r="45" spans="1:7">
      <c r="A45" s="1">
        <f t="shared" si="4"/>
        <v>44</v>
      </c>
      <c r="B45" s="1">
        <v>510.1</v>
      </c>
      <c r="C45" s="1">
        <f t="shared" si="0"/>
        <v>524.03279999999995</v>
      </c>
      <c r="D45" s="1">
        <f t="shared" si="1"/>
        <v>0.9734123512879348</v>
      </c>
      <c r="E45" s="1"/>
      <c r="F45" s="2">
        <f>C45*$E$5</f>
        <v>525.16512636974176</v>
      </c>
      <c r="G45" s="4">
        <f t="shared" si="3"/>
        <v>-15.065126369741733</v>
      </c>
    </row>
    <row r="46" spans="1:7">
      <c r="A46" s="1">
        <f t="shared" si="4"/>
        <v>45</v>
      </c>
      <c r="B46" s="1">
        <v>519.1</v>
      </c>
      <c r="C46" s="1">
        <f t="shared" si="0"/>
        <v>524.90150000000006</v>
      </c>
      <c r="D46" s="1">
        <f t="shared" si="1"/>
        <v>0.98894745014064533</v>
      </c>
      <c r="E46" s="1"/>
      <c r="F46" s="2">
        <f>C46*$E$2</f>
        <v>521.7705271763366</v>
      </c>
      <c r="G46" s="4">
        <f t="shared" si="3"/>
        <v>-2.6705271763365772</v>
      </c>
    </row>
    <row r="47" spans="1:7">
      <c r="A47" s="1">
        <f t="shared" si="4"/>
        <v>46</v>
      </c>
      <c r="B47" s="1">
        <v>522.1</v>
      </c>
      <c r="C47" s="1">
        <f t="shared" si="0"/>
        <v>525.77020000000005</v>
      </c>
      <c r="D47" s="1">
        <f t="shared" si="1"/>
        <v>0.99301938375358656</v>
      </c>
      <c r="E47" s="1"/>
      <c r="F47" s="2">
        <f>C47*$E$3</f>
        <v>527.07724733154271</v>
      </c>
      <c r="G47" s="4">
        <f t="shared" si="3"/>
        <v>-4.9772473315426851</v>
      </c>
    </row>
    <row r="48" spans="1:7">
      <c r="A48" s="1">
        <f t="shared" si="4"/>
        <v>47</v>
      </c>
      <c r="B48" s="1">
        <v>535.6</v>
      </c>
      <c r="C48" s="1">
        <f t="shared" si="0"/>
        <v>526.63890000000004</v>
      </c>
      <c r="D48" s="1">
        <f t="shared" si="1"/>
        <v>1.0170156439260374</v>
      </c>
      <c r="E48" s="1"/>
      <c r="F48" s="2">
        <f>C48*$E$4</f>
        <v>527.43151129018395</v>
      </c>
      <c r="G48" s="4">
        <f t="shared" si="3"/>
        <v>8.1684887098160743</v>
      </c>
    </row>
    <row r="49" spans="1:7">
      <c r="A49" s="1">
        <f t="shared" si="4"/>
        <v>48</v>
      </c>
      <c r="B49" s="1">
        <v>484</v>
      </c>
      <c r="C49" s="1">
        <f t="shared" si="0"/>
        <v>527.50760000000002</v>
      </c>
      <c r="D49" s="1">
        <f t="shared" si="1"/>
        <v>0.91752232574469061</v>
      </c>
      <c r="E49" s="1"/>
      <c r="F49" s="2">
        <f>C49*$E$5</f>
        <v>528.64743469301766</v>
      </c>
      <c r="G49" s="4">
        <f t="shared" si="3"/>
        <v>-44.647434693017658</v>
      </c>
    </row>
    <row r="50" spans="1:7">
      <c r="A50" s="1">
        <f t="shared" si="4"/>
        <v>49</v>
      </c>
      <c r="B50" s="1">
        <v>476.4</v>
      </c>
      <c r="C50" s="1">
        <f t="shared" si="0"/>
        <v>528.37630000000001</v>
      </c>
      <c r="D50" s="1">
        <f t="shared" si="1"/>
        <v>0.9016301450311075</v>
      </c>
      <c r="E50" s="1"/>
      <c r="F50" s="2">
        <f>C50*$E$2</f>
        <v>525.2246004221405</v>
      </c>
      <c r="G50" s="4">
        <f t="shared" si="3"/>
        <v>-48.82460042214052</v>
      </c>
    </row>
    <row r="51" spans="1:7">
      <c r="A51" s="1">
        <f t="shared" si="4"/>
        <v>50</v>
      </c>
      <c r="B51" s="1">
        <v>460.5</v>
      </c>
      <c r="C51" s="1">
        <f t="shared" si="0"/>
        <v>529.245</v>
      </c>
      <c r="D51" s="1">
        <f t="shared" si="1"/>
        <v>0.87010741716974183</v>
      </c>
      <c r="E51" s="1"/>
      <c r="F51" s="2">
        <f>C51*$E$3</f>
        <v>530.56068556944138</v>
      </c>
      <c r="G51" s="4">
        <f t="shared" si="3"/>
        <v>-70.060685569441375</v>
      </c>
    </row>
    <row r="52" spans="1:7">
      <c r="A52" s="1">
        <f t="shared" si="4"/>
        <v>51</v>
      </c>
      <c r="B52" s="1">
        <v>461.2</v>
      </c>
      <c r="C52" s="1">
        <f t="shared" si="0"/>
        <v>530.11369999999999</v>
      </c>
      <c r="D52" s="1">
        <f t="shared" si="1"/>
        <v>0.8700020391851786</v>
      </c>
      <c r="E52" s="1"/>
      <c r="F52" s="2">
        <f>C52*$E$4</f>
        <v>530.91154099446737</v>
      </c>
      <c r="G52" s="4">
        <f t="shared" si="3"/>
        <v>-69.711540994467384</v>
      </c>
    </row>
    <row r="53" spans="1:7">
      <c r="A53" s="1">
        <f t="shared" si="4"/>
        <v>52</v>
      </c>
      <c r="B53" s="1">
        <v>510.5</v>
      </c>
      <c r="C53" s="1">
        <f t="shared" si="0"/>
        <v>530.98239999999998</v>
      </c>
      <c r="D53" s="1">
        <f t="shared" si="1"/>
        <v>0.96142546344285618</v>
      </c>
      <c r="E53" s="1"/>
      <c r="F53" s="2">
        <f>C53*$E$5</f>
        <v>532.12974301629356</v>
      </c>
      <c r="G53" s="4">
        <f t="shared" si="3"/>
        <v>-21.62974301629356</v>
      </c>
    </row>
    <row r="54" spans="1:7">
      <c r="A54" s="1">
        <f t="shared" si="4"/>
        <v>53</v>
      </c>
      <c r="B54" s="1">
        <v>556.6</v>
      </c>
      <c r="C54" s="1">
        <f t="shared" si="0"/>
        <v>531.85109999999997</v>
      </c>
      <c r="D54" s="1">
        <f t="shared" si="1"/>
        <v>1.0465335128572641</v>
      </c>
      <c r="E54" s="1"/>
      <c r="F54" s="2">
        <f>C54*$E$2</f>
        <v>528.67867366794439</v>
      </c>
      <c r="G54" s="4">
        <f t="shared" si="3"/>
        <v>27.921326332055628</v>
      </c>
    </row>
    <row r="55" spans="1:7">
      <c r="A55" s="1">
        <f t="shared" si="4"/>
        <v>54</v>
      </c>
      <c r="B55" s="1">
        <v>609.5</v>
      </c>
      <c r="C55" s="1">
        <f t="shared" si="0"/>
        <v>532.71979999999996</v>
      </c>
      <c r="D55" s="1">
        <f t="shared" si="1"/>
        <v>1.1441286770268349</v>
      </c>
      <c r="E55" s="1"/>
      <c r="F55" s="2">
        <f>C55*$E$3</f>
        <v>534.04412380734004</v>
      </c>
      <c r="G55" s="4">
        <f t="shared" si="3"/>
        <v>75.455876192659957</v>
      </c>
    </row>
    <row r="56" spans="1:7">
      <c r="A56" s="1">
        <f t="shared" si="4"/>
        <v>55</v>
      </c>
      <c r="B56" s="1">
        <v>592.70000000000005</v>
      </c>
      <c r="C56" s="1">
        <f t="shared" si="0"/>
        <v>533.58849999999995</v>
      </c>
      <c r="D56" s="1">
        <f t="shared" si="1"/>
        <v>1.110781060686278</v>
      </c>
      <c r="E56" s="1"/>
      <c r="F56" s="2">
        <f>C56*$E$4</f>
        <v>534.39157069875068</v>
      </c>
      <c r="G56" s="4">
        <f t="shared" si="3"/>
        <v>58.308429301249362</v>
      </c>
    </row>
    <row r="57" spans="1:7">
      <c r="A57" s="1">
        <f t="shared" si="4"/>
        <v>56</v>
      </c>
      <c r="B57" s="1">
        <v>572.1</v>
      </c>
      <c r="C57" s="1">
        <f t="shared" si="0"/>
        <v>534.45720000000006</v>
      </c>
      <c r="D57" s="1">
        <f t="shared" si="1"/>
        <v>1.0704318325209201</v>
      </c>
      <c r="E57" s="1"/>
      <c r="F57" s="2">
        <f>C57*$E$5</f>
        <v>535.61205133956958</v>
      </c>
      <c r="G57" s="4">
        <f t="shared" si="3"/>
        <v>36.487948660430447</v>
      </c>
    </row>
    <row r="58" spans="1:7">
      <c r="A58" s="1">
        <f t="shared" si="4"/>
        <v>57</v>
      </c>
      <c r="B58" s="1">
        <v>554.9</v>
      </c>
      <c r="C58" s="1">
        <f t="shared" si="0"/>
        <v>535.32590000000005</v>
      </c>
      <c r="D58" s="1">
        <f t="shared" si="1"/>
        <v>1.0365648290135037</v>
      </c>
      <c r="E58" s="1"/>
      <c r="F58" s="2">
        <f>C58*$E$2</f>
        <v>532.13274691374829</v>
      </c>
      <c r="G58" s="4">
        <f t="shared" si="3"/>
        <v>22.767253086251685</v>
      </c>
    </row>
    <row r="59" spans="1:7">
      <c r="A59" s="1">
        <f t="shared" si="4"/>
        <v>58</v>
      </c>
      <c r="B59" s="1">
        <v>557.4</v>
      </c>
      <c r="C59" s="1">
        <f t="shared" si="0"/>
        <v>536.19460000000004</v>
      </c>
      <c r="D59" s="1">
        <f t="shared" si="1"/>
        <v>1.0395479551640392</v>
      </c>
      <c r="E59" s="1"/>
      <c r="F59" s="2">
        <f>C59*$E$3</f>
        <v>537.52756204523882</v>
      </c>
      <c r="G59" s="4">
        <f t="shared" si="3"/>
        <v>19.872437954761153</v>
      </c>
    </row>
    <row r="60" spans="1:7">
      <c r="A60" s="1">
        <f t="shared" si="4"/>
        <v>59</v>
      </c>
      <c r="B60" s="1">
        <v>562.9</v>
      </c>
      <c r="C60" s="1">
        <f t="shared" si="0"/>
        <v>537.06330000000003</v>
      </c>
      <c r="D60" s="1">
        <f t="shared" si="1"/>
        <v>1.0481073646253616</v>
      </c>
      <c r="E60" s="1"/>
      <c r="F60" s="2">
        <f>C60*$E$4</f>
        <v>537.87160040303422</v>
      </c>
      <c r="G60" s="4">
        <f t="shared" si="3"/>
        <v>25.028399596965755</v>
      </c>
    </row>
    <row r="61" spans="1:7">
      <c r="A61" s="1">
        <f t="shared" si="4"/>
        <v>60</v>
      </c>
      <c r="B61" s="1">
        <v>516</v>
      </c>
      <c r="C61" s="1">
        <f t="shared" si="0"/>
        <v>537.93200000000002</v>
      </c>
      <c r="D61" s="1">
        <f t="shared" si="1"/>
        <v>0.95922904753760696</v>
      </c>
      <c r="E61" s="1"/>
      <c r="F61" s="2">
        <f>C61*$E$5</f>
        <v>539.09435966284548</v>
      </c>
      <c r="G61" s="4">
        <f t="shared" si="3"/>
        <v>-23.094359662845477</v>
      </c>
    </row>
    <row r="62" spans="1:7">
      <c r="A62" s="1">
        <f t="shared" si="4"/>
        <v>61</v>
      </c>
      <c r="B62" s="1">
        <v>490.6</v>
      </c>
      <c r="C62" s="1">
        <f t="shared" si="0"/>
        <v>538.80070000000001</v>
      </c>
      <c r="D62" s="1">
        <f t="shared" si="1"/>
        <v>0.91054076210368695</v>
      </c>
      <c r="E62" s="1"/>
      <c r="F62" s="2">
        <f>C62*$E$2</f>
        <v>535.58682015955219</v>
      </c>
      <c r="G62" s="4">
        <f t="shared" si="3"/>
        <v>-44.986820159552167</v>
      </c>
    </row>
    <row r="63" spans="1:7">
      <c r="A63" s="1">
        <f t="shared" si="4"/>
        <v>62</v>
      </c>
      <c r="B63" s="1">
        <v>503.9</v>
      </c>
      <c r="C63" s="1">
        <f t="shared" si="0"/>
        <v>539.6694</v>
      </c>
      <c r="D63" s="1">
        <f t="shared" si="1"/>
        <v>0.93371979215423362</v>
      </c>
      <c r="E63" s="1"/>
      <c r="F63" s="2">
        <f>C63*$E$3</f>
        <v>541.01100028313738</v>
      </c>
      <c r="G63" s="4">
        <f t="shared" si="3"/>
        <v>-37.1110002831374</v>
      </c>
    </row>
    <row r="64" spans="1:7">
      <c r="A64" s="1">
        <f t="shared" si="4"/>
        <v>63</v>
      </c>
      <c r="B64" s="1">
        <v>547.6</v>
      </c>
      <c r="C64" s="1">
        <f t="shared" si="0"/>
        <v>540.53809999999999</v>
      </c>
      <c r="D64" s="1">
        <f t="shared" si="1"/>
        <v>1.0130645739865516</v>
      </c>
      <c r="E64" s="1"/>
      <c r="F64" s="2">
        <f>C64*$E$4</f>
        <v>541.35163010731753</v>
      </c>
      <c r="G64" s="4">
        <f t="shared" si="3"/>
        <v>6.24836989268249</v>
      </c>
    </row>
    <row r="65" spans="1:7">
      <c r="A65" s="1">
        <f t="shared" si="4"/>
        <v>64</v>
      </c>
      <c r="B65" s="1">
        <v>585</v>
      </c>
      <c r="C65" s="1">
        <f t="shared" si="0"/>
        <v>541.40679999999998</v>
      </c>
      <c r="D65" s="1">
        <f t="shared" si="1"/>
        <v>1.0805183828500122</v>
      </c>
      <c r="E65" s="1"/>
      <c r="F65" s="2">
        <f>C65*$E$5</f>
        <v>542.57666798612127</v>
      </c>
      <c r="G65" s="4">
        <f t="shared" si="3"/>
        <v>42.423332013878735</v>
      </c>
    </row>
    <row r="66" spans="1:7">
      <c r="A66" s="1">
        <f t="shared" si="4"/>
        <v>65</v>
      </c>
      <c r="B66" s="1">
        <v>573.5</v>
      </c>
      <c r="C66" s="1">
        <f t="shared" si="0"/>
        <v>542.27549999999997</v>
      </c>
      <c r="D66" s="1">
        <f t="shared" si="1"/>
        <v>1.057580510275681</v>
      </c>
      <c r="E66" s="1"/>
      <c r="F66" s="2">
        <f>C66*$E$2</f>
        <v>539.04089340535597</v>
      </c>
      <c r="G66" s="4">
        <f t="shared" si="3"/>
        <v>34.459106594644027</v>
      </c>
    </row>
    <row r="67" spans="1:7">
      <c r="A67" s="1">
        <f t="shared" si="4"/>
        <v>66</v>
      </c>
      <c r="B67" s="1">
        <v>606</v>
      </c>
      <c r="C67" s="1">
        <f t="shared" ref="C67:C130" si="5">0.8687*A67+485.81</f>
        <v>543.14419999999996</v>
      </c>
      <c r="D67" s="1">
        <f t="shared" ref="D67:D130" si="6">B67/C67</f>
        <v>1.1157258054122645</v>
      </c>
      <c r="E67" s="1"/>
      <c r="F67" s="2">
        <f>C67*$E$3</f>
        <v>544.49443852103605</v>
      </c>
      <c r="G67" s="4">
        <f t="shared" ref="G67:G130" si="7">B67-F67</f>
        <v>61.505561478963955</v>
      </c>
    </row>
    <row r="68" spans="1:7">
      <c r="A68" s="1">
        <f t="shared" ref="A68:A131" si="8">A67+1</f>
        <v>67</v>
      </c>
      <c r="B68" s="1">
        <v>575.20000000000005</v>
      </c>
      <c r="C68" s="1">
        <f t="shared" si="5"/>
        <v>544.01289999999995</v>
      </c>
      <c r="D68" s="1">
        <f t="shared" si="6"/>
        <v>1.0573278685119418</v>
      </c>
      <c r="E68" s="1"/>
      <c r="F68" s="2">
        <f>C68*$E$4</f>
        <v>544.83165981160084</v>
      </c>
      <c r="G68" s="4">
        <f t="shared" si="7"/>
        <v>30.368340188399202</v>
      </c>
    </row>
    <row r="69" spans="1:7">
      <c r="A69" s="1">
        <f t="shared" si="8"/>
        <v>68</v>
      </c>
      <c r="B69" s="1">
        <v>539.70000000000005</v>
      </c>
      <c r="C69" s="1">
        <f t="shared" si="5"/>
        <v>544.88160000000005</v>
      </c>
      <c r="D69" s="1">
        <f t="shared" si="6"/>
        <v>0.99049041112784864</v>
      </c>
      <c r="E69" s="1"/>
      <c r="F69" s="2">
        <f>C69*$E$5</f>
        <v>546.05897630939728</v>
      </c>
      <c r="G69" s="4">
        <f t="shared" si="7"/>
        <v>-6.3589763093972351</v>
      </c>
    </row>
    <row r="70" spans="1:7">
      <c r="A70" s="1">
        <f t="shared" si="8"/>
        <v>69</v>
      </c>
      <c r="B70" s="1">
        <v>539.20000000000005</v>
      </c>
      <c r="C70" s="1">
        <f t="shared" si="5"/>
        <v>545.75030000000004</v>
      </c>
      <c r="D70" s="1">
        <f t="shared" si="6"/>
        <v>0.98799762455467277</v>
      </c>
      <c r="E70" s="1"/>
      <c r="F70" s="2">
        <f>C70*$E$2</f>
        <v>542.49496665115998</v>
      </c>
      <c r="G70" s="4">
        <f t="shared" si="7"/>
        <v>-3.2949666511599389</v>
      </c>
    </row>
    <row r="71" spans="1:7">
      <c r="A71" s="1">
        <f t="shared" si="8"/>
        <v>70</v>
      </c>
      <c r="B71" s="1">
        <v>557.79999999999995</v>
      </c>
      <c r="C71" s="1">
        <f t="shared" si="5"/>
        <v>546.61900000000003</v>
      </c>
      <c r="D71" s="1">
        <f t="shared" si="6"/>
        <v>1.0204548323420883</v>
      </c>
      <c r="E71" s="1"/>
      <c r="F71" s="2">
        <f>C71*$E$3</f>
        <v>547.97787675893483</v>
      </c>
      <c r="G71" s="4">
        <f t="shared" si="7"/>
        <v>9.8221232410651282</v>
      </c>
    </row>
    <row r="72" spans="1:7">
      <c r="A72" s="1">
        <f t="shared" si="8"/>
        <v>71</v>
      </c>
      <c r="B72" s="1">
        <v>581.4</v>
      </c>
      <c r="C72" s="1">
        <f t="shared" si="5"/>
        <v>547.48770000000002</v>
      </c>
      <c r="D72" s="1">
        <f t="shared" si="6"/>
        <v>1.0619416655387874</v>
      </c>
      <c r="E72" s="1"/>
      <c r="F72" s="2">
        <f>C72*$E$4</f>
        <v>548.31168951588438</v>
      </c>
      <c r="G72" s="4">
        <f t="shared" si="7"/>
        <v>33.088310484115596</v>
      </c>
    </row>
    <row r="73" spans="1:7">
      <c r="A73" s="1">
        <f t="shared" si="8"/>
        <v>72</v>
      </c>
      <c r="B73" s="1">
        <v>536.20000000000005</v>
      </c>
      <c r="C73" s="1">
        <f t="shared" si="5"/>
        <v>548.35640000000001</v>
      </c>
      <c r="D73" s="1">
        <f t="shared" si="6"/>
        <v>0.97783120612798546</v>
      </c>
      <c r="E73" s="1"/>
      <c r="F73" s="2">
        <f>C73*$E$5</f>
        <v>549.54128463267318</v>
      </c>
      <c r="G73" s="4">
        <f t="shared" si="7"/>
        <v>-13.341284632673137</v>
      </c>
    </row>
    <row r="74" spans="1:7">
      <c r="A74" s="1">
        <f t="shared" si="8"/>
        <v>73</v>
      </c>
      <c r="B74" s="1">
        <v>499.3</v>
      </c>
      <c r="C74" s="1">
        <f t="shared" si="5"/>
        <v>549.2251</v>
      </c>
      <c r="D74" s="1">
        <f t="shared" si="6"/>
        <v>0.90909901969156182</v>
      </c>
      <c r="E74" s="1"/>
      <c r="F74" s="2">
        <f>C74*$E$2</f>
        <v>545.94903989696388</v>
      </c>
      <c r="G74" s="4">
        <f t="shared" si="7"/>
        <v>-46.64903989696387</v>
      </c>
    </row>
    <row r="75" spans="1:7">
      <c r="A75" s="1">
        <f t="shared" si="8"/>
        <v>74</v>
      </c>
      <c r="B75" s="1">
        <v>461.7</v>
      </c>
      <c r="C75" s="1">
        <f t="shared" si="5"/>
        <v>550.09379999999999</v>
      </c>
      <c r="D75" s="1">
        <f t="shared" si="6"/>
        <v>0.83931140470952403</v>
      </c>
      <c r="E75" s="1"/>
      <c r="F75" s="2">
        <f>C75*$E$3</f>
        <v>551.46131499683349</v>
      </c>
      <c r="G75" s="4">
        <f t="shared" si="7"/>
        <v>-89.761314996833505</v>
      </c>
    </row>
    <row r="76" spans="1:7">
      <c r="A76" s="1">
        <f t="shared" si="8"/>
        <v>75</v>
      </c>
      <c r="B76" s="1">
        <v>465.7</v>
      </c>
      <c r="C76" s="1">
        <f t="shared" si="5"/>
        <v>550.96249999999998</v>
      </c>
      <c r="D76" s="1">
        <f t="shared" si="6"/>
        <v>0.84524808857227129</v>
      </c>
      <c r="E76" s="1"/>
      <c r="F76" s="2">
        <f>C76*$E$4</f>
        <v>551.79171922016769</v>
      </c>
      <c r="G76" s="4">
        <f t="shared" si="7"/>
        <v>-86.091719220167704</v>
      </c>
    </row>
    <row r="77" spans="1:7">
      <c r="A77" s="1">
        <f t="shared" si="8"/>
        <v>76</v>
      </c>
      <c r="B77" s="1">
        <v>524.4</v>
      </c>
      <c r="C77" s="1">
        <f t="shared" si="5"/>
        <v>551.83119999999997</v>
      </c>
      <c r="D77" s="1">
        <f t="shared" si="6"/>
        <v>0.95029059610982491</v>
      </c>
      <c r="E77" s="1"/>
      <c r="F77" s="2">
        <f>C77*$E$5</f>
        <v>553.02359295594897</v>
      </c>
      <c r="G77" s="4">
        <f t="shared" si="7"/>
        <v>-28.623592955948993</v>
      </c>
    </row>
    <row r="78" spans="1:7">
      <c r="A78" s="1">
        <f t="shared" si="8"/>
        <v>77</v>
      </c>
      <c r="B78" s="1">
        <v>565.1</v>
      </c>
      <c r="C78" s="1">
        <f t="shared" si="5"/>
        <v>552.69989999999996</v>
      </c>
      <c r="D78" s="1">
        <f t="shared" si="6"/>
        <v>1.0224355025213503</v>
      </c>
      <c r="E78" s="1"/>
      <c r="F78" s="2">
        <f>C78*$E$2</f>
        <v>549.40311314276767</v>
      </c>
      <c r="G78" s="4">
        <f t="shared" si="7"/>
        <v>15.696886857232357</v>
      </c>
    </row>
    <row r="79" spans="1:7">
      <c r="A79" s="1">
        <f t="shared" si="8"/>
        <v>78</v>
      </c>
      <c r="B79" s="1">
        <v>602.79999999999995</v>
      </c>
      <c r="C79" s="1">
        <f t="shared" si="5"/>
        <v>553.56860000000006</v>
      </c>
      <c r="D79" s="1">
        <f t="shared" si="6"/>
        <v>1.0889345963625825</v>
      </c>
      <c r="E79" s="1"/>
      <c r="F79" s="2">
        <f>C79*$E$3</f>
        <v>554.94475323473227</v>
      </c>
      <c r="G79" s="4">
        <f t="shared" si="7"/>
        <v>47.85524676526768</v>
      </c>
    </row>
    <row r="80" spans="1:7">
      <c r="A80" s="1">
        <f t="shared" si="8"/>
        <v>79</v>
      </c>
      <c r="B80" s="1">
        <v>586</v>
      </c>
      <c r="C80" s="1">
        <f t="shared" si="5"/>
        <v>554.43730000000005</v>
      </c>
      <c r="D80" s="1">
        <f t="shared" si="6"/>
        <v>1.05692744698093</v>
      </c>
      <c r="E80" s="1"/>
      <c r="F80" s="2">
        <f>C80*$E$4</f>
        <v>555.27174892445112</v>
      </c>
      <c r="G80" s="4">
        <f t="shared" si="7"/>
        <v>30.728251075548883</v>
      </c>
    </row>
    <row r="81" spans="1:7">
      <c r="A81" s="1">
        <f t="shared" si="8"/>
        <v>80</v>
      </c>
      <c r="B81" s="1">
        <v>590.6</v>
      </c>
      <c r="C81" s="1">
        <f t="shared" si="5"/>
        <v>555.30600000000004</v>
      </c>
      <c r="D81" s="1">
        <f t="shared" si="6"/>
        <v>1.0635577501413636</v>
      </c>
      <c r="E81" s="1"/>
      <c r="F81" s="2">
        <f>C81*$E$5</f>
        <v>556.50590127922499</v>
      </c>
      <c r="G81" s="4">
        <f t="shared" si="7"/>
        <v>34.094098720775037</v>
      </c>
    </row>
    <row r="82" spans="1:7">
      <c r="A82" s="1">
        <f t="shared" si="8"/>
        <v>81</v>
      </c>
      <c r="B82" s="1">
        <v>582.6</v>
      </c>
      <c r="C82" s="1">
        <f t="shared" si="5"/>
        <v>556.17470000000003</v>
      </c>
      <c r="D82" s="1">
        <f t="shared" si="6"/>
        <v>1.0475125891199293</v>
      </c>
      <c r="E82" s="1"/>
      <c r="F82" s="2">
        <f>C82*$E$2</f>
        <v>552.85718638857168</v>
      </c>
      <c r="G82" s="4">
        <f t="shared" si="7"/>
        <v>29.742813611428346</v>
      </c>
    </row>
    <row r="83" spans="1:7">
      <c r="A83" s="1">
        <f t="shared" si="8"/>
        <v>82</v>
      </c>
      <c r="B83" s="1">
        <v>557.70000000000005</v>
      </c>
      <c r="C83" s="1">
        <f t="shared" si="5"/>
        <v>557.04340000000002</v>
      </c>
      <c r="D83" s="1">
        <f t="shared" si="6"/>
        <v>1.0011787232377227</v>
      </c>
      <c r="E83" s="1"/>
      <c r="F83" s="2">
        <f>C83*$E$3</f>
        <v>558.42819147263094</v>
      </c>
      <c r="G83" s="4">
        <f t="shared" si="7"/>
        <v>-0.7281914726308969</v>
      </c>
    </row>
    <row r="84" spans="1:7">
      <c r="A84" s="1">
        <f t="shared" si="8"/>
        <v>83</v>
      </c>
      <c r="B84" s="1">
        <v>541.1</v>
      </c>
      <c r="C84" s="1">
        <f t="shared" si="5"/>
        <v>557.91210000000001</v>
      </c>
      <c r="D84" s="1">
        <f t="shared" si="6"/>
        <v>0.96986604162196877</v>
      </c>
      <c r="E84" s="1"/>
      <c r="F84" s="2">
        <f>C84*$E$4</f>
        <v>558.75177862873454</v>
      </c>
      <c r="G84" s="4">
        <f t="shared" si="7"/>
        <v>-17.651778628734519</v>
      </c>
    </row>
    <row r="85" spans="1:7">
      <c r="A85" s="1">
        <f t="shared" si="8"/>
        <v>84</v>
      </c>
      <c r="B85" s="1">
        <v>505.9</v>
      </c>
      <c r="C85" s="1">
        <f t="shared" si="5"/>
        <v>558.7808</v>
      </c>
      <c r="D85" s="1">
        <f t="shared" si="6"/>
        <v>0.90536396382982376</v>
      </c>
      <c r="E85" s="1"/>
      <c r="F85" s="2">
        <f>C85*$E$5</f>
        <v>559.98820960250089</v>
      </c>
      <c r="G85" s="4">
        <f t="shared" si="7"/>
        <v>-54.08820960250091</v>
      </c>
    </row>
    <row r="86" spans="1:7">
      <c r="A86" s="1">
        <f t="shared" si="8"/>
        <v>85</v>
      </c>
      <c r="B86" s="1">
        <v>503.3</v>
      </c>
      <c r="C86" s="1">
        <f t="shared" si="5"/>
        <v>559.64949999999999</v>
      </c>
      <c r="D86" s="1">
        <f t="shared" si="6"/>
        <v>0.89931287350386269</v>
      </c>
      <c r="E86" s="1"/>
      <c r="F86" s="2">
        <f>C86*$E$2</f>
        <v>556.31125963437557</v>
      </c>
      <c r="G86" s="4">
        <f t="shared" si="7"/>
        <v>-53.011259634375563</v>
      </c>
    </row>
    <row r="87" spans="1:7">
      <c r="A87" s="1">
        <f t="shared" si="8"/>
        <v>86</v>
      </c>
      <c r="B87" s="1">
        <v>505</v>
      </c>
      <c r="C87" s="1">
        <f t="shared" si="5"/>
        <v>560.51819999999998</v>
      </c>
      <c r="D87" s="1">
        <f t="shared" si="6"/>
        <v>0.90095201190612551</v>
      </c>
      <c r="E87" s="1"/>
      <c r="F87" s="2">
        <f>C87*$E$3</f>
        <v>561.91162971052961</v>
      </c>
      <c r="G87" s="4">
        <f t="shared" si="7"/>
        <v>-56.91162971052961</v>
      </c>
    </row>
    <row r="88" spans="1:7">
      <c r="A88" s="1">
        <f t="shared" si="8"/>
        <v>87</v>
      </c>
      <c r="B88" s="1">
        <v>508.6</v>
      </c>
      <c r="C88" s="1">
        <f t="shared" si="5"/>
        <v>561.38689999999997</v>
      </c>
      <c r="D88" s="1">
        <f t="shared" si="6"/>
        <v>0.90597055257256631</v>
      </c>
      <c r="E88" s="1"/>
      <c r="F88" s="2">
        <f>C88*$E$4</f>
        <v>562.23180833301785</v>
      </c>
      <c r="G88" s="4">
        <f t="shared" si="7"/>
        <v>-53.63180833301783</v>
      </c>
    </row>
    <row r="89" spans="1:7">
      <c r="A89" s="1">
        <f t="shared" si="8"/>
        <v>88</v>
      </c>
      <c r="B89" s="1">
        <v>540.9</v>
      </c>
      <c r="C89" s="1">
        <f t="shared" si="5"/>
        <v>562.25559999999996</v>
      </c>
      <c r="D89" s="1">
        <f t="shared" si="6"/>
        <v>0.96201798612588296</v>
      </c>
      <c r="E89" s="1"/>
      <c r="F89" s="2">
        <f>C89*$E$5</f>
        <v>563.47051792577668</v>
      </c>
      <c r="G89" s="4">
        <f t="shared" si="7"/>
        <v>-22.570517925776699</v>
      </c>
    </row>
    <row r="90" spans="1:7">
      <c r="A90" s="1">
        <f t="shared" si="8"/>
        <v>89</v>
      </c>
      <c r="B90" s="1">
        <v>557.1</v>
      </c>
      <c r="C90" s="1">
        <f t="shared" si="5"/>
        <v>563.12429999999995</v>
      </c>
      <c r="D90" s="1">
        <f t="shared" si="6"/>
        <v>0.98930200667952006</v>
      </c>
      <c r="E90" s="1"/>
      <c r="F90" s="2">
        <f>C90*$E$2</f>
        <v>559.76533288017936</v>
      </c>
      <c r="G90" s="4">
        <f t="shared" si="7"/>
        <v>-2.665332880179335</v>
      </c>
    </row>
    <row r="91" spans="1:7">
      <c r="A91" s="1">
        <f t="shared" si="8"/>
        <v>90</v>
      </c>
      <c r="B91" s="1">
        <v>607.9</v>
      </c>
      <c r="C91" s="1">
        <f t="shared" si="5"/>
        <v>563.99300000000005</v>
      </c>
      <c r="D91" s="1">
        <f t="shared" si="6"/>
        <v>1.0778502570067359</v>
      </c>
      <c r="E91" s="1"/>
      <c r="F91" s="2">
        <f>C91*$E$3</f>
        <v>565.39506794842839</v>
      </c>
      <c r="G91" s="4">
        <f t="shared" si="7"/>
        <v>42.504932051571586</v>
      </c>
    </row>
    <row r="92" spans="1:7">
      <c r="A92" s="1">
        <f t="shared" si="8"/>
        <v>91</v>
      </c>
      <c r="B92" s="1">
        <v>594.79999999999995</v>
      </c>
      <c r="C92" s="1">
        <f t="shared" si="5"/>
        <v>564.86170000000004</v>
      </c>
      <c r="D92" s="1">
        <f t="shared" si="6"/>
        <v>1.0530011151402192</v>
      </c>
      <c r="E92" s="1"/>
      <c r="F92" s="2">
        <f>C92*$E$4</f>
        <v>565.71183803730128</v>
      </c>
      <c r="G92" s="4">
        <f t="shared" si="7"/>
        <v>29.088161962698678</v>
      </c>
    </row>
    <row r="93" spans="1:7">
      <c r="A93" s="1">
        <f t="shared" si="8"/>
        <v>92</v>
      </c>
      <c r="B93" s="1">
        <v>585.6</v>
      </c>
      <c r="C93" s="1">
        <f t="shared" si="5"/>
        <v>565.73040000000003</v>
      </c>
      <c r="D93" s="1">
        <f t="shared" si="6"/>
        <v>1.0351220298573314</v>
      </c>
      <c r="E93" s="1"/>
      <c r="F93" s="2">
        <f>C93*$E$5</f>
        <v>566.95282624905269</v>
      </c>
      <c r="G93" s="4">
        <f t="shared" si="7"/>
        <v>18.647173750947331</v>
      </c>
    </row>
    <row r="94" spans="1:7">
      <c r="A94" s="1">
        <f t="shared" si="8"/>
        <v>93</v>
      </c>
      <c r="B94" s="1">
        <v>573.20000000000005</v>
      </c>
      <c r="C94" s="1">
        <f t="shared" si="5"/>
        <v>566.59910000000002</v>
      </c>
      <c r="D94" s="1">
        <f t="shared" si="6"/>
        <v>1.0116500361543108</v>
      </c>
      <c r="E94" s="1"/>
      <c r="F94" s="2">
        <f>C94*$E$2</f>
        <v>563.21940612598337</v>
      </c>
      <c r="G94" s="4">
        <f t="shared" si="7"/>
        <v>9.9805938740166766</v>
      </c>
    </row>
    <row r="95" spans="1:7">
      <c r="A95" s="1">
        <f t="shared" si="8"/>
        <v>94</v>
      </c>
      <c r="B95" s="1">
        <v>560.20000000000005</v>
      </c>
      <c r="C95" s="1">
        <f t="shared" si="5"/>
        <v>567.46780000000001</v>
      </c>
      <c r="D95" s="1">
        <f t="shared" si="6"/>
        <v>0.98719257727046372</v>
      </c>
      <c r="E95" s="1"/>
      <c r="F95" s="2">
        <f>C95*$E$3</f>
        <v>568.87850618632694</v>
      </c>
      <c r="G95" s="4">
        <f t="shared" si="7"/>
        <v>-8.6785061863268993</v>
      </c>
    </row>
    <row r="96" spans="1:7">
      <c r="A96" s="1">
        <f t="shared" si="8"/>
        <v>95</v>
      </c>
      <c r="B96" s="1">
        <v>568.1</v>
      </c>
      <c r="C96" s="1">
        <f t="shared" si="5"/>
        <v>568.3365</v>
      </c>
      <c r="D96" s="1">
        <f t="shared" si="6"/>
        <v>0.99958387328633658</v>
      </c>
      <c r="E96" s="1"/>
      <c r="F96" s="2">
        <f>C96*$E$4</f>
        <v>569.1918677415847</v>
      </c>
      <c r="G96" s="4">
        <f t="shared" si="7"/>
        <v>-1.0918677415846787</v>
      </c>
    </row>
    <row r="97" spans="1:7">
      <c r="A97" s="1">
        <f t="shared" si="8"/>
        <v>96</v>
      </c>
      <c r="B97" s="1">
        <v>524.79999999999995</v>
      </c>
      <c r="C97" s="1">
        <f t="shared" si="5"/>
        <v>569.20519999999999</v>
      </c>
      <c r="D97" s="1">
        <f t="shared" si="6"/>
        <v>0.92198736062144193</v>
      </c>
      <c r="E97" s="1"/>
      <c r="F97" s="2">
        <f>C97*$E$5</f>
        <v>570.43513457232859</v>
      </c>
      <c r="G97" s="4">
        <f t="shared" si="7"/>
        <v>-45.635134572328639</v>
      </c>
    </row>
    <row r="98" spans="1:7">
      <c r="A98" s="1">
        <f t="shared" si="8"/>
        <v>97</v>
      </c>
      <c r="B98" s="1">
        <v>513.1</v>
      </c>
      <c r="C98" s="1">
        <f t="shared" si="5"/>
        <v>570.07389999999998</v>
      </c>
      <c r="D98" s="1">
        <f t="shared" si="6"/>
        <v>0.90005874676949782</v>
      </c>
      <c r="E98" s="1"/>
      <c r="F98" s="2">
        <f>C98*$E$2</f>
        <v>566.67347937178727</v>
      </c>
      <c r="G98" s="4">
        <f t="shared" si="7"/>
        <v>-53.573479371787244</v>
      </c>
    </row>
    <row r="99" spans="1:7">
      <c r="A99" s="1">
        <f t="shared" si="8"/>
        <v>98</v>
      </c>
      <c r="B99" s="1">
        <v>498</v>
      </c>
      <c r="C99" s="1">
        <f t="shared" si="5"/>
        <v>570.94259999999997</v>
      </c>
      <c r="D99" s="1">
        <f t="shared" si="6"/>
        <v>0.87224179803714075</v>
      </c>
      <c r="E99" s="1"/>
      <c r="F99" s="2">
        <f>C99*$E$3</f>
        <v>572.36194442422561</v>
      </c>
      <c r="G99" s="4">
        <f t="shared" si="7"/>
        <v>-74.361944424225612</v>
      </c>
    </row>
    <row r="100" spans="1:7">
      <c r="A100" s="1">
        <f t="shared" si="8"/>
        <v>99</v>
      </c>
      <c r="B100" s="1">
        <v>498.3</v>
      </c>
      <c r="C100" s="1">
        <f t="shared" si="5"/>
        <v>571.81129999999996</v>
      </c>
      <c r="D100" s="1">
        <f t="shared" si="6"/>
        <v>0.8714413303829428</v>
      </c>
      <c r="E100" s="1"/>
      <c r="F100" s="2">
        <f>C100*$E$4</f>
        <v>572.67189744586801</v>
      </c>
      <c r="G100" s="4">
        <f t="shared" si="7"/>
        <v>-74.371897445868001</v>
      </c>
    </row>
    <row r="101" spans="1:7">
      <c r="A101" s="1">
        <f t="shared" si="8"/>
        <v>100</v>
      </c>
      <c r="B101" s="1">
        <v>568.29999999999995</v>
      </c>
      <c r="C101" s="1">
        <f t="shared" si="5"/>
        <v>572.68000000000006</v>
      </c>
      <c r="D101" s="1">
        <f t="shared" si="6"/>
        <v>0.99235174966822637</v>
      </c>
      <c r="E101" s="1"/>
      <c r="F101" s="2">
        <f>C101*$E$5</f>
        <v>573.91744289560449</v>
      </c>
      <c r="G101" s="4">
        <f t="shared" si="7"/>
        <v>-5.6174428956045404</v>
      </c>
    </row>
    <row r="102" spans="1:7">
      <c r="A102" s="1">
        <f t="shared" si="8"/>
        <v>101</v>
      </c>
      <c r="B102" s="1">
        <v>601.79999999999995</v>
      </c>
      <c r="C102" s="1">
        <f t="shared" si="5"/>
        <v>573.54870000000005</v>
      </c>
      <c r="D102" s="1">
        <f t="shared" si="6"/>
        <v>1.0492570203715916</v>
      </c>
      <c r="E102" s="1"/>
      <c r="F102" s="2">
        <f>C102*$E$2</f>
        <v>570.12755261759116</v>
      </c>
      <c r="G102" s="4">
        <f t="shared" si="7"/>
        <v>31.672447382408791</v>
      </c>
    </row>
    <row r="103" spans="1:7">
      <c r="A103" s="1">
        <f t="shared" si="8"/>
        <v>102</v>
      </c>
      <c r="B103" s="1">
        <v>629.6</v>
      </c>
      <c r="C103" s="1">
        <f t="shared" si="5"/>
        <v>574.41740000000004</v>
      </c>
      <c r="D103" s="1">
        <f t="shared" si="6"/>
        <v>1.0960670759625317</v>
      </c>
      <c r="E103" s="1"/>
      <c r="F103" s="2">
        <f>C103*$E$3</f>
        <v>575.84538266212439</v>
      </c>
      <c r="G103" s="4">
        <f t="shared" si="7"/>
        <v>53.754617337875629</v>
      </c>
    </row>
    <row r="104" spans="1:7">
      <c r="A104" s="1">
        <f t="shared" si="8"/>
        <v>103</v>
      </c>
      <c r="B104" s="1">
        <v>612</v>
      </c>
      <c r="C104" s="1">
        <f t="shared" si="5"/>
        <v>575.28610000000003</v>
      </c>
      <c r="D104" s="1">
        <f t="shared" si="6"/>
        <v>1.0638185070002559</v>
      </c>
      <c r="E104" s="1"/>
      <c r="F104" s="2">
        <f>C104*$E$4</f>
        <v>576.15192715015155</v>
      </c>
      <c r="G104" s="4">
        <f t="shared" si="7"/>
        <v>35.84807284984845</v>
      </c>
    </row>
    <row r="105" spans="1:7">
      <c r="A105" s="1">
        <f t="shared" si="8"/>
        <v>104</v>
      </c>
      <c r="B105" s="1">
        <v>617.5</v>
      </c>
      <c r="C105" s="1">
        <f t="shared" si="5"/>
        <v>576.15480000000002</v>
      </c>
      <c r="D105" s="1">
        <f t="shared" si="6"/>
        <v>1.0717605754564572</v>
      </c>
      <c r="E105" s="1"/>
      <c r="F105" s="2">
        <f>C105*$E$5</f>
        <v>577.3997512188804</v>
      </c>
      <c r="G105" s="4">
        <f t="shared" si="7"/>
        <v>40.100248781119603</v>
      </c>
    </row>
    <row r="106" spans="1:7">
      <c r="A106" s="1">
        <f t="shared" si="8"/>
        <v>105</v>
      </c>
      <c r="B106" s="1">
        <v>560.6</v>
      </c>
      <c r="C106" s="1">
        <f t="shared" si="5"/>
        <v>577.02350000000001</v>
      </c>
      <c r="D106" s="1">
        <f t="shared" si="6"/>
        <v>0.97153755436303724</v>
      </c>
      <c r="E106" s="1"/>
      <c r="F106" s="2">
        <f>C106*$E$2</f>
        <v>573.58162586339506</v>
      </c>
      <c r="G106" s="4">
        <f t="shared" si="7"/>
        <v>-12.981625863395038</v>
      </c>
    </row>
    <row r="107" spans="1:7">
      <c r="A107" s="1">
        <f t="shared" si="8"/>
        <v>106</v>
      </c>
      <c r="B107" s="1">
        <v>555</v>
      </c>
      <c r="C107" s="1">
        <f t="shared" si="5"/>
        <v>577.8922</v>
      </c>
      <c r="D107" s="1">
        <f t="shared" si="6"/>
        <v>0.96038672956651772</v>
      </c>
      <c r="E107" s="1"/>
      <c r="F107" s="2">
        <f>C107*$E$3</f>
        <v>579.32882090002306</v>
      </c>
      <c r="G107" s="4">
        <f t="shared" si="7"/>
        <v>-24.328820900023061</v>
      </c>
    </row>
    <row r="108" spans="1:7">
      <c r="A108" s="1">
        <f t="shared" si="8"/>
        <v>107</v>
      </c>
      <c r="B108" s="1">
        <v>570.70000000000005</v>
      </c>
      <c r="C108" s="1">
        <f t="shared" si="5"/>
        <v>578.76089999999999</v>
      </c>
      <c r="D108" s="1">
        <f t="shared" si="6"/>
        <v>0.98607214136269405</v>
      </c>
      <c r="E108" s="1"/>
      <c r="F108" s="2">
        <f>C108*$E$4</f>
        <v>579.63195685443486</v>
      </c>
      <c r="G108" s="4">
        <f t="shared" si="7"/>
        <v>-8.9319568544348158</v>
      </c>
    </row>
    <row r="109" spans="1:7">
      <c r="A109" s="1">
        <f t="shared" si="8"/>
        <v>108</v>
      </c>
      <c r="B109" s="1">
        <v>530.1</v>
      </c>
      <c r="C109" s="1">
        <f t="shared" si="5"/>
        <v>579.62959999999998</v>
      </c>
      <c r="D109" s="1">
        <f t="shared" si="6"/>
        <v>0.91454956751691086</v>
      </c>
      <c r="E109" s="1"/>
      <c r="F109" s="2">
        <f>C109*$E$5</f>
        <v>580.8820595421563</v>
      </c>
      <c r="G109" s="4">
        <f t="shared" si="7"/>
        <v>-50.782059542156276</v>
      </c>
    </row>
    <row r="110" spans="1:7">
      <c r="A110" s="1">
        <f t="shared" si="8"/>
        <v>109</v>
      </c>
      <c r="B110" s="1">
        <v>509.7</v>
      </c>
      <c r="C110" s="1">
        <f t="shared" si="5"/>
        <v>580.49829999999997</v>
      </c>
      <c r="D110" s="1">
        <f t="shared" si="6"/>
        <v>0.87803874705576224</v>
      </c>
      <c r="E110" s="1"/>
      <c r="F110" s="2">
        <f>C110*$E$2</f>
        <v>577.03569910919884</v>
      </c>
      <c r="G110" s="4">
        <f t="shared" si="7"/>
        <v>-67.335699109198856</v>
      </c>
    </row>
    <row r="111" spans="1:7">
      <c r="A111" s="1">
        <f t="shared" si="8"/>
        <v>110</v>
      </c>
      <c r="B111" s="1">
        <v>489.3</v>
      </c>
      <c r="C111" s="1">
        <f t="shared" si="5"/>
        <v>581.36699999999996</v>
      </c>
      <c r="D111" s="1">
        <f t="shared" si="6"/>
        <v>0.84163703822198377</v>
      </c>
      <c r="E111" s="1"/>
      <c r="F111" s="2">
        <f>C111*$E$3</f>
        <v>582.81225913792173</v>
      </c>
      <c r="G111" s="4">
        <f t="shared" si="7"/>
        <v>-93.512259137921717</v>
      </c>
    </row>
    <row r="112" spans="1:7">
      <c r="A112" s="1">
        <f t="shared" si="8"/>
        <v>111</v>
      </c>
      <c r="B112" s="1">
        <v>488.7</v>
      </c>
      <c r="C112" s="1">
        <f t="shared" si="5"/>
        <v>582.23569999999995</v>
      </c>
      <c r="D112" s="1">
        <f t="shared" si="6"/>
        <v>0.83935079899772558</v>
      </c>
      <c r="E112" s="1"/>
      <c r="F112" s="2">
        <f>C112*$E$4</f>
        <v>583.11198655871817</v>
      </c>
      <c r="G112" s="4">
        <f t="shared" si="7"/>
        <v>-94.411986558718183</v>
      </c>
    </row>
    <row r="113" spans="1:7">
      <c r="A113" s="1">
        <f t="shared" si="8"/>
        <v>112</v>
      </c>
      <c r="B113" s="1">
        <v>568.1</v>
      </c>
      <c r="C113" s="1">
        <f t="shared" si="5"/>
        <v>583.10439999999994</v>
      </c>
      <c r="D113" s="1">
        <f t="shared" si="6"/>
        <v>0.97426807274992278</v>
      </c>
      <c r="E113" s="1"/>
      <c r="F113" s="2">
        <f>C113*$E$5</f>
        <v>584.36436786543209</v>
      </c>
      <c r="G113" s="4">
        <f t="shared" si="7"/>
        <v>-16.264367865432064</v>
      </c>
    </row>
    <row r="114" spans="1:7">
      <c r="A114" s="1">
        <f t="shared" si="8"/>
        <v>113</v>
      </c>
      <c r="B114" s="1">
        <v>609.5</v>
      </c>
      <c r="C114" s="1">
        <f t="shared" si="5"/>
        <v>583.97310000000004</v>
      </c>
      <c r="D114" s="1">
        <f t="shared" si="6"/>
        <v>1.0437124586731819</v>
      </c>
      <c r="E114" s="1"/>
      <c r="F114" s="2">
        <f>C114*$E$2</f>
        <v>580.48977235500286</v>
      </c>
      <c r="G114" s="4">
        <f t="shared" si="7"/>
        <v>29.010227644997144</v>
      </c>
    </row>
    <row r="115" spans="1:7">
      <c r="A115" s="1">
        <f t="shared" si="8"/>
        <v>114</v>
      </c>
      <c r="B115" s="1">
        <v>639</v>
      </c>
      <c r="C115" s="1">
        <f t="shared" si="5"/>
        <v>584.84180000000003</v>
      </c>
      <c r="D115" s="1">
        <f t="shared" si="6"/>
        <v>1.0926031620858836</v>
      </c>
      <c r="E115" s="1"/>
      <c r="F115" s="2">
        <f>C115*$E$3</f>
        <v>586.29569737582051</v>
      </c>
      <c r="G115" s="4">
        <f t="shared" si="7"/>
        <v>52.704302624179491</v>
      </c>
    </row>
    <row r="116" spans="1:7">
      <c r="A116" s="1">
        <f t="shared" si="8"/>
        <v>115</v>
      </c>
      <c r="B116" s="1">
        <v>628.1</v>
      </c>
      <c r="C116" s="1">
        <f t="shared" si="5"/>
        <v>585.71050000000002</v>
      </c>
      <c r="D116" s="1">
        <f t="shared" si="6"/>
        <v>1.0723727848484874</v>
      </c>
      <c r="E116" s="1"/>
      <c r="F116" s="2">
        <f>C116*$E$4</f>
        <v>586.59201626300171</v>
      </c>
      <c r="G116" s="4">
        <f t="shared" si="7"/>
        <v>41.507983736998312</v>
      </c>
    </row>
    <row r="117" spans="1:7">
      <c r="A117" s="1">
        <f t="shared" si="8"/>
        <v>116</v>
      </c>
      <c r="B117" s="1">
        <v>635.5</v>
      </c>
      <c r="C117" s="1">
        <f t="shared" si="5"/>
        <v>586.57920000000001</v>
      </c>
      <c r="D117" s="1">
        <f t="shared" si="6"/>
        <v>1.0834001614786204</v>
      </c>
      <c r="E117" s="1"/>
      <c r="F117" s="2">
        <f>C117*$E$5</f>
        <v>587.8466761887081</v>
      </c>
      <c r="G117" s="4">
        <f t="shared" si="7"/>
        <v>47.653323811291898</v>
      </c>
    </row>
    <row r="118" spans="1:7">
      <c r="A118" s="1">
        <f t="shared" si="8"/>
        <v>117</v>
      </c>
      <c r="B118" s="1">
        <v>592.4</v>
      </c>
      <c r="C118" s="1">
        <f t="shared" si="5"/>
        <v>587.4479</v>
      </c>
      <c r="D118" s="1">
        <f t="shared" si="6"/>
        <v>1.0084298539496013</v>
      </c>
      <c r="E118" s="1"/>
      <c r="F118" s="2">
        <f>C118*$E$2</f>
        <v>583.94384560080675</v>
      </c>
      <c r="G118" s="4">
        <f t="shared" si="7"/>
        <v>8.456154399193224</v>
      </c>
    </row>
    <row r="119" spans="1:7">
      <c r="A119" s="1">
        <f t="shared" si="8"/>
        <v>118</v>
      </c>
      <c r="B119" s="1">
        <v>580.9</v>
      </c>
      <c r="C119" s="1">
        <f t="shared" si="5"/>
        <v>588.31659999999999</v>
      </c>
      <c r="D119" s="1">
        <f t="shared" si="6"/>
        <v>0.98739352246732459</v>
      </c>
      <c r="E119" s="1"/>
      <c r="F119" s="2">
        <f>C119*$E$3</f>
        <v>589.77913561371918</v>
      </c>
      <c r="G119" s="4">
        <f t="shared" si="7"/>
        <v>-8.8791356137191997</v>
      </c>
    </row>
    <row r="120" spans="1:7">
      <c r="A120" s="1">
        <f t="shared" si="8"/>
        <v>119</v>
      </c>
      <c r="B120" s="1">
        <v>611.5</v>
      </c>
      <c r="C120" s="1">
        <f t="shared" si="5"/>
        <v>589.18529999999998</v>
      </c>
      <c r="D120" s="1">
        <f t="shared" si="6"/>
        <v>1.0378738233964764</v>
      </c>
      <c r="E120" s="1"/>
      <c r="F120" s="2">
        <f>C120*$E$4</f>
        <v>590.07204596728502</v>
      </c>
      <c r="G120" s="4">
        <f t="shared" si="7"/>
        <v>21.427954032714979</v>
      </c>
    </row>
    <row r="121" spans="1:7">
      <c r="A121" s="1">
        <f t="shared" si="8"/>
        <v>120</v>
      </c>
      <c r="B121" s="1">
        <v>571.79999999999995</v>
      </c>
      <c r="C121" s="1">
        <f t="shared" si="5"/>
        <v>590.05399999999997</v>
      </c>
      <c r="D121" s="1">
        <f t="shared" si="6"/>
        <v>0.96906384839353688</v>
      </c>
      <c r="E121" s="1"/>
      <c r="F121" s="2">
        <f>C121*$E$5</f>
        <v>591.328984511984</v>
      </c>
      <c r="G121" s="4">
        <f t="shared" si="7"/>
        <v>-19.528984511984049</v>
      </c>
    </row>
    <row r="122" spans="1:7">
      <c r="A122" s="1">
        <f t="shared" si="8"/>
        <v>121</v>
      </c>
      <c r="B122" s="1">
        <v>525.20000000000005</v>
      </c>
      <c r="C122" s="1">
        <f t="shared" si="5"/>
        <v>590.92269999999996</v>
      </c>
      <c r="D122" s="1">
        <f t="shared" si="6"/>
        <v>0.88877953072373095</v>
      </c>
      <c r="E122" s="1"/>
      <c r="F122" s="2">
        <f>C122*$E$2</f>
        <v>587.39791884661054</v>
      </c>
      <c r="G122" s="4">
        <f t="shared" si="7"/>
        <v>-62.197918846610492</v>
      </c>
    </row>
    <row r="123" spans="1:7">
      <c r="A123" s="1">
        <f t="shared" si="8"/>
        <v>122</v>
      </c>
      <c r="B123" s="1">
        <v>493.6</v>
      </c>
      <c r="C123" s="1">
        <f t="shared" si="5"/>
        <v>591.79140000000007</v>
      </c>
      <c r="D123" s="1">
        <f t="shared" si="6"/>
        <v>0.8340776834540008</v>
      </c>
      <c r="E123" s="1"/>
      <c r="F123" s="2">
        <f>C123*$E$3</f>
        <v>593.26257385161796</v>
      </c>
      <c r="G123" s="4">
        <f t="shared" si="7"/>
        <v>-99.662573851617935</v>
      </c>
    </row>
    <row r="124" spans="1:7">
      <c r="A124" s="1">
        <f t="shared" si="8"/>
        <v>123</v>
      </c>
      <c r="B124" s="1">
        <v>513.9</v>
      </c>
      <c r="C124" s="1">
        <f t="shared" si="5"/>
        <v>592.66010000000006</v>
      </c>
      <c r="D124" s="1">
        <f t="shared" si="6"/>
        <v>0.86710747020087897</v>
      </c>
      <c r="E124" s="1"/>
      <c r="F124" s="2">
        <f>C124*$E$4</f>
        <v>593.55207567156845</v>
      </c>
      <c r="G124" s="4">
        <f t="shared" si="7"/>
        <v>-79.652075671568468</v>
      </c>
    </row>
    <row r="125" spans="1:7">
      <c r="A125" s="1">
        <f t="shared" si="8"/>
        <v>124</v>
      </c>
      <c r="B125" s="1">
        <v>594.20000000000005</v>
      </c>
      <c r="C125" s="1">
        <f t="shared" si="5"/>
        <v>593.52880000000005</v>
      </c>
      <c r="D125" s="1">
        <f t="shared" si="6"/>
        <v>1.001130863405449</v>
      </c>
      <c r="E125" s="1"/>
      <c r="F125" s="2">
        <f>C125*$E$5</f>
        <v>594.81129283526002</v>
      </c>
      <c r="G125" s="4">
        <f t="shared" si="7"/>
        <v>-0.6112928352599738</v>
      </c>
    </row>
    <row r="126" spans="1:7">
      <c r="A126" s="1">
        <f t="shared" si="8"/>
        <v>125</v>
      </c>
      <c r="B126" s="1">
        <v>610.70000000000005</v>
      </c>
      <c r="C126" s="1">
        <f t="shared" si="5"/>
        <v>594.39750000000004</v>
      </c>
      <c r="D126" s="1">
        <f t="shared" si="6"/>
        <v>1.0274269323138137</v>
      </c>
      <c r="E126" s="1"/>
      <c r="F126" s="2">
        <f>C126*$E$2</f>
        <v>590.85199209241455</v>
      </c>
      <c r="G126" s="4">
        <f t="shared" si="7"/>
        <v>19.848007907585497</v>
      </c>
    </row>
    <row r="127" spans="1:7">
      <c r="A127" s="1">
        <f t="shared" si="8"/>
        <v>126</v>
      </c>
      <c r="B127" s="1">
        <v>632.29999999999995</v>
      </c>
      <c r="C127" s="1">
        <f t="shared" si="5"/>
        <v>595.26620000000003</v>
      </c>
      <c r="D127" s="1">
        <f t="shared" si="6"/>
        <v>1.0622138465110229</v>
      </c>
      <c r="E127" s="1"/>
      <c r="F127" s="2">
        <f>C127*$E$3</f>
        <v>596.74601208951663</v>
      </c>
      <c r="G127" s="4">
        <f t="shared" si="7"/>
        <v>35.553987910483329</v>
      </c>
    </row>
    <row r="128" spans="1:7">
      <c r="A128" s="1">
        <f t="shared" si="8"/>
        <v>127</v>
      </c>
      <c r="B128" s="1">
        <v>647</v>
      </c>
      <c r="C128" s="1">
        <f t="shared" si="5"/>
        <v>596.13490000000002</v>
      </c>
      <c r="D128" s="1">
        <f t="shared" si="6"/>
        <v>1.0853248149034722</v>
      </c>
      <c r="E128" s="1"/>
      <c r="F128" s="2">
        <f>C128*$E$4</f>
        <v>597.03210537585187</v>
      </c>
      <c r="G128" s="4">
        <f t="shared" si="7"/>
        <v>49.96789462414813</v>
      </c>
    </row>
    <row r="129" spans="1:7">
      <c r="A129" s="1">
        <f t="shared" si="8"/>
        <v>128</v>
      </c>
      <c r="B129" s="1">
        <v>656.7</v>
      </c>
      <c r="C129" s="1">
        <f t="shared" si="5"/>
        <v>597.00360000000001</v>
      </c>
      <c r="D129" s="1">
        <f t="shared" si="6"/>
        <v>1.0999933668741697</v>
      </c>
      <c r="E129" s="1"/>
      <c r="F129" s="2">
        <f>C129*$E$5</f>
        <v>598.29360115853581</v>
      </c>
      <c r="G129" s="4">
        <f t="shared" si="7"/>
        <v>58.406398841464238</v>
      </c>
    </row>
    <row r="130" spans="1:7">
      <c r="A130" s="1">
        <f t="shared" si="8"/>
        <v>129</v>
      </c>
      <c r="B130" s="1">
        <v>635.70000000000005</v>
      </c>
      <c r="C130" s="1">
        <f t="shared" si="5"/>
        <v>597.8723</v>
      </c>
      <c r="D130" s="1">
        <f t="shared" si="6"/>
        <v>1.0632705345271893</v>
      </c>
      <c r="E130" s="1"/>
      <c r="F130" s="2">
        <f>C130*$E$2</f>
        <v>594.30606533821845</v>
      </c>
      <c r="G130" s="4">
        <f t="shared" si="7"/>
        <v>41.3939346617816</v>
      </c>
    </row>
    <row r="131" spans="1:7">
      <c r="A131" s="1">
        <f t="shared" si="8"/>
        <v>130</v>
      </c>
      <c r="B131" s="1">
        <v>643.6</v>
      </c>
      <c r="C131" s="1">
        <f t="shared" ref="C131:C157" si="9">0.8687*A131+485.81</f>
        <v>598.74099999999999</v>
      </c>
      <c r="D131" s="1">
        <f t="shared" ref="D131:D157" si="10">B131/C131</f>
        <v>1.0749222117743733</v>
      </c>
      <c r="E131" s="1"/>
      <c r="F131" s="2">
        <f>C131*$E$3</f>
        <v>600.22945032741518</v>
      </c>
      <c r="G131" s="4">
        <f t="shared" ref="G131:G157" si="11">B131-F131</f>
        <v>43.370549672584843</v>
      </c>
    </row>
    <row r="132" spans="1:7">
      <c r="A132" s="1">
        <f t="shared" ref="A132:A157" si="12">A131+1</f>
        <v>131</v>
      </c>
      <c r="B132" s="1">
        <v>645.70000000000005</v>
      </c>
      <c r="C132" s="1">
        <f t="shared" si="9"/>
        <v>599.60969999999998</v>
      </c>
      <c r="D132" s="1">
        <f t="shared" si="10"/>
        <v>1.0768671687599451</v>
      </c>
      <c r="E132" s="1"/>
      <c r="F132" s="2">
        <f>C132*$E$4</f>
        <v>600.51213508013518</v>
      </c>
      <c r="G132" s="4">
        <f t="shared" si="11"/>
        <v>45.187864919864865</v>
      </c>
    </row>
    <row r="133" spans="1:7">
      <c r="A133" s="1">
        <f t="shared" si="12"/>
        <v>132</v>
      </c>
      <c r="B133" s="1">
        <v>622.4</v>
      </c>
      <c r="C133" s="1">
        <f t="shared" si="9"/>
        <v>600.47839999999997</v>
      </c>
      <c r="D133" s="1">
        <f t="shared" si="10"/>
        <v>1.036506891838241</v>
      </c>
      <c r="E133" s="1"/>
      <c r="F133" s="2">
        <f>C133*$E$5</f>
        <v>601.77590948181171</v>
      </c>
      <c r="G133" s="4">
        <f t="shared" si="11"/>
        <v>20.624090518188268</v>
      </c>
    </row>
    <row r="134" spans="1:7">
      <c r="A134" s="1">
        <f t="shared" si="12"/>
        <v>133</v>
      </c>
      <c r="B134" s="1">
        <v>570.29999999999995</v>
      </c>
      <c r="C134" s="1">
        <f t="shared" si="9"/>
        <v>601.34709999999995</v>
      </c>
      <c r="D134" s="1">
        <f t="shared" si="10"/>
        <v>0.9483707496053444</v>
      </c>
      <c r="E134" s="1"/>
      <c r="F134" s="2">
        <f>C134*$E$2</f>
        <v>597.76013858402223</v>
      </c>
      <c r="G134" s="4">
        <f t="shared" si="11"/>
        <v>-27.460138584022275</v>
      </c>
    </row>
    <row r="135" spans="1:7">
      <c r="A135" s="1">
        <f t="shared" si="12"/>
        <v>134</v>
      </c>
      <c r="B135" s="1">
        <v>580.4</v>
      </c>
      <c r="C135" s="1">
        <f t="shared" si="9"/>
        <v>602.21579999999994</v>
      </c>
      <c r="D135" s="1">
        <f t="shared" si="10"/>
        <v>0.96377411552470071</v>
      </c>
      <c r="E135" s="1"/>
      <c r="F135" s="2">
        <f>C135*$E$3</f>
        <v>603.71288856531385</v>
      </c>
      <c r="G135" s="4">
        <f t="shared" si="11"/>
        <v>-23.31288856531387</v>
      </c>
    </row>
    <row r="136" spans="1:7">
      <c r="A136" s="1">
        <f t="shared" si="12"/>
        <v>135</v>
      </c>
      <c r="B136" s="1">
        <v>585.4</v>
      </c>
      <c r="C136" s="1">
        <f t="shared" si="9"/>
        <v>603.08450000000005</v>
      </c>
      <c r="D136" s="1">
        <f t="shared" si="10"/>
        <v>0.97067658014755798</v>
      </c>
      <c r="E136" s="1"/>
      <c r="F136" s="2">
        <f>C136*$E$4</f>
        <v>603.99216478441861</v>
      </c>
      <c r="G136" s="4">
        <f t="shared" si="11"/>
        <v>-18.592164784418628</v>
      </c>
    </row>
    <row r="137" spans="1:7">
      <c r="A137" s="1">
        <f t="shared" si="12"/>
        <v>136</v>
      </c>
      <c r="B137" s="1">
        <v>648.70000000000005</v>
      </c>
      <c r="C137" s="1">
        <f t="shared" si="9"/>
        <v>603.95320000000004</v>
      </c>
      <c r="D137" s="1">
        <f t="shared" si="10"/>
        <v>1.0740898466967308</v>
      </c>
      <c r="E137" s="1"/>
      <c r="F137" s="2">
        <f>C137*$E$5</f>
        <v>605.25821780508772</v>
      </c>
      <c r="G137" s="4">
        <f t="shared" si="11"/>
        <v>43.441782194912321</v>
      </c>
    </row>
    <row r="138" spans="1:7">
      <c r="A138" s="1">
        <f t="shared" si="12"/>
        <v>137</v>
      </c>
      <c r="B138" s="1">
        <v>689.1</v>
      </c>
      <c r="C138" s="1">
        <f t="shared" si="9"/>
        <v>604.82190000000003</v>
      </c>
      <c r="D138" s="1">
        <f t="shared" si="10"/>
        <v>1.1393436646391277</v>
      </c>
      <c r="E138" s="1"/>
      <c r="F138" s="2">
        <f>C138*$E$2</f>
        <v>601.21421182982624</v>
      </c>
      <c r="G138" s="4">
        <f t="shared" si="11"/>
        <v>87.885788170173782</v>
      </c>
    </row>
    <row r="139" spans="1:7">
      <c r="A139" s="1">
        <f t="shared" si="12"/>
        <v>138</v>
      </c>
      <c r="B139" s="1">
        <v>708.4</v>
      </c>
      <c r="C139" s="1">
        <f t="shared" si="9"/>
        <v>605.69060000000002</v>
      </c>
      <c r="D139" s="1">
        <f t="shared" si="10"/>
        <v>1.1695740366451122</v>
      </c>
      <c r="E139" s="1"/>
      <c r="F139" s="2">
        <f>C139*$E$3</f>
        <v>607.19632680321263</v>
      </c>
      <c r="G139" s="4">
        <f t="shared" si="11"/>
        <v>101.20367319678735</v>
      </c>
    </row>
    <row r="140" spans="1:7">
      <c r="A140" s="1">
        <f t="shared" si="12"/>
        <v>139</v>
      </c>
      <c r="B140" s="1">
        <v>642.20000000000005</v>
      </c>
      <c r="C140" s="1">
        <f t="shared" si="9"/>
        <v>606.55930000000001</v>
      </c>
      <c r="D140" s="1">
        <f t="shared" si="10"/>
        <v>1.0587588056105974</v>
      </c>
      <c r="E140" s="1"/>
      <c r="F140" s="2">
        <f>C140*$E$4</f>
        <v>607.47219448870203</v>
      </c>
      <c r="G140" s="4">
        <f t="shared" si="11"/>
        <v>34.727805511298016</v>
      </c>
    </row>
    <row r="141" spans="1:7">
      <c r="A141" s="1">
        <f t="shared" si="12"/>
        <v>140</v>
      </c>
      <c r="B141" s="1">
        <v>647.1</v>
      </c>
      <c r="C141" s="1">
        <f t="shared" si="9"/>
        <v>607.428</v>
      </c>
      <c r="D141" s="1">
        <f t="shared" si="10"/>
        <v>1.0653114443193268</v>
      </c>
      <c r="E141" s="1"/>
      <c r="F141" s="2">
        <f>C141*$E$5</f>
        <v>608.74052612836351</v>
      </c>
      <c r="G141" s="4">
        <f t="shared" si="11"/>
        <v>38.35947387163651</v>
      </c>
    </row>
    <row r="142" spans="1:7">
      <c r="A142" s="1">
        <f t="shared" si="12"/>
        <v>141</v>
      </c>
      <c r="B142" s="1">
        <v>647.79999999999995</v>
      </c>
      <c r="C142" s="1">
        <f t="shared" si="9"/>
        <v>608.29669999999999</v>
      </c>
      <c r="D142" s="1">
        <f t="shared" si="10"/>
        <v>1.0649408421909901</v>
      </c>
      <c r="E142" s="1"/>
      <c r="F142" s="2">
        <f>C142*$E$2</f>
        <v>604.66828507563014</v>
      </c>
      <c r="G142" s="4">
        <f t="shared" si="11"/>
        <v>43.131714924369817</v>
      </c>
    </row>
    <row r="143" spans="1:7">
      <c r="A143" s="1">
        <f t="shared" si="12"/>
        <v>142</v>
      </c>
      <c r="B143" s="1">
        <v>650.4</v>
      </c>
      <c r="C143" s="1">
        <f t="shared" si="9"/>
        <v>609.16539999999998</v>
      </c>
      <c r="D143" s="1">
        <f t="shared" si="10"/>
        <v>1.0676903185899922</v>
      </c>
      <c r="E143" s="1"/>
      <c r="F143" s="2">
        <f>C143*$E$3</f>
        <v>610.6797650411113</v>
      </c>
      <c r="G143" s="4">
        <f t="shared" si="11"/>
        <v>39.720234958888682</v>
      </c>
    </row>
    <row r="144" spans="1:7">
      <c r="A144" s="1">
        <f t="shared" si="12"/>
        <v>143</v>
      </c>
      <c r="B144" s="1">
        <v>644.70000000000005</v>
      </c>
      <c r="C144" s="1">
        <f t="shared" si="9"/>
        <v>610.03409999999997</v>
      </c>
      <c r="D144" s="1">
        <f t="shared" si="10"/>
        <v>1.0568261675863695</v>
      </c>
      <c r="E144" s="1"/>
      <c r="F144" s="2">
        <f>C144*$E$4</f>
        <v>610.95222419298534</v>
      </c>
      <c r="G144" s="4">
        <f t="shared" si="11"/>
        <v>33.747775807014705</v>
      </c>
    </row>
    <row r="145" spans="1:7">
      <c r="A145" s="1">
        <f t="shared" si="12"/>
        <v>144</v>
      </c>
      <c r="B145" s="1">
        <v>575.20000000000005</v>
      </c>
      <c r="C145" s="1">
        <f t="shared" si="9"/>
        <v>610.90280000000007</v>
      </c>
      <c r="D145" s="1">
        <f t="shared" si="10"/>
        <v>0.94155731484615879</v>
      </c>
      <c r="E145" s="1"/>
      <c r="F145" s="2">
        <f>C145*$E$5</f>
        <v>612.22283445163953</v>
      </c>
      <c r="G145" s="4">
        <f t="shared" si="11"/>
        <v>-37.022834451639483</v>
      </c>
    </row>
    <row r="146" spans="1:7">
      <c r="A146" s="1">
        <f t="shared" si="12"/>
        <v>145</v>
      </c>
      <c r="B146" s="1">
        <v>567.1</v>
      </c>
      <c r="C146" s="1">
        <f t="shared" si="9"/>
        <v>611.77150000000006</v>
      </c>
      <c r="D146" s="1">
        <f t="shared" si="10"/>
        <v>0.92698008978842583</v>
      </c>
      <c r="E146" s="1"/>
      <c r="F146" s="2">
        <f>C146*$E$2</f>
        <v>608.12235832143404</v>
      </c>
      <c r="G146" s="4">
        <f t="shared" si="11"/>
        <v>-41.022358321434012</v>
      </c>
    </row>
    <row r="147" spans="1:7">
      <c r="A147" s="1">
        <f t="shared" si="12"/>
        <v>146</v>
      </c>
      <c r="B147" s="1">
        <v>574</v>
      </c>
      <c r="C147" s="1">
        <f t="shared" si="9"/>
        <v>612.64020000000005</v>
      </c>
      <c r="D147" s="1">
        <f t="shared" si="10"/>
        <v>0.93692839614507828</v>
      </c>
      <c r="E147" s="1"/>
      <c r="F147" s="2">
        <f>C147*$E$3</f>
        <v>614.16320327901008</v>
      </c>
      <c r="G147" s="4">
        <f t="shared" si="11"/>
        <v>-40.163203279010077</v>
      </c>
    </row>
    <row r="148" spans="1:7">
      <c r="A148" s="1">
        <f t="shared" si="12"/>
        <v>147</v>
      </c>
      <c r="B148" s="1">
        <v>533.1</v>
      </c>
      <c r="C148" s="1">
        <f t="shared" si="9"/>
        <v>613.50890000000004</v>
      </c>
      <c r="D148" s="1">
        <f t="shared" si="10"/>
        <v>0.86893604966447913</v>
      </c>
      <c r="E148" s="1"/>
      <c r="F148" s="2">
        <f>C148*$E$4</f>
        <v>614.43225389726888</v>
      </c>
      <c r="G148" s="4">
        <f t="shared" si="11"/>
        <v>-81.332253897268856</v>
      </c>
    </row>
    <row r="149" spans="1:7">
      <c r="A149" s="1">
        <f t="shared" si="12"/>
        <v>148</v>
      </c>
      <c r="B149" s="1">
        <v>583.70000000000005</v>
      </c>
      <c r="C149" s="1">
        <f t="shared" si="9"/>
        <v>614.37760000000003</v>
      </c>
      <c r="D149" s="1">
        <f t="shared" si="10"/>
        <v>0.95006718994963357</v>
      </c>
      <c r="E149" s="1"/>
      <c r="F149" s="2">
        <f>C149*$E$5</f>
        <v>615.70514277491543</v>
      </c>
      <c r="G149" s="4">
        <f t="shared" si="11"/>
        <v>-32.005142774915385</v>
      </c>
    </row>
    <row r="150" spans="1:7">
      <c r="A150" s="1">
        <f t="shared" si="12"/>
        <v>149</v>
      </c>
      <c r="B150" s="1">
        <v>619.9</v>
      </c>
      <c r="C150" s="1">
        <f t="shared" si="9"/>
        <v>615.24630000000002</v>
      </c>
      <c r="D150" s="1">
        <f t="shared" si="10"/>
        <v>1.0075639625951427</v>
      </c>
      <c r="E150" s="1"/>
      <c r="F150" s="2">
        <f>C150*$E$2</f>
        <v>611.57643156723793</v>
      </c>
      <c r="G150" s="4">
        <f t="shared" si="11"/>
        <v>8.3235684327620447</v>
      </c>
    </row>
    <row r="151" spans="1:7">
      <c r="A151" s="1">
        <f t="shared" si="12"/>
        <v>150</v>
      </c>
      <c r="B151" s="1">
        <v>649</v>
      </c>
      <c r="C151" s="1">
        <f t="shared" si="9"/>
        <v>616.11500000000001</v>
      </c>
      <c r="D151" s="1">
        <f t="shared" si="10"/>
        <v>1.053374775812957</v>
      </c>
      <c r="E151" s="1"/>
      <c r="F151" s="2">
        <f>C151*$E$3</f>
        <v>617.64664151690874</v>
      </c>
      <c r="G151" s="4">
        <f t="shared" si="11"/>
        <v>31.353358483091256</v>
      </c>
    </row>
    <row r="152" spans="1:7">
      <c r="A152" s="1">
        <f t="shared" si="12"/>
        <v>151</v>
      </c>
      <c r="B152" s="1">
        <v>698.1</v>
      </c>
      <c r="C152" s="1">
        <f t="shared" si="9"/>
        <v>616.9837</v>
      </c>
      <c r="D152" s="1">
        <f t="shared" si="10"/>
        <v>1.131472354942278</v>
      </c>
      <c r="E152" s="1"/>
      <c r="F152" s="2">
        <f>C152*$E$4</f>
        <v>617.91228360155219</v>
      </c>
      <c r="G152" s="4">
        <f t="shared" si="11"/>
        <v>80.187716398447833</v>
      </c>
    </row>
    <row r="153" spans="1:7">
      <c r="A153" s="1">
        <f t="shared" si="12"/>
        <v>152</v>
      </c>
      <c r="B153" s="1">
        <v>630.20000000000005</v>
      </c>
      <c r="C153" s="1">
        <f t="shared" si="9"/>
        <v>617.85239999999999</v>
      </c>
      <c r="D153" s="1">
        <f t="shared" si="10"/>
        <v>1.0199847083219229</v>
      </c>
      <c r="E153" s="1"/>
      <c r="F153" s="2">
        <f>C153*$E$5</f>
        <v>619.18745109819122</v>
      </c>
      <c r="G153" s="4">
        <f t="shared" si="11"/>
        <v>11.012548901808827</v>
      </c>
    </row>
    <row r="154" spans="1:7">
      <c r="A154" s="1">
        <f t="shared" si="12"/>
        <v>153</v>
      </c>
      <c r="B154" s="1">
        <v>613.1</v>
      </c>
      <c r="C154" s="1">
        <f t="shared" si="9"/>
        <v>618.72109999999998</v>
      </c>
      <c r="D154" s="1">
        <f t="shared" si="10"/>
        <v>0.99091496960423697</v>
      </c>
      <c r="E154" s="1"/>
      <c r="F154" s="2">
        <f>C154*$E$2</f>
        <v>615.03050481304172</v>
      </c>
      <c r="G154" s="4">
        <f t="shared" si="11"/>
        <v>-1.9305048130416935</v>
      </c>
    </row>
    <row r="155" spans="1:7">
      <c r="A155" s="1">
        <f t="shared" si="12"/>
        <v>154</v>
      </c>
      <c r="B155" s="1">
        <v>622</v>
      </c>
      <c r="C155" s="1">
        <f t="shared" si="9"/>
        <v>619.58979999999997</v>
      </c>
      <c r="D155" s="1">
        <f t="shared" si="10"/>
        <v>1.0038899930244172</v>
      </c>
      <c r="E155" s="1"/>
      <c r="F155" s="2">
        <f>C155*$E$3</f>
        <v>621.13007975480741</v>
      </c>
      <c r="G155" s="4">
        <f t="shared" si="11"/>
        <v>0.86992024519258848</v>
      </c>
    </row>
    <row r="156" spans="1:7">
      <c r="A156" s="1">
        <f t="shared" si="12"/>
        <v>155</v>
      </c>
      <c r="B156" s="1">
        <v>622.1</v>
      </c>
      <c r="C156" s="1">
        <f t="shared" si="9"/>
        <v>620.45849999999996</v>
      </c>
      <c r="D156" s="1">
        <f t="shared" si="10"/>
        <v>1.0026456241634212</v>
      </c>
      <c r="E156" s="1"/>
      <c r="F156" s="2">
        <f>C156*$E$4</f>
        <v>621.3923133058355</v>
      </c>
      <c r="G156" s="4">
        <f t="shared" si="11"/>
        <v>0.70768669416452212</v>
      </c>
    </row>
    <row r="157" spans="1:7">
      <c r="A157" s="1">
        <f t="shared" si="12"/>
        <v>156</v>
      </c>
      <c r="B157" s="1">
        <v>583.1</v>
      </c>
      <c r="C157" s="1">
        <f t="shared" si="9"/>
        <v>621.32719999999995</v>
      </c>
      <c r="D157" s="1">
        <f t="shared" si="10"/>
        <v>0.93847492915166131</v>
      </c>
      <c r="E157" s="1"/>
      <c r="F157" s="2">
        <f>C157*$E$5</f>
        <v>622.66975942146712</v>
      </c>
      <c r="G157" s="4">
        <f t="shared" si="11"/>
        <v>-39.569759421467097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"/>
  <sheetViews>
    <sheetView workbookViewId="0">
      <selection activeCell="V10" sqref="V10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0">
    <tabColor rgb="FF007800"/>
  </sheetPr>
  <dimension ref="B1:I455"/>
  <sheetViews>
    <sheetView zoomScaleNormal="100" workbookViewId="0"/>
  </sheetViews>
  <sheetFormatPr baseColWidth="10" defaultColWidth="8.83203125" defaultRowHeight="15"/>
  <cols>
    <col min="1" max="1" width="5" customWidth="1"/>
    <col min="3" max="3" width="9.5" bestFit="1" customWidth="1"/>
  </cols>
  <sheetData>
    <row r="1" spans="2:9">
      <c r="B1" t="s">
        <v>306</v>
      </c>
    </row>
    <row r="2" spans="2:9">
      <c r="B2" t="s">
        <v>286</v>
      </c>
    </row>
    <row r="3" spans="2:9" ht="34.25" customHeight="1"/>
    <row r="4" spans="2:9" ht="16.25" customHeight="1"/>
    <row r="7" spans="2:9">
      <c r="B7" t="s">
        <v>180</v>
      </c>
    </row>
    <row r="8" spans="2:9" ht="16" thickBot="1"/>
    <row r="9" spans="2:9">
      <c r="B9" s="11" t="s">
        <v>181</v>
      </c>
      <c r="C9" s="12" t="s">
        <v>182</v>
      </c>
      <c r="D9" s="12" t="s">
        <v>183</v>
      </c>
      <c r="E9" s="12" t="s">
        <v>184</v>
      </c>
      <c r="F9" s="12" t="s">
        <v>185</v>
      </c>
      <c r="G9" s="12" t="s">
        <v>186</v>
      </c>
      <c r="H9" s="12" t="s">
        <v>187</v>
      </c>
      <c r="I9" s="12" t="s">
        <v>188</v>
      </c>
    </row>
    <row r="10" spans="2:9" ht="16" thickBot="1">
      <c r="B10" s="14" t="s">
        <v>5</v>
      </c>
      <c r="C10" s="15">
        <v>156</v>
      </c>
      <c r="D10" s="15">
        <v>0</v>
      </c>
      <c r="E10" s="15">
        <v>156</v>
      </c>
      <c r="F10" s="16">
        <v>17.899999999999999</v>
      </c>
      <c r="G10" s="16">
        <v>54.2</v>
      </c>
      <c r="H10" s="16">
        <v>31.433974358974371</v>
      </c>
      <c r="I10" s="16">
        <v>9.8384990777335712</v>
      </c>
    </row>
    <row r="13" spans="2:9">
      <c r="B13" s="17" t="s">
        <v>290</v>
      </c>
    </row>
    <row r="15" spans="2:9">
      <c r="B15" t="s">
        <v>233</v>
      </c>
    </row>
    <row r="16" spans="2:9" ht="16" thickBot="1"/>
    <row r="17" spans="2:3">
      <c r="B17" s="11" t="s">
        <v>234</v>
      </c>
      <c r="C17" s="12" t="s">
        <v>206</v>
      </c>
    </row>
    <row r="18" spans="2:3">
      <c r="B18" s="13" t="s">
        <v>237</v>
      </c>
      <c r="C18" s="20">
        <v>1.1017044383086622E-2</v>
      </c>
    </row>
    <row r="19" spans="2:3">
      <c r="B19" s="10" t="s">
        <v>291</v>
      </c>
      <c r="C19" s="22">
        <v>-6.4530264726538708E-2</v>
      </c>
    </row>
    <row r="20" spans="2:3" ht="16" thickBot="1">
      <c r="B20" s="19" t="s">
        <v>193</v>
      </c>
      <c r="C20" s="21">
        <v>14838.096923076933</v>
      </c>
    </row>
    <row r="23" spans="2:3">
      <c r="B23" t="s">
        <v>233</v>
      </c>
    </row>
    <row r="24" spans="2:3" ht="16" thickBot="1"/>
    <row r="25" spans="2:3">
      <c r="B25" s="11" t="s">
        <v>205</v>
      </c>
      <c r="C25" s="12" t="s">
        <v>206</v>
      </c>
    </row>
    <row r="26" spans="2:3">
      <c r="B26" s="13" t="s">
        <v>292</v>
      </c>
      <c r="C26" s="20">
        <v>31.433974358974346</v>
      </c>
    </row>
    <row r="27" spans="2:3">
      <c r="B27" s="10" t="s">
        <v>242</v>
      </c>
      <c r="C27" s="22">
        <v>0.42756410256410859</v>
      </c>
    </row>
    <row r="28" spans="2:3">
      <c r="B28" s="10" t="s">
        <v>293</v>
      </c>
      <c r="C28" s="22">
        <v>-1.0801282051281902</v>
      </c>
    </row>
    <row r="29" spans="2:3">
      <c r="B29" s="10" t="s">
        <v>294</v>
      </c>
      <c r="C29" s="22">
        <v>-1.226282051282034</v>
      </c>
    </row>
    <row r="30" spans="2:3">
      <c r="B30" s="10" t="s">
        <v>295</v>
      </c>
      <c r="C30" s="22">
        <v>-0.32628205128204968</v>
      </c>
    </row>
    <row r="31" spans="2:3">
      <c r="B31" s="10" t="s">
        <v>296</v>
      </c>
      <c r="C31" s="22">
        <v>1.1506410256410362</v>
      </c>
    </row>
    <row r="32" spans="2:3">
      <c r="B32" s="10" t="s">
        <v>297</v>
      </c>
      <c r="C32" s="22">
        <v>1.1967948717948786</v>
      </c>
    </row>
    <row r="33" spans="2:4">
      <c r="B33" s="10" t="s">
        <v>298</v>
      </c>
      <c r="C33" s="22">
        <v>0.31987179487180128</v>
      </c>
    </row>
    <row r="34" spans="2:4">
      <c r="B34" s="10" t="s">
        <v>299</v>
      </c>
      <c r="C34" s="22">
        <v>1.6044871794871867</v>
      </c>
    </row>
    <row r="35" spans="2:4">
      <c r="B35" s="10" t="s">
        <v>300</v>
      </c>
      <c r="C35" s="22">
        <v>1.9871794871811232E-2</v>
      </c>
    </row>
    <row r="36" spans="2:4">
      <c r="B36" s="10" t="s">
        <v>301</v>
      </c>
      <c r="C36" s="22">
        <v>0.22756410256410931</v>
      </c>
    </row>
    <row r="37" spans="2:4">
      <c r="B37" s="10" t="s">
        <v>302</v>
      </c>
      <c r="C37" s="22">
        <v>-0.2647435897435777</v>
      </c>
    </row>
    <row r="38" spans="2:4" ht="16" thickBot="1">
      <c r="B38" s="19" t="s">
        <v>303</v>
      </c>
      <c r="C38" s="21">
        <v>-2.0493589743589666</v>
      </c>
    </row>
    <row r="41" spans="2:4">
      <c r="B41" t="s">
        <v>265</v>
      </c>
    </row>
    <row r="42" spans="2:4" ht="16" thickBot="1"/>
    <row r="43" spans="2:4">
      <c r="B43" s="23" t="s">
        <v>266</v>
      </c>
      <c r="C43" s="12" t="s">
        <v>5</v>
      </c>
      <c r="D43" s="12" t="s">
        <v>304</v>
      </c>
    </row>
    <row r="44" spans="2:4">
      <c r="B44" s="24">
        <v>1</v>
      </c>
      <c r="C44" s="20">
        <v>53.1</v>
      </c>
      <c r="D44" s="20">
        <v>21.238461538461546</v>
      </c>
    </row>
    <row r="45" spans="2:4">
      <c r="B45" s="25">
        <v>2</v>
      </c>
      <c r="C45" s="22">
        <v>50.8</v>
      </c>
      <c r="D45" s="22">
        <v>20.446153846153841</v>
      </c>
    </row>
    <row r="46" spans="2:4">
      <c r="B46" s="25">
        <v>3</v>
      </c>
      <c r="C46" s="22">
        <v>50.1</v>
      </c>
      <c r="D46" s="22">
        <v>19.892307692307689</v>
      </c>
    </row>
    <row r="47" spans="2:4">
      <c r="B47" s="25">
        <v>4</v>
      </c>
      <c r="C47" s="22">
        <v>51.8</v>
      </c>
      <c r="D47" s="22">
        <v>20.692307692307701</v>
      </c>
    </row>
    <row r="48" spans="2:4">
      <c r="B48" s="25">
        <v>5</v>
      </c>
      <c r="C48" s="22">
        <v>53.9</v>
      </c>
      <c r="D48" s="22">
        <v>21.315384615384616</v>
      </c>
    </row>
    <row r="49" spans="2:4">
      <c r="B49" s="25">
        <v>6</v>
      </c>
      <c r="C49" s="22">
        <v>54.2</v>
      </c>
      <c r="D49" s="22">
        <v>21.569230769230778</v>
      </c>
    </row>
    <row r="50" spans="2:4">
      <c r="B50" s="25">
        <v>7</v>
      </c>
      <c r="C50" s="22">
        <v>50.2</v>
      </c>
      <c r="D50" s="22">
        <v>18.446153846153855</v>
      </c>
    </row>
    <row r="51" spans="2:4">
      <c r="B51" s="25">
        <v>8</v>
      </c>
      <c r="C51" s="22">
        <v>53.4</v>
      </c>
      <c r="D51" s="22">
        <v>20.361538461538466</v>
      </c>
    </row>
    <row r="52" spans="2:4">
      <c r="B52" s="25">
        <v>9</v>
      </c>
      <c r="C52" s="22">
        <v>50.7</v>
      </c>
      <c r="D52" s="22">
        <v>19.246153846153845</v>
      </c>
    </row>
    <row r="53" spans="2:4">
      <c r="B53" s="25">
        <v>10</v>
      </c>
      <c r="C53" s="22">
        <v>48.4</v>
      </c>
      <c r="D53" s="22">
        <v>16.738461538461543</v>
      </c>
    </row>
    <row r="54" spans="2:4">
      <c r="B54" s="25">
        <v>11</v>
      </c>
      <c r="C54" s="22">
        <v>50.9</v>
      </c>
      <c r="D54" s="22">
        <v>19.73076923076923</v>
      </c>
    </row>
    <row r="55" spans="2:4">
      <c r="B55" s="25">
        <v>12</v>
      </c>
      <c r="C55" s="22">
        <v>44.7</v>
      </c>
      <c r="D55" s="22">
        <v>15.315384615384623</v>
      </c>
    </row>
    <row r="56" spans="2:4">
      <c r="B56" s="25">
        <v>13</v>
      </c>
      <c r="C56" s="22">
        <v>46</v>
      </c>
      <c r="D56" s="22">
        <v>14.138461538461545</v>
      </c>
    </row>
    <row r="57" spans="2:4">
      <c r="B57" s="25">
        <v>14</v>
      </c>
      <c r="C57" s="22">
        <v>44.7</v>
      </c>
      <c r="D57" s="22">
        <v>14.346153846153847</v>
      </c>
    </row>
    <row r="58" spans="2:4">
      <c r="B58" s="25">
        <v>15</v>
      </c>
      <c r="C58" s="22">
        <v>44.7</v>
      </c>
      <c r="D58" s="22">
        <v>14.492307692307691</v>
      </c>
    </row>
    <row r="59" spans="2:4">
      <c r="B59" s="25">
        <v>16</v>
      </c>
      <c r="C59" s="22">
        <v>45.2</v>
      </c>
      <c r="D59" s="22">
        <v>14.092307692307706</v>
      </c>
    </row>
    <row r="60" spans="2:4">
      <c r="B60" s="25">
        <v>17</v>
      </c>
      <c r="C60" s="22">
        <v>47.7</v>
      </c>
      <c r="D60" s="22">
        <v>15.11538461538462</v>
      </c>
    </row>
    <row r="61" spans="2:4">
      <c r="B61" s="25">
        <v>18</v>
      </c>
      <c r="C61" s="22">
        <v>46.8</v>
      </c>
      <c r="D61" s="22">
        <v>14.169230769230772</v>
      </c>
    </row>
    <row r="62" spans="2:4">
      <c r="B62" s="25">
        <v>19</v>
      </c>
      <c r="C62" s="22">
        <v>43.3</v>
      </c>
      <c r="D62" s="22">
        <v>11.54615384615385</v>
      </c>
    </row>
    <row r="63" spans="2:4">
      <c r="B63" s="25">
        <v>20</v>
      </c>
      <c r="C63" s="22">
        <v>49.1</v>
      </c>
      <c r="D63" s="22">
        <v>16.061538461538468</v>
      </c>
    </row>
    <row r="64" spans="2:4">
      <c r="B64" s="25">
        <v>21</v>
      </c>
      <c r="C64" s="22">
        <v>45.2</v>
      </c>
      <c r="D64" s="22">
        <v>13.746153846153845</v>
      </c>
    </row>
    <row r="65" spans="2:4">
      <c r="B65" s="25">
        <v>22</v>
      </c>
      <c r="C65" s="22">
        <v>45.2</v>
      </c>
      <c r="D65" s="22">
        <v>13.538461538461547</v>
      </c>
    </row>
    <row r="66" spans="2:4">
      <c r="B66" s="25">
        <v>23</v>
      </c>
      <c r="C66" s="22">
        <v>46.5</v>
      </c>
      <c r="D66" s="22">
        <v>15.330769230769231</v>
      </c>
    </row>
    <row r="67" spans="2:4">
      <c r="B67" s="25">
        <v>24</v>
      </c>
      <c r="C67" s="22">
        <v>41.7</v>
      </c>
      <c r="D67" s="22">
        <v>12.315384615384623</v>
      </c>
    </row>
    <row r="68" spans="2:4">
      <c r="B68" s="25">
        <v>25</v>
      </c>
      <c r="C68" s="22">
        <v>44.7</v>
      </c>
      <c r="D68" s="22">
        <v>12.838461538461548</v>
      </c>
    </row>
    <row r="69" spans="2:4">
      <c r="B69" s="25">
        <v>26</v>
      </c>
      <c r="C69" s="22">
        <v>39.1</v>
      </c>
      <c r="D69" s="22">
        <v>8.7461538461538453</v>
      </c>
    </row>
    <row r="70" spans="2:4">
      <c r="B70" s="25">
        <v>27</v>
      </c>
      <c r="C70" s="22">
        <v>41.3</v>
      </c>
      <c r="D70" s="22">
        <v>11.092307692307685</v>
      </c>
    </row>
    <row r="71" spans="2:4">
      <c r="B71" s="25">
        <v>28</v>
      </c>
      <c r="C71" s="22">
        <v>40</v>
      </c>
      <c r="D71" s="22">
        <v>8.8923076923077033</v>
      </c>
    </row>
    <row r="72" spans="2:4">
      <c r="B72" s="25">
        <v>29</v>
      </c>
      <c r="C72" s="22">
        <v>44.9</v>
      </c>
      <c r="D72" s="22">
        <v>12.315384615384616</v>
      </c>
    </row>
    <row r="73" spans="2:4">
      <c r="B73" s="25">
        <v>30</v>
      </c>
      <c r="C73" s="22">
        <v>40.9</v>
      </c>
      <c r="D73" s="22">
        <v>8.2692307692307736</v>
      </c>
    </row>
    <row r="74" spans="2:4">
      <c r="B74" s="25">
        <v>31</v>
      </c>
      <c r="C74" s="22">
        <v>44.3</v>
      </c>
      <c r="D74" s="22">
        <v>12.54615384615385</v>
      </c>
    </row>
    <row r="75" spans="2:4">
      <c r="B75" s="25">
        <v>32</v>
      </c>
      <c r="C75" s="22">
        <v>44.4</v>
      </c>
      <c r="D75" s="22">
        <v>11.361538461538466</v>
      </c>
    </row>
    <row r="76" spans="2:4">
      <c r="B76" s="25">
        <v>33</v>
      </c>
      <c r="C76" s="22">
        <v>40.700000000000003</v>
      </c>
      <c r="D76" s="22">
        <v>9.2461538461538453</v>
      </c>
    </row>
    <row r="77" spans="2:4">
      <c r="B77" s="25">
        <v>34</v>
      </c>
      <c r="C77" s="22">
        <v>41.9</v>
      </c>
      <c r="D77" s="22">
        <v>10.238461538461543</v>
      </c>
    </row>
    <row r="78" spans="2:4">
      <c r="B78" s="25">
        <v>35</v>
      </c>
      <c r="C78" s="22">
        <v>41.7</v>
      </c>
      <c r="D78" s="22">
        <v>10.530769230769234</v>
      </c>
    </row>
    <row r="79" spans="2:4">
      <c r="B79" s="25">
        <v>36</v>
      </c>
      <c r="C79" s="22">
        <v>37.700000000000003</v>
      </c>
      <c r="D79" s="22">
        <v>8.3153846153846231</v>
      </c>
    </row>
    <row r="80" spans="2:4">
      <c r="B80" s="25">
        <v>37</v>
      </c>
      <c r="C80" s="22">
        <v>39.700000000000003</v>
      </c>
      <c r="D80" s="22">
        <v>7.8384615384615479</v>
      </c>
    </row>
    <row r="81" spans="2:4">
      <c r="B81" s="25">
        <v>38</v>
      </c>
      <c r="C81" s="22">
        <v>36.1</v>
      </c>
      <c r="D81" s="22">
        <v>5.7461538461538453</v>
      </c>
    </row>
    <row r="82" spans="2:4">
      <c r="B82" s="25">
        <v>39</v>
      </c>
      <c r="C82" s="22">
        <v>33.1</v>
      </c>
      <c r="D82" s="22">
        <v>2.8923076923076891</v>
      </c>
    </row>
    <row r="83" spans="2:4">
      <c r="B83" s="25">
        <v>40</v>
      </c>
      <c r="C83" s="22">
        <v>37.200000000000003</v>
      </c>
      <c r="D83" s="22">
        <v>6.0923076923077062</v>
      </c>
    </row>
    <row r="84" spans="2:4">
      <c r="B84" s="25">
        <v>41</v>
      </c>
      <c r="C84" s="22">
        <v>36.9</v>
      </c>
      <c r="D84" s="22">
        <v>4.315384615384616</v>
      </c>
    </row>
    <row r="85" spans="2:4">
      <c r="B85" s="25">
        <v>42</v>
      </c>
      <c r="C85" s="22">
        <v>38.1</v>
      </c>
      <c r="D85" s="22">
        <v>5.4692307692307764</v>
      </c>
    </row>
    <row r="86" spans="2:4">
      <c r="B86" s="25">
        <v>43</v>
      </c>
      <c r="C86" s="22">
        <v>37.6</v>
      </c>
      <c r="D86" s="22">
        <v>5.8461538461538538</v>
      </c>
    </row>
    <row r="87" spans="2:4">
      <c r="B87" s="25">
        <v>44</v>
      </c>
      <c r="C87" s="22">
        <v>38.4</v>
      </c>
      <c r="D87" s="22">
        <v>5.3615384615384656</v>
      </c>
    </row>
    <row r="88" spans="2:4">
      <c r="B88" s="25">
        <v>45</v>
      </c>
      <c r="C88" s="22">
        <v>41.8</v>
      </c>
      <c r="D88" s="22">
        <v>10.34615384615384</v>
      </c>
    </row>
    <row r="89" spans="2:4">
      <c r="B89" s="25">
        <v>46</v>
      </c>
      <c r="C89" s="22">
        <v>44.7</v>
      </c>
      <c r="D89" s="22">
        <v>13.038461538461547</v>
      </c>
    </row>
    <row r="90" spans="2:4">
      <c r="B90" s="25">
        <v>47</v>
      </c>
      <c r="C90" s="22">
        <v>37.5</v>
      </c>
      <c r="D90" s="22">
        <v>6.3307692307692314</v>
      </c>
    </row>
    <row r="91" spans="2:4">
      <c r="B91" s="25">
        <v>48</v>
      </c>
      <c r="C91" s="22">
        <v>36.5</v>
      </c>
      <c r="D91" s="22">
        <v>7.1153846153846203</v>
      </c>
    </row>
    <row r="92" spans="2:4">
      <c r="B92" s="25">
        <v>49</v>
      </c>
      <c r="C92" s="22">
        <v>33.200000000000003</v>
      </c>
      <c r="D92" s="22">
        <v>1.3384615384615479</v>
      </c>
    </row>
    <row r="93" spans="2:4">
      <c r="B93" s="25">
        <v>50</v>
      </c>
      <c r="C93" s="22">
        <v>34</v>
      </c>
      <c r="D93" s="22">
        <v>3.6461538461538439</v>
      </c>
    </row>
    <row r="94" spans="2:4">
      <c r="B94" s="25">
        <v>51</v>
      </c>
      <c r="C94" s="22">
        <v>32.799999999999997</v>
      </c>
      <c r="D94" s="22">
        <v>2.5923076923076849</v>
      </c>
    </row>
    <row r="95" spans="2:4">
      <c r="B95" s="25">
        <v>52</v>
      </c>
      <c r="C95" s="22">
        <v>34.4</v>
      </c>
      <c r="D95" s="22">
        <v>3.2923076923077019</v>
      </c>
    </row>
    <row r="96" spans="2:4">
      <c r="B96" s="25">
        <v>53</v>
      </c>
      <c r="C96" s="22">
        <v>34.700000000000003</v>
      </c>
      <c r="D96" s="22">
        <v>2.1153846153846203</v>
      </c>
    </row>
    <row r="97" spans="2:4">
      <c r="B97" s="25">
        <v>54</v>
      </c>
      <c r="C97" s="22">
        <v>37</v>
      </c>
      <c r="D97" s="22">
        <v>4.369230769230775</v>
      </c>
    </row>
    <row r="98" spans="2:4">
      <c r="B98" s="25">
        <v>55</v>
      </c>
      <c r="C98" s="22">
        <v>35.6</v>
      </c>
      <c r="D98" s="22">
        <v>3.8461538461538538</v>
      </c>
    </row>
    <row r="99" spans="2:4">
      <c r="B99" s="25">
        <v>56</v>
      </c>
      <c r="C99" s="22">
        <v>35</v>
      </c>
      <c r="D99" s="22">
        <v>1.961538461538467</v>
      </c>
    </row>
    <row r="100" spans="2:4">
      <c r="B100" s="25">
        <v>57</v>
      </c>
      <c r="C100" s="22">
        <v>35.4</v>
      </c>
      <c r="D100" s="22">
        <v>3.946153846153841</v>
      </c>
    </row>
    <row r="101" spans="2:4">
      <c r="B101" s="25">
        <v>58</v>
      </c>
      <c r="C101" s="22">
        <v>35.700000000000003</v>
      </c>
      <c r="D101" s="22">
        <v>4.0384615384615472</v>
      </c>
    </row>
    <row r="102" spans="2:4">
      <c r="B102" s="25">
        <v>59</v>
      </c>
      <c r="C102" s="22">
        <v>32.799999999999997</v>
      </c>
      <c r="D102" s="22">
        <v>1.6307692307692285</v>
      </c>
    </row>
    <row r="103" spans="2:4">
      <c r="B103" s="25">
        <v>60</v>
      </c>
      <c r="C103" s="22">
        <v>33.5</v>
      </c>
      <c r="D103" s="22">
        <v>4.1153846153846203</v>
      </c>
    </row>
    <row r="104" spans="2:4">
      <c r="B104" s="25">
        <v>61</v>
      </c>
      <c r="C104" s="22">
        <v>30.9</v>
      </c>
      <c r="D104" s="22">
        <v>-0.96153846153845635</v>
      </c>
    </row>
    <row r="105" spans="2:4">
      <c r="B105" s="25">
        <v>62</v>
      </c>
      <c r="C105" s="22">
        <v>31</v>
      </c>
      <c r="D105" s="22">
        <v>0.64615384615384386</v>
      </c>
    </row>
    <row r="106" spans="2:4">
      <c r="B106" s="25">
        <v>63</v>
      </c>
      <c r="C106" s="22">
        <v>33.200000000000003</v>
      </c>
      <c r="D106" s="22">
        <v>2.9923076923076906</v>
      </c>
    </row>
    <row r="107" spans="2:4">
      <c r="B107" s="25">
        <v>64</v>
      </c>
      <c r="C107" s="22">
        <v>32.4</v>
      </c>
      <c r="D107" s="22">
        <v>1.2923076923077019</v>
      </c>
    </row>
    <row r="108" spans="2:4">
      <c r="B108" s="25">
        <v>65</v>
      </c>
      <c r="C108" s="22">
        <v>32.1</v>
      </c>
      <c r="D108" s="22">
        <v>-0.48461538461538112</v>
      </c>
    </row>
    <row r="109" spans="2:4">
      <c r="B109" s="25">
        <v>66</v>
      </c>
      <c r="C109" s="22">
        <v>34.799999999999997</v>
      </c>
      <c r="D109" s="22">
        <v>2.1692307692307722</v>
      </c>
    </row>
    <row r="110" spans="2:4">
      <c r="B110" s="25">
        <v>67</v>
      </c>
      <c r="C110" s="22">
        <v>31.7</v>
      </c>
      <c r="D110" s="22">
        <v>-5.3846153846148326E-2</v>
      </c>
    </row>
    <row r="111" spans="2:4">
      <c r="B111" s="25">
        <v>68</v>
      </c>
      <c r="C111" s="22">
        <v>32.299999999999997</v>
      </c>
      <c r="D111" s="22">
        <v>-0.73846153846153584</v>
      </c>
    </row>
    <row r="112" spans="2:4">
      <c r="B112" s="25">
        <v>69</v>
      </c>
      <c r="C112" s="22">
        <v>31.6</v>
      </c>
      <c r="D112" s="22">
        <v>0.14615384615384386</v>
      </c>
    </row>
    <row r="113" spans="2:4">
      <c r="B113" s="25">
        <v>70</v>
      </c>
      <c r="C113" s="22">
        <v>31.3</v>
      </c>
      <c r="D113" s="22">
        <v>-0.36153846153845492</v>
      </c>
    </row>
    <row r="114" spans="2:4">
      <c r="B114" s="25">
        <v>71</v>
      </c>
      <c r="C114" s="22">
        <v>31.7</v>
      </c>
      <c r="D114" s="22">
        <v>0.53076923076923066</v>
      </c>
    </row>
    <row r="115" spans="2:4">
      <c r="B115" s="25">
        <v>72</v>
      </c>
      <c r="C115" s="22">
        <v>31.8</v>
      </c>
      <c r="D115" s="22">
        <v>2.415384615384621</v>
      </c>
    </row>
    <row r="116" spans="2:4">
      <c r="B116" s="25">
        <v>73</v>
      </c>
      <c r="C116" s="22">
        <v>29.3</v>
      </c>
      <c r="D116" s="22">
        <v>-2.5615384615384542</v>
      </c>
    </row>
    <row r="117" spans="2:4">
      <c r="B117" s="25">
        <v>74</v>
      </c>
      <c r="C117" s="22">
        <v>27.9</v>
      </c>
      <c r="D117" s="22">
        <v>-2.4538461538461576</v>
      </c>
    </row>
    <row r="118" spans="2:4">
      <c r="B118" s="25">
        <v>75</v>
      </c>
      <c r="C118" s="22">
        <v>28</v>
      </c>
      <c r="D118" s="22">
        <v>-2.2076923076923123</v>
      </c>
    </row>
    <row r="119" spans="2:4">
      <c r="B119" s="25">
        <v>76</v>
      </c>
      <c r="C119" s="22">
        <v>28.7</v>
      </c>
      <c r="D119" s="22">
        <v>-2.4076923076922974</v>
      </c>
    </row>
    <row r="120" spans="2:4">
      <c r="B120" s="25">
        <v>77</v>
      </c>
      <c r="C120" s="22">
        <v>30.5</v>
      </c>
      <c r="D120" s="22">
        <v>-2.0846153846153825</v>
      </c>
    </row>
    <row r="121" spans="2:4">
      <c r="B121" s="25">
        <v>78</v>
      </c>
      <c r="C121" s="22">
        <v>31.3</v>
      </c>
      <c r="D121" s="22">
        <v>-1.3307692307692243</v>
      </c>
    </row>
    <row r="122" spans="2:4">
      <c r="B122" s="25">
        <v>79</v>
      </c>
      <c r="C122" s="22">
        <v>29.2</v>
      </c>
      <c r="D122" s="22">
        <v>-2.5538461538461483</v>
      </c>
    </row>
    <row r="123" spans="2:4">
      <c r="B123" s="25">
        <v>80</v>
      </c>
      <c r="C123" s="22">
        <v>30.9</v>
      </c>
      <c r="D123" s="22">
        <v>-2.1384615384615344</v>
      </c>
    </row>
    <row r="124" spans="2:4">
      <c r="B124" s="25">
        <v>81</v>
      </c>
      <c r="C124" s="22">
        <v>29.1</v>
      </c>
      <c r="D124" s="22">
        <v>-2.3538461538461561</v>
      </c>
    </row>
    <row r="125" spans="2:4">
      <c r="B125" s="25">
        <v>82</v>
      </c>
      <c r="C125" s="22">
        <v>27.6</v>
      </c>
      <c r="D125" s="22">
        <v>-4.0615384615384542</v>
      </c>
    </row>
    <row r="126" spans="2:4">
      <c r="B126" s="25">
        <v>83</v>
      </c>
      <c r="C126" s="22">
        <v>28.3</v>
      </c>
      <c r="D126" s="22">
        <v>-2.8692307692307679</v>
      </c>
    </row>
    <row r="127" spans="2:4">
      <c r="B127" s="25">
        <v>84</v>
      </c>
      <c r="C127" s="22">
        <v>25.8</v>
      </c>
      <c r="D127" s="22">
        <v>-3.584615384615379</v>
      </c>
    </row>
    <row r="128" spans="2:4">
      <c r="B128" s="25">
        <v>85</v>
      </c>
      <c r="C128" s="22">
        <v>25.3</v>
      </c>
      <c r="D128" s="22">
        <v>-6.5615384615384542</v>
      </c>
    </row>
    <row r="129" spans="2:4">
      <c r="B129" s="25">
        <v>86</v>
      </c>
      <c r="C129" s="22">
        <v>25.6</v>
      </c>
      <c r="D129" s="22">
        <v>-4.7538461538461547</v>
      </c>
    </row>
    <row r="130" spans="2:4">
      <c r="B130" s="25">
        <v>87</v>
      </c>
      <c r="C130" s="22">
        <v>24.1</v>
      </c>
      <c r="D130" s="22">
        <v>-6.1076923076923109</v>
      </c>
    </row>
    <row r="131" spans="2:4">
      <c r="B131" s="25">
        <v>88</v>
      </c>
      <c r="C131" s="22">
        <v>25.8</v>
      </c>
      <c r="D131" s="22">
        <v>-5.3076923076922959</v>
      </c>
    </row>
    <row r="132" spans="2:4">
      <c r="B132" s="25">
        <v>89</v>
      </c>
      <c r="C132" s="22">
        <v>26.2</v>
      </c>
      <c r="D132" s="22">
        <v>-6.3846153846153832</v>
      </c>
    </row>
    <row r="133" spans="2:4">
      <c r="B133" s="25">
        <v>90</v>
      </c>
      <c r="C133" s="22">
        <v>26.6</v>
      </c>
      <c r="D133" s="22">
        <v>-6.0307692307692236</v>
      </c>
    </row>
    <row r="134" spans="2:4">
      <c r="B134" s="25">
        <v>91</v>
      </c>
      <c r="C134" s="22">
        <v>26</v>
      </c>
      <c r="D134" s="22">
        <v>-5.7538461538461476</v>
      </c>
    </row>
    <row r="135" spans="2:4">
      <c r="B135" s="25">
        <v>92</v>
      </c>
      <c r="C135" s="22">
        <v>26.6</v>
      </c>
      <c r="D135" s="22">
        <v>-6.4384615384615316</v>
      </c>
    </row>
    <row r="136" spans="2:4">
      <c r="B136" s="25">
        <v>93</v>
      </c>
      <c r="C136" s="22">
        <v>25.3</v>
      </c>
      <c r="D136" s="22">
        <v>-6.1538461538461569</v>
      </c>
    </row>
    <row r="137" spans="2:4">
      <c r="B137" s="25">
        <v>94</v>
      </c>
      <c r="C137" s="22">
        <v>24.9</v>
      </c>
      <c r="D137" s="22">
        <v>-6.7615384615384571</v>
      </c>
    </row>
    <row r="138" spans="2:4">
      <c r="B138" s="25">
        <v>95</v>
      </c>
      <c r="C138" s="22">
        <v>24.8</v>
      </c>
      <c r="D138" s="22">
        <v>-6.3692307692307679</v>
      </c>
    </row>
    <row r="139" spans="2:4">
      <c r="B139" s="25">
        <v>96</v>
      </c>
      <c r="C139" s="22">
        <v>22.9</v>
      </c>
      <c r="D139" s="22">
        <v>-6.4846153846153811</v>
      </c>
    </row>
    <row r="140" spans="2:4">
      <c r="B140" s="25">
        <v>97</v>
      </c>
      <c r="C140" s="22">
        <v>23.2</v>
      </c>
      <c r="D140" s="22">
        <v>-8.6615384615384556</v>
      </c>
    </row>
    <row r="141" spans="2:4">
      <c r="B141" s="25">
        <v>98</v>
      </c>
      <c r="C141" s="22">
        <v>20.8</v>
      </c>
      <c r="D141" s="22">
        <v>-9.5538461538461554</v>
      </c>
    </row>
    <row r="142" spans="2:4">
      <c r="B142" s="25">
        <v>99</v>
      </c>
      <c r="C142" s="22">
        <v>20.7</v>
      </c>
      <c r="D142" s="22">
        <v>-9.507692307692313</v>
      </c>
    </row>
    <row r="143" spans="2:4">
      <c r="B143" s="25">
        <v>100</v>
      </c>
      <c r="C143" s="22">
        <v>22.4</v>
      </c>
      <c r="D143" s="22">
        <v>-8.7076923076922981</v>
      </c>
    </row>
    <row r="144" spans="2:4">
      <c r="B144" s="25">
        <v>101</v>
      </c>
      <c r="C144" s="22">
        <v>23</v>
      </c>
      <c r="D144" s="22">
        <v>-9.5846153846153825</v>
      </c>
    </row>
    <row r="145" spans="2:4">
      <c r="B145" s="25">
        <v>102</v>
      </c>
      <c r="C145" s="22">
        <v>23.4</v>
      </c>
      <c r="D145" s="22">
        <v>-9.2307692307692264</v>
      </c>
    </row>
    <row r="146" spans="2:4">
      <c r="B146" s="25">
        <v>103</v>
      </c>
      <c r="C146" s="22">
        <v>23.1</v>
      </c>
      <c r="D146" s="22">
        <v>-8.6538461538461462</v>
      </c>
    </row>
    <row r="147" spans="2:4">
      <c r="B147" s="25">
        <v>104</v>
      </c>
      <c r="C147" s="22">
        <v>22.6</v>
      </c>
      <c r="D147" s="22">
        <v>-10.438461538461532</v>
      </c>
    </row>
    <row r="148" spans="2:4">
      <c r="B148" s="25">
        <v>105</v>
      </c>
      <c r="C148" s="22">
        <v>21.6</v>
      </c>
      <c r="D148" s="22">
        <v>-9.8538461538461561</v>
      </c>
    </row>
    <row r="149" spans="2:4">
      <c r="B149" s="25">
        <v>106</v>
      </c>
      <c r="C149" s="22">
        <v>21.1</v>
      </c>
      <c r="D149" s="22">
        <v>-10.561538461538454</v>
      </c>
    </row>
    <row r="150" spans="2:4">
      <c r="B150" s="25">
        <v>107</v>
      </c>
      <c r="C150" s="22">
        <v>21.3</v>
      </c>
      <c r="D150" s="22">
        <v>-9.8692307692307679</v>
      </c>
    </row>
    <row r="151" spans="2:4">
      <c r="B151" s="25">
        <v>108</v>
      </c>
      <c r="C151" s="22">
        <v>20.3</v>
      </c>
      <c r="D151" s="22">
        <v>-9.084615384615379</v>
      </c>
    </row>
    <row r="152" spans="2:4">
      <c r="B152" s="25">
        <v>109</v>
      </c>
      <c r="C152" s="22">
        <v>19.7</v>
      </c>
      <c r="D152" s="22">
        <v>-12.161538461538456</v>
      </c>
    </row>
    <row r="153" spans="2:4">
      <c r="B153" s="25">
        <v>110</v>
      </c>
      <c r="C153" s="22">
        <v>18.5</v>
      </c>
      <c r="D153" s="22">
        <v>-11.853846153846156</v>
      </c>
    </row>
    <row r="154" spans="2:4">
      <c r="B154" s="25">
        <v>111</v>
      </c>
      <c r="C154" s="22">
        <v>17.899999999999999</v>
      </c>
      <c r="D154" s="22">
        <v>-12.307692307692314</v>
      </c>
    </row>
    <row r="155" spans="2:4">
      <c r="B155" s="25">
        <v>112</v>
      </c>
      <c r="C155" s="22">
        <v>19.899999999999999</v>
      </c>
      <c r="D155" s="22">
        <v>-11.207692307692298</v>
      </c>
    </row>
    <row r="156" spans="2:4">
      <c r="B156" s="25">
        <v>113</v>
      </c>
      <c r="C156" s="22">
        <v>20.6</v>
      </c>
      <c r="D156" s="22">
        <v>-11.984615384615381</v>
      </c>
    </row>
    <row r="157" spans="2:4">
      <c r="B157" s="25">
        <v>114</v>
      </c>
      <c r="C157" s="22">
        <v>20.9</v>
      </c>
      <c r="D157" s="22">
        <v>-11.730769230769226</v>
      </c>
    </row>
    <row r="158" spans="2:4">
      <c r="B158" s="25">
        <v>115</v>
      </c>
      <c r="C158" s="22">
        <v>20.3</v>
      </c>
      <c r="D158" s="22">
        <v>-11.453846153846147</v>
      </c>
    </row>
    <row r="159" spans="2:4">
      <c r="B159" s="25">
        <v>116</v>
      </c>
      <c r="C159" s="22">
        <v>21.2</v>
      </c>
      <c r="D159" s="22">
        <v>-11.838461538461534</v>
      </c>
    </row>
    <row r="160" spans="2:4">
      <c r="B160" s="25">
        <v>117</v>
      </c>
      <c r="C160" s="22">
        <v>19.8</v>
      </c>
      <c r="D160" s="22">
        <v>-11.653846153846157</v>
      </c>
    </row>
    <row r="161" spans="2:4">
      <c r="B161" s="25">
        <v>118</v>
      </c>
      <c r="C161" s="22">
        <v>19.8</v>
      </c>
      <c r="D161" s="22">
        <v>-11.861538461538455</v>
      </c>
    </row>
    <row r="162" spans="2:4">
      <c r="B162" s="25">
        <v>119</v>
      </c>
      <c r="C162" s="22">
        <v>19.7</v>
      </c>
      <c r="D162" s="22">
        <v>-11.469230769230769</v>
      </c>
    </row>
    <row r="163" spans="2:4">
      <c r="B163" s="25">
        <v>120</v>
      </c>
      <c r="C163" s="22">
        <v>19.399999999999999</v>
      </c>
      <c r="D163" s="22">
        <v>-9.9846153846153811</v>
      </c>
    </row>
    <row r="164" spans="2:4">
      <c r="B164" s="25">
        <v>121</v>
      </c>
      <c r="C164" s="22">
        <v>23.2</v>
      </c>
      <c r="D164" s="22">
        <v>-8.6615384615384556</v>
      </c>
    </row>
    <row r="165" spans="2:4">
      <c r="B165" s="25">
        <v>122</v>
      </c>
      <c r="C165" s="22">
        <v>21.6</v>
      </c>
      <c r="D165" s="22">
        <v>-8.7538461538461547</v>
      </c>
    </row>
    <row r="166" spans="2:4">
      <c r="B166" s="25">
        <v>123</v>
      </c>
      <c r="C166" s="22">
        <v>22.5</v>
      </c>
      <c r="D166" s="22">
        <v>-7.7076923076923123</v>
      </c>
    </row>
    <row r="167" spans="2:4">
      <c r="B167" s="25">
        <v>124</v>
      </c>
      <c r="C167" s="22">
        <v>23.2</v>
      </c>
      <c r="D167" s="22">
        <v>-7.9076923076922974</v>
      </c>
    </row>
    <row r="168" spans="2:4">
      <c r="B168" s="25">
        <v>125</v>
      </c>
      <c r="C168" s="22">
        <v>23.5</v>
      </c>
      <c r="D168" s="22">
        <v>-9.0846153846153825</v>
      </c>
    </row>
    <row r="169" spans="2:4">
      <c r="B169" s="25">
        <v>126</v>
      </c>
      <c r="C169" s="22">
        <v>24.3</v>
      </c>
      <c r="D169" s="22">
        <v>-8.3307692307692243</v>
      </c>
    </row>
    <row r="170" spans="2:4">
      <c r="B170" s="25">
        <v>127</v>
      </c>
      <c r="C170" s="22">
        <v>23.6</v>
      </c>
      <c r="D170" s="22">
        <v>-8.1538461538461462</v>
      </c>
    </row>
    <row r="171" spans="2:4">
      <c r="B171" s="25">
        <v>128</v>
      </c>
      <c r="C171" s="22">
        <v>24.4</v>
      </c>
      <c r="D171" s="22">
        <v>-8.6384615384615344</v>
      </c>
    </row>
    <row r="172" spans="2:4">
      <c r="B172" s="25">
        <v>129</v>
      </c>
      <c r="C172" s="22">
        <v>23.5</v>
      </c>
      <c r="D172" s="22">
        <v>-7.9538461538461576</v>
      </c>
    </row>
    <row r="173" spans="2:4">
      <c r="B173" s="25">
        <v>130</v>
      </c>
      <c r="C173" s="22">
        <v>23.4</v>
      </c>
      <c r="D173" s="22">
        <v>-8.2615384615384571</v>
      </c>
    </row>
    <row r="174" spans="2:4">
      <c r="B174" s="25">
        <v>131</v>
      </c>
      <c r="C174" s="22">
        <v>22.9</v>
      </c>
      <c r="D174" s="22">
        <v>-8.2692307692307701</v>
      </c>
    </row>
    <row r="175" spans="2:4">
      <c r="B175" s="25">
        <v>132</v>
      </c>
      <c r="C175" s="22">
        <v>22.9</v>
      </c>
      <c r="D175" s="22">
        <v>-6.4846153846153811</v>
      </c>
    </row>
    <row r="176" spans="2:4">
      <c r="B176" s="25">
        <v>133</v>
      </c>
      <c r="C176" s="22">
        <v>23.4</v>
      </c>
      <c r="D176" s="22">
        <v>-8.4615384615384563</v>
      </c>
    </row>
    <row r="177" spans="2:4">
      <c r="B177" s="25">
        <v>134</v>
      </c>
      <c r="C177" s="22">
        <v>22.5</v>
      </c>
      <c r="D177" s="22">
        <v>-7.8538461538461561</v>
      </c>
    </row>
    <row r="178" spans="2:4">
      <c r="B178" s="25">
        <v>135</v>
      </c>
      <c r="C178" s="22">
        <v>21.5</v>
      </c>
      <c r="D178" s="22">
        <v>-8.7076923076923123</v>
      </c>
    </row>
    <row r="179" spans="2:4">
      <c r="B179" s="25">
        <v>136</v>
      </c>
      <c r="C179" s="22">
        <v>23</v>
      </c>
      <c r="D179" s="22">
        <v>-8.1076923076922967</v>
      </c>
    </row>
    <row r="180" spans="2:4">
      <c r="B180" s="25">
        <v>137</v>
      </c>
      <c r="C180" s="22">
        <v>24.1</v>
      </c>
      <c r="D180" s="22">
        <v>-8.4846153846153811</v>
      </c>
    </row>
    <row r="181" spans="2:4">
      <c r="B181" s="25">
        <v>138</v>
      </c>
      <c r="C181" s="22">
        <v>24.4</v>
      </c>
      <c r="D181" s="22">
        <v>-8.2307692307692264</v>
      </c>
    </row>
    <row r="182" spans="2:4">
      <c r="B182" s="25">
        <v>139</v>
      </c>
      <c r="C182" s="22">
        <v>23.2</v>
      </c>
      <c r="D182" s="22">
        <v>-8.5538461538461483</v>
      </c>
    </row>
    <row r="183" spans="2:4">
      <c r="B183" s="25">
        <v>140</v>
      </c>
      <c r="C183" s="22">
        <v>25</v>
      </c>
      <c r="D183" s="22">
        <v>-8.038461538461533</v>
      </c>
    </row>
    <row r="184" spans="2:4">
      <c r="B184" s="25">
        <v>141</v>
      </c>
      <c r="C184" s="22">
        <v>23</v>
      </c>
      <c r="D184" s="22">
        <v>-8.4538461538461576</v>
      </c>
    </row>
    <row r="185" spans="2:4">
      <c r="B185" s="25">
        <v>142</v>
      </c>
      <c r="C185" s="22">
        <v>23.9</v>
      </c>
      <c r="D185" s="22">
        <v>-7.7615384615384571</v>
      </c>
    </row>
    <row r="186" spans="2:4">
      <c r="B186" s="25">
        <v>143</v>
      </c>
      <c r="C186" s="22">
        <v>23.6</v>
      </c>
      <c r="D186" s="22">
        <v>-7.5692307692307672</v>
      </c>
    </row>
    <row r="187" spans="2:4">
      <c r="B187" s="25">
        <v>144</v>
      </c>
      <c r="C187" s="22">
        <v>22.4</v>
      </c>
      <c r="D187" s="22">
        <v>-6.9846153846153811</v>
      </c>
    </row>
    <row r="188" spans="2:4">
      <c r="B188" s="25">
        <v>145</v>
      </c>
      <c r="C188" s="22">
        <v>22.5</v>
      </c>
      <c r="D188" s="22">
        <v>-9.3615384615384549</v>
      </c>
    </row>
    <row r="189" spans="2:4">
      <c r="B189" s="25">
        <v>146</v>
      </c>
      <c r="C189" s="22">
        <v>22</v>
      </c>
      <c r="D189" s="22">
        <v>-8.3538461538461561</v>
      </c>
    </row>
    <row r="190" spans="2:4">
      <c r="B190" s="25">
        <v>147</v>
      </c>
      <c r="C190" s="22">
        <v>22.8</v>
      </c>
      <c r="D190" s="22">
        <v>-7.4076923076923116</v>
      </c>
    </row>
    <row r="191" spans="2:4">
      <c r="B191" s="25">
        <v>148</v>
      </c>
      <c r="C191" s="22">
        <v>20.399999999999999</v>
      </c>
      <c r="D191" s="22">
        <v>-10.707692307692298</v>
      </c>
    </row>
    <row r="192" spans="2:4">
      <c r="B192" s="25">
        <v>149</v>
      </c>
      <c r="C192" s="22">
        <v>25.5</v>
      </c>
      <c r="D192" s="22">
        <v>-7.0846153846153825</v>
      </c>
    </row>
    <row r="193" spans="2:4">
      <c r="B193" s="25">
        <v>150</v>
      </c>
      <c r="C193" s="22">
        <v>21.5</v>
      </c>
      <c r="D193" s="22">
        <v>-11.130769230769225</v>
      </c>
    </row>
    <row r="194" spans="2:4">
      <c r="B194" s="25">
        <v>151</v>
      </c>
      <c r="C194" s="22">
        <v>24.7</v>
      </c>
      <c r="D194" s="22">
        <v>-7.0538461538461483</v>
      </c>
    </row>
    <row r="195" spans="2:4">
      <c r="B195" s="25">
        <v>152</v>
      </c>
      <c r="C195" s="22">
        <v>26.2</v>
      </c>
      <c r="D195" s="22">
        <v>-6.8384615384615337</v>
      </c>
    </row>
    <row r="196" spans="2:4">
      <c r="B196" s="25">
        <v>153</v>
      </c>
      <c r="C196" s="22">
        <v>21.2</v>
      </c>
      <c r="D196" s="22">
        <v>-10.253846153846158</v>
      </c>
    </row>
    <row r="197" spans="2:4">
      <c r="B197" s="25">
        <v>154</v>
      </c>
      <c r="C197" s="22">
        <v>23.7</v>
      </c>
      <c r="D197" s="22">
        <v>-7.9615384615384563</v>
      </c>
    </row>
    <row r="198" spans="2:4">
      <c r="B198" s="25">
        <v>155</v>
      </c>
      <c r="C198" s="22">
        <v>23.5</v>
      </c>
      <c r="D198" s="22">
        <v>-7.6692307692307686</v>
      </c>
    </row>
    <row r="199" spans="2:4" ht="16" thickBot="1">
      <c r="B199" s="26">
        <v>156</v>
      </c>
      <c r="C199" s="21">
        <v>22.4</v>
      </c>
      <c r="D199" s="21">
        <v>-6.9846153846153811</v>
      </c>
    </row>
    <row r="218" spans="2:7">
      <c r="G218" t="s">
        <v>219</v>
      </c>
    </row>
    <row r="221" spans="2:7">
      <c r="B221" s="17" t="s">
        <v>268</v>
      </c>
    </row>
    <row r="223" spans="2:7">
      <c r="B223" t="s">
        <v>269</v>
      </c>
    </row>
    <row r="224" spans="2:7" ht="16" thickBot="1"/>
    <row r="225" spans="2:3">
      <c r="B225" s="11" t="s">
        <v>205</v>
      </c>
      <c r="C225" s="12" t="s">
        <v>206</v>
      </c>
    </row>
    <row r="226" spans="2:3">
      <c r="B226" s="13" t="s">
        <v>270</v>
      </c>
      <c r="C226" s="20">
        <v>-0.67210648148148078</v>
      </c>
    </row>
    <row r="227" spans="2:3">
      <c r="B227" s="10" t="s">
        <v>271</v>
      </c>
      <c r="C227" s="22">
        <v>-1.9307870370370372</v>
      </c>
    </row>
    <row r="228" spans="2:3">
      <c r="B228" s="10" t="s">
        <v>272</v>
      </c>
      <c r="C228" s="22">
        <v>-1.8339120370370374</v>
      </c>
    </row>
    <row r="229" spans="2:3">
      <c r="B229" s="10" t="s">
        <v>273</v>
      </c>
      <c r="C229" s="22">
        <v>-0.81238425925926028</v>
      </c>
    </row>
    <row r="230" spans="2:3">
      <c r="B230" s="10" t="s">
        <v>274</v>
      </c>
      <c r="C230" s="22">
        <v>0.7935185185185194</v>
      </c>
    </row>
    <row r="231" spans="2:3">
      <c r="B231" s="10" t="s">
        <v>275</v>
      </c>
      <c r="C231" s="22">
        <v>0.99108796296296242</v>
      </c>
    </row>
    <row r="232" spans="2:3">
      <c r="B232" s="10" t="s">
        <v>276</v>
      </c>
      <c r="C232" s="22">
        <v>0.35115740740740775</v>
      </c>
    </row>
    <row r="233" spans="2:3">
      <c r="B233" s="10" t="s">
        <v>277</v>
      </c>
      <c r="C233" s="22">
        <v>1.8240740740740746</v>
      </c>
    </row>
    <row r="234" spans="2:3">
      <c r="B234" s="10" t="s">
        <v>278</v>
      </c>
      <c r="C234" s="22">
        <v>0.71886574074074028</v>
      </c>
    </row>
    <row r="235" spans="2:3">
      <c r="B235" s="10" t="s">
        <v>279</v>
      </c>
      <c r="C235" s="22">
        <v>0.93935185185185222</v>
      </c>
    </row>
    <row r="236" spans="2:3">
      <c r="B236" s="10" t="s">
        <v>280</v>
      </c>
      <c r="C236" s="22">
        <v>0.63032407407407387</v>
      </c>
    </row>
    <row r="237" spans="2:3" ht="16" thickBot="1">
      <c r="B237" s="19" t="s">
        <v>281</v>
      </c>
      <c r="C237" s="21">
        <v>-0.99918981481481495</v>
      </c>
    </row>
    <row r="256" spans="7:7">
      <c r="G256" t="s">
        <v>219</v>
      </c>
    </row>
    <row r="259" spans="2:6">
      <c r="B259" s="39" t="s">
        <v>265</v>
      </c>
    </row>
    <row r="260" spans="2:6" ht="16" thickBot="1">
      <c r="B260" s="39"/>
    </row>
    <row r="261" spans="2:6">
      <c r="B261" s="23" t="s">
        <v>266</v>
      </c>
      <c r="C261" s="12" t="s">
        <v>5</v>
      </c>
      <c r="D261" s="12" t="s">
        <v>282</v>
      </c>
      <c r="E261" s="12" t="s">
        <v>283</v>
      </c>
      <c r="F261" s="12" t="s">
        <v>284</v>
      </c>
    </row>
    <row r="262" spans="2:6">
      <c r="B262" s="24">
        <v>1</v>
      </c>
      <c r="C262" s="20">
        <v>53.1</v>
      </c>
      <c r="D262" s="20"/>
      <c r="E262" s="20"/>
      <c r="F262" s="20"/>
    </row>
    <row r="263" spans="2:6">
      <c r="B263" s="25">
        <v>2</v>
      </c>
      <c r="C263" s="22">
        <v>50.8</v>
      </c>
      <c r="D263" s="22"/>
      <c r="E263" s="22"/>
      <c r="F263" s="22"/>
    </row>
    <row r="264" spans="2:6">
      <c r="B264" s="25">
        <v>3</v>
      </c>
      <c r="C264" s="22">
        <v>50.1</v>
      </c>
      <c r="D264" s="22"/>
      <c r="E264" s="22"/>
      <c r="F264" s="22"/>
    </row>
    <row r="265" spans="2:6">
      <c r="B265" s="25">
        <v>4</v>
      </c>
      <c r="C265" s="22">
        <v>51.8</v>
      </c>
      <c r="D265" s="22"/>
      <c r="E265" s="22"/>
      <c r="F265" s="22"/>
    </row>
    <row r="266" spans="2:6">
      <c r="B266" s="25">
        <v>5</v>
      </c>
      <c r="C266" s="22">
        <v>53.9</v>
      </c>
      <c r="D266" s="22"/>
      <c r="E266" s="22"/>
      <c r="F266" s="22"/>
    </row>
    <row r="267" spans="2:6">
      <c r="B267" s="25">
        <v>6</v>
      </c>
      <c r="C267" s="22">
        <v>54.2</v>
      </c>
      <c r="D267" s="22"/>
      <c r="E267" s="22"/>
      <c r="F267" s="22"/>
    </row>
    <row r="268" spans="2:6">
      <c r="B268" s="25">
        <v>7</v>
      </c>
      <c r="C268" s="22">
        <v>50.2</v>
      </c>
      <c r="D268" s="22">
        <v>50.720833333333331</v>
      </c>
      <c r="E268" s="22">
        <v>0.35115740740740775</v>
      </c>
      <c r="F268" s="22">
        <v>-0.87199074074073479</v>
      </c>
    </row>
    <row r="269" spans="2:6">
      <c r="B269" s="25">
        <v>8</v>
      </c>
      <c r="C269" s="22">
        <v>53.4</v>
      </c>
      <c r="D269" s="22">
        <v>50.170833333333327</v>
      </c>
      <c r="E269" s="22">
        <v>1.8240740740740746</v>
      </c>
      <c r="F269" s="22">
        <v>1.4050925925925952</v>
      </c>
    </row>
    <row r="270" spans="2:6">
      <c r="B270" s="25">
        <v>9</v>
      </c>
      <c r="C270" s="22">
        <v>50.7</v>
      </c>
      <c r="D270" s="22">
        <v>49.691666666666663</v>
      </c>
      <c r="E270" s="22">
        <v>0.71886574074074028</v>
      </c>
      <c r="F270" s="22">
        <v>0.28946759259260091</v>
      </c>
    </row>
    <row r="271" spans="2:6">
      <c r="B271" s="25">
        <v>10</v>
      </c>
      <c r="C271" s="22">
        <v>48.4</v>
      </c>
      <c r="D271" s="22">
        <v>49.19166666666667</v>
      </c>
      <c r="E271" s="22">
        <v>0.93935185185185222</v>
      </c>
      <c r="F271" s="22">
        <v>-1.7310185185185247</v>
      </c>
    </row>
    <row r="272" spans="2:6">
      <c r="B272" s="25">
        <v>11</v>
      </c>
      <c r="C272" s="22">
        <v>50.9</v>
      </c>
      <c r="D272" s="22">
        <v>48.658333333333331</v>
      </c>
      <c r="E272" s="22">
        <v>0.63032407407407387</v>
      </c>
      <c r="F272" s="22">
        <v>1.6113425925925924</v>
      </c>
    </row>
    <row r="273" spans="2:6">
      <c r="B273" s="25">
        <v>12</v>
      </c>
      <c r="C273" s="22">
        <v>44.7</v>
      </c>
      <c r="D273" s="22">
        <v>48.091666666666669</v>
      </c>
      <c r="E273" s="22">
        <v>-0.99918981481481495</v>
      </c>
      <c r="F273" s="22">
        <v>-2.3924768518518533</v>
      </c>
    </row>
    <row r="274" spans="2:6">
      <c r="B274" s="25">
        <v>13</v>
      </c>
      <c r="C274" s="22">
        <v>46</v>
      </c>
      <c r="D274" s="22">
        <v>47.49583333333333</v>
      </c>
      <c r="E274" s="22">
        <v>-0.67210648148148078</v>
      </c>
      <c r="F274" s="22">
        <v>-0.8237268518518519</v>
      </c>
    </row>
    <row r="275" spans="2:6">
      <c r="B275" s="25">
        <v>14</v>
      </c>
      <c r="C275" s="22">
        <v>44.7</v>
      </c>
      <c r="D275" s="22">
        <v>47.029166666666669</v>
      </c>
      <c r="E275" s="22">
        <v>-1.9307870370370372</v>
      </c>
      <c r="F275" s="22">
        <v>-0.39837962962963047</v>
      </c>
    </row>
    <row r="276" spans="2:6">
      <c r="B276" s="25">
        <v>15</v>
      </c>
      <c r="C276" s="22">
        <v>44.7</v>
      </c>
      <c r="D276" s="22">
        <v>46.620833333333337</v>
      </c>
      <c r="E276" s="22">
        <v>-1.8339120370370374</v>
      </c>
      <c r="F276" s="22">
        <v>-8.6921296296296191E-2</v>
      </c>
    </row>
    <row r="277" spans="2:6">
      <c r="B277" s="25">
        <v>16</v>
      </c>
      <c r="C277" s="22">
        <v>45.2</v>
      </c>
      <c r="D277" s="22">
        <v>46.25833333333334</v>
      </c>
      <c r="E277" s="22">
        <v>-0.81238425925926028</v>
      </c>
      <c r="F277" s="22">
        <v>-0.24594907407407618</v>
      </c>
    </row>
    <row r="278" spans="2:6">
      <c r="B278" s="25">
        <v>17</v>
      </c>
      <c r="C278" s="22">
        <v>47.7</v>
      </c>
      <c r="D278" s="22">
        <v>45.941666666666663</v>
      </c>
      <c r="E278" s="22">
        <v>0.7935185185185194</v>
      </c>
      <c r="F278" s="22">
        <v>0.96481481481482234</v>
      </c>
    </row>
    <row r="279" spans="2:6">
      <c r="B279" s="25">
        <v>18</v>
      </c>
      <c r="C279" s="22">
        <v>46.8</v>
      </c>
      <c r="D279" s="22">
        <v>45.633333333333326</v>
      </c>
      <c r="E279" s="22">
        <v>0.99108796296296242</v>
      </c>
      <c r="F279" s="22">
        <v>0.17557870370370665</v>
      </c>
    </row>
    <row r="280" spans="2:6">
      <c r="B280" s="25">
        <v>19</v>
      </c>
      <c r="C280" s="22">
        <v>43.3</v>
      </c>
      <c r="D280" s="22">
        <v>45.454166666666666</v>
      </c>
      <c r="E280" s="22">
        <v>0.35115740740740775</v>
      </c>
      <c r="F280" s="22">
        <v>-2.5053240740740748</v>
      </c>
    </row>
    <row r="281" spans="2:6">
      <c r="B281" s="25">
        <v>20</v>
      </c>
      <c r="C281" s="22">
        <v>49.1</v>
      </c>
      <c r="D281" s="22">
        <v>45.166666666666671</v>
      </c>
      <c r="E281" s="22">
        <v>1.8240740740740746</v>
      </c>
      <c r="F281" s="22">
        <v>2.1092592592592538</v>
      </c>
    </row>
    <row r="282" spans="2:6">
      <c r="B282" s="25">
        <v>21</v>
      </c>
      <c r="C282" s="22">
        <v>45.2</v>
      </c>
      <c r="D282" s="22">
        <v>44.791666666666664</v>
      </c>
      <c r="E282" s="22">
        <v>0.71886574074074028</v>
      </c>
      <c r="F282" s="22">
        <v>-0.31053240740740051</v>
      </c>
    </row>
    <row r="283" spans="2:6">
      <c r="B283" s="25">
        <v>22</v>
      </c>
      <c r="C283" s="22">
        <v>45.2</v>
      </c>
      <c r="D283" s="22">
        <v>44.43333333333333</v>
      </c>
      <c r="E283" s="22">
        <v>0.93935185185185222</v>
      </c>
      <c r="F283" s="22">
        <v>-0.1726851851851805</v>
      </c>
    </row>
    <row r="284" spans="2:6">
      <c r="B284" s="25">
        <v>23</v>
      </c>
      <c r="C284" s="22">
        <v>46.5</v>
      </c>
      <c r="D284" s="22">
        <v>44.099999999999994</v>
      </c>
      <c r="E284" s="22">
        <v>0.63032407407407387</v>
      </c>
      <c r="F284" s="22">
        <v>1.7696759259259309</v>
      </c>
    </row>
    <row r="285" spans="2:6">
      <c r="B285" s="25">
        <v>24</v>
      </c>
      <c r="C285" s="22">
        <v>41.7</v>
      </c>
      <c r="D285" s="22">
        <v>43.737499999999997</v>
      </c>
      <c r="E285" s="22">
        <v>-0.99918981481481495</v>
      </c>
      <c r="F285" s="22">
        <v>-1.0383101851851819</v>
      </c>
    </row>
    <row r="286" spans="2:6">
      <c r="B286" s="25">
        <v>25</v>
      </c>
      <c r="C286" s="22">
        <v>44.7</v>
      </c>
      <c r="D286" s="22">
        <v>43.533333333333331</v>
      </c>
      <c r="E286" s="22">
        <v>-0.67210648148148078</v>
      </c>
      <c r="F286" s="22">
        <v>1.8387731481481495</v>
      </c>
    </row>
    <row r="287" spans="2:6">
      <c r="B287" s="25">
        <v>26</v>
      </c>
      <c r="C287" s="22">
        <v>39.1</v>
      </c>
      <c r="D287" s="22">
        <v>43.37916666666667</v>
      </c>
      <c r="E287" s="22">
        <v>-1.9307870370370372</v>
      </c>
      <c r="F287" s="22">
        <v>-2.3483796296296333</v>
      </c>
    </row>
    <row r="288" spans="2:6">
      <c r="B288" s="25">
        <v>27</v>
      </c>
      <c r="C288" s="22">
        <v>41.3</v>
      </c>
      <c r="D288" s="22">
        <v>42.99583333333333</v>
      </c>
      <c r="E288" s="22">
        <v>-1.8339120370370374</v>
      </c>
      <c r="F288" s="22">
        <v>0.13807870370370523</v>
      </c>
    </row>
    <row r="289" spans="2:6">
      <c r="B289" s="25">
        <v>28</v>
      </c>
      <c r="C289" s="22">
        <v>40</v>
      </c>
      <c r="D289" s="22">
        <v>42.670833333333327</v>
      </c>
      <c r="E289" s="22">
        <v>-0.81238425925926028</v>
      </c>
      <c r="F289" s="22">
        <v>-1.8584490740740662</v>
      </c>
    </row>
    <row r="290" spans="2:6">
      <c r="B290" s="25">
        <v>29</v>
      </c>
      <c r="C290" s="22">
        <v>44.9</v>
      </c>
      <c r="D290" s="22">
        <v>42.333333333333329</v>
      </c>
      <c r="E290" s="22">
        <v>0.7935185185185194</v>
      </c>
      <c r="F290" s="22">
        <v>1.7731481481481524</v>
      </c>
    </row>
    <row r="291" spans="2:6">
      <c r="B291" s="25">
        <v>30</v>
      </c>
      <c r="C291" s="22">
        <v>40.9</v>
      </c>
      <c r="D291" s="22">
        <v>41.966666666666669</v>
      </c>
      <c r="E291" s="22">
        <v>0.99108796296296242</v>
      </c>
      <c r="F291" s="22">
        <v>-2.0577546296296347</v>
      </c>
    </row>
    <row r="292" spans="2:6">
      <c r="B292" s="25">
        <v>31</v>
      </c>
      <c r="C292" s="22">
        <v>44.3</v>
      </c>
      <c r="D292" s="22">
        <v>41.591666666666669</v>
      </c>
      <c r="E292" s="22">
        <v>0.35115740740740775</v>
      </c>
      <c r="F292" s="22">
        <v>2.3571759259259224</v>
      </c>
    </row>
    <row r="293" spans="2:6">
      <c r="B293" s="25">
        <v>32</v>
      </c>
      <c r="C293" s="22">
        <v>44.4</v>
      </c>
      <c r="D293" s="22">
        <v>41.258333333333333</v>
      </c>
      <c r="E293" s="22">
        <v>1.8240740740740746</v>
      </c>
      <c r="F293" s="22">
        <v>1.3175925925925895</v>
      </c>
    </row>
    <row r="294" spans="2:6">
      <c r="B294" s="25">
        <v>33</v>
      </c>
      <c r="C294" s="22">
        <v>40.700000000000003</v>
      </c>
      <c r="D294" s="22">
        <v>40.791666666666671</v>
      </c>
      <c r="E294" s="22">
        <v>0.71886574074074028</v>
      </c>
      <c r="F294" s="22">
        <v>-0.81053240740740762</v>
      </c>
    </row>
    <row r="295" spans="2:6">
      <c r="B295" s="25">
        <v>34</v>
      </c>
      <c r="C295" s="22">
        <v>41.9</v>
      </c>
      <c r="D295" s="22">
        <v>40.333333333333329</v>
      </c>
      <c r="E295" s="22">
        <v>0.93935185185185222</v>
      </c>
      <c r="F295" s="22">
        <v>0.62731481481481666</v>
      </c>
    </row>
    <row r="296" spans="2:6">
      <c r="B296" s="25">
        <v>35</v>
      </c>
      <c r="C296" s="22">
        <v>41.7</v>
      </c>
      <c r="D296" s="22">
        <v>39.88333333333334</v>
      </c>
      <c r="E296" s="22">
        <v>0.63032407407407387</v>
      </c>
      <c r="F296" s="22">
        <v>1.1863425925925881</v>
      </c>
    </row>
    <row r="297" spans="2:6">
      <c r="B297" s="25">
        <v>36</v>
      </c>
      <c r="C297" s="22">
        <v>37.700000000000003</v>
      </c>
      <c r="D297" s="22">
        <v>39.433333333333337</v>
      </c>
      <c r="E297" s="22">
        <v>-0.99918981481481495</v>
      </c>
      <c r="F297" s="22">
        <v>-0.73414351851852189</v>
      </c>
    </row>
    <row r="298" spans="2:6">
      <c r="B298" s="25">
        <v>37</v>
      </c>
      <c r="C298" s="22">
        <v>39.700000000000003</v>
      </c>
      <c r="D298" s="22">
        <v>39.037500000000001</v>
      </c>
      <c r="E298" s="22">
        <v>-0.67210648148148078</v>
      </c>
      <c r="F298" s="22">
        <v>1.3346064814814795</v>
      </c>
    </row>
    <row r="299" spans="2:6">
      <c r="B299" s="25">
        <v>38</v>
      </c>
      <c r="C299" s="22">
        <v>36.1</v>
      </c>
      <c r="D299" s="22">
        <v>38.508333333333333</v>
      </c>
      <c r="E299" s="22">
        <v>-1.9307870370370372</v>
      </c>
      <c r="F299" s="22">
        <v>-0.47754629629629619</v>
      </c>
    </row>
    <row r="300" spans="2:6">
      <c r="B300" s="25">
        <v>39</v>
      </c>
      <c r="C300" s="22">
        <v>33.1</v>
      </c>
      <c r="D300" s="22">
        <v>38.304166666666674</v>
      </c>
      <c r="E300" s="22">
        <v>-1.8339120370370374</v>
      </c>
      <c r="F300" s="22">
        <v>-3.3702546296296347</v>
      </c>
    </row>
    <row r="301" spans="2:6">
      <c r="B301" s="25">
        <v>40</v>
      </c>
      <c r="C301" s="22">
        <v>37.200000000000003</v>
      </c>
      <c r="D301" s="22">
        <v>38.466666666666669</v>
      </c>
      <c r="E301" s="22">
        <v>-0.81238425925926028</v>
      </c>
      <c r="F301" s="22">
        <v>-0.45428240740740478</v>
      </c>
    </row>
    <row r="302" spans="2:6">
      <c r="B302" s="25">
        <v>41</v>
      </c>
      <c r="C302" s="22">
        <v>36.9</v>
      </c>
      <c r="D302" s="22">
        <v>38.408333333333331</v>
      </c>
      <c r="E302" s="22">
        <v>0.7935185185185194</v>
      </c>
      <c r="F302" s="22">
        <v>-2.3018518518518505</v>
      </c>
    </row>
    <row r="303" spans="2:6">
      <c r="B303" s="25">
        <v>42</v>
      </c>
      <c r="C303" s="22">
        <v>38.1</v>
      </c>
      <c r="D303" s="22">
        <v>38.183333333333337</v>
      </c>
      <c r="E303" s="22">
        <v>0.99108796296296242</v>
      </c>
      <c r="F303" s="22">
        <v>-1.0744212962963005</v>
      </c>
    </row>
    <row r="304" spans="2:6">
      <c r="B304" s="25">
        <v>43</v>
      </c>
      <c r="C304" s="22">
        <v>37.6</v>
      </c>
      <c r="D304" s="22">
        <v>37.862499999999997</v>
      </c>
      <c r="E304" s="22">
        <v>0.35115740740740775</v>
      </c>
      <c r="F304" s="22">
        <v>-0.61365740740740193</v>
      </c>
    </row>
    <row r="305" spans="2:6">
      <c r="B305" s="25">
        <v>44</v>
      </c>
      <c r="C305" s="22">
        <v>38.4</v>
      </c>
      <c r="D305" s="22">
        <v>37.504166666666663</v>
      </c>
      <c r="E305" s="22">
        <v>1.8240740740740746</v>
      </c>
      <c r="F305" s="22">
        <v>-0.92824074074074048</v>
      </c>
    </row>
    <row r="306" spans="2:6">
      <c r="B306" s="25">
        <v>45</v>
      </c>
      <c r="C306" s="22">
        <v>41.8</v>
      </c>
      <c r="D306" s="22">
        <v>37.404166666666676</v>
      </c>
      <c r="E306" s="22">
        <v>0.71886574074074028</v>
      </c>
      <c r="F306" s="22">
        <v>3.6769675925925824</v>
      </c>
    </row>
    <row r="307" spans="2:6">
      <c r="B307" s="25">
        <v>46</v>
      </c>
      <c r="C307" s="22">
        <v>44.7</v>
      </c>
      <c r="D307" s="22">
        <v>37.274999999999999</v>
      </c>
      <c r="E307" s="22">
        <v>0.93935185185185222</v>
      </c>
      <c r="F307" s="22">
        <v>6.4856481481481509</v>
      </c>
    </row>
    <row r="308" spans="2:6">
      <c r="B308" s="25">
        <v>47</v>
      </c>
      <c r="C308" s="22">
        <v>37.5</v>
      </c>
      <c r="D308" s="22">
        <v>37.066666666666663</v>
      </c>
      <c r="E308" s="22">
        <v>0.63032407407407387</v>
      </c>
      <c r="F308" s="22">
        <v>-0.19699074074073764</v>
      </c>
    </row>
    <row r="309" spans="2:6">
      <c r="B309" s="25">
        <v>48</v>
      </c>
      <c r="C309" s="22">
        <v>36.5</v>
      </c>
      <c r="D309" s="22">
        <v>36.92916666666666</v>
      </c>
      <c r="E309" s="22">
        <v>-0.99918981481481495</v>
      </c>
      <c r="F309" s="22">
        <v>0.57002314814815236</v>
      </c>
    </row>
    <row r="310" spans="2:6">
      <c r="B310" s="25">
        <v>49</v>
      </c>
      <c r="C310" s="22">
        <v>33.200000000000003</v>
      </c>
      <c r="D310" s="22">
        <v>36.800000000000004</v>
      </c>
      <c r="E310" s="22">
        <v>-0.67210648148148078</v>
      </c>
      <c r="F310" s="22">
        <v>-2.9278935185185233</v>
      </c>
    </row>
    <row r="311" spans="2:6">
      <c r="B311" s="25">
        <v>50</v>
      </c>
      <c r="C311" s="22">
        <v>34</v>
      </c>
      <c r="D311" s="22">
        <v>36.575000000000003</v>
      </c>
      <c r="E311" s="22">
        <v>-1.9307870370370372</v>
      </c>
      <c r="F311" s="22">
        <v>-0.64421296296296759</v>
      </c>
    </row>
    <row r="312" spans="2:6">
      <c r="B312" s="25">
        <v>51</v>
      </c>
      <c r="C312" s="22">
        <v>32.799999999999997</v>
      </c>
      <c r="D312" s="22">
        <v>36.166666666666664</v>
      </c>
      <c r="E312" s="22">
        <v>-1.8339120370370374</v>
      </c>
      <c r="F312" s="22">
        <v>-1.5327546296296291</v>
      </c>
    </row>
    <row r="313" spans="2:6">
      <c r="B313" s="25">
        <v>52</v>
      </c>
      <c r="C313" s="22">
        <v>34.4</v>
      </c>
      <c r="D313" s="22">
        <v>35.524999999999999</v>
      </c>
      <c r="E313" s="22">
        <v>-0.81238425925926028</v>
      </c>
      <c r="F313" s="22">
        <v>-0.31261574074073906</v>
      </c>
    </row>
    <row r="314" spans="2:6">
      <c r="B314" s="25">
        <v>53</v>
      </c>
      <c r="C314" s="22">
        <v>34.700000000000003</v>
      </c>
      <c r="D314" s="22">
        <v>34.954166666666666</v>
      </c>
      <c r="E314" s="22">
        <v>0.7935185185185194</v>
      </c>
      <c r="F314" s="22">
        <v>-1.0476851851851805</v>
      </c>
    </row>
    <row r="315" spans="2:6">
      <c r="B315" s="25">
        <v>54</v>
      </c>
      <c r="C315" s="22">
        <v>37</v>
      </c>
      <c r="D315" s="22">
        <v>34.633333333333333</v>
      </c>
      <c r="E315" s="22">
        <v>0.99108796296296242</v>
      </c>
      <c r="F315" s="22">
        <v>1.3755787037037024</v>
      </c>
    </row>
    <row r="316" spans="2:6">
      <c r="B316" s="25">
        <v>55</v>
      </c>
      <c r="C316" s="22">
        <v>35.6</v>
      </c>
      <c r="D316" s="22">
        <v>34.412500000000001</v>
      </c>
      <c r="E316" s="22">
        <v>0.35115740740740775</v>
      </c>
      <c r="F316" s="22">
        <v>0.8363425925925938</v>
      </c>
    </row>
    <row r="317" spans="2:6">
      <c r="B317" s="25">
        <v>56</v>
      </c>
      <c r="C317" s="22">
        <v>35</v>
      </c>
      <c r="D317" s="22">
        <v>34.191666666666663</v>
      </c>
      <c r="E317" s="22">
        <v>1.8240740740740746</v>
      </c>
      <c r="F317" s="22">
        <v>-1.0157407407407391</v>
      </c>
    </row>
    <row r="318" spans="2:6">
      <c r="B318" s="25">
        <v>57</v>
      </c>
      <c r="C318" s="22">
        <v>35.4</v>
      </c>
      <c r="D318" s="22">
        <v>34.083333333333336</v>
      </c>
      <c r="E318" s="22">
        <v>0.71886574074074028</v>
      </c>
      <c r="F318" s="22">
        <v>0.59780092592592382</v>
      </c>
    </row>
    <row r="319" spans="2:6">
      <c r="B319" s="25">
        <v>58</v>
      </c>
      <c r="C319" s="22">
        <v>35.700000000000003</v>
      </c>
      <c r="D319" s="22">
        <v>34.016666666666673</v>
      </c>
      <c r="E319" s="22">
        <v>0.93935185185185222</v>
      </c>
      <c r="F319" s="22">
        <v>0.74398148148147669</v>
      </c>
    </row>
    <row r="320" spans="2:6">
      <c r="B320" s="25">
        <v>59</v>
      </c>
      <c r="C320" s="22">
        <v>32.799999999999997</v>
      </c>
      <c r="D320" s="22">
        <v>33.824999999999996</v>
      </c>
      <c r="E320" s="22">
        <v>0.63032407407407387</v>
      </c>
      <c r="F320" s="22">
        <v>-1.6553240740740733</v>
      </c>
    </row>
    <row r="321" spans="2:6">
      <c r="B321" s="25">
        <v>60</v>
      </c>
      <c r="C321" s="22">
        <v>33.5</v>
      </c>
      <c r="D321" s="22">
        <v>33.625</v>
      </c>
      <c r="E321" s="22">
        <v>-0.99918981481481495</v>
      </c>
      <c r="F321" s="22">
        <v>0.87418981481481239</v>
      </c>
    </row>
    <row r="322" spans="2:6">
      <c r="B322" s="25">
        <v>61</v>
      </c>
      <c r="C322" s="22">
        <v>30.9</v>
      </c>
      <c r="D322" s="22">
        <v>33.37083333333333</v>
      </c>
      <c r="E322" s="22">
        <v>-0.67210648148148078</v>
      </c>
      <c r="F322" s="22">
        <v>-1.7987268518518498</v>
      </c>
    </row>
    <row r="323" spans="2:6">
      <c r="B323" s="25">
        <v>62</v>
      </c>
      <c r="C323" s="22">
        <v>31</v>
      </c>
      <c r="D323" s="22">
        <v>33.095833333333324</v>
      </c>
      <c r="E323" s="22">
        <v>-1.9307870370370372</v>
      </c>
      <c r="F323" s="22">
        <v>-0.16504629629628909</v>
      </c>
    </row>
    <row r="324" spans="2:6">
      <c r="B324" s="25">
        <v>63</v>
      </c>
      <c r="C324" s="22">
        <v>33.200000000000003</v>
      </c>
      <c r="D324" s="22">
        <v>32.824999999999996</v>
      </c>
      <c r="E324" s="22">
        <v>-1.8339120370370374</v>
      </c>
      <c r="F324" s="22">
        <v>2.2089120370370452</v>
      </c>
    </row>
    <row r="325" spans="2:6">
      <c r="B325" s="25">
        <v>64</v>
      </c>
      <c r="C325" s="22">
        <v>32.4</v>
      </c>
      <c r="D325" s="22">
        <v>32.483333333333327</v>
      </c>
      <c r="E325" s="22">
        <v>-0.81238425925926028</v>
      </c>
      <c r="F325" s="22">
        <v>0.72905092592593235</v>
      </c>
    </row>
    <row r="326" spans="2:6">
      <c r="B326" s="25">
        <v>65</v>
      </c>
      <c r="C326" s="22">
        <v>32.1</v>
      </c>
      <c r="D326" s="22">
        <v>32.254166666666663</v>
      </c>
      <c r="E326" s="22">
        <v>0.7935185185185194</v>
      </c>
      <c r="F326" s="22">
        <v>-0.94768518518517908</v>
      </c>
    </row>
    <row r="327" spans="2:6">
      <c r="B327" s="25">
        <v>66</v>
      </c>
      <c r="C327" s="22">
        <v>34.799999999999997</v>
      </c>
      <c r="D327" s="22">
        <v>32.137499999999996</v>
      </c>
      <c r="E327" s="22">
        <v>0.99108796296296242</v>
      </c>
      <c r="F327" s="22">
        <v>1.6714120370370367</v>
      </c>
    </row>
    <row r="328" spans="2:6">
      <c r="B328" s="25">
        <v>67</v>
      </c>
      <c r="C328" s="22">
        <v>31.7</v>
      </c>
      <c r="D328" s="22">
        <v>31.999999999999993</v>
      </c>
      <c r="E328" s="22">
        <v>0.35115740740740775</v>
      </c>
      <c r="F328" s="22">
        <v>-0.6511574074073998</v>
      </c>
    </row>
    <row r="329" spans="2:6">
      <c r="B329" s="25">
        <v>68</v>
      </c>
      <c r="C329" s="22">
        <v>32.299999999999997</v>
      </c>
      <c r="D329" s="22">
        <v>31.804166666666664</v>
      </c>
      <c r="E329" s="22">
        <v>1.8240740740740746</v>
      </c>
      <c r="F329" s="22">
        <v>-1.3282407407407426</v>
      </c>
    </row>
    <row r="330" spans="2:6">
      <c r="B330" s="25">
        <v>69</v>
      </c>
      <c r="C330" s="22">
        <v>31.6</v>
      </c>
      <c r="D330" s="22">
        <v>31.458333333333329</v>
      </c>
      <c r="E330" s="22">
        <v>0.71886574074074028</v>
      </c>
      <c r="F330" s="22">
        <v>-0.57719907407406623</v>
      </c>
    </row>
    <row r="331" spans="2:6">
      <c r="B331" s="25">
        <v>70</v>
      </c>
      <c r="C331" s="22">
        <v>31.3</v>
      </c>
      <c r="D331" s="22">
        <v>31.087499999999995</v>
      </c>
      <c r="E331" s="22">
        <v>0.93935185185185222</v>
      </c>
      <c r="F331" s="22">
        <v>-0.72685185185184764</v>
      </c>
    </row>
    <row r="332" spans="2:6">
      <c r="B332" s="25">
        <v>71</v>
      </c>
      <c r="C332" s="22">
        <v>31.7</v>
      </c>
      <c r="D332" s="22">
        <v>30.86666666666666</v>
      </c>
      <c r="E332" s="22">
        <v>0.63032407407407387</v>
      </c>
      <c r="F332" s="22">
        <v>0.2030092592592645</v>
      </c>
    </row>
    <row r="333" spans="2:6">
      <c r="B333" s="25">
        <v>72</v>
      </c>
      <c r="C333" s="22">
        <v>31.8</v>
      </c>
      <c r="D333" s="22">
        <v>30.654166666666661</v>
      </c>
      <c r="E333" s="22">
        <v>-0.99918981481481495</v>
      </c>
      <c r="F333" s="22">
        <v>2.1450231481481552</v>
      </c>
    </row>
    <row r="334" spans="2:6">
      <c r="B334" s="25">
        <v>73</v>
      </c>
      <c r="C334" s="22">
        <v>29.3</v>
      </c>
      <c r="D334" s="22">
        <v>30.404166666666661</v>
      </c>
      <c r="E334" s="22">
        <v>-0.67210648148148078</v>
      </c>
      <c r="F334" s="22">
        <v>-0.43206018518517908</v>
      </c>
    </row>
    <row r="335" spans="2:6">
      <c r="B335" s="25">
        <v>74</v>
      </c>
      <c r="C335" s="22">
        <v>27.9</v>
      </c>
      <c r="D335" s="22">
        <v>30.241666666666671</v>
      </c>
      <c r="E335" s="22">
        <v>-1.9307870370370372</v>
      </c>
      <c r="F335" s="22">
        <v>-0.41087962962963331</v>
      </c>
    </row>
    <row r="336" spans="2:6">
      <c r="B336" s="25">
        <v>75</v>
      </c>
      <c r="C336" s="22">
        <v>28</v>
      </c>
      <c r="D336" s="22">
        <v>30.079166666666666</v>
      </c>
      <c r="E336" s="22">
        <v>-1.8339120370370374</v>
      </c>
      <c r="F336" s="22">
        <v>-0.24525462962962763</v>
      </c>
    </row>
    <row r="337" spans="2:6">
      <c r="B337" s="25">
        <v>76</v>
      </c>
      <c r="C337" s="22">
        <v>28.7</v>
      </c>
      <c r="D337" s="22">
        <v>29.820833333333333</v>
      </c>
      <c r="E337" s="22">
        <v>-0.81238425925926028</v>
      </c>
      <c r="F337" s="22">
        <v>-0.30844907407407263</v>
      </c>
    </row>
    <row r="338" spans="2:6">
      <c r="B338" s="25">
        <v>77</v>
      </c>
      <c r="C338" s="22">
        <v>30.5</v>
      </c>
      <c r="D338" s="22">
        <v>29.525000000000002</v>
      </c>
      <c r="E338" s="22">
        <v>0.7935185185185194</v>
      </c>
      <c r="F338" s="22">
        <v>0.18148148148148024</v>
      </c>
    </row>
    <row r="339" spans="2:6">
      <c r="B339" s="25">
        <v>78</v>
      </c>
      <c r="C339" s="22">
        <v>31.3</v>
      </c>
      <c r="D339" s="22">
        <v>29.133333333333333</v>
      </c>
      <c r="E339" s="22">
        <v>0.99108796296296242</v>
      </c>
      <c r="F339" s="22">
        <v>1.1755787037037067</v>
      </c>
    </row>
    <row r="340" spans="2:6">
      <c r="B340" s="25">
        <v>79</v>
      </c>
      <c r="C340" s="22">
        <v>29.2</v>
      </c>
      <c r="D340" s="22">
        <v>28.716666666666665</v>
      </c>
      <c r="E340" s="22">
        <v>0.35115740740740775</v>
      </c>
      <c r="F340" s="22">
        <v>0.13217592592592808</v>
      </c>
    </row>
    <row r="341" spans="2:6">
      <c r="B341" s="25">
        <v>80</v>
      </c>
      <c r="C341" s="22">
        <v>30.9</v>
      </c>
      <c r="D341" s="22">
        <v>28.454166666666666</v>
      </c>
      <c r="E341" s="22">
        <v>1.8240740740740746</v>
      </c>
      <c r="F341" s="22">
        <v>0.62175925925925668</v>
      </c>
    </row>
    <row r="342" spans="2:6">
      <c r="B342" s="25">
        <v>81</v>
      </c>
      <c r="C342" s="22">
        <v>29.1</v>
      </c>
      <c r="D342" s="22">
        <v>28.195833333333333</v>
      </c>
      <c r="E342" s="22">
        <v>0.71886574074074028</v>
      </c>
      <c r="F342" s="22">
        <v>0.1853009259259295</v>
      </c>
    </row>
    <row r="343" spans="2:6">
      <c r="B343" s="25">
        <v>82</v>
      </c>
      <c r="C343" s="22">
        <v>27.6</v>
      </c>
      <c r="D343" s="22">
        <v>27.912499999999998</v>
      </c>
      <c r="E343" s="22">
        <v>0.93935185185185222</v>
      </c>
      <c r="F343" s="22">
        <v>-1.2518518518518498</v>
      </c>
    </row>
    <row r="344" spans="2:6">
      <c r="B344" s="25">
        <v>83</v>
      </c>
      <c r="C344" s="22">
        <v>28.3</v>
      </c>
      <c r="D344" s="22">
        <v>27.612499999999997</v>
      </c>
      <c r="E344" s="22">
        <v>0.63032407407407387</v>
      </c>
      <c r="F344" s="22">
        <v>5.7175925925928794E-2</v>
      </c>
    </row>
    <row r="345" spans="2:6">
      <c r="B345" s="25">
        <v>84</v>
      </c>
      <c r="C345" s="22">
        <v>25.8</v>
      </c>
      <c r="D345" s="22">
        <v>27.237500000000001</v>
      </c>
      <c r="E345" s="22">
        <v>-0.99918981481481495</v>
      </c>
      <c r="F345" s="22">
        <v>-0.43831018518518405</v>
      </c>
    </row>
    <row r="346" spans="2:6">
      <c r="B346" s="25">
        <v>85</v>
      </c>
      <c r="C346" s="22">
        <v>25.3</v>
      </c>
      <c r="D346" s="22">
        <v>26.908333333333328</v>
      </c>
      <c r="E346" s="22">
        <v>-0.67210648148148078</v>
      </c>
      <c r="F346" s="22">
        <v>-0.93622685185184551</v>
      </c>
    </row>
    <row r="347" spans="2:6">
      <c r="B347" s="25">
        <v>86</v>
      </c>
      <c r="C347" s="22">
        <v>25.6</v>
      </c>
      <c r="D347" s="22">
        <v>26.595833333333335</v>
      </c>
      <c r="E347" s="22">
        <v>-1.9307870370370372</v>
      </c>
      <c r="F347" s="22">
        <v>0.93495370370370523</v>
      </c>
    </row>
    <row r="348" spans="2:6">
      <c r="B348" s="25">
        <v>87</v>
      </c>
      <c r="C348" s="22">
        <v>24.1</v>
      </c>
      <c r="D348" s="22">
        <v>26.258333333333333</v>
      </c>
      <c r="E348" s="22">
        <v>-1.8339120370370374</v>
      </c>
      <c r="F348" s="22">
        <v>-0.32442129629629335</v>
      </c>
    </row>
    <row r="349" spans="2:6">
      <c r="B349" s="25">
        <v>88</v>
      </c>
      <c r="C349" s="22">
        <v>25.8</v>
      </c>
      <c r="D349" s="22">
        <v>25.987500000000004</v>
      </c>
      <c r="E349" s="22">
        <v>-0.81238425925926028</v>
      </c>
      <c r="F349" s="22">
        <v>0.62488425925925739</v>
      </c>
    </row>
    <row r="350" spans="2:6">
      <c r="B350" s="25">
        <v>89</v>
      </c>
      <c r="C350" s="22">
        <v>26.2</v>
      </c>
      <c r="D350" s="22">
        <v>25.729166666666671</v>
      </c>
      <c r="E350" s="22">
        <v>0.7935185185185194</v>
      </c>
      <c r="F350" s="22">
        <v>-0.32268518518519329</v>
      </c>
    </row>
    <row r="351" spans="2:6">
      <c r="B351" s="25">
        <v>90</v>
      </c>
      <c r="C351" s="22">
        <v>26.6</v>
      </c>
      <c r="D351" s="22">
        <v>25.462499999999999</v>
      </c>
      <c r="E351" s="22">
        <v>0.99108796296296242</v>
      </c>
      <c r="F351" s="22">
        <v>0.14641203703704164</v>
      </c>
    </row>
    <row r="352" spans="2:6">
      <c r="B352" s="25">
        <v>91</v>
      </c>
      <c r="C352" s="22">
        <v>26</v>
      </c>
      <c r="D352" s="22">
        <v>25.254166666666666</v>
      </c>
      <c r="E352" s="22">
        <v>0.35115740740740775</v>
      </c>
      <c r="F352" s="22">
        <v>0.39467592592592737</v>
      </c>
    </row>
    <row r="353" spans="2:6">
      <c r="B353" s="25">
        <v>92</v>
      </c>
      <c r="C353" s="22">
        <v>26.6</v>
      </c>
      <c r="D353" s="22">
        <v>24.966666666666665</v>
      </c>
      <c r="E353" s="22">
        <v>1.8240740740740746</v>
      </c>
      <c r="F353" s="22">
        <v>-0.19074074074073977</v>
      </c>
    </row>
    <row r="354" spans="2:6">
      <c r="B354" s="25">
        <v>93</v>
      </c>
      <c r="C354" s="22">
        <v>25.3</v>
      </c>
      <c r="D354" s="22">
        <v>24.625</v>
      </c>
      <c r="E354" s="22">
        <v>0.71886574074074028</v>
      </c>
      <c r="F354" s="22">
        <v>-4.3865740740738346E-2</v>
      </c>
    </row>
    <row r="355" spans="2:6">
      <c r="B355" s="25">
        <v>94</v>
      </c>
      <c r="C355" s="22">
        <v>24.9</v>
      </c>
      <c r="D355" s="22">
        <v>24.341666666666669</v>
      </c>
      <c r="E355" s="22">
        <v>0.93935185185185222</v>
      </c>
      <c r="F355" s="22">
        <v>-0.38101851851852331</v>
      </c>
    </row>
    <row r="356" spans="2:6">
      <c r="B356" s="25">
        <v>95</v>
      </c>
      <c r="C356" s="22">
        <v>24.8</v>
      </c>
      <c r="D356" s="22">
        <v>24.066666666666666</v>
      </c>
      <c r="E356" s="22">
        <v>0.63032407407407387</v>
      </c>
      <c r="F356" s="22">
        <v>0.10300925925925952</v>
      </c>
    </row>
    <row r="357" spans="2:6">
      <c r="B357" s="25">
        <v>96</v>
      </c>
      <c r="C357" s="22">
        <v>22.9</v>
      </c>
      <c r="D357" s="22">
        <v>23.800000000000004</v>
      </c>
      <c r="E357" s="22">
        <v>-0.99918981481481495</v>
      </c>
      <c r="F357" s="22">
        <v>9.9189814814810262E-2</v>
      </c>
    </row>
    <row r="358" spans="2:6">
      <c r="B358" s="25">
        <v>97</v>
      </c>
      <c r="C358" s="22">
        <v>23.2</v>
      </c>
      <c r="D358" s="22">
        <v>23.545833333333334</v>
      </c>
      <c r="E358" s="22">
        <v>-0.67210648148148078</v>
      </c>
      <c r="F358" s="22">
        <v>0.32627314814814667</v>
      </c>
    </row>
    <row r="359" spans="2:6">
      <c r="B359" s="25">
        <v>98</v>
      </c>
      <c r="C359" s="22">
        <v>20.8</v>
      </c>
      <c r="D359" s="22">
        <v>23.258333333333333</v>
      </c>
      <c r="E359" s="22">
        <v>-1.9307870370370372</v>
      </c>
      <c r="F359" s="22">
        <v>-0.52754629629629335</v>
      </c>
    </row>
    <row r="360" spans="2:6">
      <c r="B360" s="25">
        <v>99</v>
      </c>
      <c r="C360" s="22">
        <v>20.7</v>
      </c>
      <c r="D360" s="22">
        <v>22.937499999999996</v>
      </c>
      <c r="E360" s="22">
        <v>-1.8339120370370374</v>
      </c>
      <c r="F360" s="22">
        <v>-0.40358796296295907</v>
      </c>
    </row>
    <row r="361" spans="2:6">
      <c r="B361" s="25">
        <v>100</v>
      </c>
      <c r="C361" s="22">
        <v>22.4</v>
      </c>
      <c r="D361" s="22">
        <v>22.625</v>
      </c>
      <c r="E361" s="22">
        <v>-0.81238425925926028</v>
      </c>
      <c r="F361" s="22">
        <v>0.58738425925925952</v>
      </c>
    </row>
    <row r="362" spans="2:6">
      <c r="B362" s="25">
        <v>101</v>
      </c>
      <c r="C362" s="22">
        <v>23</v>
      </c>
      <c r="D362" s="22">
        <v>22.320833333333333</v>
      </c>
      <c r="E362" s="22">
        <v>0.7935185185185194</v>
      </c>
      <c r="F362" s="22">
        <v>-0.11435185185185048</v>
      </c>
    </row>
    <row r="363" spans="2:6">
      <c r="B363" s="25">
        <v>102</v>
      </c>
      <c r="C363" s="22">
        <v>23.4</v>
      </c>
      <c r="D363" s="22">
        <v>22.066666666666666</v>
      </c>
      <c r="E363" s="22">
        <v>0.99108796296296242</v>
      </c>
      <c r="F363" s="22">
        <v>0.34224537037037095</v>
      </c>
    </row>
    <row r="364" spans="2:6">
      <c r="B364" s="25">
        <v>103</v>
      </c>
      <c r="C364" s="22">
        <v>23.1</v>
      </c>
      <c r="D364" s="22">
        <v>21.812499999999996</v>
      </c>
      <c r="E364" s="22">
        <v>0.35115740740740775</v>
      </c>
      <c r="F364" s="22">
        <v>0.93634259259259878</v>
      </c>
    </row>
    <row r="365" spans="2:6">
      <c r="B365" s="25">
        <v>104</v>
      </c>
      <c r="C365" s="22">
        <v>22.6</v>
      </c>
      <c r="D365" s="22">
        <v>21.570833333333329</v>
      </c>
      <c r="E365" s="22">
        <v>1.8240740740740746</v>
      </c>
      <c r="F365" s="22">
        <v>-0.79490740740740407</v>
      </c>
    </row>
    <row r="366" spans="2:6">
      <c r="B366" s="25">
        <v>105</v>
      </c>
      <c r="C366" s="22">
        <v>21.6</v>
      </c>
      <c r="D366" s="22">
        <v>21.358333333333334</v>
      </c>
      <c r="E366" s="22">
        <v>0.71886574074074028</v>
      </c>
      <c r="F366" s="22">
        <v>-0.47719907407407192</v>
      </c>
    </row>
    <row r="367" spans="2:6">
      <c r="B367" s="25">
        <v>106</v>
      </c>
      <c r="C367" s="22">
        <v>21.1</v>
      </c>
      <c r="D367" s="22">
        <v>21.137499999999999</v>
      </c>
      <c r="E367" s="22">
        <v>0.93935185185185222</v>
      </c>
      <c r="F367" s="22">
        <v>-0.97685185185185119</v>
      </c>
    </row>
    <row r="368" spans="2:6">
      <c r="B368" s="25">
        <v>107</v>
      </c>
      <c r="C368" s="22">
        <v>21.3</v>
      </c>
      <c r="D368" s="22">
        <v>20.933333333333337</v>
      </c>
      <c r="E368" s="22">
        <v>0.63032407407407387</v>
      </c>
      <c r="F368" s="22">
        <v>-0.26365740740741117</v>
      </c>
    </row>
    <row r="369" spans="2:6">
      <c r="B369" s="25">
        <v>108</v>
      </c>
      <c r="C369" s="22">
        <v>20.3</v>
      </c>
      <c r="D369" s="22">
        <v>20.729166666666668</v>
      </c>
      <c r="E369" s="22">
        <v>-0.99918981481481495</v>
      </c>
      <c r="F369" s="22">
        <v>0.57002314814814881</v>
      </c>
    </row>
    <row r="370" spans="2:6">
      <c r="B370" s="25">
        <v>109</v>
      </c>
      <c r="C370" s="22">
        <v>19.7</v>
      </c>
      <c r="D370" s="22">
        <v>20.508333333333336</v>
      </c>
      <c r="E370" s="22">
        <v>-0.67210648148148078</v>
      </c>
      <c r="F370" s="22">
        <v>-0.13622685185185546</v>
      </c>
    </row>
    <row r="371" spans="2:6">
      <c r="B371" s="25">
        <v>110</v>
      </c>
      <c r="C371" s="22">
        <v>18.5</v>
      </c>
      <c r="D371" s="22">
        <v>20.333333333333332</v>
      </c>
      <c r="E371" s="22">
        <v>-1.9307870370370372</v>
      </c>
      <c r="F371" s="22">
        <v>9.7453703703706651E-2</v>
      </c>
    </row>
    <row r="372" spans="2:6">
      <c r="B372" s="25">
        <v>111</v>
      </c>
      <c r="C372" s="22">
        <v>17.899999999999999</v>
      </c>
      <c r="D372" s="22">
        <v>20.2</v>
      </c>
      <c r="E372" s="22">
        <v>-1.8339120370370374</v>
      </c>
      <c r="F372" s="22">
        <v>-0.46608796296296262</v>
      </c>
    </row>
    <row r="373" spans="2:6">
      <c r="B373" s="25">
        <v>112</v>
      </c>
      <c r="C373" s="22">
        <v>19.899999999999999</v>
      </c>
      <c r="D373" s="22">
        <v>20.070833333333333</v>
      </c>
      <c r="E373" s="22">
        <v>-0.81238425925926028</v>
      </c>
      <c r="F373" s="22">
        <v>0.64155092592592666</v>
      </c>
    </row>
    <row r="374" spans="2:6">
      <c r="B374" s="25">
        <v>113</v>
      </c>
      <c r="C374" s="22">
        <v>20.6</v>
      </c>
      <c r="D374" s="22">
        <v>19.949999999999996</v>
      </c>
      <c r="E374" s="22">
        <v>0.7935185185185194</v>
      </c>
      <c r="F374" s="22">
        <v>-0.14351851851851194</v>
      </c>
    </row>
    <row r="375" spans="2:6">
      <c r="B375" s="25">
        <v>114</v>
      </c>
      <c r="C375" s="22">
        <v>20.9</v>
      </c>
      <c r="D375" s="22">
        <v>19.845833333333331</v>
      </c>
      <c r="E375" s="22">
        <v>0.99108796296296242</v>
      </c>
      <c r="F375" s="22">
        <v>6.3078703703705941E-2</v>
      </c>
    </row>
    <row r="376" spans="2:6">
      <c r="B376" s="25">
        <v>115</v>
      </c>
      <c r="C376" s="22">
        <v>20.3</v>
      </c>
      <c r="D376" s="22">
        <v>19.954166666666666</v>
      </c>
      <c r="E376" s="22">
        <v>0.35115740740740775</v>
      </c>
      <c r="F376" s="22">
        <v>-5.3240740740712056E-3</v>
      </c>
    </row>
    <row r="377" spans="2:6">
      <c r="B377" s="25">
        <v>116</v>
      </c>
      <c r="C377" s="22">
        <v>21.2</v>
      </c>
      <c r="D377" s="22">
        <v>20.229166666666664</v>
      </c>
      <c r="E377" s="22">
        <v>1.8240740740740746</v>
      </c>
      <c r="F377" s="22">
        <v>-0.85324074074074119</v>
      </c>
    </row>
    <row r="378" spans="2:6">
      <c r="B378" s="25">
        <v>117</v>
      </c>
      <c r="C378" s="22">
        <v>19.8</v>
      </c>
      <c r="D378" s="22">
        <v>20.55</v>
      </c>
      <c r="E378" s="22">
        <v>0.71886574074074028</v>
      </c>
      <c r="F378" s="22">
        <v>-1.4688657407407391</v>
      </c>
    </row>
    <row r="379" spans="2:6">
      <c r="B379" s="25">
        <v>118</v>
      </c>
      <c r="C379" s="22">
        <v>19.8</v>
      </c>
      <c r="D379" s="22">
        <v>20.879166666666666</v>
      </c>
      <c r="E379" s="22">
        <v>0.93935185185185222</v>
      </c>
      <c r="F379" s="22">
        <v>-2.018518518518519</v>
      </c>
    </row>
    <row r="380" spans="2:6">
      <c r="B380" s="25">
        <v>119</v>
      </c>
      <c r="C380" s="22">
        <v>19.7</v>
      </c>
      <c r="D380" s="22">
        <v>21.137500000000003</v>
      </c>
      <c r="E380" s="22">
        <v>0.63032407407407387</v>
      </c>
      <c r="F380" s="22">
        <v>-2.0678240740740783</v>
      </c>
    </row>
    <row r="381" spans="2:6">
      <c r="B381" s="25">
        <v>120</v>
      </c>
      <c r="C381" s="22">
        <v>19.399999999999999</v>
      </c>
      <c r="D381" s="22">
        <v>21.4</v>
      </c>
      <c r="E381" s="22">
        <v>-0.99918981481481495</v>
      </c>
      <c r="F381" s="22">
        <v>-1.0008101851851841</v>
      </c>
    </row>
    <row r="382" spans="2:6">
      <c r="B382" s="25">
        <v>121</v>
      </c>
      <c r="C382" s="22">
        <v>23.2</v>
      </c>
      <c r="D382" s="22">
        <v>21.679166666666664</v>
      </c>
      <c r="E382" s="22">
        <v>-0.67210648148148078</v>
      </c>
      <c r="F382" s="22">
        <v>2.1929398148148174</v>
      </c>
    </row>
    <row r="383" spans="2:6">
      <c r="B383" s="25">
        <v>122</v>
      </c>
      <c r="C383" s="22">
        <v>21.6</v>
      </c>
      <c r="D383" s="22">
        <v>21.949999999999996</v>
      </c>
      <c r="E383" s="22">
        <v>-1.9307870370370372</v>
      </c>
      <c r="F383" s="22">
        <v>1.5807870370370445</v>
      </c>
    </row>
    <row r="384" spans="2:6">
      <c r="B384" s="25">
        <v>123</v>
      </c>
      <c r="C384" s="22">
        <v>22.5</v>
      </c>
      <c r="D384" s="22">
        <v>22.237500000000001</v>
      </c>
      <c r="E384" s="22">
        <v>-1.8339120370370374</v>
      </c>
      <c r="F384" s="22">
        <v>2.0964120370370374</v>
      </c>
    </row>
    <row r="385" spans="2:6">
      <c r="B385" s="25">
        <v>124</v>
      </c>
      <c r="C385" s="22">
        <v>23.2</v>
      </c>
      <c r="D385" s="22">
        <v>22.541666666666668</v>
      </c>
      <c r="E385" s="22">
        <v>-0.81238425925926028</v>
      </c>
      <c r="F385" s="22">
        <v>1.4707175925925924</v>
      </c>
    </row>
    <row r="386" spans="2:6">
      <c r="B386" s="25">
        <v>125</v>
      </c>
      <c r="C386" s="22">
        <v>23.5</v>
      </c>
      <c r="D386" s="22">
        <v>22.824999999999999</v>
      </c>
      <c r="E386" s="22">
        <v>0.7935185185185194</v>
      </c>
      <c r="F386" s="22">
        <v>-0.11851851851851691</v>
      </c>
    </row>
    <row r="387" spans="2:6">
      <c r="B387" s="25">
        <v>126</v>
      </c>
      <c r="C387" s="22">
        <v>24.3</v>
      </c>
      <c r="D387" s="22">
        <v>23.104166666666664</v>
      </c>
      <c r="E387" s="22">
        <v>0.99108796296296242</v>
      </c>
      <c r="F387" s="22">
        <v>0.20474537037037521</v>
      </c>
    </row>
    <row r="388" spans="2:6">
      <c r="B388" s="25">
        <v>127</v>
      </c>
      <c r="C388" s="22">
        <v>23.6</v>
      </c>
      <c r="D388" s="22">
        <v>23.258333333333333</v>
      </c>
      <c r="E388" s="22">
        <v>0.35115740740740775</v>
      </c>
      <c r="F388" s="22">
        <v>-9.4907407407376354E-3</v>
      </c>
    </row>
    <row r="389" spans="2:6">
      <c r="B389" s="25">
        <v>128</v>
      </c>
      <c r="C389" s="22">
        <v>24.4</v>
      </c>
      <c r="D389" s="22">
        <v>23.304166666666664</v>
      </c>
      <c r="E389" s="22">
        <v>1.8240740740740746</v>
      </c>
      <c r="F389" s="22">
        <v>-0.72824074074074119</v>
      </c>
    </row>
    <row r="390" spans="2:6">
      <c r="B390" s="25">
        <v>129</v>
      </c>
      <c r="C390" s="22">
        <v>23.5</v>
      </c>
      <c r="D390" s="22">
        <v>23.299999999999997</v>
      </c>
      <c r="E390" s="22">
        <v>0.71886574074074028</v>
      </c>
      <c r="F390" s="22">
        <v>-0.51886574074073621</v>
      </c>
    </row>
    <row r="391" spans="2:6">
      <c r="B391" s="25">
        <v>130</v>
      </c>
      <c r="C391" s="22">
        <v>23.4</v>
      </c>
      <c r="D391" s="22">
        <v>23.249999999999996</v>
      </c>
      <c r="E391" s="22">
        <v>0.93935185185185222</v>
      </c>
      <c r="F391" s="22">
        <v>-0.78935185185185119</v>
      </c>
    </row>
    <row r="392" spans="2:6">
      <c r="B392" s="25">
        <v>131</v>
      </c>
      <c r="C392" s="22">
        <v>22.9</v>
      </c>
      <c r="D392" s="22">
        <v>23.266666666666669</v>
      </c>
      <c r="E392" s="22">
        <v>0.63032407407407387</v>
      </c>
      <c r="F392" s="22">
        <v>-0.99699074074074545</v>
      </c>
    </row>
    <row r="393" spans="2:6">
      <c r="B393" s="25">
        <v>132</v>
      </c>
      <c r="C393" s="22">
        <v>22.9</v>
      </c>
      <c r="D393" s="22">
        <v>23.295833333333334</v>
      </c>
      <c r="E393" s="22">
        <v>-0.99918981481481495</v>
      </c>
      <c r="F393" s="22">
        <v>0.60335648148148024</v>
      </c>
    </row>
    <row r="394" spans="2:6">
      <c r="B394" s="25">
        <v>133</v>
      </c>
      <c r="C394" s="22">
        <v>23.4</v>
      </c>
      <c r="D394" s="22">
        <v>23.283333333333328</v>
      </c>
      <c r="E394" s="22">
        <v>-0.67210648148148078</v>
      </c>
      <c r="F394" s="22">
        <v>0.78877314814815236</v>
      </c>
    </row>
    <row r="395" spans="2:6">
      <c r="B395" s="25">
        <v>134</v>
      </c>
      <c r="C395" s="22">
        <v>22.5</v>
      </c>
      <c r="D395" s="22">
        <v>23.291666666666664</v>
      </c>
      <c r="E395" s="22">
        <v>-1.9307870370370372</v>
      </c>
      <c r="F395" s="22">
        <v>1.1391203703703745</v>
      </c>
    </row>
    <row r="396" spans="2:6">
      <c r="B396" s="25">
        <v>135</v>
      </c>
      <c r="C396" s="22">
        <v>21.5</v>
      </c>
      <c r="D396" s="22">
        <v>23.295833333333331</v>
      </c>
      <c r="E396" s="22">
        <v>-1.8339120370370374</v>
      </c>
      <c r="F396" s="22">
        <v>3.8078703703707362E-2</v>
      </c>
    </row>
    <row r="397" spans="2:6">
      <c r="B397" s="25">
        <v>136</v>
      </c>
      <c r="C397" s="22">
        <v>23</v>
      </c>
      <c r="D397" s="22">
        <v>23.295833333333331</v>
      </c>
      <c r="E397" s="22">
        <v>-0.81238425925926028</v>
      </c>
      <c r="F397" s="22">
        <v>0.51655092592593022</v>
      </c>
    </row>
    <row r="398" spans="2:6">
      <c r="B398" s="25">
        <v>137</v>
      </c>
      <c r="C398" s="22">
        <v>24.1</v>
      </c>
      <c r="D398" s="22">
        <v>23.345833333333331</v>
      </c>
      <c r="E398" s="22">
        <v>0.7935185185185194</v>
      </c>
      <c r="F398" s="22">
        <v>-3.9351851851847641E-2</v>
      </c>
    </row>
    <row r="399" spans="2:6">
      <c r="B399" s="25">
        <v>138</v>
      </c>
      <c r="C399" s="22">
        <v>24.4</v>
      </c>
      <c r="D399" s="22">
        <v>23.354166666666668</v>
      </c>
      <c r="E399" s="22">
        <v>0.99108796296296242</v>
      </c>
      <c r="F399" s="22">
        <v>5.4745370370369528E-2</v>
      </c>
    </row>
    <row r="400" spans="2:6">
      <c r="B400" s="25">
        <v>139</v>
      </c>
      <c r="C400" s="22">
        <v>23.2</v>
      </c>
      <c r="D400" s="22">
        <v>23.295833333333334</v>
      </c>
      <c r="E400" s="22">
        <v>0.35115740740740775</v>
      </c>
      <c r="F400" s="22">
        <v>-0.44699074074074119</v>
      </c>
    </row>
    <row r="401" spans="2:6">
      <c r="B401" s="25">
        <v>140</v>
      </c>
      <c r="C401" s="22">
        <v>25</v>
      </c>
      <c r="D401" s="22">
        <v>23.237500000000001</v>
      </c>
      <c r="E401" s="22">
        <v>1.8240740740740746</v>
      </c>
      <c r="F401" s="22">
        <v>-6.157407407407689E-2</v>
      </c>
    </row>
    <row r="402" spans="2:6">
      <c r="B402" s="25">
        <v>141</v>
      </c>
      <c r="C402" s="22">
        <v>23</v>
      </c>
      <c r="D402" s="22">
        <v>23.270833333333332</v>
      </c>
      <c r="E402" s="22">
        <v>0.71886574074074028</v>
      </c>
      <c r="F402" s="22">
        <v>-0.98969907407407121</v>
      </c>
    </row>
    <row r="403" spans="2:6">
      <c r="B403" s="25">
        <v>142</v>
      </c>
      <c r="C403" s="22">
        <v>23.9</v>
      </c>
      <c r="D403" s="22">
        <v>23.216666666666665</v>
      </c>
      <c r="E403" s="22">
        <v>0.93935185185185222</v>
      </c>
      <c r="F403" s="22">
        <v>-0.25601851851851976</v>
      </c>
    </row>
    <row r="404" spans="2:6">
      <c r="B404" s="25">
        <v>143</v>
      </c>
      <c r="C404" s="22">
        <v>23.6</v>
      </c>
      <c r="D404" s="22">
        <v>23.166666666666664</v>
      </c>
      <c r="E404" s="22">
        <v>0.63032407407407387</v>
      </c>
      <c r="F404" s="22">
        <v>-0.19699074074073764</v>
      </c>
    </row>
    <row r="405" spans="2:6">
      <c r="B405" s="25">
        <v>144</v>
      </c>
      <c r="C405" s="22">
        <v>22.4</v>
      </c>
      <c r="D405" s="22">
        <v>23.104166666666664</v>
      </c>
      <c r="E405" s="22">
        <v>-0.99918981481481495</v>
      </c>
      <c r="F405" s="22">
        <v>0.29502314814815023</v>
      </c>
    </row>
    <row r="406" spans="2:6">
      <c r="B406" s="25">
        <v>145</v>
      </c>
      <c r="C406" s="22">
        <v>22.5</v>
      </c>
      <c r="D406" s="22">
        <v>23.045833333333334</v>
      </c>
      <c r="E406" s="22">
        <v>-0.67210648148148078</v>
      </c>
      <c r="F406" s="22">
        <v>0.12627314814814738</v>
      </c>
    </row>
    <row r="407" spans="2:6">
      <c r="B407" s="25">
        <v>146</v>
      </c>
      <c r="C407" s="22">
        <v>22</v>
      </c>
      <c r="D407" s="22">
        <v>23.158333333333335</v>
      </c>
      <c r="E407" s="22">
        <v>-1.9307870370370372</v>
      </c>
      <c r="F407" s="22">
        <v>0.77245370370370381</v>
      </c>
    </row>
    <row r="408" spans="2:6">
      <c r="B408" s="25">
        <v>147</v>
      </c>
      <c r="C408" s="22">
        <v>22.8</v>
      </c>
      <c r="D408" s="22">
        <v>23.133333333333333</v>
      </c>
      <c r="E408" s="22">
        <v>-1.8339120370370374</v>
      </c>
      <c r="F408" s="22">
        <v>1.5005787037037059</v>
      </c>
    </row>
    <row r="409" spans="2:6">
      <c r="B409" s="25">
        <v>148</v>
      </c>
      <c r="C409" s="22">
        <v>20.399999999999999</v>
      </c>
      <c r="D409" s="22">
        <v>23.05</v>
      </c>
      <c r="E409" s="22">
        <v>-0.81238425925926028</v>
      </c>
      <c r="F409" s="22">
        <v>-1.8376157407407412</v>
      </c>
    </row>
    <row r="410" spans="2:6">
      <c r="B410" s="25">
        <v>149</v>
      </c>
      <c r="C410" s="22">
        <v>25.5</v>
      </c>
      <c r="D410" s="22">
        <v>23.037499999999998</v>
      </c>
      <c r="E410" s="22">
        <v>0.7935185185185194</v>
      </c>
      <c r="F410" s="22">
        <v>1.6689814814814845</v>
      </c>
    </row>
    <row r="411" spans="2:6">
      <c r="B411" s="25">
        <v>150</v>
      </c>
      <c r="C411" s="22">
        <v>21.5</v>
      </c>
      <c r="D411" s="22">
        <v>23.033333333333331</v>
      </c>
      <c r="E411" s="22">
        <v>0.99108796296296242</v>
      </c>
      <c r="F411" s="22">
        <v>-2.5244212962962926</v>
      </c>
    </row>
    <row r="412" spans="2:6">
      <c r="B412" s="25">
        <v>151</v>
      </c>
      <c r="C412" s="22">
        <v>24.7</v>
      </c>
      <c r="D412" s="22"/>
      <c r="E412" s="22"/>
      <c r="F412" s="22"/>
    </row>
    <row r="413" spans="2:6">
      <c r="B413" s="25">
        <v>152</v>
      </c>
      <c r="C413" s="22">
        <v>26.2</v>
      </c>
      <c r="D413" s="22"/>
      <c r="E413" s="22"/>
      <c r="F413" s="22"/>
    </row>
    <row r="414" spans="2:6">
      <c r="B414" s="25">
        <v>153</v>
      </c>
      <c r="C414" s="22">
        <v>21.2</v>
      </c>
      <c r="D414" s="22"/>
      <c r="E414" s="22"/>
      <c r="F414" s="22"/>
    </row>
    <row r="415" spans="2:6">
      <c r="B415" s="25">
        <v>154</v>
      </c>
      <c r="C415" s="22">
        <v>23.7</v>
      </c>
      <c r="D415" s="22"/>
      <c r="E415" s="22"/>
      <c r="F415" s="22"/>
    </row>
    <row r="416" spans="2:6">
      <c r="B416" s="10">
        <v>155</v>
      </c>
      <c r="C416" s="22">
        <v>23.5</v>
      </c>
      <c r="D416" s="22"/>
      <c r="E416" s="22"/>
      <c r="F416" s="22"/>
    </row>
    <row r="417" spans="2:6" ht="16" thickBot="1">
      <c r="B417" s="19">
        <v>156</v>
      </c>
      <c r="C417" s="21">
        <v>22.4</v>
      </c>
      <c r="D417" s="21"/>
      <c r="E417" s="21"/>
      <c r="F417" s="21"/>
    </row>
    <row r="436" spans="7:7">
      <c r="G436" t="s">
        <v>219</v>
      </c>
    </row>
    <row r="455" spans="7:7">
      <c r="G455" t="s">
        <v>219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D532227">
              <controlPr defaultSize="0" autoFill="0" autoPict="0" macro="[0]!GoToResultsNew101320187311810">
                <anchor moveWithCells="1">
                  <from>
                    <xdr:col>0</xdr:col>
                    <xdr:colOff>330200</xdr:colOff>
                    <xdr:row>3</xdr:row>
                    <xdr:rowOff>0</xdr:rowOff>
                  </from>
                  <to>
                    <xdr:col>4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>
    <tabColor rgb="FF007800"/>
  </sheetPr>
  <dimension ref="B1:I455"/>
  <sheetViews>
    <sheetView topLeftCell="A7" zoomScaleNormal="100" workbookViewId="0">
      <selection activeCell="L10" sqref="L10"/>
    </sheetView>
  </sheetViews>
  <sheetFormatPr baseColWidth="10" defaultColWidth="8.83203125" defaultRowHeight="15"/>
  <cols>
    <col min="1" max="1" width="5" customWidth="1"/>
    <col min="3" max="3" width="9.5" bestFit="1" customWidth="1"/>
  </cols>
  <sheetData>
    <row r="1" spans="2:9">
      <c r="B1" t="s">
        <v>305</v>
      </c>
    </row>
    <row r="2" spans="2:9">
      <c r="B2" t="s">
        <v>286</v>
      </c>
    </row>
    <row r="3" spans="2:9" ht="34.25" customHeight="1"/>
    <row r="4" spans="2:9" ht="16.25" customHeight="1"/>
    <row r="7" spans="2:9">
      <c r="B7" t="s">
        <v>180</v>
      </c>
    </row>
    <row r="8" spans="2:9" ht="16" thickBot="1"/>
    <row r="9" spans="2:9">
      <c r="B9" s="11" t="s">
        <v>181</v>
      </c>
      <c r="C9" s="12" t="s">
        <v>182</v>
      </c>
      <c r="D9" s="12" t="s">
        <v>183</v>
      </c>
      <c r="E9" s="12" t="s">
        <v>184</v>
      </c>
      <c r="F9" s="12" t="s">
        <v>185</v>
      </c>
      <c r="G9" s="12" t="s">
        <v>186</v>
      </c>
      <c r="H9" s="12" t="s">
        <v>187</v>
      </c>
      <c r="I9" s="12" t="s">
        <v>188</v>
      </c>
    </row>
    <row r="10" spans="2:9" ht="16" thickBot="1">
      <c r="B10" s="14" t="s">
        <v>5</v>
      </c>
      <c r="C10" s="15">
        <v>156</v>
      </c>
      <c r="D10" s="15">
        <v>0</v>
      </c>
      <c r="E10" s="15">
        <v>156</v>
      </c>
      <c r="F10" s="16">
        <v>17.899999999999999</v>
      </c>
      <c r="G10" s="16">
        <v>54.2</v>
      </c>
      <c r="H10" s="16">
        <v>31.433974358974371</v>
      </c>
      <c r="I10" s="16">
        <v>9.8384990777335712</v>
      </c>
    </row>
    <row r="13" spans="2:9">
      <c r="B13" s="17" t="s">
        <v>290</v>
      </c>
    </row>
    <row r="15" spans="2:9">
      <c r="B15" t="s">
        <v>233</v>
      </c>
    </row>
    <row r="16" spans="2:9" ht="16" thickBot="1"/>
    <row r="17" spans="2:3">
      <c r="B17" s="11" t="s">
        <v>234</v>
      </c>
      <c r="C17" s="12" t="s">
        <v>206</v>
      </c>
    </row>
    <row r="18" spans="2:3">
      <c r="B18" s="13" t="s">
        <v>237</v>
      </c>
      <c r="C18" s="20">
        <v>1.1017044383086622E-2</v>
      </c>
    </row>
    <row r="19" spans="2:3">
      <c r="B19" s="10" t="s">
        <v>291</v>
      </c>
      <c r="C19" s="22">
        <v>-6.4530264726538708E-2</v>
      </c>
    </row>
    <row r="20" spans="2:3" ht="16" thickBot="1">
      <c r="B20" s="19" t="s">
        <v>193</v>
      </c>
      <c r="C20" s="21">
        <v>14838.096923076933</v>
      </c>
    </row>
    <row r="23" spans="2:3">
      <c r="B23" t="s">
        <v>233</v>
      </c>
    </row>
    <row r="24" spans="2:3" ht="16" thickBot="1"/>
    <row r="25" spans="2:3">
      <c r="B25" s="11" t="s">
        <v>205</v>
      </c>
      <c r="C25" s="12" t="s">
        <v>206</v>
      </c>
    </row>
    <row r="26" spans="2:3">
      <c r="B26" s="13" t="s">
        <v>292</v>
      </c>
      <c r="C26" s="20">
        <v>31.433974358974346</v>
      </c>
    </row>
    <row r="27" spans="2:3">
      <c r="B27" s="10" t="s">
        <v>242</v>
      </c>
      <c r="C27" s="22">
        <v>0.42756410256410859</v>
      </c>
    </row>
    <row r="28" spans="2:3">
      <c r="B28" s="10" t="s">
        <v>293</v>
      </c>
      <c r="C28" s="22">
        <v>-1.0801282051281902</v>
      </c>
    </row>
    <row r="29" spans="2:3">
      <c r="B29" s="10" t="s">
        <v>294</v>
      </c>
      <c r="C29" s="22">
        <v>-1.226282051282034</v>
      </c>
    </row>
    <row r="30" spans="2:3">
      <c r="B30" s="10" t="s">
        <v>295</v>
      </c>
      <c r="C30" s="22">
        <v>-0.32628205128204968</v>
      </c>
    </row>
    <row r="31" spans="2:3">
      <c r="B31" s="10" t="s">
        <v>296</v>
      </c>
      <c r="C31" s="22">
        <v>1.1506410256410362</v>
      </c>
    </row>
    <row r="32" spans="2:3">
      <c r="B32" s="10" t="s">
        <v>297</v>
      </c>
      <c r="C32" s="22">
        <v>1.1967948717948786</v>
      </c>
    </row>
    <row r="33" spans="2:4">
      <c r="B33" s="10" t="s">
        <v>298</v>
      </c>
      <c r="C33" s="22">
        <v>0.31987179487180128</v>
      </c>
    </row>
    <row r="34" spans="2:4">
      <c r="B34" s="10" t="s">
        <v>299</v>
      </c>
      <c r="C34" s="22">
        <v>1.6044871794871867</v>
      </c>
    </row>
    <row r="35" spans="2:4">
      <c r="B35" s="10" t="s">
        <v>300</v>
      </c>
      <c r="C35" s="22">
        <v>1.9871794871811232E-2</v>
      </c>
    </row>
    <row r="36" spans="2:4">
      <c r="B36" s="10" t="s">
        <v>301</v>
      </c>
      <c r="C36" s="22">
        <v>0.22756410256410931</v>
      </c>
    </row>
    <row r="37" spans="2:4">
      <c r="B37" s="10" t="s">
        <v>302</v>
      </c>
      <c r="C37" s="22">
        <v>-0.2647435897435777</v>
      </c>
    </row>
    <row r="38" spans="2:4" ht="16" thickBot="1">
      <c r="B38" s="19" t="s">
        <v>303</v>
      </c>
      <c r="C38" s="21">
        <v>-2.0493589743589666</v>
      </c>
    </row>
    <row r="41" spans="2:4">
      <c r="B41" t="s">
        <v>265</v>
      </c>
    </row>
    <row r="42" spans="2:4" ht="16" thickBot="1"/>
    <row r="43" spans="2:4">
      <c r="B43" s="23" t="s">
        <v>266</v>
      </c>
      <c r="C43" s="12" t="s">
        <v>5</v>
      </c>
      <c r="D43" s="12" t="s">
        <v>304</v>
      </c>
    </row>
    <row r="44" spans="2:4">
      <c r="B44" s="24">
        <v>1</v>
      </c>
      <c r="C44" s="20">
        <v>53.1</v>
      </c>
      <c r="D44" s="20">
        <v>21.238461538461546</v>
      </c>
    </row>
    <row r="45" spans="2:4">
      <c r="B45" s="25">
        <v>2</v>
      </c>
      <c r="C45" s="22">
        <v>50.8</v>
      </c>
      <c r="D45" s="22">
        <v>20.446153846153841</v>
      </c>
    </row>
    <row r="46" spans="2:4">
      <c r="B46" s="25">
        <v>3</v>
      </c>
      <c r="C46" s="22">
        <v>50.1</v>
      </c>
      <c r="D46" s="22">
        <v>19.892307692307689</v>
      </c>
    </row>
    <row r="47" spans="2:4">
      <c r="B47" s="25">
        <v>4</v>
      </c>
      <c r="C47" s="22">
        <v>51.8</v>
      </c>
      <c r="D47" s="22">
        <v>20.692307692307701</v>
      </c>
    </row>
    <row r="48" spans="2:4">
      <c r="B48" s="25">
        <v>5</v>
      </c>
      <c r="C48" s="22">
        <v>53.9</v>
      </c>
      <c r="D48" s="22">
        <v>21.315384615384616</v>
      </c>
    </row>
    <row r="49" spans="2:4">
      <c r="B49" s="25">
        <v>6</v>
      </c>
      <c r="C49" s="22">
        <v>54.2</v>
      </c>
      <c r="D49" s="22">
        <v>21.569230769230778</v>
      </c>
    </row>
    <row r="50" spans="2:4">
      <c r="B50" s="25">
        <v>7</v>
      </c>
      <c r="C50" s="22">
        <v>50.2</v>
      </c>
      <c r="D50" s="22">
        <v>18.446153846153855</v>
      </c>
    </row>
    <row r="51" spans="2:4">
      <c r="B51" s="25">
        <v>8</v>
      </c>
      <c r="C51" s="22">
        <v>53.4</v>
      </c>
      <c r="D51" s="22">
        <v>20.361538461538466</v>
      </c>
    </row>
    <row r="52" spans="2:4">
      <c r="B52" s="25">
        <v>9</v>
      </c>
      <c r="C52" s="22">
        <v>50.7</v>
      </c>
      <c r="D52" s="22">
        <v>19.246153846153845</v>
      </c>
    </row>
    <row r="53" spans="2:4">
      <c r="B53" s="25">
        <v>10</v>
      </c>
      <c r="C53" s="22">
        <v>48.4</v>
      </c>
      <c r="D53" s="22">
        <v>16.738461538461543</v>
      </c>
    </row>
    <row r="54" spans="2:4">
      <c r="B54" s="25">
        <v>11</v>
      </c>
      <c r="C54" s="22">
        <v>50.9</v>
      </c>
      <c r="D54" s="22">
        <v>19.73076923076923</v>
      </c>
    </row>
    <row r="55" spans="2:4">
      <c r="B55" s="25">
        <v>12</v>
      </c>
      <c r="C55" s="22">
        <v>44.7</v>
      </c>
      <c r="D55" s="22">
        <v>15.315384615384623</v>
      </c>
    </row>
    <row r="56" spans="2:4">
      <c r="B56" s="25">
        <v>13</v>
      </c>
      <c r="C56" s="22">
        <v>46</v>
      </c>
      <c r="D56" s="22">
        <v>14.138461538461545</v>
      </c>
    </row>
    <row r="57" spans="2:4">
      <c r="B57" s="25">
        <v>14</v>
      </c>
      <c r="C57" s="22">
        <v>44.7</v>
      </c>
      <c r="D57" s="22">
        <v>14.346153846153847</v>
      </c>
    </row>
    <row r="58" spans="2:4">
      <c r="B58" s="25">
        <v>15</v>
      </c>
      <c r="C58" s="22">
        <v>44.7</v>
      </c>
      <c r="D58" s="22">
        <v>14.492307692307691</v>
      </c>
    </row>
    <row r="59" spans="2:4">
      <c r="B59" s="25">
        <v>16</v>
      </c>
      <c r="C59" s="22">
        <v>45.2</v>
      </c>
      <c r="D59" s="22">
        <v>14.092307692307706</v>
      </c>
    </row>
    <row r="60" spans="2:4">
      <c r="B60" s="25">
        <v>17</v>
      </c>
      <c r="C60" s="22">
        <v>47.7</v>
      </c>
      <c r="D60" s="22">
        <v>15.11538461538462</v>
      </c>
    </row>
    <row r="61" spans="2:4">
      <c r="B61" s="25">
        <v>18</v>
      </c>
      <c r="C61" s="22">
        <v>46.8</v>
      </c>
      <c r="D61" s="22">
        <v>14.169230769230772</v>
      </c>
    </row>
    <row r="62" spans="2:4">
      <c r="B62" s="25">
        <v>19</v>
      </c>
      <c r="C62" s="22">
        <v>43.3</v>
      </c>
      <c r="D62" s="22">
        <v>11.54615384615385</v>
      </c>
    </row>
    <row r="63" spans="2:4">
      <c r="B63" s="25">
        <v>20</v>
      </c>
      <c r="C63" s="22">
        <v>49.1</v>
      </c>
      <c r="D63" s="22">
        <v>16.061538461538468</v>
      </c>
    </row>
    <row r="64" spans="2:4">
      <c r="B64" s="25">
        <v>21</v>
      </c>
      <c r="C64" s="22">
        <v>45.2</v>
      </c>
      <c r="D64" s="22">
        <v>13.746153846153845</v>
      </c>
    </row>
    <row r="65" spans="2:4">
      <c r="B65" s="25">
        <v>22</v>
      </c>
      <c r="C65" s="22">
        <v>45.2</v>
      </c>
      <c r="D65" s="22">
        <v>13.538461538461547</v>
      </c>
    </row>
    <row r="66" spans="2:4">
      <c r="B66" s="25">
        <v>23</v>
      </c>
      <c r="C66" s="22">
        <v>46.5</v>
      </c>
      <c r="D66" s="22">
        <v>15.330769230769231</v>
      </c>
    </row>
    <row r="67" spans="2:4">
      <c r="B67" s="25">
        <v>24</v>
      </c>
      <c r="C67" s="22">
        <v>41.7</v>
      </c>
      <c r="D67" s="22">
        <v>12.315384615384623</v>
      </c>
    </row>
    <row r="68" spans="2:4">
      <c r="B68" s="25">
        <v>25</v>
      </c>
      <c r="C68" s="22">
        <v>44.7</v>
      </c>
      <c r="D68" s="22">
        <v>12.838461538461548</v>
      </c>
    </row>
    <row r="69" spans="2:4">
      <c r="B69" s="25">
        <v>26</v>
      </c>
      <c r="C69" s="22">
        <v>39.1</v>
      </c>
      <c r="D69" s="22">
        <v>8.7461538461538453</v>
      </c>
    </row>
    <row r="70" spans="2:4">
      <c r="B70" s="25">
        <v>27</v>
      </c>
      <c r="C70" s="22">
        <v>41.3</v>
      </c>
      <c r="D70" s="22">
        <v>11.092307692307685</v>
      </c>
    </row>
    <row r="71" spans="2:4">
      <c r="B71" s="25">
        <v>28</v>
      </c>
      <c r="C71" s="22">
        <v>40</v>
      </c>
      <c r="D71" s="22">
        <v>8.8923076923077033</v>
      </c>
    </row>
    <row r="72" spans="2:4">
      <c r="B72" s="25">
        <v>29</v>
      </c>
      <c r="C72" s="22">
        <v>44.9</v>
      </c>
      <c r="D72" s="22">
        <v>12.315384615384616</v>
      </c>
    </row>
    <row r="73" spans="2:4">
      <c r="B73" s="25">
        <v>30</v>
      </c>
      <c r="C73" s="22">
        <v>40.9</v>
      </c>
      <c r="D73" s="22">
        <v>8.2692307692307736</v>
      </c>
    </row>
    <row r="74" spans="2:4">
      <c r="B74" s="25">
        <v>31</v>
      </c>
      <c r="C74" s="22">
        <v>44.3</v>
      </c>
      <c r="D74" s="22">
        <v>12.54615384615385</v>
      </c>
    </row>
    <row r="75" spans="2:4">
      <c r="B75" s="25">
        <v>32</v>
      </c>
      <c r="C75" s="22">
        <v>44.4</v>
      </c>
      <c r="D75" s="22">
        <v>11.361538461538466</v>
      </c>
    </row>
    <row r="76" spans="2:4">
      <c r="B76" s="25">
        <v>33</v>
      </c>
      <c r="C76" s="22">
        <v>40.700000000000003</v>
      </c>
      <c r="D76" s="22">
        <v>9.2461538461538453</v>
      </c>
    </row>
    <row r="77" spans="2:4">
      <c r="B77" s="25">
        <v>34</v>
      </c>
      <c r="C77" s="22">
        <v>41.9</v>
      </c>
      <c r="D77" s="22">
        <v>10.238461538461543</v>
      </c>
    </row>
    <row r="78" spans="2:4">
      <c r="B78" s="25">
        <v>35</v>
      </c>
      <c r="C78" s="22">
        <v>41.7</v>
      </c>
      <c r="D78" s="22">
        <v>10.530769230769234</v>
      </c>
    </row>
    <row r="79" spans="2:4">
      <c r="B79" s="25">
        <v>36</v>
      </c>
      <c r="C79" s="22">
        <v>37.700000000000003</v>
      </c>
      <c r="D79" s="22">
        <v>8.3153846153846231</v>
      </c>
    </row>
    <row r="80" spans="2:4">
      <c r="B80" s="25">
        <v>37</v>
      </c>
      <c r="C80" s="22">
        <v>39.700000000000003</v>
      </c>
      <c r="D80" s="22">
        <v>7.8384615384615479</v>
      </c>
    </row>
    <row r="81" spans="2:4">
      <c r="B81" s="25">
        <v>38</v>
      </c>
      <c r="C81" s="22">
        <v>36.1</v>
      </c>
      <c r="D81" s="22">
        <v>5.7461538461538453</v>
      </c>
    </row>
    <row r="82" spans="2:4">
      <c r="B82" s="25">
        <v>39</v>
      </c>
      <c r="C82" s="22">
        <v>33.1</v>
      </c>
      <c r="D82" s="22">
        <v>2.8923076923076891</v>
      </c>
    </row>
    <row r="83" spans="2:4">
      <c r="B83" s="25">
        <v>40</v>
      </c>
      <c r="C83" s="22">
        <v>37.200000000000003</v>
      </c>
      <c r="D83" s="22">
        <v>6.0923076923077062</v>
      </c>
    </row>
    <row r="84" spans="2:4">
      <c r="B84" s="25">
        <v>41</v>
      </c>
      <c r="C84" s="22">
        <v>36.9</v>
      </c>
      <c r="D84" s="22">
        <v>4.315384615384616</v>
      </c>
    </row>
    <row r="85" spans="2:4">
      <c r="B85" s="25">
        <v>42</v>
      </c>
      <c r="C85" s="22">
        <v>38.1</v>
      </c>
      <c r="D85" s="22">
        <v>5.4692307692307764</v>
      </c>
    </row>
    <row r="86" spans="2:4">
      <c r="B86" s="25">
        <v>43</v>
      </c>
      <c r="C86" s="22">
        <v>37.6</v>
      </c>
      <c r="D86" s="22">
        <v>5.8461538461538538</v>
      </c>
    </row>
    <row r="87" spans="2:4">
      <c r="B87" s="25">
        <v>44</v>
      </c>
      <c r="C87" s="22">
        <v>38.4</v>
      </c>
      <c r="D87" s="22">
        <v>5.3615384615384656</v>
      </c>
    </row>
    <row r="88" spans="2:4">
      <c r="B88" s="25">
        <v>45</v>
      </c>
      <c r="C88" s="22">
        <v>41.8</v>
      </c>
      <c r="D88" s="22">
        <v>10.34615384615384</v>
      </c>
    </row>
    <row r="89" spans="2:4">
      <c r="B89" s="25">
        <v>46</v>
      </c>
      <c r="C89" s="22">
        <v>44.7</v>
      </c>
      <c r="D89" s="22">
        <v>13.038461538461547</v>
      </c>
    </row>
    <row r="90" spans="2:4">
      <c r="B90" s="25">
        <v>47</v>
      </c>
      <c r="C90" s="22">
        <v>37.5</v>
      </c>
      <c r="D90" s="22">
        <v>6.3307692307692314</v>
      </c>
    </row>
    <row r="91" spans="2:4">
      <c r="B91" s="25">
        <v>48</v>
      </c>
      <c r="C91" s="22">
        <v>36.5</v>
      </c>
      <c r="D91" s="22">
        <v>7.1153846153846203</v>
      </c>
    </row>
    <row r="92" spans="2:4">
      <c r="B92" s="25">
        <v>49</v>
      </c>
      <c r="C92" s="22">
        <v>33.200000000000003</v>
      </c>
      <c r="D92" s="22">
        <v>1.3384615384615479</v>
      </c>
    </row>
    <row r="93" spans="2:4">
      <c r="B93" s="25">
        <v>50</v>
      </c>
      <c r="C93" s="22">
        <v>34</v>
      </c>
      <c r="D93" s="22">
        <v>3.6461538461538439</v>
      </c>
    </row>
    <row r="94" spans="2:4">
      <c r="B94" s="25">
        <v>51</v>
      </c>
      <c r="C94" s="22">
        <v>32.799999999999997</v>
      </c>
      <c r="D94" s="22">
        <v>2.5923076923076849</v>
      </c>
    </row>
    <row r="95" spans="2:4">
      <c r="B95" s="25">
        <v>52</v>
      </c>
      <c r="C95" s="22">
        <v>34.4</v>
      </c>
      <c r="D95" s="22">
        <v>3.2923076923077019</v>
      </c>
    </row>
    <row r="96" spans="2:4">
      <c r="B96" s="25">
        <v>53</v>
      </c>
      <c r="C96" s="22">
        <v>34.700000000000003</v>
      </c>
      <c r="D96" s="22">
        <v>2.1153846153846203</v>
      </c>
    </row>
    <row r="97" spans="2:4">
      <c r="B97" s="25">
        <v>54</v>
      </c>
      <c r="C97" s="22">
        <v>37</v>
      </c>
      <c r="D97" s="22">
        <v>4.369230769230775</v>
      </c>
    </row>
    <row r="98" spans="2:4">
      <c r="B98" s="25">
        <v>55</v>
      </c>
      <c r="C98" s="22">
        <v>35.6</v>
      </c>
      <c r="D98" s="22">
        <v>3.8461538461538538</v>
      </c>
    </row>
    <row r="99" spans="2:4">
      <c r="B99" s="25">
        <v>56</v>
      </c>
      <c r="C99" s="22">
        <v>35</v>
      </c>
      <c r="D99" s="22">
        <v>1.961538461538467</v>
      </c>
    </row>
    <row r="100" spans="2:4">
      <c r="B100" s="25">
        <v>57</v>
      </c>
      <c r="C100" s="22">
        <v>35.4</v>
      </c>
      <c r="D100" s="22">
        <v>3.946153846153841</v>
      </c>
    </row>
    <row r="101" spans="2:4">
      <c r="B101" s="25">
        <v>58</v>
      </c>
      <c r="C101" s="22">
        <v>35.700000000000003</v>
      </c>
      <c r="D101" s="22">
        <v>4.0384615384615472</v>
      </c>
    </row>
    <row r="102" spans="2:4">
      <c r="B102" s="25">
        <v>59</v>
      </c>
      <c r="C102" s="22">
        <v>32.799999999999997</v>
      </c>
      <c r="D102" s="22">
        <v>1.6307692307692285</v>
      </c>
    </row>
    <row r="103" spans="2:4">
      <c r="B103" s="25">
        <v>60</v>
      </c>
      <c r="C103" s="22">
        <v>33.5</v>
      </c>
      <c r="D103" s="22">
        <v>4.1153846153846203</v>
      </c>
    </row>
    <row r="104" spans="2:4">
      <c r="B104" s="25">
        <v>61</v>
      </c>
      <c r="C104" s="22">
        <v>30.9</v>
      </c>
      <c r="D104" s="22">
        <v>-0.96153846153845635</v>
      </c>
    </row>
    <row r="105" spans="2:4">
      <c r="B105" s="25">
        <v>62</v>
      </c>
      <c r="C105" s="22">
        <v>31</v>
      </c>
      <c r="D105" s="22">
        <v>0.64615384615384386</v>
      </c>
    </row>
    <row r="106" spans="2:4">
      <c r="B106" s="25">
        <v>63</v>
      </c>
      <c r="C106" s="22">
        <v>33.200000000000003</v>
      </c>
      <c r="D106" s="22">
        <v>2.9923076923076906</v>
      </c>
    </row>
    <row r="107" spans="2:4">
      <c r="B107" s="25">
        <v>64</v>
      </c>
      <c r="C107" s="22">
        <v>32.4</v>
      </c>
      <c r="D107" s="22">
        <v>1.2923076923077019</v>
      </c>
    </row>
    <row r="108" spans="2:4">
      <c r="B108" s="25">
        <v>65</v>
      </c>
      <c r="C108" s="22">
        <v>32.1</v>
      </c>
      <c r="D108" s="22">
        <v>-0.48461538461538112</v>
      </c>
    </row>
    <row r="109" spans="2:4">
      <c r="B109" s="25">
        <v>66</v>
      </c>
      <c r="C109" s="22">
        <v>34.799999999999997</v>
      </c>
      <c r="D109" s="22">
        <v>2.1692307692307722</v>
      </c>
    </row>
    <row r="110" spans="2:4">
      <c r="B110" s="25">
        <v>67</v>
      </c>
      <c r="C110" s="22">
        <v>31.7</v>
      </c>
      <c r="D110" s="22">
        <v>-5.3846153846148326E-2</v>
      </c>
    </row>
    <row r="111" spans="2:4">
      <c r="B111" s="25">
        <v>68</v>
      </c>
      <c r="C111" s="22">
        <v>32.299999999999997</v>
      </c>
      <c r="D111" s="22">
        <v>-0.73846153846153584</v>
      </c>
    </row>
    <row r="112" spans="2:4">
      <c r="B112" s="25">
        <v>69</v>
      </c>
      <c r="C112" s="22">
        <v>31.6</v>
      </c>
      <c r="D112" s="22">
        <v>0.14615384615384386</v>
      </c>
    </row>
    <row r="113" spans="2:4">
      <c r="B113" s="25">
        <v>70</v>
      </c>
      <c r="C113" s="22">
        <v>31.3</v>
      </c>
      <c r="D113" s="22">
        <v>-0.36153846153845492</v>
      </c>
    </row>
    <row r="114" spans="2:4">
      <c r="B114" s="25">
        <v>71</v>
      </c>
      <c r="C114" s="22">
        <v>31.7</v>
      </c>
      <c r="D114" s="22">
        <v>0.53076923076923066</v>
      </c>
    </row>
    <row r="115" spans="2:4">
      <c r="B115" s="25">
        <v>72</v>
      </c>
      <c r="C115" s="22">
        <v>31.8</v>
      </c>
      <c r="D115" s="22">
        <v>2.415384615384621</v>
      </c>
    </row>
    <row r="116" spans="2:4">
      <c r="B116" s="25">
        <v>73</v>
      </c>
      <c r="C116" s="22">
        <v>29.3</v>
      </c>
      <c r="D116" s="22">
        <v>-2.5615384615384542</v>
      </c>
    </row>
    <row r="117" spans="2:4">
      <c r="B117" s="25">
        <v>74</v>
      </c>
      <c r="C117" s="22">
        <v>27.9</v>
      </c>
      <c r="D117" s="22">
        <v>-2.4538461538461576</v>
      </c>
    </row>
    <row r="118" spans="2:4">
      <c r="B118" s="25">
        <v>75</v>
      </c>
      <c r="C118" s="22">
        <v>28</v>
      </c>
      <c r="D118" s="22">
        <v>-2.2076923076923123</v>
      </c>
    </row>
    <row r="119" spans="2:4">
      <c r="B119" s="25">
        <v>76</v>
      </c>
      <c r="C119" s="22">
        <v>28.7</v>
      </c>
      <c r="D119" s="22">
        <v>-2.4076923076922974</v>
      </c>
    </row>
    <row r="120" spans="2:4">
      <c r="B120" s="25">
        <v>77</v>
      </c>
      <c r="C120" s="22">
        <v>30.5</v>
      </c>
      <c r="D120" s="22">
        <v>-2.0846153846153825</v>
      </c>
    </row>
    <row r="121" spans="2:4">
      <c r="B121" s="25">
        <v>78</v>
      </c>
      <c r="C121" s="22">
        <v>31.3</v>
      </c>
      <c r="D121" s="22">
        <v>-1.3307692307692243</v>
      </c>
    </row>
    <row r="122" spans="2:4">
      <c r="B122" s="25">
        <v>79</v>
      </c>
      <c r="C122" s="22">
        <v>29.2</v>
      </c>
      <c r="D122" s="22">
        <v>-2.5538461538461483</v>
      </c>
    </row>
    <row r="123" spans="2:4">
      <c r="B123" s="25">
        <v>80</v>
      </c>
      <c r="C123" s="22">
        <v>30.9</v>
      </c>
      <c r="D123" s="22">
        <v>-2.1384615384615344</v>
      </c>
    </row>
    <row r="124" spans="2:4">
      <c r="B124" s="25">
        <v>81</v>
      </c>
      <c r="C124" s="22">
        <v>29.1</v>
      </c>
      <c r="D124" s="22">
        <v>-2.3538461538461561</v>
      </c>
    </row>
    <row r="125" spans="2:4">
      <c r="B125" s="25">
        <v>82</v>
      </c>
      <c r="C125" s="22">
        <v>27.6</v>
      </c>
      <c r="D125" s="22">
        <v>-4.0615384615384542</v>
      </c>
    </row>
    <row r="126" spans="2:4">
      <c r="B126" s="25">
        <v>83</v>
      </c>
      <c r="C126" s="22">
        <v>28.3</v>
      </c>
      <c r="D126" s="22">
        <v>-2.8692307692307679</v>
      </c>
    </row>
    <row r="127" spans="2:4">
      <c r="B127" s="25">
        <v>84</v>
      </c>
      <c r="C127" s="22">
        <v>25.8</v>
      </c>
      <c r="D127" s="22">
        <v>-3.584615384615379</v>
      </c>
    </row>
    <row r="128" spans="2:4">
      <c r="B128" s="25">
        <v>85</v>
      </c>
      <c r="C128" s="22">
        <v>25.3</v>
      </c>
      <c r="D128" s="22">
        <v>-6.5615384615384542</v>
      </c>
    </row>
    <row r="129" spans="2:4">
      <c r="B129" s="25">
        <v>86</v>
      </c>
      <c r="C129" s="22">
        <v>25.6</v>
      </c>
      <c r="D129" s="22">
        <v>-4.7538461538461547</v>
      </c>
    </row>
    <row r="130" spans="2:4">
      <c r="B130" s="25">
        <v>87</v>
      </c>
      <c r="C130" s="22">
        <v>24.1</v>
      </c>
      <c r="D130" s="22">
        <v>-6.1076923076923109</v>
      </c>
    </row>
    <row r="131" spans="2:4">
      <c r="B131" s="25">
        <v>88</v>
      </c>
      <c r="C131" s="22">
        <v>25.8</v>
      </c>
      <c r="D131" s="22">
        <v>-5.3076923076922959</v>
      </c>
    </row>
    <row r="132" spans="2:4">
      <c r="B132" s="25">
        <v>89</v>
      </c>
      <c r="C132" s="22">
        <v>26.2</v>
      </c>
      <c r="D132" s="22">
        <v>-6.3846153846153832</v>
      </c>
    </row>
    <row r="133" spans="2:4">
      <c r="B133" s="25">
        <v>90</v>
      </c>
      <c r="C133" s="22">
        <v>26.6</v>
      </c>
      <c r="D133" s="22">
        <v>-6.0307692307692236</v>
      </c>
    </row>
    <row r="134" spans="2:4">
      <c r="B134" s="25">
        <v>91</v>
      </c>
      <c r="C134" s="22">
        <v>26</v>
      </c>
      <c r="D134" s="22">
        <v>-5.7538461538461476</v>
      </c>
    </row>
    <row r="135" spans="2:4">
      <c r="B135" s="25">
        <v>92</v>
      </c>
      <c r="C135" s="22">
        <v>26.6</v>
      </c>
      <c r="D135" s="22">
        <v>-6.4384615384615316</v>
      </c>
    </row>
    <row r="136" spans="2:4">
      <c r="B136" s="25">
        <v>93</v>
      </c>
      <c r="C136" s="22">
        <v>25.3</v>
      </c>
      <c r="D136" s="22">
        <v>-6.1538461538461569</v>
      </c>
    </row>
    <row r="137" spans="2:4">
      <c r="B137" s="25">
        <v>94</v>
      </c>
      <c r="C137" s="22">
        <v>24.9</v>
      </c>
      <c r="D137" s="22">
        <v>-6.7615384615384571</v>
      </c>
    </row>
    <row r="138" spans="2:4">
      <c r="B138" s="25">
        <v>95</v>
      </c>
      <c r="C138" s="22">
        <v>24.8</v>
      </c>
      <c r="D138" s="22">
        <v>-6.3692307692307679</v>
      </c>
    </row>
    <row r="139" spans="2:4">
      <c r="B139" s="25">
        <v>96</v>
      </c>
      <c r="C139" s="22">
        <v>22.9</v>
      </c>
      <c r="D139" s="22">
        <v>-6.4846153846153811</v>
      </c>
    </row>
    <row r="140" spans="2:4">
      <c r="B140" s="25">
        <v>97</v>
      </c>
      <c r="C140" s="22">
        <v>23.2</v>
      </c>
      <c r="D140" s="22">
        <v>-8.6615384615384556</v>
      </c>
    </row>
    <row r="141" spans="2:4">
      <c r="B141" s="25">
        <v>98</v>
      </c>
      <c r="C141" s="22">
        <v>20.8</v>
      </c>
      <c r="D141" s="22">
        <v>-9.5538461538461554</v>
      </c>
    </row>
    <row r="142" spans="2:4">
      <c r="B142" s="25">
        <v>99</v>
      </c>
      <c r="C142" s="22">
        <v>20.7</v>
      </c>
      <c r="D142" s="22">
        <v>-9.507692307692313</v>
      </c>
    </row>
    <row r="143" spans="2:4">
      <c r="B143" s="25">
        <v>100</v>
      </c>
      <c r="C143" s="22">
        <v>22.4</v>
      </c>
      <c r="D143" s="22">
        <v>-8.7076923076922981</v>
      </c>
    </row>
    <row r="144" spans="2:4">
      <c r="B144" s="25">
        <v>101</v>
      </c>
      <c r="C144" s="22">
        <v>23</v>
      </c>
      <c r="D144" s="22">
        <v>-9.5846153846153825</v>
      </c>
    </row>
    <row r="145" spans="2:4">
      <c r="B145" s="25">
        <v>102</v>
      </c>
      <c r="C145" s="22">
        <v>23.4</v>
      </c>
      <c r="D145" s="22">
        <v>-9.2307692307692264</v>
      </c>
    </row>
    <row r="146" spans="2:4">
      <c r="B146" s="25">
        <v>103</v>
      </c>
      <c r="C146" s="22">
        <v>23.1</v>
      </c>
      <c r="D146" s="22">
        <v>-8.6538461538461462</v>
      </c>
    </row>
    <row r="147" spans="2:4">
      <c r="B147" s="25">
        <v>104</v>
      </c>
      <c r="C147" s="22">
        <v>22.6</v>
      </c>
      <c r="D147" s="22">
        <v>-10.438461538461532</v>
      </c>
    </row>
    <row r="148" spans="2:4">
      <c r="B148" s="25">
        <v>105</v>
      </c>
      <c r="C148" s="22">
        <v>21.6</v>
      </c>
      <c r="D148" s="22">
        <v>-9.8538461538461561</v>
      </c>
    </row>
    <row r="149" spans="2:4">
      <c r="B149" s="25">
        <v>106</v>
      </c>
      <c r="C149" s="22">
        <v>21.1</v>
      </c>
      <c r="D149" s="22">
        <v>-10.561538461538454</v>
      </c>
    </row>
    <row r="150" spans="2:4">
      <c r="B150" s="25">
        <v>107</v>
      </c>
      <c r="C150" s="22">
        <v>21.3</v>
      </c>
      <c r="D150" s="22">
        <v>-9.8692307692307679</v>
      </c>
    </row>
    <row r="151" spans="2:4">
      <c r="B151" s="25">
        <v>108</v>
      </c>
      <c r="C151" s="22">
        <v>20.3</v>
      </c>
      <c r="D151" s="22">
        <v>-9.084615384615379</v>
      </c>
    </row>
    <row r="152" spans="2:4">
      <c r="B152" s="25">
        <v>109</v>
      </c>
      <c r="C152" s="22">
        <v>19.7</v>
      </c>
      <c r="D152" s="22">
        <v>-12.161538461538456</v>
      </c>
    </row>
    <row r="153" spans="2:4">
      <c r="B153" s="25">
        <v>110</v>
      </c>
      <c r="C153" s="22">
        <v>18.5</v>
      </c>
      <c r="D153" s="22">
        <v>-11.853846153846156</v>
      </c>
    </row>
    <row r="154" spans="2:4">
      <c r="B154" s="25">
        <v>111</v>
      </c>
      <c r="C154" s="22">
        <v>17.899999999999999</v>
      </c>
      <c r="D154" s="22">
        <v>-12.307692307692314</v>
      </c>
    </row>
    <row r="155" spans="2:4">
      <c r="B155" s="25">
        <v>112</v>
      </c>
      <c r="C155" s="22">
        <v>19.899999999999999</v>
      </c>
      <c r="D155" s="22">
        <v>-11.207692307692298</v>
      </c>
    </row>
    <row r="156" spans="2:4">
      <c r="B156" s="25">
        <v>113</v>
      </c>
      <c r="C156" s="22">
        <v>20.6</v>
      </c>
      <c r="D156" s="22">
        <v>-11.984615384615381</v>
      </c>
    </row>
    <row r="157" spans="2:4">
      <c r="B157" s="25">
        <v>114</v>
      </c>
      <c r="C157" s="22">
        <v>20.9</v>
      </c>
      <c r="D157" s="22">
        <v>-11.730769230769226</v>
      </c>
    </row>
    <row r="158" spans="2:4">
      <c r="B158" s="25">
        <v>115</v>
      </c>
      <c r="C158" s="22">
        <v>20.3</v>
      </c>
      <c r="D158" s="22">
        <v>-11.453846153846147</v>
      </c>
    </row>
    <row r="159" spans="2:4">
      <c r="B159" s="25">
        <v>116</v>
      </c>
      <c r="C159" s="22">
        <v>21.2</v>
      </c>
      <c r="D159" s="22">
        <v>-11.838461538461534</v>
      </c>
    </row>
    <row r="160" spans="2:4">
      <c r="B160" s="25">
        <v>117</v>
      </c>
      <c r="C160" s="22">
        <v>19.8</v>
      </c>
      <c r="D160" s="22">
        <v>-11.653846153846157</v>
      </c>
    </row>
    <row r="161" spans="2:4">
      <c r="B161" s="25">
        <v>118</v>
      </c>
      <c r="C161" s="22">
        <v>19.8</v>
      </c>
      <c r="D161" s="22">
        <v>-11.861538461538455</v>
      </c>
    </row>
    <row r="162" spans="2:4">
      <c r="B162" s="25">
        <v>119</v>
      </c>
      <c r="C162" s="22">
        <v>19.7</v>
      </c>
      <c r="D162" s="22">
        <v>-11.469230769230769</v>
      </c>
    </row>
    <row r="163" spans="2:4">
      <c r="B163" s="25">
        <v>120</v>
      </c>
      <c r="C163" s="22">
        <v>19.399999999999999</v>
      </c>
      <c r="D163" s="22">
        <v>-9.9846153846153811</v>
      </c>
    </row>
    <row r="164" spans="2:4">
      <c r="B164" s="25">
        <v>121</v>
      </c>
      <c r="C164" s="22">
        <v>23.2</v>
      </c>
      <c r="D164" s="22">
        <v>-8.6615384615384556</v>
      </c>
    </row>
    <row r="165" spans="2:4">
      <c r="B165" s="25">
        <v>122</v>
      </c>
      <c r="C165" s="22">
        <v>21.6</v>
      </c>
      <c r="D165" s="22">
        <v>-8.7538461538461547</v>
      </c>
    </row>
    <row r="166" spans="2:4">
      <c r="B166" s="25">
        <v>123</v>
      </c>
      <c r="C166" s="22">
        <v>22.5</v>
      </c>
      <c r="D166" s="22">
        <v>-7.7076923076923123</v>
      </c>
    </row>
    <row r="167" spans="2:4">
      <c r="B167" s="25">
        <v>124</v>
      </c>
      <c r="C167" s="22">
        <v>23.2</v>
      </c>
      <c r="D167" s="22">
        <v>-7.9076923076922974</v>
      </c>
    </row>
    <row r="168" spans="2:4">
      <c r="B168" s="25">
        <v>125</v>
      </c>
      <c r="C168" s="22">
        <v>23.5</v>
      </c>
      <c r="D168" s="22">
        <v>-9.0846153846153825</v>
      </c>
    </row>
    <row r="169" spans="2:4">
      <c r="B169" s="25">
        <v>126</v>
      </c>
      <c r="C169" s="22">
        <v>24.3</v>
      </c>
      <c r="D169" s="22">
        <v>-8.3307692307692243</v>
      </c>
    </row>
    <row r="170" spans="2:4">
      <c r="B170" s="25">
        <v>127</v>
      </c>
      <c r="C170" s="22">
        <v>23.6</v>
      </c>
      <c r="D170" s="22">
        <v>-8.1538461538461462</v>
      </c>
    </row>
    <row r="171" spans="2:4">
      <c r="B171" s="25">
        <v>128</v>
      </c>
      <c r="C171" s="22">
        <v>24.4</v>
      </c>
      <c r="D171" s="22">
        <v>-8.6384615384615344</v>
      </c>
    </row>
    <row r="172" spans="2:4">
      <c r="B172" s="25">
        <v>129</v>
      </c>
      <c r="C172" s="22">
        <v>23.5</v>
      </c>
      <c r="D172" s="22">
        <v>-7.9538461538461576</v>
      </c>
    </row>
    <row r="173" spans="2:4">
      <c r="B173" s="25">
        <v>130</v>
      </c>
      <c r="C173" s="22">
        <v>23.4</v>
      </c>
      <c r="D173" s="22">
        <v>-8.2615384615384571</v>
      </c>
    </row>
    <row r="174" spans="2:4">
      <c r="B174" s="25">
        <v>131</v>
      </c>
      <c r="C174" s="22">
        <v>22.9</v>
      </c>
      <c r="D174" s="22">
        <v>-8.2692307692307701</v>
      </c>
    </row>
    <row r="175" spans="2:4">
      <c r="B175" s="25">
        <v>132</v>
      </c>
      <c r="C175" s="22">
        <v>22.9</v>
      </c>
      <c r="D175" s="22">
        <v>-6.4846153846153811</v>
      </c>
    </row>
    <row r="176" spans="2:4">
      <c r="B176" s="25">
        <v>133</v>
      </c>
      <c r="C176" s="22">
        <v>23.4</v>
      </c>
      <c r="D176" s="22">
        <v>-8.4615384615384563</v>
      </c>
    </row>
    <row r="177" spans="2:4">
      <c r="B177" s="25">
        <v>134</v>
      </c>
      <c r="C177" s="22">
        <v>22.5</v>
      </c>
      <c r="D177" s="22">
        <v>-7.8538461538461561</v>
      </c>
    </row>
    <row r="178" spans="2:4">
      <c r="B178" s="25">
        <v>135</v>
      </c>
      <c r="C178" s="22">
        <v>21.5</v>
      </c>
      <c r="D178" s="22">
        <v>-8.7076923076923123</v>
      </c>
    </row>
    <row r="179" spans="2:4">
      <c r="B179" s="25">
        <v>136</v>
      </c>
      <c r="C179" s="22">
        <v>23</v>
      </c>
      <c r="D179" s="22">
        <v>-8.1076923076922967</v>
      </c>
    </row>
    <row r="180" spans="2:4">
      <c r="B180" s="25">
        <v>137</v>
      </c>
      <c r="C180" s="22">
        <v>24.1</v>
      </c>
      <c r="D180" s="22">
        <v>-8.4846153846153811</v>
      </c>
    </row>
    <row r="181" spans="2:4">
      <c r="B181" s="25">
        <v>138</v>
      </c>
      <c r="C181" s="22">
        <v>24.4</v>
      </c>
      <c r="D181" s="22">
        <v>-8.2307692307692264</v>
      </c>
    </row>
    <row r="182" spans="2:4">
      <c r="B182" s="25">
        <v>139</v>
      </c>
      <c r="C182" s="22">
        <v>23.2</v>
      </c>
      <c r="D182" s="22">
        <v>-8.5538461538461483</v>
      </c>
    </row>
    <row r="183" spans="2:4">
      <c r="B183" s="25">
        <v>140</v>
      </c>
      <c r="C183" s="22">
        <v>25</v>
      </c>
      <c r="D183" s="22">
        <v>-8.038461538461533</v>
      </c>
    </row>
    <row r="184" spans="2:4">
      <c r="B184" s="25">
        <v>141</v>
      </c>
      <c r="C184" s="22">
        <v>23</v>
      </c>
      <c r="D184" s="22">
        <v>-8.4538461538461576</v>
      </c>
    </row>
    <row r="185" spans="2:4">
      <c r="B185" s="25">
        <v>142</v>
      </c>
      <c r="C185" s="22">
        <v>23.9</v>
      </c>
      <c r="D185" s="22">
        <v>-7.7615384615384571</v>
      </c>
    </row>
    <row r="186" spans="2:4">
      <c r="B186" s="25">
        <v>143</v>
      </c>
      <c r="C186" s="22">
        <v>23.6</v>
      </c>
      <c r="D186" s="22">
        <v>-7.5692307692307672</v>
      </c>
    </row>
    <row r="187" spans="2:4">
      <c r="B187" s="25">
        <v>144</v>
      </c>
      <c r="C187" s="22">
        <v>22.4</v>
      </c>
      <c r="D187" s="22">
        <v>-6.9846153846153811</v>
      </c>
    </row>
    <row r="188" spans="2:4">
      <c r="B188" s="25">
        <v>145</v>
      </c>
      <c r="C188" s="22">
        <v>22.5</v>
      </c>
      <c r="D188" s="22">
        <v>-9.3615384615384549</v>
      </c>
    </row>
    <row r="189" spans="2:4">
      <c r="B189" s="25">
        <v>146</v>
      </c>
      <c r="C189" s="22">
        <v>22</v>
      </c>
      <c r="D189" s="22">
        <v>-8.3538461538461561</v>
      </c>
    </row>
    <row r="190" spans="2:4">
      <c r="B190" s="25">
        <v>147</v>
      </c>
      <c r="C190" s="22">
        <v>22.8</v>
      </c>
      <c r="D190" s="22">
        <v>-7.4076923076923116</v>
      </c>
    </row>
    <row r="191" spans="2:4">
      <c r="B191" s="25">
        <v>148</v>
      </c>
      <c r="C191" s="22">
        <v>20.399999999999999</v>
      </c>
      <c r="D191" s="22">
        <v>-10.707692307692298</v>
      </c>
    </row>
    <row r="192" spans="2:4">
      <c r="B192" s="25">
        <v>149</v>
      </c>
      <c r="C192" s="22">
        <v>25.5</v>
      </c>
      <c r="D192" s="22">
        <v>-7.0846153846153825</v>
      </c>
    </row>
    <row r="193" spans="2:4">
      <c r="B193" s="25">
        <v>150</v>
      </c>
      <c r="C193" s="22">
        <v>21.5</v>
      </c>
      <c r="D193" s="22">
        <v>-11.130769230769225</v>
      </c>
    </row>
    <row r="194" spans="2:4">
      <c r="B194" s="25">
        <v>151</v>
      </c>
      <c r="C194" s="22">
        <v>24.7</v>
      </c>
      <c r="D194" s="22">
        <v>-7.0538461538461483</v>
      </c>
    </row>
    <row r="195" spans="2:4">
      <c r="B195" s="25">
        <v>152</v>
      </c>
      <c r="C195" s="22">
        <v>26.2</v>
      </c>
      <c r="D195" s="22">
        <v>-6.8384615384615337</v>
      </c>
    </row>
    <row r="196" spans="2:4">
      <c r="B196" s="25">
        <v>153</v>
      </c>
      <c r="C196" s="22">
        <v>21.2</v>
      </c>
      <c r="D196" s="22">
        <v>-10.253846153846158</v>
      </c>
    </row>
    <row r="197" spans="2:4">
      <c r="B197" s="25">
        <v>154</v>
      </c>
      <c r="C197" s="22">
        <v>23.7</v>
      </c>
      <c r="D197" s="22">
        <v>-7.9615384615384563</v>
      </c>
    </row>
    <row r="198" spans="2:4">
      <c r="B198" s="25">
        <v>155</v>
      </c>
      <c r="C198" s="22">
        <v>23.5</v>
      </c>
      <c r="D198" s="22">
        <v>-7.6692307692307686</v>
      </c>
    </row>
    <row r="199" spans="2:4" ht="16" thickBot="1">
      <c r="B199" s="26">
        <v>156</v>
      </c>
      <c r="C199" s="21">
        <v>22.4</v>
      </c>
      <c r="D199" s="21">
        <v>-6.9846153846153811</v>
      </c>
    </row>
    <row r="218" spans="2:7">
      <c r="G218" t="s">
        <v>219</v>
      </c>
    </row>
    <row r="221" spans="2:7">
      <c r="B221" s="17" t="s">
        <v>268</v>
      </c>
    </row>
    <row r="223" spans="2:7">
      <c r="B223" t="s">
        <v>269</v>
      </c>
    </row>
    <row r="224" spans="2:7" ht="16" thickBot="1"/>
    <row r="225" spans="2:3">
      <c r="B225" s="11" t="s">
        <v>205</v>
      </c>
      <c r="C225" s="12" t="s">
        <v>206</v>
      </c>
    </row>
    <row r="226" spans="2:3">
      <c r="B226" s="13" t="s">
        <v>270</v>
      </c>
      <c r="C226" s="20">
        <v>0.97847472461337903</v>
      </c>
    </row>
    <row r="227" spans="2:3">
      <c r="B227" s="10" t="s">
        <v>271</v>
      </c>
      <c r="C227" s="22">
        <v>0.93707248862945713</v>
      </c>
    </row>
    <row r="228" spans="2:3">
      <c r="B228" s="10" t="s">
        <v>272</v>
      </c>
      <c r="C228" s="22">
        <v>0.93828400589420857</v>
      </c>
    </row>
    <row r="229" spans="2:3">
      <c r="B229" s="10" t="s">
        <v>273</v>
      </c>
      <c r="C229" s="22">
        <v>0.97380411394316235</v>
      </c>
    </row>
    <row r="230" spans="2:3">
      <c r="B230" s="10" t="s">
        <v>274</v>
      </c>
      <c r="C230" s="22">
        <v>1.0275566848532147</v>
      </c>
    </row>
    <row r="231" spans="2:3">
      <c r="B231" s="10" t="s">
        <v>275</v>
      </c>
      <c r="C231" s="22">
        <v>1.0343086104143013</v>
      </c>
    </row>
    <row r="232" spans="2:3">
      <c r="B232" s="10" t="s">
        <v>276</v>
      </c>
      <c r="C232" s="22">
        <v>1.0132461694027695</v>
      </c>
    </row>
    <row r="233" spans="2:3">
      <c r="B233" s="10" t="s">
        <v>277</v>
      </c>
      <c r="C233" s="22">
        <v>1.0550552330203224</v>
      </c>
    </row>
    <row r="234" spans="2:3">
      <c r="B234" s="10" t="s">
        <v>278</v>
      </c>
      <c r="C234" s="22">
        <v>1.0182550004741353</v>
      </c>
    </row>
    <row r="235" spans="2:3">
      <c r="B235" s="10" t="s">
        <v>279</v>
      </c>
      <c r="C235" s="22">
        <v>1.0241404826497529</v>
      </c>
    </row>
    <row r="236" spans="2:3">
      <c r="B236" s="10" t="s">
        <v>280</v>
      </c>
      <c r="C236" s="22">
        <v>1.0135208239044666</v>
      </c>
    </row>
    <row r="237" spans="2:3" ht="16" thickBot="1">
      <c r="B237" s="19" t="s">
        <v>281</v>
      </c>
      <c r="C237" s="21">
        <v>0.96739601113764628</v>
      </c>
    </row>
    <row r="256" spans="7:7">
      <c r="G256" t="s">
        <v>219</v>
      </c>
    </row>
    <row r="259" spans="2:6">
      <c r="B259" s="39" t="s">
        <v>265</v>
      </c>
    </row>
    <row r="260" spans="2:6" ht="16" thickBot="1">
      <c r="B260" s="39"/>
    </row>
    <row r="261" spans="2:6">
      <c r="B261" s="23" t="s">
        <v>266</v>
      </c>
      <c r="C261" s="12" t="s">
        <v>5</v>
      </c>
      <c r="D261" s="12" t="s">
        <v>282</v>
      </c>
      <c r="E261" s="12" t="s">
        <v>283</v>
      </c>
      <c r="F261" s="12" t="s">
        <v>284</v>
      </c>
    </row>
    <row r="262" spans="2:6">
      <c r="B262" s="24">
        <v>1</v>
      </c>
      <c r="C262" s="20">
        <v>53.1</v>
      </c>
      <c r="D262" s="20"/>
      <c r="E262" s="20"/>
      <c r="F262" s="20"/>
    </row>
    <row r="263" spans="2:6">
      <c r="B263" s="25">
        <v>2</v>
      </c>
      <c r="C263" s="22">
        <v>50.8</v>
      </c>
      <c r="D263" s="22"/>
      <c r="E263" s="22"/>
      <c r="F263" s="22"/>
    </row>
    <row r="264" spans="2:6">
      <c r="B264" s="25">
        <v>3</v>
      </c>
      <c r="C264" s="22">
        <v>50.1</v>
      </c>
      <c r="D264" s="22"/>
      <c r="E264" s="22"/>
      <c r="F264" s="22"/>
    </row>
    <row r="265" spans="2:6">
      <c r="B265" s="25">
        <v>4</v>
      </c>
      <c r="C265" s="22">
        <v>51.8</v>
      </c>
      <c r="D265" s="22"/>
      <c r="E265" s="22"/>
      <c r="F265" s="22"/>
    </row>
    <row r="266" spans="2:6">
      <c r="B266" s="25">
        <v>5</v>
      </c>
      <c r="C266" s="22">
        <v>53.9</v>
      </c>
      <c r="D266" s="22"/>
      <c r="E266" s="22"/>
      <c r="F266" s="22"/>
    </row>
    <row r="267" spans="2:6">
      <c r="B267" s="25">
        <v>6</v>
      </c>
      <c r="C267" s="22">
        <v>54.2</v>
      </c>
      <c r="D267" s="22"/>
      <c r="E267" s="22"/>
      <c r="F267" s="22"/>
    </row>
    <row r="268" spans="2:6">
      <c r="B268" s="25">
        <v>7</v>
      </c>
      <c r="C268" s="22">
        <v>50.2</v>
      </c>
      <c r="D268" s="22">
        <v>50.720833333333331</v>
      </c>
      <c r="E268" s="22">
        <v>1.0132461694027695</v>
      </c>
      <c r="F268" s="22">
        <v>0.97679261229624637</v>
      </c>
    </row>
    <row r="269" spans="2:6">
      <c r="B269" s="25">
        <v>8</v>
      </c>
      <c r="C269" s="22">
        <v>53.4</v>
      </c>
      <c r="D269" s="22">
        <v>50.170833333333327</v>
      </c>
      <c r="E269" s="22">
        <v>1.0550552330203224</v>
      </c>
      <c r="F269" s="22">
        <v>1.0088224688651937</v>
      </c>
    </row>
    <row r="270" spans="2:6">
      <c r="B270" s="25">
        <v>9</v>
      </c>
      <c r="C270" s="22">
        <v>50.7</v>
      </c>
      <c r="D270" s="22">
        <v>49.691666666666663</v>
      </c>
      <c r="E270" s="22">
        <v>1.0182550004741353</v>
      </c>
      <c r="F270" s="22">
        <v>1.0020002837744313</v>
      </c>
    </row>
    <row r="271" spans="2:6">
      <c r="B271" s="25">
        <v>10</v>
      </c>
      <c r="C271" s="22">
        <v>48.4</v>
      </c>
      <c r="D271" s="22">
        <v>49.19166666666667</v>
      </c>
      <c r="E271" s="22">
        <v>1.0241404826497529</v>
      </c>
      <c r="F271" s="22">
        <v>0.9607143794186026</v>
      </c>
    </row>
    <row r="272" spans="2:6">
      <c r="B272" s="25">
        <v>11</v>
      </c>
      <c r="C272" s="22">
        <v>50.9</v>
      </c>
      <c r="D272" s="22">
        <v>48.658333333333331</v>
      </c>
      <c r="E272" s="22">
        <v>1.0135208239044666</v>
      </c>
      <c r="F272" s="22">
        <v>1.0321144941298106</v>
      </c>
    </row>
    <row r="273" spans="2:6">
      <c r="B273" s="25">
        <v>12</v>
      </c>
      <c r="C273" s="22">
        <v>44.7</v>
      </c>
      <c r="D273" s="22">
        <v>48.091666666666669</v>
      </c>
      <c r="E273" s="22">
        <v>0.96739601113764628</v>
      </c>
      <c r="F273" s="22">
        <v>0.96080090295070031</v>
      </c>
    </row>
    <row r="274" spans="2:6">
      <c r="B274" s="25">
        <v>13</v>
      </c>
      <c r="C274" s="22">
        <v>46</v>
      </c>
      <c r="D274" s="22">
        <v>47.49583333333333</v>
      </c>
      <c r="E274" s="22">
        <v>0.97847472461337903</v>
      </c>
      <c r="F274" s="22">
        <v>0.98981198485402211</v>
      </c>
    </row>
    <row r="275" spans="2:6">
      <c r="B275" s="25">
        <v>14</v>
      </c>
      <c r="C275" s="22">
        <v>44.7</v>
      </c>
      <c r="D275" s="22">
        <v>47.029166666666669</v>
      </c>
      <c r="E275" s="22">
        <v>0.93707248862945713</v>
      </c>
      <c r="F275" s="22">
        <v>1.0143014635115781</v>
      </c>
    </row>
    <row r="276" spans="2:6">
      <c r="B276" s="25">
        <v>15</v>
      </c>
      <c r="C276" s="22">
        <v>44.7</v>
      </c>
      <c r="D276" s="22">
        <v>46.620833333333337</v>
      </c>
      <c r="E276" s="22">
        <v>0.93828400589420857</v>
      </c>
      <c r="F276" s="22">
        <v>1.0218641842414742</v>
      </c>
    </row>
    <row r="277" spans="2:6">
      <c r="B277" s="25">
        <v>16</v>
      </c>
      <c r="C277" s="22">
        <v>45.2</v>
      </c>
      <c r="D277" s="22">
        <v>46.25833333333334</v>
      </c>
      <c r="E277" s="22">
        <v>0.97380411394316235</v>
      </c>
      <c r="F277" s="22">
        <v>1.0034063580402501</v>
      </c>
    </row>
    <row r="278" spans="2:6">
      <c r="B278" s="25">
        <v>17</v>
      </c>
      <c r="C278" s="22">
        <v>47.7</v>
      </c>
      <c r="D278" s="22">
        <v>45.941666666666663</v>
      </c>
      <c r="E278" s="22">
        <v>1.0275566848532147</v>
      </c>
      <c r="F278" s="22">
        <v>1.0104290963273492</v>
      </c>
    </row>
    <row r="279" spans="2:6">
      <c r="B279" s="25">
        <v>18</v>
      </c>
      <c r="C279" s="22">
        <v>46.8</v>
      </c>
      <c r="D279" s="22">
        <v>45.633333333333326</v>
      </c>
      <c r="E279" s="22">
        <v>1.0343086104143013</v>
      </c>
      <c r="F279" s="22">
        <v>0.99154749010200005</v>
      </c>
    </row>
    <row r="280" spans="2:6">
      <c r="B280" s="25">
        <v>19</v>
      </c>
      <c r="C280" s="22">
        <v>43.3</v>
      </c>
      <c r="D280" s="22">
        <v>45.454166666666666</v>
      </c>
      <c r="E280" s="22">
        <v>1.0132461694027695</v>
      </c>
      <c r="F280" s="22">
        <v>0.94015449272408858</v>
      </c>
    </row>
    <row r="281" spans="2:6">
      <c r="B281" s="25">
        <v>20</v>
      </c>
      <c r="C281" s="22">
        <v>49.1</v>
      </c>
      <c r="D281" s="22">
        <v>45.166666666666671</v>
      </c>
      <c r="E281" s="22">
        <v>1.0550552330203224</v>
      </c>
      <c r="F281" s="22">
        <v>1.0303582569195873</v>
      </c>
    </row>
    <row r="282" spans="2:6">
      <c r="B282" s="25">
        <v>21</v>
      </c>
      <c r="C282" s="22">
        <v>45.2</v>
      </c>
      <c r="D282" s="22">
        <v>44.791666666666664</v>
      </c>
      <c r="E282" s="22">
        <v>1.0182550004741353</v>
      </c>
      <c r="F282" s="22">
        <v>0.99102511512331148</v>
      </c>
    </row>
    <row r="283" spans="2:6">
      <c r="B283" s="25">
        <v>22</v>
      </c>
      <c r="C283" s="22">
        <v>45.2</v>
      </c>
      <c r="D283" s="22">
        <v>44.43333333333333</v>
      </c>
      <c r="E283" s="22">
        <v>1.0241404826497529</v>
      </c>
      <c r="F283" s="22">
        <v>0.99327614796210228</v>
      </c>
    </row>
    <row r="284" spans="2:6">
      <c r="B284" s="25">
        <v>23</v>
      </c>
      <c r="C284" s="22">
        <v>46.5</v>
      </c>
      <c r="D284" s="22">
        <v>44.099999999999994</v>
      </c>
      <c r="E284" s="22">
        <v>1.0135208239044666</v>
      </c>
      <c r="F284" s="22">
        <v>1.0403553077927403</v>
      </c>
    </row>
    <row r="285" spans="2:6">
      <c r="B285" s="25">
        <v>24</v>
      </c>
      <c r="C285" s="22">
        <v>41.7</v>
      </c>
      <c r="D285" s="22">
        <v>43.737499999999997</v>
      </c>
      <c r="E285" s="22">
        <v>0.96739601113764628</v>
      </c>
      <c r="F285" s="22">
        <v>0.98554805945714175</v>
      </c>
    </row>
    <row r="286" spans="2:6">
      <c r="B286" s="25">
        <v>25</v>
      </c>
      <c r="C286" s="22">
        <v>44.7</v>
      </c>
      <c r="D286" s="22">
        <v>43.533333333333331</v>
      </c>
      <c r="E286" s="22">
        <v>0.97847472461337903</v>
      </c>
      <c r="F286" s="22">
        <v>1.0493877476991429</v>
      </c>
    </row>
    <row r="287" spans="2:6">
      <c r="B287" s="25">
        <v>26</v>
      </c>
      <c r="C287" s="22">
        <v>39.1</v>
      </c>
      <c r="D287" s="22">
        <v>43.37916666666667</v>
      </c>
      <c r="E287" s="22">
        <v>0.93707248862945713</v>
      </c>
      <c r="F287" s="22">
        <v>0.96188325630763005</v>
      </c>
    </row>
    <row r="288" spans="2:6">
      <c r="B288" s="25">
        <v>27</v>
      </c>
      <c r="C288" s="22">
        <v>41.3</v>
      </c>
      <c r="D288" s="22">
        <v>42.99583333333333</v>
      </c>
      <c r="E288" s="22">
        <v>0.93828400589420857</v>
      </c>
      <c r="F288" s="22">
        <v>1.0237392810591253</v>
      </c>
    </row>
    <row r="289" spans="2:6">
      <c r="B289" s="25">
        <v>28</v>
      </c>
      <c r="C289" s="22">
        <v>40</v>
      </c>
      <c r="D289" s="22">
        <v>42.670833333333327</v>
      </c>
      <c r="E289" s="22">
        <v>0.97380411394316235</v>
      </c>
      <c r="F289" s="22">
        <v>0.96262527831152922</v>
      </c>
    </row>
    <row r="290" spans="2:6">
      <c r="B290" s="25">
        <v>29</v>
      </c>
      <c r="C290" s="22">
        <v>44.9</v>
      </c>
      <c r="D290" s="22">
        <v>42.333333333333329</v>
      </c>
      <c r="E290" s="22">
        <v>1.0275566848532147</v>
      </c>
      <c r="F290" s="22">
        <v>1.0321862889844877</v>
      </c>
    </row>
    <row r="291" spans="2:6">
      <c r="B291" s="25">
        <v>30</v>
      </c>
      <c r="C291" s="22">
        <v>40.9</v>
      </c>
      <c r="D291" s="22">
        <v>41.966666666666669</v>
      </c>
      <c r="E291" s="22">
        <v>1.0343086104143013</v>
      </c>
      <c r="F291" s="22">
        <v>0.94225552467601104</v>
      </c>
    </row>
    <row r="292" spans="2:6">
      <c r="B292" s="25">
        <v>31</v>
      </c>
      <c r="C292" s="22">
        <v>44.3</v>
      </c>
      <c r="D292" s="22">
        <v>41.591666666666669</v>
      </c>
      <c r="E292" s="22">
        <v>1.0132461694027695</v>
      </c>
      <c r="F292" s="22">
        <v>1.0511929313362891</v>
      </c>
    </row>
    <row r="293" spans="2:6">
      <c r="B293" s="25">
        <v>32</v>
      </c>
      <c r="C293" s="22">
        <v>44.4</v>
      </c>
      <c r="D293" s="22">
        <v>41.258333333333333</v>
      </c>
      <c r="E293" s="22">
        <v>1.0550552330203224</v>
      </c>
      <c r="F293" s="22">
        <v>1.0199904226848155</v>
      </c>
    </row>
    <row r="294" spans="2:6">
      <c r="B294" s="25">
        <v>33</v>
      </c>
      <c r="C294" s="22">
        <v>40.700000000000003</v>
      </c>
      <c r="D294" s="22">
        <v>40.791666666666671</v>
      </c>
      <c r="E294" s="22">
        <v>1.0182550004741353</v>
      </c>
      <c r="F294" s="22">
        <v>0.97986536626304344</v>
      </c>
    </row>
    <row r="295" spans="2:6">
      <c r="B295" s="25">
        <v>34</v>
      </c>
      <c r="C295" s="22">
        <v>41.9</v>
      </c>
      <c r="D295" s="22">
        <v>40.333333333333329</v>
      </c>
      <c r="E295" s="22">
        <v>1.0241404826497529</v>
      </c>
      <c r="F295" s="22">
        <v>1.0143559333957965</v>
      </c>
    </row>
    <row r="296" spans="2:6">
      <c r="B296" s="25">
        <v>35</v>
      </c>
      <c r="C296" s="22">
        <v>41.7</v>
      </c>
      <c r="D296" s="22">
        <v>39.88333333333334</v>
      </c>
      <c r="E296" s="22">
        <v>1.0135208239044666</v>
      </c>
      <c r="F296" s="22">
        <v>1.0316014183150399</v>
      </c>
    </row>
    <row r="297" spans="2:6">
      <c r="B297" s="25">
        <v>36</v>
      </c>
      <c r="C297" s="22">
        <v>37.700000000000003</v>
      </c>
      <c r="D297" s="22">
        <v>39.433333333333337</v>
      </c>
      <c r="E297" s="22">
        <v>0.96739601113764628</v>
      </c>
      <c r="F297" s="22">
        <v>0.98826534845813518</v>
      </c>
    </row>
    <row r="298" spans="2:6">
      <c r="B298" s="25">
        <v>37</v>
      </c>
      <c r="C298" s="22">
        <v>39.700000000000003</v>
      </c>
      <c r="D298" s="22">
        <v>39.037500000000001</v>
      </c>
      <c r="E298" s="22">
        <v>0.97847472461337903</v>
      </c>
      <c r="F298" s="22">
        <v>1.0393430057716582</v>
      </c>
    </row>
    <row r="299" spans="2:6">
      <c r="B299" s="25">
        <v>38</v>
      </c>
      <c r="C299" s="22">
        <v>36.1</v>
      </c>
      <c r="D299" s="22">
        <v>38.508333333333333</v>
      </c>
      <c r="E299" s="22">
        <v>0.93707248862945713</v>
      </c>
      <c r="F299" s="22">
        <v>1.0004129197498146</v>
      </c>
    </row>
    <row r="300" spans="2:6">
      <c r="B300" s="25">
        <v>39</v>
      </c>
      <c r="C300" s="22">
        <v>33.1</v>
      </c>
      <c r="D300" s="22">
        <v>38.304166666666674</v>
      </c>
      <c r="E300" s="22">
        <v>0.93828400589420857</v>
      </c>
      <c r="F300" s="22">
        <v>0.92097461966494043</v>
      </c>
    </row>
    <row r="301" spans="2:6">
      <c r="B301" s="25">
        <v>40</v>
      </c>
      <c r="C301" s="22">
        <v>37.200000000000003</v>
      </c>
      <c r="D301" s="22">
        <v>38.466666666666669</v>
      </c>
      <c r="E301" s="22">
        <v>0.97380411394316235</v>
      </c>
      <c r="F301" s="22">
        <v>0.99308582018253733</v>
      </c>
    </row>
    <row r="302" spans="2:6">
      <c r="B302" s="25">
        <v>41</v>
      </c>
      <c r="C302" s="22">
        <v>36.9</v>
      </c>
      <c r="D302" s="22">
        <v>38.408333333333331</v>
      </c>
      <c r="E302" s="22">
        <v>1.0275566848532147</v>
      </c>
      <c r="F302" s="22">
        <v>0.93496448675135069</v>
      </c>
    </row>
    <row r="303" spans="2:6">
      <c r="B303" s="25">
        <v>42</v>
      </c>
      <c r="C303" s="22">
        <v>38.1</v>
      </c>
      <c r="D303" s="22">
        <v>38.183333333333337</v>
      </c>
      <c r="E303" s="22">
        <v>1.0343086104143013</v>
      </c>
      <c r="F303" s="22">
        <v>0.96471936603433717</v>
      </c>
    </row>
    <row r="304" spans="2:6">
      <c r="B304" s="25">
        <v>43</v>
      </c>
      <c r="C304" s="22">
        <v>37.6</v>
      </c>
      <c r="D304" s="22">
        <v>37.862499999999997</v>
      </c>
      <c r="E304" s="22">
        <v>1.0132461694027695</v>
      </c>
      <c r="F304" s="22">
        <v>0.98008465149533042</v>
      </c>
    </row>
    <row r="305" spans="2:6">
      <c r="B305" s="25">
        <v>44</v>
      </c>
      <c r="C305" s="22">
        <v>38.4</v>
      </c>
      <c r="D305" s="22">
        <v>37.504166666666663</v>
      </c>
      <c r="E305" s="22">
        <v>1.0550552330203224</v>
      </c>
      <c r="F305" s="22">
        <v>0.97045747257392256</v>
      </c>
    </row>
    <row r="306" spans="2:6">
      <c r="B306" s="25">
        <v>45</v>
      </c>
      <c r="C306" s="22">
        <v>41.8</v>
      </c>
      <c r="D306" s="22">
        <v>37.404166666666676</v>
      </c>
      <c r="E306" s="22">
        <v>1.0182550004741353</v>
      </c>
      <c r="F306" s="22">
        <v>1.0974879152343595</v>
      </c>
    </row>
    <row r="307" spans="2:6">
      <c r="B307" s="25">
        <v>46</v>
      </c>
      <c r="C307" s="22">
        <v>44.7</v>
      </c>
      <c r="D307" s="22">
        <v>37.274999999999999</v>
      </c>
      <c r="E307" s="22">
        <v>1.0241404826497529</v>
      </c>
      <c r="F307" s="22">
        <v>1.1709283944361677</v>
      </c>
    </row>
    <row r="308" spans="2:6">
      <c r="B308" s="25">
        <v>47</v>
      </c>
      <c r="C308" s="22">
        <v>37.5</v>
      </c>
      <c r="D308" s="22">
        <v>37.066666666666663</v>
      </c>
      <c r="E308" s="22">
        <v>1.0135208239044666</v>
      </c>
      <c r="F308" s="22">
        <v>0.99819423895465553</v>
      </c>
    </row>
    <row r="309" spans="2:6">
      <c r="B309" s="25">
        <v>48</v>
      </c>
      <c r="C309" s="22">
        <v>36.5</v>
      </c>
      <c r="D309" s="22">
        <v>36.92916666666666</v>
      </c>
      <c r="E309" s="22">
        <v>0.96739601113764628</v>
      </c>
      <c r="F309" s="22">
        <v>1.0216898162150114</v>
      </c>
    </row>
    <row r="310" spans="2:6">
      <c r="B310" s="25">
        <v>49</v>
      </c>
      <c r="C310" s="22">
        <v>33.200000000000003</v>
      </c>
      <c r="D310" s="22">
        <v>36.800000000000004</v>
      </c>
      <c r="E310" s="22">
        <v>0.97847472461337903</v>
      </c>
      <c r="F310" s="22">
        <v>0.92202066169869723</v>
      </c>
    </row>
    <row r="311" spans="2:6">
      <c r="B311" s="25">
        <v>50</v>
      </c>
      <c r="C311" s="22">
        <v>34</v>
      </c>
      <c r="D311" s="22">
        <v>36.575000000000003</v>
      </c>
      <c r="E311" s="22">
        <v>0.93707248862945713</v>
      </c>
      <c r="F311" s="22">
        <v>0.99202220783368855</v>
      </c>
    </row>
    <row r="312" spans="2:6">
      <c r="B312" s="25">
        <v>51</v>
      </c>
      <c r="C312" s="22">
        <v>32.799999999999997</v>
      </c>
      <c r="D312" s="22">
        <v>36.166666666666664</v>
      </c>
      <c r="E312" s="22">
        <v>0.93828400589420857</v>
      </c>
      <c r="F312" s="22">
        <v>0.96656495975544499</v>
      </c>
    </row>
    <row r="313" spans="2:6">
      <c r="B313" s="25">
        <v>52</v>
      </c>
      <c r="C313" s="22">
        <v>34.4</v>
      </c>
      <c r="D313" s="22">
        <v>35.524999999999999</v>
      </c>
      <c r="E313" s="22">
        <v>0.97380411394316235</v>
      </c>
      <c r="F313" s="22">
        <v>0.9943808478374383</v>
      </c>
    </row>
    <row r="314" spans="2:6">
      <c r="B314" s="25">
        <v>53</v>
      </c>
      <c r="C314" s="22">
        <v>34.700000000000003</v>
      </c>
      <c r="D314" s="22">
        <v>34.954166666666666</v>
      </c>
      <c r="E314" s="22">
        <v>1.0275566848532147</v>
      </c>
      <c r="F314" s="22">
        <v>0.96610589738248065</v>
      </c>
    </row>
    <row r="315" spans="2:6">
      <c r="B315" s="25">
        <v>54</v>
      </c>
      <c r="C315" s="22">
        <v>37</v>
      </c>
      <c r="D315" s="22">
        <v>34.633333333333333</v>
      </c>
      <c r="E315" s="22">
        <v>1.0343086104143013</v>
      </c>
      <c r="F315" s="22">
        <v>1.0328976542232546</v>
      </c>
    </row>
    <row r="316" spans="2:6">
      <c r="B316" s="25">
        <v>55</v>
      </c>
      <c r="C316" s="22">
        <v>35.6</v>
      </c>
      <c r="D316" s="22">
        <v>34.412500000000001</v>
      </c>
      <c r="E316" s="22">
        <v>1.0132461694027695</v>
      </c>
      <c r="F316" s="22">
        <v>1.0209836867895088</v>
      </c>
    </row>
    <row r="317" spans="2:6">
      <c r="B317" s="25">
        <v>56</v>
      </c>
      <c r="C317" s="22">
        <v>35</v>
      </c>
      <c r="D317" s="22">
        <v>34.191666666666663</v>
      </c>
      <c r="E317" s="22">
        <v>1.0550552330203224</v>
      </c>
      <c r="F317" s="22">
        <v>0.9702252603288426</v>
      </c>
    </row>
    <row r="318" spans="2:6">
      <c r="B318" s="25">
        <v>57</v>
      </c>
      <c r="C318" s="22">
        <v>35.4</v>
      </c>
      <c r="D318" s="22">
        <v>34.083333333333336</v>
      </c>
      <c r="E318" s="22">
        <v>1.0182550004741353</v>
      </c>
      <c r="F318" s="22">
        <v>1.0200105144215768</v>
      </c>
    </row>
    <row r="319" spans="2:6">
      <c r="B319" s="25">
        <v>58</v>
      </c>
      <c r="C319" s="22">
        <v>35.700000000000003</v>
      </c>
      <c r="D319" s="22">
        <v>34.016666666666673</v>
      </c>
      <c r="E319" s="22">
        <v>1.0241404826497529</v>
      </c>
      <c r="F319" s="22">
        <v>1.0247476435903644</v>
      </c>
    </row>
    <row r="320" spans="2:6">
      <c r="B320" s="25">
        <v>59</v>
      </c>
      <c r="C320" s="22">
        <v>32.799999999999997</v>
      </c>
      <c r="D320" s="22">
        <v>33.824999999999996</v>
      </c>
      <c r="E320" s="22">
        <v>1.0135208239044666</v>
      </c>
      <c r="F320" s="22">
        <v>0.95676077572962859</v>
      </c>
    </row>
    <row r="321" spans="2:6">
      <c r="B321" s="25">
        <v>60</v>
      </c>
      <c r="C321" s="22">
        <v>33.5</v>
      </c>
      <c r="D321" s="22">
        <v>33.625</v>
      </c>
      <c r="E321" s="22">
        <v>0.96739601113764628</v>
      </c>
      <c r="F321" s="22">
        <v>1.0298600742724011</v>
      </c>
    </row>
    <row r="322" spans="2:6">
      <c r="B322" s="25">
        <v>61</v>
      </c>
      <c r="C322" s="22">
        <v>30.9</v>
      </c>
      <c r="D322" s="22">
        <v>33.37083333333333</v>
      </c>
      <c r="E322" s="22">
        <v>0.97847472461337903</v>
      </c>
      <c r="F322" s="22">
        <v>0.94632827361160499</v>
      </c>
    </row>
    <row r="323" spans="2:6">
      <c r="B323" s="25">
        <v>62</v>
      </c>
      <c r="C323" s="22">
        <v>31</v>
      </c>
      <c r="D323" s="22">
        <v>33.095833333333324</v>
      </c>
      <c r="E323" s="22">
        <v>0.93707248862945713</v>
      </c>
      <c r="F323" s="22">
        <v>0.99957453899951787</v>
      </c>
    </row>
    <row r="324" spans="2:6">
      <c r="B324" s="25">
        <v>63</v>
      </c>
      <c r="C324" s="22">
        <v>33.200000000000003</v>
      </c>
      <c r="D324" s="22">
        <v>32.824999999999996</v>
      </c>
      <c r="E324" s="22">
        <v>0.93828400589420857</v>
      </c>
      <c r="F324" s="22">
        <v>1.0779510393349385</v>
      </c>
    </row>
    <row r="325" spans="2:6">
      <c r="B325" s="25">
        <v>64</v>
      </c>
      <c r="C325" s="22">
        <v>32.4</v>
      </c>
      <c r="D325" s="22">
        <v>32.483333333333327</v>
      </c>
      <c r="E325" s="22">
        <v>0.97380411394316235</v>
      </c>
      <c r="F325" s="22">
        <v>1.024266140957232</v>
      </c>
    </row>
    <row r="326" spans="2:6">
      <c r="B326" s="25">
        <v>65</v>
      </c>
      <c r="C326" s="22">
        <v>32.1</v>
      </c>
      <c r="D326" s="22">
        <v>32.254166666666663</v>
      </c>
      <c r="E326" s="22">
        <v>1.0275566848532147</v>
      </c>
      <c r="F326" s="22">
        <v>0.96853075888759654</v>
      </c>
    </row>
    <row r="327" spans="2:6">
      <c r="B327" s="25">
        <v>66</v>
      </c>
      <c r="C327" s="22">
        <v>34.799999999999997</v>
      </c>
      <c r="D327" s="22">
        <v>32.137499999999996</v>
      </c>
      <c r="E327" s="22">
        <v>1.0343086104143013</v>
      </c>
      <c r="F327" s="22">
        <v>1.0469284798436074</v>
      </c>
    </row>
    <row r="328" spans="2:6">
      <c r="B328" s="25">
        <v>67</v>
      </c>
      <c r="C328" s="22">
        <v>31.7</v>
      </c>
      <c r="D328" s="22">
        <v>31.999999999999993</v>
      </c>
      <c r="E328" s="22">
        <v>1.0132461694027695</v>
      </c>
      <c r="F328" s="22">
        <v>0.9776745571946226</v>
      </c>
    </row>
    <row r="329" spans="2:6">
      <c r="B329" s="25">
        <v>68</v>
      </c>
      <c r="C329" s="22">
        <v>32.299999999999997</v>
      </c>
      <c r="D329" s="22">
        <v>31.804166666666664</v>
      </c>
      <c r="E329" s="22">
        <v>1.0550552330203224</v>
      </c>
      <c r="F329" s="22">
        <v>0.9625943445046844</v>
      </c>
    </row>
    <row r="330" spans="2:6">
      <c r="B330" s="25">
        <v>69</v>
      </c>
      <c r="C330" s="22">
        <v>31.6</v>
      </c>
      <c r="D330" s="22">
        <v>31.458333333333329</v>
      </c>
      <c r="E330" s="22">
        <v>1.0182550004741353</v>
      </c>
      <c r="F330" s="22">
        <v>0.98649484735213311</v>
      </c>
    </row>
    <row r="331" spans="2:6">
      <c r="B331" s="25">
        <v>70</v>
      </c>
      <c r="C331" s="22">
        <v>31.3</v>
      </c>
      <c r="D331" s="22">
        <v>31.087499999999995</v>
      </c>
      <c r="E331" s="22">
        <v>1.0241404826497529</v>
      </c>
      <c r="F331" s="22">
        <v>0.983102964769201</v>
      </c>
    </row>
    <row r="332" spans="2:6">
      <c r="B332" s="25">
        <v>71</v>
      </c>
      <c r="C332" s="22">
        <v>31.7</v>
      </c>
      <c r="D332" s="22">
        <v>30.86666666666666</v>
      </c>
      <c r="E332" s="22">
        <v>1.0135208239044666</v>
      </c>
      <c r="F332" s="22">
        <v>1.0132972268062546</v>
      </c>
    </row>
    <row r="333" spans="2:6">
      <c r="B333" s="25">
        <v>72</v>
      </c>
      <c r="C333" s="22">
        <v>31.8</v>
      </c>
      <c r="D333" s="22">
        <v>30.654166666666661</v>
      </c>
      <c r="E333" s="22">
        <v>0.96739601113764628</v>
      </c>
      <c r="F333" s="22">
        <v>1.0723419929855786</v>
      </c>
    </row>
    <row r="334" spans="2:6">
      <c r="B334" s="25">
        <v>73</v>
      </c>
      <c r="C334" s="22">
        <v>29.3</v>
      </c>
      <c r="D334" s="22">
        <v>30.404166666666661</v>
      </c>
      <c r="E334" s="22">
        <v>0.97847472461337903</v>
      </c>
      <c r="F334" s="22">
        <v>0.98488359626583966</v>
      </c>
    </row>
    <row r="335" spans="2:6">
      <c r="B335" s="25">
        <v>74</v>
      </c>
      <c r="C335" s="22">
        <v>27.9</v>
      </c>
      <c r="D335" s="22">
        <v>30.241666666666671</v>
      </c>
      <c r="E335" s="22">
        <v>0.93707248862945713</v>
      </c>
      <c r="F335" s="22">
        <v>0.9845217011498828</v>
      </c>
    </row>
    <row r="336" spans="2:6">
      <c r="B336" s="25">
        <v>75</v>
      </c>
      <c r="C336" s="22">
        <v>28</v>
      </c>
      <c r="D336" s="22">
        <v>30.079166666666666</v>
      </c>
      <c r="E336" s="22">
        <v>0.93828400589420857</v>
      </c>
      <c r="F336" s="22">
        <v>0.99210563848686628</v>
      </c>
    </row>
    <row r="337" spans="2:6">
      <c r="B337" s="25">
        <v>76</v>
      </c>
      <c r="C337" s="22">
        <v>28.7</v>
      </c>
      <c r="D337" s="22">
        <v>29.820833333333333</v>
      </c>
      <c r="E337" s="22">
        <v>0.97380411394316235</v>
      </c>
      <c r="F337" s="22">
        <v>0.98830391622853919</v>
      </c>
    </row>
    <row r="338" spans="2:6">
      <c r="B338" s="25">
        <v>77</v>
      </c>
      <c r="C338" s="22">
        <v>30.5</v>
      </c>
      <c r="D338" s="22">
        <v>29.525000000000002</v>
      </c>
      <c r="E338" s="22">
        <v>1.0275566848532147</v>
      </c>
      <c r="F338" s="22">
        <v>1.0053195869471063</v>
      </c>
    </row>
    <row r="339" spans="2:6">
      <c r="B339" s="25">
        <v>78</v>
      </c>
      <c r="C339" s="22">
        <v>31.3</v>
      </c>
      <c r="D339" s="22">
        <v>29.133333333333333</v>
      </c>
      <c r="E339" s="22">
        <v>1.0343086104143013</v>
      </c>
      <c r="F339" s="22">
        <v>1.0387332161450369</v>
      </c>
    </row>
    <row r="340" spans="2:6">
      <c r="B340" s="25">
        <v>79</v>
      </c>
      <c r="C340" s="22">
        <v>29.2</v>
      </c>
      <c r="D340" s="22">
        <v>28.716666666666665</v>
      </c>
      <c r="E340" s="22">
        <v>1.0132461694027695</v>
      </c>
      <c r="F340" s="22">
        <v>1.0035380732117394</v>
      </c>
    </row>
    <row r="341" spans="2:6">
      <c r="B341" s="25">
        <v>80</v>
      </c>
      <c r="C341" s="22">
        <v>30.9</v>
      </c>
      <c r="D341" s="22">
        <v>28.454166666666666</v>
      </c>
      <c r="E341" s="22">
        <v>1.0550552330203224</v>
      </c>
      <c r="F341" s="22">
        <v>1.0292891919979377</v>
      </c>
    </row>
    <row r="342" spans="2:6">
      <c r="B342" s="25">
        <v>81</v>
      </c>
      <c r="C342" s="22">
        <v>29.1</v>
      </c>
      <c r="D342" s="22">
        <v>28.195833333333333</v>
      </c>
      <c r="E342" s="22">
        <v>1.0182550004741353</v>
      </c>
      <c r="F342" s="22">
        <v>1.0135647606567069</v>
      </c>
    </row>
    <row r="343" spans="2:6">
      <c r="B343" s="25">
        <v>82</v>
      </c>
      <c r="C343" s="22">
        <v>27.6</v>
      </c>
      <c r="D343" s="22">
        <v>27.912499999999998</v>
      </c>
      <c r="E343" s="22">
        <v>1.0241404826497529</v>
      </c>
      <c r="F343" s="22">
        <v>0.96549674180518574</v>
      </c>
    </row>
    <row r="344" spans="2:6">
      <c r="B344" s="25">
        <v>83</v>
      </c>
      <c r="C344" s="22">
        <v>28.3</v>
      </c>
      <c r="D344" s="22">
        <v>27.612499999999997</v>
      </c>
      <c r="E344" s="22">
        <v>1.0135208239044666</v>
      </c>
      <c r="F344" s="22">
        <v>1.0112255414824582</v>
      </c>
    </row>
    <row r="345" spans="2:6">
      <c r="B345" s="25">
        <v>84</v>
      </c>
      <c r="C345" s="22">
        <v>25.8</v>
      </c>
      <c r="D345" s="22">
        <v>27.237500000000001</v>
      </c>
      <c r="E345" s="22">
        <v>0.96739601113764628</v>
      </c>
      <c r="F345" s="22">
        <v>0.9791476149493904</v>
      </c>
    </row>
    <row r="346" spans="2:6">
      <c r="B346" s="25">
        <v>85</v>
      </c>
      <c r="C346" s="22">
        <v>25.3</v>
      </c>
      <c r="D346" s="22">
        <v>26.908333333333328</v>
      </c>
      <c r="E346" s="22">
        <v>0.97847472461337903</v>
      </c>
      <c r="F346" s="22">
        <v>0.96091309204754571</v>
      </c>
    </row>
    <row r="347" spans="2:6">
      <c r="B347" s="25">
        <v>86</v>
      </c>
      <c r="C347" s="22">
        <v>25.6</v>
      </c>
      <c r="D347" s="22">
        <v>26.595833333333335</v>
      </c>
      <c r="E347" s="22">
        <v>0.93707248862945713</v>
      </c>
      <c r="F347" s="22">
        <v>1.0271956579209549</v>
      </c>
    </row>
    <row r="348" spans="2:6">
      <c r="B348" s="25">
        <v>87</v>
      </c>
      <c r="C348" s="22">
        <v>24.1</v>
      </c>
      <c r="D348" s="22">
        <v>26.258333333333333</v>
      </c>
      <c r="E348" s="22">
        <v>0.93828400589420857</v>
      </c>
      <c r="F348" s="22">
        <v>0.97817277713483342</v>
      </c>
    </row>
    <row r="349" spans="2:6">
      <c r="B349" s="25">
        <v>88</v>
      </c>
      <c r="C349" s="22">
        <v>25.8</v>
      </c>
      <c r="D349" s="22">
        <v>25.987500000000004</v>
      </c>
      <c r="E349" s="22">
        <v>0.97380411394316235</v>
      </c>
      <c r="F349" s="22">
        <v>1.0194914753080804</v>
      </c>
    </row>
    <row r="350" spans="2:6">
      <c r="B350" s="25">
        <v>89</v>
      </c>
      <c r="C350" s="22">
        <v>26.2</v>
      </c>
      <c r="D350" s="22">
        <v>25.729166666666671</v>
      </c>
      <c r="E350" s="22">
        <v>1.0275566848532147</v>
      </c>
      <c r="F350" s="22">
        <v>0.99099116394455944</v>
      </c>
    </row>
    <row r="351" spans="2:6">
      <c r="B351" s="25">
        <v>90</v>
      </c>
      <c r="C351" s="22">
        <v>26.6</v>
      </c>
      <c r="D351" s="22">
        <v>25.462499999999999</v>
      </c>
      <c r="E351" s="22">
        <v>1.0343086104143013</v>
      </c>
      <c r="F351" s="22">
        <v>1.0100211184555907</v>
      </c>
    </row>
    <row r="352" spans="2:6">
      <c r="B352" s="25">
        <v>91</v>
      </c>
      <c r="C352" s="22">
        <v>26</v>
      </c>
      <c r="D352" s="22">
        <v>25.254166666666666</v>
      </c>
      <c r="E352" s="22">
        <v>1.0132461694027695</v>
      </c>
      <c r="F352" s="22">
        <v>1.0160739921243498</v>
      </c>
    </row>
    <row r="353" spans="2:6">
      <c r="B353" s="25">
        <v>92</v>
      </c>
      <c r="C353" s="22">
        <v>26.6</v>
      </c>
      <c r="D353" s="22">
        <v>24.966666666666665</v>
      </c>
      <c r="E353" s="22">
        <v>1.0550552330203224</v>
      </c>
      <c r="F353" s="22">
        <v>1.0098244408472039</v>
      </c>
    </row>
    <row r="354" spans="2:6">
      <c r="B354" s="25">
        <v>93</v>
      </c>
      <c r="C354" s="22">
        <v>25.3</v>
      </c>
      <c r="D354" s="22">
        <v>24.625</v>
      </c>
      <c r="E354" s="22">
        <v>1.0182550004741353</v>
      </c>
      <c r="F354" s="22">
        <v>1.0089920177502607</v>
      </c>
    </row>
    <row r="355" spans="2:6">
      <c r="B355" s="25">
        <v>94</v>
      </c>
      <c r="C355" s="22">
        <v>24.9</v>
      </c>
      <c r="D355" s="22">
        <v>24.341666666666669</v>
      </c>
      <c r="E355" s="22">
        <v>1.0241404826497529</v>
      </c>
      <c r="F355" s="22">
        <v>0.99882522715622601</v>
      </c>
    </row>
    <row r="356" spans="2:6">
      <c r="B356" s="25">
        <v>95</v>
      </c>
      <c r="C356" s="22">
        <v>24.8</v>
      </c>
      <c r="D356" s="22">
        <v>24.066666666666666</v>
      </c>
      <c r="E356" s="22">
        <v>1.0135208239044666</v>
      </c>
      <c r="F356" s="22">
        <v>1.016723968391354</v>
      </c>
    </row>
    <row r="357" spans="2:6">
      <c r="B357" s="25">
        <v>96</v>
      </c>
      <c r="C357" s="22">
        <v>22.9</v>
      </c>
      <c r="D357" s="22">
        <v>23.800000000000004</v>
      </c>
      <c r="E357" s="22">
        <v>0.96739601113764628</v>
      </c>
      <c r="F357" s="22">
        <v>0.99461323271124669</v>
      </c>
    </row>
    <row r="358" spans="2:6">
      <c r="B358" s="25">
        <v>97</v>
      </c>
      <c r="C358" s="22">
        <v>23.2</v>
      </c>
      <c r="D358" s="22">
        <v>23.545833333333334</v>
      </c>
      <c r="E358" s="22">
        <v>0.97847472461337903</v>
      </c>
      <c r="F358" s="22">
        <v>1.0069880287295943</v>
      </c>
    </row>
    <row r="359" spans="2:6">
      <c r="B359" s="25">
        <v>98</v>
      </c>
      <c r="C359" s="22">
        <v>20.8</v>
      </c>
      <c r="D359" s="22">
        <v>23.258333333333333</v>
      </c>
      <c r="E359" s="22">
        <v>0.93707248862945713</v>
      </c>
      <c r="F359" s="22">
        <v>0.95435852403510069</v>
      </c>
    </row>
    <row r="360" spans="2:6">
      <c r="B360" s="25">
        <v>99</v>
      </c>
      <c r="C360" s="22">
        <v>20.7</v>
      </c>
      <c r="D360" s="22">
        <v>22.937499999999996</v>
      </c>
      <c r="E360" s="22">
        <v>0.93828400589420857</v>
      </c>
      <c r="F360" s="22">
        <v>0.96181146689827057</v>
      </c>
    </row>
    <row r="361" spans="2:6">
      <c r="B361" s="25">
        <v>100</v>
      </c>
      <c r="C361" s="22">
        <v>22.4</v>
      </c>
      <c r="D361" s="22">
        <v>22.625</v>
      </c>
      <c r="E361" s="22">
        <v>0.97380411394316235</v>
      </c>
      <c r="F361" s="22">
        <v>1.0166882994669404</v>
      </c>
    </row>
    <row r="362" spans="2:6">
      <c r="B362" s="25">
        <v>101</v>
      </c>
      <c r="C362" s="22">
        <v>23</v>
      </c>
      <c r="D362" s="22">
        <v>22.320833333333333</v>
      </c>
      <c r="E362" s="22">
        <v>1.0275566848532147</v>
      </c>
      <c r="F362" s="22">
        <v>1.0027938052033374</v>
      </c>
    </row>
    <row r="363" spans="2:6">
      <c r="B363" s="25">
        <v>102</v>
      </c>
      <c r="C363" s="22">
        <v>23.4</v>
      </c>
      <c r="D363" s="22">
        <v>22.066666666666666</v>
      </c>
      <c r="E363" s="22">
        <v>1.0343086104143013</v>
      </c>
      <c r="F363" s="22">
        <v>1.0252481223184575</v>
      </c>
    </row>
    <row r="364" spans="2:6">
      <c r="B364" s="25">
        <v>103</v>
      </c>
      <c r="C364" s="22">
        <v>23.1</v>
      </c>
      <c r="D364" s="22">
        <v>21.812499999999996</v>
      </c>
      <c r="E364" s="22">
        <v>1.0132461694027695</v>
      </c>
      <c r="F364" s="22">
        <v>1.0451811415086132</v>
      </c>
    </row>
    <row r="365" spans="2:6">
      <c r="B365" s="25">
        <v>104</v>
      </c>
      <c r="C365" s="22">
        <v>22.6</v>
      </c>
      <c r="D365" s="22">
        <v>21.570833333333329</v>
      </c>
      <c r="E365" s="22">
        <v>1.0550552330203224</v>
      </c>
      <c r="F365" s="22">
        <v>0.99303903413141492</v>
      </c>
    </row>
    <row r="366" spans="2:6">
      <c r="B366" s="25">
        <v>105</v>
      </c>
      <c r="C366" s="22">
        <v>21.6</v>
      </c>
      <c r="D366" s="22">
        <v>21.358333333333334</v>
      </c>
      <c r="E366" s="22">
        <v>1.0182550004741353</v>
      </c>
      <c r="F366" s="22">
        <v>0.99318428578422391</v>
      </c>
    </row>
    <row r="367" spans="2:6">
      <c r="B367" s="25">
        <v>106</v>
      </c>
      <c r="C367" s="22">
        <v>21.1</v>
      </c>
      <c r="D367" s="22">
        <v>21.137499999999999</v>
      </c>
      <c r="E367" s="22">
        <v>1.0241404826497529</v>
      </c>
      <c r="F367" s="22">
        <v>0.97469626359318462</v>
      </c>
    </row>
    <row r="368" spans="2:6">
      <c r="B368" s="25">
        <v>107</v>
      </c>
      <c r="C368" s="22">
        <v>21.3</v>
      </c>
      <c r="D368" s="22">
        <v>20.933333333333337</v>
      </c>
      <c r="E368" s="22">
        <v>1.0135208239044666</v>
      </c>
      <c r="F368" s="22">
        <v>1.0039418032350056</v>
      </c>
    </row>
    <row r="369" spans="2:6">
      <c r="B369" s="25">
        <v>108</v>
      </c>
      <c r="C369" s="22">
        <v>20.3</v>
      </c>
      <c r="D369" s="22">
        <v>20.729166666666668</v>
      </c>
      <c r="E369" s="22">
        <v>0.96739601113764628</v>
      </c>
      <c r="F369" s="22">
        <v>1.0123015509030466</v>
      </c>
    </row>
    <row r="370" spans="2:6">
      <c r="B370" s="25">
        <v>109</v>
      </c>
      <c r="C370" s="22">
        <v>19.7</v>
      </c>
      <c r="D370" s="22">
        <v>20.508333333333336</v>
      </c>
      <c r="E370" s="22">
        <v>0.97847472461337903</v>
      </c>
      <c r="F370" s="22">
        <v>0.98171685362266403</v>
      </c>
    </row>
    <row r="371" spans="2:6">
      <c r="B371" s="25">
        <v>110</v>
      </c>
      <c r="C371" s="22">
        <v>18.5</v>
      </c>
      <c r="D371" s="22">
        <v>20.333333333333332</v>
      </c>
      <c r="E371" s="22">
        <v>0.93707248862945713</v>
      </c>
      <c r="F371" s="22">
        <v>0.97093456121465904</v>
      </c>
    </row>
    <row r="372" spans="2:6">
      <c r="B372" s="25">
        <v>111</v>
      </c>
      <c r="C372" s="22">
        <v>17.899999999999999</v>
      </c>
      <c r="D372" s="22">
        <v>20.2</v>
      </c>
      <c r="E372" s="22">
        <v>0.93828400589420857</v>
      </c>
      <c r="F372" s="22">
        <v>0.94442472459804261</v>
      </c>
    </row>
    <row r="373" spans="2:6">
      <c r="B373" s="25">
        <v>112</v>
      </c>
      <c r="C373" s="22">
        <v>19.899999999999999</v>
      </c>
      <c r="D373" s="22">
        <v>20.070833333333333</v>
      </c>
      <c r="E373" s="22">
        <v>0.97380411394316235</v>
      </c>
      <c r="F373" s="22">
        <v>1.0181600838501585</v>
      </c>
    </row>
    <row r="374" spans="2:6">
      <c r="B374" s="25">
        <v>113</v>
      </c>
      <c r="C374" s="22">
        <v>20.6</v>
      </c>
      <c r="D374" s="22">
        <v>19.949999999999996</v>
      </c>
      <c r="E374" s="22">
        <v>1.0275566848532147</v>
      </c>
      <c r="F374" s="22">
        <v>1.0048900161469811</v>
      </c>
    </row>
    <row r="375" spans="2:6">
      <c r="B375" s="25">
        <v>114</v>
      </c>
      <c r="C375" s="22">
        <v>20.9</v>
      </c>
      <c r="D375" s="22">
        <v>19.845833333333331</v>
      </c>
      <c r="E375" s="22">
        <v>1.0343086104143013</v>
      </c>
      <c r="F375" s="22">
        <v>1.0181852614454163</v>
      </c>
    </row>
    <row r="376" spans="2:6">
      <c r="B376" s="25">
        <v>115</v>
      </c>
      <c r="C376" s="22">
        <v>20.3</v>
      </c>
      <c r="D376" s="22">
        <v>19.954166666666666</v>
      </c>
      <c r="E376" s="22">
        <v>1.0132461694027695</v>
      </c>
      <c r="F376" s="22">
        <v>1.0040318089949196</v>
      </c>
    </row>
    <row r="377" spans="2:6">
      <c r="B377" s="25">
        <v>116</v>
      </c>
      <c r="C377" s="22">
        <v>21.2</v>
      </c>
      <c r="D377" s="22">
        <v>20.229166666666664</v>
      </c>
      <c r="E377" s="22">
        <v>1.0550552330203224</v>
      </c>
      <c r="F377" s="22">
        <v>0.99330511642595154</v>
      </c>
    </row>
    <row r="378" spans="2:6">
      <c r="B378" s="25">
        <v>117</v>
      </c>
      <c r="C378" s="22">
        <v>19.8</v>
      </c>
      <c r="D378" s="22">
        <v>20.55</v>
      </c>
      <c r="E378" s="22">
        <v>1.0182550004741353</v>
      </c>
      <c r="F378" s="22">
        <v>0.94623021658267847</v>
      </c>
    </row>
    <row r="379" spans="2:6">
      <c r="B379" s="25">
        <v>118</v>
      </c>
      <c r="C379" s="22">
        <v>19.8</v>
      </c>
      <c r="D379" s="22">
        <v>20.879166666666666</v>
      </c>
      <c r="E379" s="22">
        <v>1.0241404826497529</v>
      </c>
      <c r="F379" s="22">
        <v>0.92596057465162285</v>
      </c>
    </row>
    <row r="380" spans="2:6">
      <c r="B380" s="25">
        <v>119</v>
      </c>
      <c r="C380" s="22">
        <v>19.7</v>
      </c>
      <c r="D380" s="22">
        <v>21.137500000000003</v>
      </c>
      <c r="E380" s="22">
        <v>1.0135208239044666</v>
      </c>
      <c r="F380" s="22">
        <v>0.91955969884954381</v>
      </c>
    </row>
    <row r="381" spans="2:6">
      <c r="B381" s="25">
        <v>120</v>
      </c>
      <c r="C381" s="22">
        <v>19.399999999999999</v>
      </c>
      <c r="D381" s="22">
        <v>21.4</v>
      </c>
      <c r="E381" s="22">
        <v>0.96739601113764628</v>
      </c>
      <c r="F381" s="22">
        <v>0.93709509408528946</v>
      </c>
    </row>
    <row r="382" spans="2:6">
      <c r="B382" s="25">
        <v>121</v>
      </c>
      <c r="C382" s="22">
        <v>23.2</v>
      </c>
      <c r="D382" s="22">
        <v>21.679166666666664</v>
      </c>
      <c r="E382" s="22">
        <v>0.97847472461337903</v>
      </c>
      <c r="F382" s="22">
        <v>1.0936938978187465</v>
      </c>
    </row>
    <row r="383" spans="2:6">
      <c r="B383" s="25">
        <v>122</v>
      </c>
      <c r="C383" s="22">
        <v>21.6</v>
      </c>
      <c r="D383" s="22">
        <v>21.949999999999996</v>
      </c>
      <c r="E383" s="22">
        <v>0.93707248862945713</v>
      </c>
      <c r="F383" s="22">
        <v>1.0501371896459482</v>
      </c>
    </row>
    <row r="384" spans="2:6">
      <c r="B384" s="25">
        <v>123</v>
      </c>
      <c r="C384" s="22">
        <v>22.5</v>
      </c>
      <c r="D384" s="22">
        <v>22.237500000000001</v>
      </c>
      <c r="E384" s="22">
        <v>0.93828400589420857</v>
      </c>
      <c r="F384" s="22">
        <v>1.0783562099850468</v>
      </c>
    </row>
    <row r="385" spans="2:6">
      <c r="B385" s="25">
        <v>124</v>
      </c>
      <c r="C385" s="22">
        <v>23.2</v>
      </c>
      <c r="D385" s="22">
        <v>22.541666666666668</v>
      </c>
      <c r="E385" s="22">
        <v>0.97380411394316235</v>
      </c>
      <c r="F385" s="22">
        <v>1.0568913818131709</v>
      </c>
    </row>
    <row r="386" spans="2:6">
      <c r="B386" s="25">
        <v>125</v>
      </c>
      <c r="C386" s="22">
        <v>23.5</v>
      </c>
      <c r="D386" s="22">
        <v>22.824999999999999</v>
      </c>
      <c r="E386" s="22">
        <v>1.0275566848532147</v>
      </c>
      <c r="F386" s="22">
        <v>1.0019620834336995</v>
      </c>
    </row>
    <row r="387" spans="2:6">
      <c r="B387" s="25">
        <v>126</v>
      </c>
      <c r="C387" s="22">
        <v>24.3</v>
      </c>
      <c r="D387" s="22">
        <v>23.104166666666664</v>
      </c>
      <c r="E387" s="22">
        <v>1.0343086104143013</v>
      </c>
      <c r="F387" s="22">
        <v>1.0168709128567726</v>
      </c>
    </row>
    <row r="388" spans="2:6">
      <c r="B388" s="25">
        <v>127</v>
      </c>
      <c r="C388" s="22">
        <v>23.6</v>
      </c>
      <c r="D388" s="22">
        <v>23.258333333333333</v>
      </c>
      <c r="E388" s="22">
        <v>1.0132461694027695</v>
      </c>
      <c r="F388" s="22">
        <v>1.001425029654867</v>
      </c>
    </row>
    <row r="389" spans="2:6">
      <c r="B389" s="25">
        <v>128</v>
      </c>
      <c r="C389" s="22">
        <v>24.4</v>
      </c>
      <c r="D389" s="22">
        <v>23.304166666666664</v>
      </c>
      <c r="E389" s="22">
        <v>1.0550552330203224</v>
      </c>
      <c r="F389" s="22">
        <v>0.99238696873493371</v>
      </c>
    </row>
    <row r="390" spans="2:6">
      <c r="B390" s="25">
        <v>129</v>
      </c>
      <c r="C390" s="22">
        <v>23.5</v>
      </c>
      <c r="D390" s="22">
        <v>23.299999999999997</v>
      </c>
      <c r="E390" s="22">
        <v>1.0182550004741353</v>
      </c>
      <c r="F390" s="22">
        <v>0.99050207513588695</v>
      </c>
    </row>
    <row r="391" spans="2:6">
      <c r="B391" s="25">
        <v>130</v>
      </c>
      <c r="C391" s="22">
        <v>23.4</v>
      </c>
      <c r="D391" s="22">
        <v>23.249999999999996</v>
      </c>
      <c r="E391" s="22">
        <v>1.0241404826497529</v>
      </c>
      <c r="F391" s="22">
        <v>0.98272808267400902</v>
      </c>
    </row>
    <row r="392" spans="2:6">
      <c r="B392" s="25">
        <v>131</v>
      </c>
      <c r="C392" s="22">
        <v>22.9</v>
      </c>
      <c r="D392" s="22">
        <v>23.266666666666669</v>
      </c>
      <c r="E392" s="22">
        <v>1.0135208239044666</v>
      </c>
      <c r="F392" s="22">
        <v>0.97111047396876804</v>
      </c>
    </row>
    <row r="393" spans="2:6">
      <c r="B393" s="25">
        <v>132</v>
      </c>
      <c r="C393" s="22">
        <v>22.9</v>
      </c>
      <c r="D393" s="22">
        <v>23.295833333333334</v>
      </c>
      <c r="E393" s="22">
        <v>0.96739601113764628</v>
      </c>
      <c r="F393" s="22">
        <v>1.0161385772217209</v>
      </c>
    </row>
    <row r="394" spans="2:6">
      <c r="B394" s="25">
        <v>133</v>
      </c>
      <c r="C394" s="22">
        <v>23.4</v>
      </c>
      <c r="D394" s="22">
        <v>23.283333333333328</v>
      </c>
      <c r="E394" s="22">
        <v>0.97847472461337903</v>
      </c>
      <c r="F394" s="22">
        <v>1.0271197732688579</v>
      </c>
    </row>
    <row r="395" spans="2:6">
      <c r="B395" s="25">
        <v>134</v>
      </c>
      <c r="C395" s="22">
        <v>22.5</v>
      </c>
      <c r="D395" s="22">
        <v>23.291666666666664</v>
      </c>
      <c r="E395" s="22">
        <v>0.93707248862945713</v>
      </c>
      <c r="F395" s="22">
        <v>1.0308815435030658</v>
      </c>
    </row>
    <row r="396" spans="2:6">
      <c r="B396" s="25">
        <v>135</v>
      </c>
      <c r="C396" s="22">
        <v>21.5</v>
      </c>
      <c r="D396" s="22">
        <v>23.295833333333331</v>
      </c>
      <c r="E396" s="22">
        <v>0.93828400589420857</v>
      </c>
      <c r="F396" s="22">
        <v>0.9836167053625009</v>
      </c>
    </row>
    <row r="397" spans="2:6">
      <c r="B397" s="25">
        <v>136</v>
      </c>
      <c r="C397" s="22">
        <v>23</v>
      </c>
      <c r="D397" s="22">
        <v>23.295833333333331</v>
      </c>
      <c r="E397" s="22">
        <v>0.97380411394316235</v>
      </c>
      <c r="F397" s="22">
        <v>1.0138599800095356</v>
      </c>
    </row>
    <row r="398" spans="2:6">
      <c r="B398" s="25">
        <v>137</v>
      </c>
      <c r="C398" s="22">
        <v>24.1</v>
      </c>
      <c r="D398" s="22">
        <v>23.345833333333331</v>
      </c>
      <c r="E398" s="22">
        <v>1.0275566848532147</v>
      </c>
      <c r="F398" s="22">
        <v>1.0046201226736462</v>
      </c>
    </row>
    <row r="399" spans="2:6">
      <c r="B399" s="25">
        <v>138</v>
      </c>
      <c r="C399" s="22">
        <v>24.4</v>
      </c>
      <c r="D399" s="22">
        <v>23.354166666666668</v>
      </c>
      <c r="E399" s="22">
        <v>1.0343086104143013</v>
      </c>
      <c r="F399" s="22">
        <v>1.0101254447836154</v>
      </c>
    </row>
    <row r="400" spans="2:6">
      <c r="B400" s="25">
        <v>139</v>
      </c>
      <c r="C400" s="22">
        <v>23.2</v>
      </c>
      <c r="D400" s="22">
        <v>23.295833333333334</v>
      </c>
      <c r="E400" s="22">
        <v>1.0132461694027695</v>
      </c>
      <c r="F400" s="22">
        <v>0.9828670226694266</v>
      </c>
    </row>
    <row r="401" spans="2:6">
      <c r="B401" s="25">
        <v>140</v>
      </c>
      <c r="C401" s="22">
        <v>25</v>
      </c>
      <c r="D401" s="22">
        <v>23.237500000000001</v>
      </c>
      <c r="E401" s="22">
        <v>1.0550552330203224</v>
      </c>
      <c r="F401" s="22">
        <v>1.019707021985512</v>
      </c>
    </row>
    <row r="402" spans="2:6">
      <c r="B402" s="25">
        <v>141</v>
      </c>
      <c r="C402" s="22">
        <v>23</v>
      </c>
      <c r="D402" s="22">
        <v>23.270833333333332</v>
      </c>
      <c r="E402" s="22">
        <v>1.0182550004741353</v>
      </c>
      <c r="F402" s="22">
        <v>0.97064260192138685</v>
      </c>
    </row>
    <row r="403" spans="2:6">
      <c r="B403" s="25">
        <v>142</v>
      </c>
      <c r="C403" s="22">
        <v>23.9</v>
      </c>
      <c r="D403" s="22">
        <v>23.216666666666665</v>
      </c>
      <c r="E403" s="22">
        <v>1.0241404826497529</v>
      </c>
      <c r="F403" s="22">
        <v>1.0051676465475361</v>
      </c>
    </row>
    <row r="404" spans="2:6">
      <c r="B404" s="25">
        <v>143</v>
      </c>
      <c r="C404" s="22">
        <v>23.6</v>
      </c>
      <c r="D404" s="22">
        <v>23.166666666666664</v>
      </c>
      <c r="E404" s="22">
        <v>1.0135208239044666</v>
      </c>
      <c r="F404" s="22">
        <v>1.0051150523447412</v>
      </c>
    </row>
    <row r="405" spans="2:6">
      <c r="B405" s="25">
        <v>144</v>
      </c>
      <c r="C405" s="22">
        <v>22.4</v>
      </c>
      <c r="D405" s="22">
        <v>23.104166666666664</v>
      </c>
      <c r="E405" s="22">
        <v>0.96739601113764628</v>
      </c>
      <c r="F405" s="22">
        <v>1.0021977357903362</v>
      </c>
    </row>
    <row r="406" spans="2:6">
      <c r="B406" s="25">
        <v>145</v>
      </c>
      <c r="C406" s="22">
        <v>22.5</v>
      </c>
      <c r="D406" s="22">
        <v>23.045833333333334</v>
      </c>
      <c r="E406" s="22">
        <v>0.97847472461337903</v>
      </c>
      <c r="F406" s="22">
        <v>0.99779308461162552</v>
      </c>
    </row>
    <row r="407" spans="2:6">
      <c r="B407" s="25">
        <v>146</v>
      </c>
      <c r="C407" s="22">
        <v>22</v>
      </c>
      <c r="D407" s="22">
        <v>23.158333333333335</v>
      </c>
      <c r="E407" s="22">
        <v>0.93707248862945713</v>
      </c>
      <c r="F407" s="22">
        <v>1.01377643612816</v>
      </c>
    </row>
    <row r="408" spans="2:6">
      <c r="B408" s="25">
        <v>147</v>
      </c>
      <c r="C408" s="22">
        <v>22.8</v>
      </c>
      <c r="D408" s="22">
        <v>23.133333333333333</v>
      </c>
      <c r="E408" s="22">
        <v>0.93828400589420857</v>
      </c>
      <c r="F408" s="22">
        <v>1.0504183934785178</v>
      </c>
    </row>
    <row r="409" spans="2:6">
      <c r="B409" s="25">
        <v>148</v>
      </c>
      <c r="C409" s="22">
        <v>20.399999999999999</v>
      </c>
      <c r="D409" s="22">
        <v>23.05</v>
      </c>
      <c r="E409" s="22">
        <v>0.97380411394316235</v>
      </c>
      <c r="F409" s="22">
        <v>0.90884041799458926</v>
      </c>
    </row>
    <row r="410" spans="2:6">
      <c r="B410" s="25">
        <v>149</v>
      </c>
      <c r="C410" s="22">
        <v>25.5</v>
      </c>
      <c r="D410" s="22">
        <v>23.037499999999998</v>
      </c>
      <c r="E410" s="22">
        <v>1.0275566848532147</v>
      </c>
      <c r="F410" s="22">
        <v>1.0772066933174025</v>
      </c>
    </row>
    <row r="411" spans="2:6">
      <c r="B411" s="25">
        <v>150</v>
      </c>
      <c r="C411" s="22">
        <v>21.5</v>
      </c>
      <c r="D411" s="22">
        <v>23.033333333333331</v>
      </c>
      <c r="E411" s="22">
        <v>1.0343086104143013</v>
      </c>
      <c r="F411" s="22">
        <v>0.90246740911589851</v>
      </c>
    </row>
    <row r="412" spans="2:6">
      <c r="B412" s="25">
        <v>151</v>
      </c>
      <c r="C412" s="22">
        <v>24.7</v>
      </c>
      <c r="D412" s="22"/>
      <c r="E412" s="22"/>
      <c r="F412" s="22"/>
    </row>
    <row r="413" spans="2:6">
      <c r="B413" s="25">
        <v>152</v>
      </c>
      <c r="C413" s="22">
        <v>26.2</v>
      </c>
      <c r="D413" s="22"/>
      <c r="E413" s="22"/>
      <c r="F413" s="22"/>
    </row>
    <row r="414" spans="2:6">
      <c r="B414" s="25">
        <v>153</v>
      </c>
      <c r="C414" s="22">
        <v>21.2</v>
      </c>
      <c r="D414" s="22"/>
      <c r="E414" s="22"/>
      <c r="F414" s="22"/>
    </row>
    <row r="415" spans="2:6">
      <c r="B415" s="25">
        <v>154</v>
      </c>
      <c r="C415" s="22">
        <v>23.7</v>
      </c>
      <c r="D415" s="22"/>
      <c r="E415" s="22"/>
      <c r="F415" s="22"/>
    </row>
    <row r="416" spans="2:6">
      <c r="B416" s="10">
        <v>155</v>
      </c>
      <c r="C416" s="22">
        <v>23.5</v>
      </c>
      <c r="D416" s="22"/>
      <c r="E416" s="22"/>
      <c r="F416" s="22"/>
    </row>
    <row r="417" spans="2:6" ht="16" thickBot="1">
      <c r="B417" s="19">
        <v>156</v>
      </c>
      <c r="C417" s="21">
        <v>22.4</v>
      </c>
      <c r="D417" s="21"/>
      <c r="E417" s="21"/>
      <c r="F417" s="21"/>
    </row>
    <row r="436" spans="7:7">
      <c r="G436" t="s">
        <v>219</v>
      </c>
    </row>
    <row r="455" spans="7:7">
      <c r="G455" t="s">
        <v>219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D678071">
              <controlPr defaultSize="0" autoFill="0" autoPict="0" macro="[0]!GoToResultsNew101320187300145">
                <anchor moveWithCells="1">
                  <from>
                    <xdr:col>0</xdr:col>
                    <xdr:colOff>330200</xdr:colOff>
                    <xdr:row>3</xdr:row>
                    <xdr:rowOff>0</xdr:rowOff>
                  </from>
                  <to>
                    <xdr:col>4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007800"/>
  </sheetPr>
  <dimension ref="B1:I432"/>
  <sheetViews>
    <sheetView zoomScaleNormal="100" workbookViewId="0"/>
  </sheetViews>
  <sheetFormatPr baseColWidth="10" defaultColWidth="8.83203125" defaultRowHeight="15"/>
  <cols>
    <col min="1" max="1" width="5" customWidth="1"/>
  </cols>
  <sheetData>
    <row r="1" spans="2:9">
      <c r="B1" t="s">
        <v>285</v>
      </c>
    </row>
    <row r="2" spans="2:9">
      <c r="B2" t="s">
        <v>262</v>
      </c>
    </row>
    <row r="3" spans="2:9" ht="34.25" customHeight="1"/>
    <row r="4" spans="2:9" ht="16.25" customHeight="1"/>
    <row r="7" spans="2:9">
      <c r="B7" t="s">
        <v>180</v>
      </c>
    </row>
    <row r="8" spans="2:9" ht="16" thickBot="1"/>
    <row r="9" spans="2:9">
      <c r="B9" s="11" t="s">
        <v>181</v>
      </c>
      <c r="C9" s="12" t="s">
        <v>182</v>
      </c>
      <c r="D9" s="12" t="s">
        <v>183</v>
      </c>
      <c r="E9" s="12" t="s">
        <v>184</v>
      </c>
      <c r="F9" s="12" t="s">
        <v>185</v>
      </c>
      <c r="G9" s="12" t="s">
        <v>186</v>
      </c>
      <c r="H9" s="12" t="s">
        <v>187</v>
      </c>
      <c r="I9" s="12" t="s">
        <v>188</v>
      </c>
    </row>
    <row r="10" spans="2:9" ht="16" thickBot="1">
      <c r="B10" s="14" t="s">
        <v>5</v>
      </c>
      <c r="C10" s="15">
        <v>156</v>
      </c>
      <c r="D10" s="15">
        <v>0</v>
      </c>
      <c r="E10" s="15">
        <v>156</v>
      </c>
      <c r="F10" s="16">
        <v>17.899999999999999</v>
      </c>
      <c r="G10" s="16">
        <v>54.2</v>
      </c>
      <c r="H10" s="16">
        <v>31.433974358974371</v>
      </c>
      <c r="I10" s="16">
        <v>9.8384990777335712</v>
      </c>
    </row>
    <row r="13" spans="2:9">
      <c r="B13" s="17" t="s">
        <v>263</v>
      </c>
    </row>
    <row r="15" spans="2:9">
      <c r="B15" s="27" t="s">
        <v>264</v>
      </c>
      <c r="C15" s="9">
        <v>0</v>
      </c>
    </row>
    <row r="18" spans="2:4">
      <c r="B18" t="s">
        <v>265</v>
      </c>
    </row>
    <row r="19" spans="2:4" ht="16" thickBot="1"/>
    <row r="20" spans="2:4">
      <c r="B20" s="23" t="s">
        <v>266</v>
      </c>
      <c r="C20" s="12" t="s">
        <v>5</v>
      </c>
      <c r="D20" s="12" t="s">
        <v>267</v>
      </c>
    </row>
    <row r="21" spans="2:4">
      <c r="B21" s="24">
        <v>1</v>
      </c>
      <c r="C21" s="20">
        <v>53.1</v>
      </c>
      <c r="D21" s="20">
        <v>3.9721769282478934</v>
      </c>
    </row>
    <row r="22" spans="2:4">
      <c r="B22" s="25">
        <v>2</v>
      </c>
      <c r="C22" s="22">
        <v>50.8</v>
      </c>
      <c r="D22" s="22">
        <v>3.9278963545844361</v>
      </c>
    </row>
    <row r="23" spans="2:4">
      <c r="B23" s="25">
        <v>3</v>
      </c>
      <c r="C23" s="22">
        <v>50.1</v>
      </c>
      <c r="D23" s="22">
        <v>3.9140210080908191</v>
      </c>
    </row>
    <row r="24" spans="2:4">
      <c r="B24" s="25">
        <v>4</v>
      </c>
      <c r="C24" s="22">
        <v>51.8</v>
      </c>
      <c r="D24" s="22">
        <v>3.9473901492654373</v>
      </c>
    </row>
    <row r="25" spans="2:4">
      <c r="B25" s="25">
        <v>5</v>
      </c>
      <c r="C25" s="22">
        <v>53.9</v>
      </c>
      <c r="D25" s="22">
        <v>3.9871304779149512</v>
      </c>
    </row>
    <row r="26" spans="2:4">
      <c r="B26" s="25">
        <v>6</v>
      </c>
      <c r="C26" s="22">
        <v>54.2</v>
      </c>
      <c r="D26" s="22">
        <v>3.9926809084456005</v>
      </c>
    </row>
    <row r="27" spans="2:4">
      <c r="B27" s="25">
        <v>7</v>
      </c>
      <c r="C27" s="22">
        <v>50.2</v>
      </c>
      <c r="D27" s="22">
        <v>3.9160150266976834</v>
      </c>
    </row>
    <row r="28" spans="2:4">
      <c r="B28" s="25">
        <v>8</v>
      </c>
      <c r="C28" s="22">
        <v>53.4</v>
      </c>
      <c r="D28" s="22">
        <v>3.9778107459661491</v>
      </c>
    </row>
    <row r="29" spans="2:4">
      <c r="B29" s="25">
        <v>9</v>
      </c>
      <c r="C29" s="22">
        <v>50.7</v>
      </c>
      <c r="D29" s="22">
        <v>3.9259259105971376</v>
      </c>
    </row>
    <row r="30" spans="2:4">
      <c r="B30" s="25">
        <v>10</v>
      </c>
      <c r="C30" s="22">
        <v>48.4</v>
      </c>
      <c r="D30" s="22">
        <v>3.8794998137225858</v>
      </c>
    </row>
    <row r="31" spans="2:4">
      <c r="B31" s="25">
        <v>11</v>
      </c>
      <c r="C31" s="22">
        <v>50.9</v>
      </c>
      <c r="D31" s="22">
        <v>3.929862923556477</v>
      </c>
    </row>
    <row r="32" spans="2:4">
      <c r="B32" s="25">
        <v>12</v>
      </c>
      <c r="C32" s="22">
        <v>44.7</v>
      </c>
      <c r="D32" s="22">
        <v>3.7999735016195233</v>
      </c>
    </row>
    <row r="33" spans="2:4">
      <c r="B33" s="25">
        <v>13</v>
      </c>
      <c r="C33" s="22">
        <v>46</v>
      </c>
      <c r="D33" s="22">
        <v>3.8286413964890951</v>
      </c>
    </row>
    <row r="34" spans="2:4">
      <c r="B34" s="25">
        <v>14</v>
      </c>
      <c r="C34" s="22">
        <v>44.7</v>
      </c>
      <c r="D34" s="22">
        <v>3.7999735016195233</v>
      </c>
    </row>
    <row r="35" spans="2:4">
      <c r="B35" s="25">
        <v>15</v>
      </c>
      <c r="C35" s="22">
        <v>44.7</v>
      </c>
      <c r="D35" s="22">
        <v>3.7999735016195233</v>
      </c>
    </row>
    <row r="36" spans="2:4">
      <c r="B36" s="25">
        <v>16</v>
      </c>
      <c r="C36" s="22">
        <v>45.2</v>
      </c>
      <c r="D36" s="22">
        <v>3.8110970868381857</v>
      </c>
    </row>
    <row r="37" spans="2:4">
      <c r="B37" s="25">
        <v>17</v>
      </c>
      <c r="C37" s="22">
        <v>47.7</v>
      </c>
      <c r="D37" s="22">
        <v>3.8649313978942956</v>
      </c>
    </row>
    <row r="38" spans="2:4">
      <c r="B38" s="25">
        <v>18</v>
      </c>
      <c r="C38" s="22">
        <v>46.8</v>
      </c>
      <c r="D38" s="22">
        <v>3.8458832029236012</v>
      </c>
    </row>
    <row r="39" spans="2:4">
      <c r="B39" s="25">
        <v>19</v>
      </c>
      <c r="C39" s="22">
        <v>43.3</v>
      </c>
      <c r="D39" s="22">
        <v>3.7681526350084442</v>
      </c>
    </row>
    <row r="40" spans="2:4">
      <c r="B40" s="25">
        <v>20</v>
      </c>
      <c r="C40" s="22">
        <v>49.1</v>
      </c>
      <c r="D40" s="22">
        <v>3.8938590348004749</v>
      </c>
    </row>
    <row r="41" spans="2:4">
      <c r="B41" s="25">
        <v>21</v>
      </c>
      <c r="C41" s="22">
        <v>45.2</v>
      </c>
      <c r="D41" s="22">
        <v>3.8110970868381857</v>
      </c>
    </row>
    <row r="42" spans="2:4">
      <c r="B42" s="25">
        <v>22</v>
      </c>
      <c r="C42" s="22">
        <v>45.2</v>
      </c>
      <c r="D42" s="22">
        <v>3.8110970868381857</v>
      </c>
    </row>
    <row r="43" spans="2:4">
      <c r="B43" s="25">
        <v>23</v>
      </c>
      <c r="C43" s="22">
        <v>46.5</v>
      </c>
      <c r="D43" s="22">
        <v>3.8394523125933104</v>
      </c>
    </row>
    <row r="44" spans="2:4">
      <c r="B44" s="25">
        <v>24</v>
      </c>
      <c r="C44" s="22">
        <v>41.7</v>
      </c>
      <c r="D44" s="22">
        <v>3.730501128804756</v>
      </c>
    </row>
    <row r="45" spans="2:4">
      <c r="B45" s="25">
        <v>25</v>
      </c>
      <c r="C45" s="22">
        <v>44.7</v>
      </c>
      <c r="D45" s="22">
        <v>3.7999735016195233</v>
      </c>
    </row>
    <row r="46" spans="2:4">
      <c r="B46" s="25">
        <v>26</v>
      </c>
      <c r="C46" s="22">
        <v>39.1</v>
      </c>
      <c r="D46" s="22">
        <v>3.6661224669913199</v>
      </c>
    </row>
    <row r="47" spans="2:4">
      <c r="B47" s="25">
        <v>27</v>
      </c>
      <c r="C47" s="22">
        <v>41.3</v>
      </c>
      <c r="D47" s="22">
        <v>3.7208624999669868</v>
      </c>
    </row>
    <row r="48" spans="2:4">
      <c r="B48" s="25">
        <v>28</v>
      </c>
      <c r="C48" s="22">
        <v>40</v>
      </c>
      <c r="D48" s="22">
        <v>3.6888794541139363</v>
      </c>
    </row>
    <row r="49" spans="2:4">
      <c r="B49" s="25">
        <v>29</v>
      </c>
      <c r="C49" s="22">
        <v>44.9</v>
      </c>
      <c r="D49" s="22">
        <v>3.8044377947482086</v>
      </c>
    </row>
    <row r="50" spans="2:4">
      <c r="B50" s="25">
        <v>30</v>
      </c>
      <c r="C50" s="22">
        <v>40.9</v>
      </c>
      <c r="D50" s="22">
        <v>3.7111300630487558</v>
      </c>
    </row>
    <row r="51" spans="2:4">
      <c r="B51" s="25">
        <v>31</v>
      </c>
      <c r="C51" s="22">
        <v>44.3</v>
      </c>
      <c r="D51" s="22">
        <v>3.7909846770510898</v>
      </c>
    </row>
    <row r="52" spans="2:4">
      <c r="B52" s="25">
        <v>32</v>
      </c>
      <c r="C52" s="22">
        <v>44.4</v>
      </c>
      <c r="D52" s="22">
        <v>3.7932394694381792</v>
      </c>
    </row>
    <row r="53" spans="2:4">
      <c r="B53" s="25">
        <v>33</v>
      </c>
      <c r="C53" s="22">
        <v>40.700000000000003</v>
      </c>
      <c r="D53" s="22">
        <v>3.7062280924485496</v>
      </c>
    </row>
    <row r="54" spans="2:4">
      <c r="B54" s="25">
        <v>34</v>
      </c>
      <c r="C54" s="22">
        <v>41.9</v>
      </c>
      <c r="D54" s="22">
        <v>3.735285826928092</v>
      </c>
    </row>
    <row r="55" spans="2:4">
      <c r="B55" s="25">
        <v>35</v>
      </c>
      <c r="C55" s="22">
        <v>41.7</v>
      </c>
      <c r="D55" s="22">
        <v>3.730501128804756</v>
      </c>
    </row>
    <row r="56" spans="2:4">
      <c r="B56" s="25">
        <v>36</v>
      </c>
      <c r="C56" s="22">
        <v>37.700000000000003</v>
      </c>
      <c r="D56" s="22">
        <v>3.629660094453965</v>
      </c>
    </row>
    <row r="57" spans="2:4">
      <c r="B57" s="25">
        <v>37</v>
      </c>
      <c r="C57" s="22">
        <v>39.700000000000003</v>
      </c>
      <c r="D57" s="22">
        <v>3.6813511876931448</v>
      </c>
    </row>
    <row r="58" spans="2:4">
      <c r="B58" s="25">
        <v>38</v>
      </c>
      <c r="C58" s="22">
        <v>36.1</v>
      </c>
      <c r="D58" s="22">
        <v>3.5862928653388351</v>
      </c>
    </row>
    <row r="59" spans="2:4">
      <c r="B59" s="25">
        <v>39</v>
      </c>
      <c r="C59" s="22">
        <v>33.1</v>
      </c>
      <c r="D59" s="22">
        <v>3.4995332823830174</v>
      </c>
    </row>
    <row r="60" spans="2:4">
      <c r="B60" s="25">
        <v>40</v>
      </c>
      <c r="C60" s="22">
        <v>37.200000000000003</v>
      </c>
      <c r="D60" s="22">
        <v>3.6163087612791012</v>
      </c>
    </row>
    <row r="61" spans="2:4">
      <c r="B61" s="25">
        <v>41</v>
      </c>
      <c r="C61" s="22">
        <v>36.9</v>
      </c>
      <c r="D61" s="22">
        <v>3.6082115510464816</v>
      </c>
    </row>
    <row r="62" spans="2:4">
      <c r="B62" s="25">
        <v>42</v>
      </c>
      <c r="C62" s="22">
        <v>38.1</v>
      </c>
      <c r="D62" s="22">
        <v>3.6402142821326553</v>
      </c>
    </row>
    <row r="63" spans="2:4">
      <c r="B63" s="25">
        <v>43</v>
      </c>
      <c r="C63" s="22">
        <v>37.6</v>
      </c>
      <c r="D63" s="22">
        <v>3.6270040503958487</v>
      </c>
    </row>
    <row r="64" spans="2:4">
      <c r="B64" s="25">
        <v>44</v>
      </c>
      <c r="C64" s="22">
        <v>38.4</v>
      </c>
      <c r="D64" s="22">
        <v>3.648057459593681</v>
      </c>
    </row>
    <row r="65" spans="2:4">
      <c r="B65" s="25">
        <v>45</v>
      </c>
      <c r="C65" s="22">
        <v>41.8</v>
      </c>
      <c r="D65" s="22">
        <v>3.7328963395307104</v>
      </c>
    </row>
    <row r="66" spans="2:4">
      <c r="B66" s="25">
        <v>46</v>
      </c>
      <c r="C66" s="22">
        <v>44.7</v>
      </c>
      <c r="D66" s="22">
        <v>3.7999735016195233</v>
      </c>
    </row>
    <row r="67" spans="2:4">
      <c r="B67" s="25">
        <v>47</v>
      </c>
      <c r="C67" s="22">
        <v>37.5</v>
      </c>
      <c r="D67" s="22">
        <v>3.6243409329763652</v>
      </c>
    </row>
    <row r="68" spans="2:4">
      <c r="B68" s="25">
        <v>48</v>
      </c>
      <c r="C68" s="22">
        <v>36.5</v>
      </c>
      <c r="D68" s="22">
        <v>3.597312260588446</v>
      </c>
    </row>
    <row r="69" spans="2:4">
      <c r="B69" s="25">
        <v>49</v>
      </c>
      <c r="C69" s="22">
        <v>33.200000000000003</v>
      </c>
      <c r="D69" s="22">
        <v>3.5025498759224432</v>
      </c>
    </row>
    <row r="70" spans="2:4">
      <c r="B70" s="25">
        <v>50</v>
      </c>
      <c r="C70" s="22">
        <v>34</v>
      </c>
      <c r="D70" s="22">
        <v>3.5263605246161616</v>
      </c>
    </row>
    <row r="71" spans="2:4">
      <c r="B71" s="25">
        <v>51</v>
      </c>
      <c r="C71" s="22">
        <v>32.799999999999997</v>
      </c>
      <c r="D71" s="22">
        <v>3.4904285153900978</v>
      </c>
    </row>
    <row r="72" spans="2:4">
      <c r="B72" s="25">
        <v>52</v>
      </c>
      <c r="C72" s="22">
        <v>34.4</v>
      </c>
      <c r="D72" s="22">
        <v>3.5380565643793527</v>
      </c>
    </row>
    <row r="73" spans="2:4">
      <c r="B73" s="25">
        <v>53</v>
      </c>
      <c r="C73" s="22">
        <v>34.700000000000003</v>
      </c>
      <c r="D73" s="22">
        <v>3.5467396869528134</v>
      </c>
    </row>
    <row r="74" spans="2:4">
      <c r="B74" s="25">
        <v>54</v>
      </c>
      <c r="C74" s="22">
        <v>37</v>
      </c>
      <c r="D74" s="22">
        <v>3.6109179126442243</v>
      </c>
    </row>
    <row r="75" spans="2:4">
      <c r="B75" s="25">
        <v>55</v>
      </c>
      <c r="C75" s="22">
        <v>35.6</v>
      </c>
      <c r="D75" s="22">
        <v>3.572345637857985</v>
      </c>
    </row>
    <row r="76" spans="2:4">
      <c r="B76" s="25">
        <v>56</v>
      </c>
      <c r="C76" s="22">
        <v>35</v>
      </c>
      <c r="D76" s="22">
        <v>3.5553480614894135</v>
      </c>
    </row>
    <row r="77" spans="2:4">
      <c r="B77" s="25">
        <v>57</v>
      </c>
      <c r="C77" s="22">
        <v>35.4</v>
      </c>
      <c r="D77" s="22">
        <v>3.5667118201397288</v>
      </c>
    </row>
    <row r="78" spans="2:4">
      <c r="B78" s="25">
        <v>58</v>
      </c>
      <c r="C78" s="22">
        <v>35.700000000000003</v>
      </c>
      <c r="D78" s="22">
        <v>3.5751506887855933</v>
      </c>
    </row>
    <row r="79" spans="2:4">
      <c r="B79" s="25">
        <v>59</v>
      </c>
      <c r="C79" s="22">
        <v>32.799999999999997</v>
      </c>
      <c r="D79" s="22">
        <v>3.4904285153900978</v>
      </c>
    </row>
    <row r="80" spans="2:4">
      <c r="B80" s="25">
        <v>60</v>
      </c>
      <c r="C80" s="22">
        <v>33.5</v>
      </c>
      <c r="D80" s="22">
        <v>3.5115454388310208</v>
      </c>
    </row>
    <row r="81" spans="2:4">
      <c r="B81" s="25">
        <v>61</v>
      </c>
      <c r="C81" s="22">
        <v>30.9</v>
      </c>
      <c r="D81" s="22">
        <v>3.4307561839036995</v>
      </c>
    </row>
    <row r="82" spans="2:4">
      <c r="B82" s="25">
        <v>62</v>
      </c>
      <c r="C82" s="22">
        <v>31</v>
      </c>
      <c r="D82" s="22">
        <v>3.4339872044851463</v>
      </c>
    </row>
    <row r="83" spans="2:4">
      <c r="B83" s="25">
        <v>63</v>
      </c>
      <c r="C83" s="22">
        <v>33.200000000000003</v>
      </c>
      <c r="D83" s="22">
        <v>3.5025498759224432</v>
      </c>
    </row>
    <row r="84" spans="2:4">
      <c r="B84" s="25">
        <v>64</v>
      </c>
      <c r="C84" s="22">
        <v>32.4</v>
      </c>
      <c r="D84" s="22">
        <v>3.4781584227982836</v>
      </c>
    </row>
    <row r="85" spans="2:4">
      <c r="B85" s="25">
        <v>65</v>
      </c>
      <c r="C85" s="22">
        <v>32.1</v>
      </c>
      <c r="D85" s="22">
        <v>3.4688560301359703</v>
      </c>
    </row>
    <row r="86" spans="2:4">
      <c r="B86" s="25">
        <v>66</v>
      </c>
      <c r="C86" s="22">
        <v>34.799999999999997</v>
      </c>
      <c r="D86" s="22">
        <v>3.5496173867804286</v>
      </c>
    </row>
    <row r="87" spans="2:4">
      <c r="B87" s="25">
        <v>67</v>
      </c>
      <c r="C87" s="22">
        <v>31.7</v>
      </c>
      <c r="D87" s="22">
        <v>3.4563166808832348</v>
      </c>
    </row>
    <row r="88" spans="2:4">
      <c r="B88" s="25">
        <v>68</v>
      </c>
      <c r="C88" s="22">
        <v>32.299999999999997</v>
      </c>
      <c r="D88" s="22">
        <v>3.475067230228611</v>
      </c>
    </row>
    <row r="89" spans="2:4">
      <c r="B89" s="25">
        <v>69</v>
      </c>
      <c r="C89" s="22">
        <v>31.6</v>
      </c>
      <c r="D89" s="22">
        <v>3.4531571205928664</v>
      </c>
    </row>
    <row r="90" spans="2:4">
      <c r="B90" s="25">
        <v>70</v>
      </c>
      <c r="C90" s="22">
        <v>31.3</v>
      </c>
      <c r="D90" s="22">
        <v>3.4436180975461075</v>
      </c>
    </row>
    <row r="91" spans="2:4">
      <c r="B91" s="25">
        <v>71</v>
      </c>
      <c r="C91" s="22">
        <v>31.7</v>
      </c>
      <c r="D91" s="22">
        <v>3.4563166808832348</v>
      </c>
    </row>
    <row r="92" spans="2:4">
      <c r="B92" s="25">
        <v>72</v>
      </c>
      <c r="C92" s="22">
        <v>31.8</v>
      </c>
      <c r="D92" s="22">
        <v>3.459466289786131</v>
      </c>
    </row>
    <row r="93" spans="2:4">
      <c r="B93" s="25">
        <v>73</v>
      </c>
      <c r="C93" s="22">
        <v>29.3</v>
      </c>
      <c r="D93" s="22">
        <v>3.3775875160230218</v>
      </c>
    </row>
    <row r="94" spans="2:4">
      <c r="B94" s="25">
        <v>74</v>
      </c>
      <c r="C94" s="22">
        <v>27.9</v>
      </c>
      <c r="D94" s="22">
        <v>3.3286266888273199</v>
      </c>
    </row>
    <row r="95" spans="2:4">
      <c r="B95" s="25">
        <v>75</v>
      </c>
      <c r="C95" s="22">
        <v>28</v>
      </c>
      <c r="D95" s="22">
        <v>3.3322045101752038</v>
      </c>
    </row>
    <row r="96" spans="2:4">
      <c r="B96" s="25">
        <v>76</v>
      </c>
      <c r="C96" s="22">
        <v>28.7</v>
      </c>
      <c r="D96" s="22">
        <v>3.3568971227655755</v>
      </c>
    </row>
    <row r="97" spans="2:4">
      <c r="B97" s="25">
        <v>77</v>
      </c>
      <c r="C97" s="22">
        <v>30.5</v>
      </c>
      <c r="D97" s="22">
        <v>3.417726683613366</v>
      </c>
    </row>
    <row r="98" spans="2:4">
      <c r="B98" s="25">
        <v>78</v>
      </c>
      <c r="C98" s="22">
        <v>31.3</v>
      </c>
      <c r="D98" s="22">
        <v>3.4436180975461075</v>
      </c>
    </row>
    <row r="99" spans="2:4">
      <c r="B99" s="25">
        <v>79</v>
      </c>
      <c r="C99" s="22">
        <v>29.2</v>
      </c>
      <c r="D99" s="22">
        <v>3.3741687092742358</v>
      </c>
    </row>
    <row r="100" spans="2:4">
      <c r="B100" s="25">
        <v>80</v>
      </c>
      <c r="C100" s="22">
        <v>30.9</v>
      </c>
      <c r="D100" s="22">
        <v>3.4307561839036995</v>
      </c>
    </row>
    <row r="101" spans="2:4">
      <c r="B101" s="25">
        <v>81</v>
      </c>
      <c r="C101" s="22">
        <v>29.1</v>
      </c>
      <c r="D101" s="22">
        <v>3.3707381741774469</v>
      </c>
    </row>
    <row r="102" spans="2:4">
      <c r="B102" s="25">
        <v>82</v>
      </c>
      <c r="C102" s="22">
        <v>27.6</v>
      </c>
      <c r="D102" s="22">
        <v>3.3178157727231046</v>
      </c>
    </row>
    <row r="103" spans="2:4">
      <c r="B103" s="25">
        <v>83</v>
      </c>
      <c r="C103" s="22">
        <v>28.3</v>
      </c>
      <c r="D103" s="22">
        <v>3.3428618046491918</v>
      </c>
    </row>
    <row r="104" spans="2:4">
      <c r="B104" s="25">
        <v>84</v>
      </c>
      <c r="C104" s="22">
        <v>25.8</v>
      </c>
      <c r="D104" s="22">
        <v>3.2503744919275719</v>
      </c>
    </row>
    <row r="105" spans="2:4">
      <c r="B105" s="25">
        <v>85</v>
      </c>
      <c r="C105" s="22">
        <v>25.3</v>
      </c>
      <c r="D105" s="22">
        <v>3.2308043957334744</v>
      </c>
    </row>
    <row r="106" spans="2:4">
      <c r="B106" s="25">
        <v>86</v>
      </c>
      <c r="C106" s="22">
        <v>25.6</v>
      </c>
      <c r="D106" s="22">
        <v>3.2425923514855168</v>
      </c>
    </row>
    <row r="107" spans="2:4">
      <c r="B107" s="25">
        <v>87</v>
      </c>
      <c r="C107" s="22">
        <v>24.1</v>
      </c>
      <c r="D107" s="22">
        <v>3.1822118404966093</v>
      </c>
    </row>
    <row r="108" spans="2:4">
      <c r="B108" s="25">
        <v>88</v>
      </c>
      <c r="C108" s="22">
        <v>25.8</v>
      </c>
      <c r="D108" s="22">
        <v>3.2503744919275719</v>
      </c>
    </row>
    <row r="109" spans="2:4">
      <c r="B109" s="25">
        <v>89</v>
      </c>
      <c r="C109" s="22">
        <v>26.2</v>
      </c>
      <c r="D109" s="22">
        <v>3.2657594107670511</v>
      </c>
    </row>
    <row r="110" spans="2:4">
      <c r="B110" s="25">
        <v>90</v>
      </c>
      <c r="C110" s="22">
        <v>26.6</v>
      </c>
      <c r="D110" s="22">
        <v>3.2809112157876537</v>
      </c>
    </row>
    <row r="111" spans="2:4">
      <c r="B111" s="25">
        <v>91</v>
      </c>
      <c r="C111" s="22">
        <v>26</v>
      </c>
      <c r="D111" s="22">
        <v>3.2580965380214821</v>
      </c>
    </row>
    <row r="112" spans="2:4">
      <c r="B112" s="25">
        <v>92</v>
      </c>
      <c r="C112" s="22">
        <v>26.6</v>
      </c>
      <c r="D112" s="22">
        <v>3.2809112157876537</v>
      </c>
    </row>
    <row r="113" spans="2:4">
      <c r="B113" s="25">
        <v>93</v>
      </c>
      <c r="C113" s="22">
        <v>25.3</v>
      </c>
      <c r="D113" s="22">
        <v>3.2308043957334744</v>
      </c>
    </row>
    <row r="114" spans="2:4">
      <c r="B114" s="25">
        <v>94</v>
      </c>
      <c r="C114" s="22">
        <v>24.9</v>
      </c>
      <c r="D114" s="22">
        <v>3.2148678034706619</v>
      </c>
    </row>
    <row r="115" spans="2:4">
      <c r="B115" s="25">
        <v>95</v>
      </c>
      <c r="C115" s="22">
        <v>24.8</v>
      </c>
      <c r="D115" s="22">
        <v>3.2108436531709366</v>
      </c>
    </row>
    <row r="116" spans="2:4">
      <c r="B116" s="25">
        <v>96</v>
      </c>
      <c r="C116" s="22">
        <v>22.9</v>
      </c>
      <c r="D116" s="22">
        <v>3.1311369105601941</v>
      </c>
    </row>
    <row r="117" spans="2:4">
      <c r="B117" s="25">
        <v>97</v>
      </c>
      <c r="C117" s="22">
        <v>23.2</v>
      </c>
      <c r="D117" s="22">
        <v>3.1441522786722644</v>
      </c>
    </row>
    <row r="118" spans="2:4">
      <c r="B118" s="25">
        <v>98</v>
      </c>
      <c r="C118" s="22">
        <v>20.8</v>
      </c>
      <c r="D118" s="22">
        <v>3.0349529867072724</v>
      </c>
    </row>
    <row r="119" spans="2:4">
      <c r="B119" s="25">
        <v>99</v>
      </c>
      <c r="C119" s="22">
        <v>20.7</v>
      </c>
      <c r="D119" s="22">
        <v>3.0301337002713233</v>
      </c>
    </row>
    <row r="120" spans="2:4">
      <c r="B120" s="25">
        <v>100</v>
      </c>
      <c r="C120" s="22">
        <v>22.4</v>
      </c>
      <c r="D120" s="22">
        <v>3.1090609588609941</v>
      </c>
    </row>
    <row r="121" spans="2:4">
      <c r="B121" s="25">
        <v>101</v>
      </c>
      <c r="C121" s="22">
        <v>23</v>
      </c>
      <c r="D121" s="22">
        <v>3.1354942159291497</v>
      </c>
    </row>
    <row r="122" spans="2:4">
      <c r="B122" s="25">
        <v>102</v>
      </c>
      <c r="C122" s="22">
        <v>23.4</v>
      </c>
      <c r="D122" s="22">
        <v>3.1527360223636558</v>
      </c>
    </row>
    <row r="123" spans="2:4">
      <c r="B123" s="25">
        <v>103</v>
      </c>
      <c r="C123" s="22">
        <v>23.1</v>
      </c>
      <c r="D123" s="22">
        <v>3.1398326175277478</v>
      </c>
    </row>
    <row r="124" spans="2:4">
      <c r="B124" s="25">
        <v>104</v>
      </c>
      <c r="C124" s="22">
        <v>22.6</v>
      </c>
      <c r="D124" s="22">
        <v>3.1179499062782403</v>
      </c>
    </row>
    <row r="125" spans="2:4">
      <c r="B125" s="25">
        <v>105</v>
      </c>
      <c r="C125" s="22">
        <v>21.6</v>
      </c>
      <c r="D125" s="22">
        <v>3.0726933146901194</v>
      </c>
    </row>
    <row r="126" spans="2:4">
      <c r="B126" s="25">
        <v>106</v>
      </c>
      <c r="C126" s="22">
        <v>21.1</v>
      </c>
      <c r="D126" s="22">
        <v>3.0492730404820207</v>
      </c>
    </row>
    <row r="127" spans="2:4">
      <c r="B127" s="25">
        <v>107</v>
      </c>
      <c r="C127" s="22">
        <v>21.3</v>
      </c>
      <c r="D127" s="22">
        <v>3.0587070727153796</v>
      </c>
    </row>
    <row r="128" spans="2:4">
      <c r="B128" s="25">
        <v>108</v>
      </c>
      <c r="C128" s="22">
        <v>20.3</v>
      </c>
      <c r="D128" s="22">
        <v>3.0106208860477417</v>
      </c>
    </row>
    <row r="129" spans="2:4">
      <c r="B129" s="25">
        <v>109</v>
      </c>
      <c r="C129" s="22">
        <v>19.7</v>
      </c>
      <c r="D129" s="22">
        <v>2.9806186357439426</v>
      </c>
    </row>
    <row r="130" spans="2:4">
      <c r="B130" s="25">
        <v>110</v>
      </c>
      <c r="C130" s="22">
        <v>18.5</v>
      </c>
      <c r="D130" s="22">
        <v>2.917770732084279</v>
      </c>
    </row>
    <row r="131" spans="2:4">
      <c r="B131" s="25">
        <v>111</v>
      </c>
      <c r="C131" s="22">
        <v>17.899999999999999</v>
      </c>
      <c r="D131" s="22">
        <v>2.884800712846709</v>
      </c>
    </row>
    <row r="132" spans="2:4">
      <c r="B132" s="25">
        <v>112</v>
      </c>
      <c r="C132" s="22">
        <v>19.899999999999999</v>
      </c>
      <c r="D132" s="22">
        <v>2.9907197317304468</v>
      </c>
    </row>
    <row r="133" spans="2:4">
      <c r="B133" s="25">
        <v>113</v>
      </c>
      <c r="C133" s="22">
        <v>20.6</v>
      </c>
      <c r="D133" s="22">
        <v>3.0252910757955354</v>
      </c>
    </row>
    <row r="134" spans="2:4">
      <c r="B134" s="25">
        <v>114</v>
      </c>
      <c r="C134" s="22">
        <v>20.9</v>
      </c>
      <c r="D134" s="22">
        <v>3.039749158970765</v>
      </c>
    </row>
    <row r="135" spans="2:4">
      <c r="B135" s="25">
        <v>115</v>
      </c>
      <c r="C135" s="22">
        <v>20.3</v>
      </c>
      <c r="D135" s="22">
        <v>3.0106208860477417</v>
      </c>
    </row>
    <row r="136" spans="2:4">
      <c r="B136" s="25">
        <v>116</v>
      </c>
      <c r="C136" s="22">
        <v>21.2</v>
      </c>
      <c r="D136" s="22">
        <v>3.0540011816779669</v>
      </c>
    </row>
    <row r="137" spans="2:4">
      <c r="B137" s="25">
        <v>117</v>
      </c>
      <c r="C137" s="22">
        <v>19.8</v>
      </c>
      <c r="D137" s="22">
        <v>2.9856819377004897</v>
      </c>
    </row>
    <row r="138" spans="2:4">
      <c r="B138" s="25">
        <v>118</v>
      </c>
      <c r="C138" s="22">
        <v>19.8</v>
      </c>
      <c r="D138" s="22">
        <v>2.9856819377004897</v>
      </c>
    </row>
    <row r="139" spans="2:4">
      <c r="B139" s="25">
        <v>119</v>
      </c>
      <c r="C139" s="22">
        <v>19.7</v>
      </c>
      <c r="D139" s="22">
        <v>2.9806186357439426</v>
      </c>
    </row>
    <row r="140" spans="2:4">
      <c r="B140" s="25">
        <v>120</v>
      </c>
      <c r="C140" s="22">
        <v>19.399999999999999</v>
      </c>
      <c r="D140" s="22">
        <v>2.9652730660692823</v>
      </c>
    </row>
    <row r="141" spans="2:4">
      <c r="B141" s="25">
        <v>121</v>
      </c>
      <c r="C141" s="22">
        <v>23.2</v>
      </c>
      <c r="D141" s="22">
        <v>3.1441522786722644</v>
      </c>
    </row>
    <row r="142" spans="2:4">
      <c r="B142" s="25">
        <v>122</v>
      </c>
      <c r="C142" s="22">
        <v>21.6</v>
      </c>
      <c r="D142" s="22">
        <v>3.0726933146901194</v>
      </c>
    </row>
    <row r="143" spans="2:4">
      <c r="B143" s="25">
        <v>123</v>
      </c>
      <c r="C143" s="22">
        <v>22.5</v>
      </c>
      <c r="D143" s="22">
        <v>3.1135153092103742</v>
      </c>
    </row>
    <row r="144" spans="2:4">
      <c r="B144" s="25">
        <v>124</v>
      </c>
      <c r="C144" s="22">
        <v>23.2</v>
      </c>
      <c r="D144" s="22">
        <v>3.1441522786722644</v>
      </c>
    </row>
    <row r="145" spans="2:4">
      <c r="B145" s="25">
        <v>125</v>
      </c>
      <c r="C145" s="22">
        <v>23.5</v>
      </c>
      <c r="D145" s="22">
        <v>3.1570004211501135</v>
      </c>
    </row>
    <row r="146" spans="2:4">
      <c r="B146" s="25">
        <v>126</v>
      </c>
      <c r="C146" s="22">
        <v>24.3</v>
      </c>
      <c r="D146" s="22">
        <v>3.1904763503465028</v>
      </c>
    </row>
    <row r="147" spans="2:4">
      <c r="B147" s="25">
        <v>127</v>
      </c>
      <c r="C147" s="22">
        <v>23.6</v>
      </c>
      <c r="D147" s="22">
        <v>3.1612467120315646</v>
      </c>
    </row>
    <row r="148" spans="2:4">
      <c r="B148" s="25">
        <v>128</v>
      </c>
      <c r="C148" s="22">
        <v>24.4</v>
      </c>
      <c r="D148" s="22">
        <v>3.1945831322991562</v>
      </c>
    </row>
    <row r="149" spans="2:4">
      <c r="B149" s="25">
        <v>129</v>
      </c>
      <c r="C149" s="22">
        <v>23.5</v>
      </c>
      <c r="D149" s="22">
        <v>3.1570004211501135</v>
      </c>
    </row>
    <row r="150" spans="2:4">
      <c r="B150" s="25">
        <v>130</v>
      </c>
      <c r="C150" s="22">
        <v>23.4</v>
      </c>
      <c r="D150" s="22">
        <v>3.1527360223636558</v>
      </c>
    </row>
    <row r="151" spans="2:4">
      <c r="B151" s="25">
        <v>131</v>
      </c>
      <c r="C151" s="22">
        <v>22.9</v>
      </c>
      <c r="D151" s="22">
        <v>3.1311369105601941</v>
      </c>
    </row>
    <row r="152" spans="2:4">
      <c r="B152" s="25">
        <v>132</v>
      </c>
      <c r="C152" s="22">
        <v>22.9</v>
      </c>
      <c r="D152" s="22">
        <v>3.1311369105601941</v>
      </c>
    </row>
    <row r="153" spans="2:4">
      <c r="B153" s="25">
        <v>133</v>
      </c>
      <c r="C153" s="22">
        <v>23.4</v>
      </c>
      <c r="D153" s="22">
        <v>3.1527360223636558</v>
      </c>
    </row>
    <row r="154" spans="2:4">
      <c r="B154" s="25">
        <v>134</v>
      </c>
      <c r="C154" s="22">
        <v>22.5</v>
      </c>
      <c r="D154" s="22">
        <v>3.1135153092103742</v>
      </c>
    </row>
    <row r="155" spans="2:4">
      <c r="B155" s="25">
        <v>135</v>
      </c>
      <c r="C155" s="22">
        <v>21.5</v>
      </c>
      <c r="D155" s="22">
        <v>3.068052935133617</v>
      </c>
    </row>
    <row r="156" spans="2:4">
      <c r="B156" s="25">
        <v>136</v>
      </c>
      <c r="C156" s="22">
        <v>23</v>
      </c>
      <c r="D156" s="22">
        <v>3.1354942159291497</v>
      </c>
    </row>
    <row r="157" spans="2:4">
      <c r="B157" s="25">
        <v>137</v>
      </c>
      <c r="C157" s="22">
        <v>24.1</v>
      </c>
      <c r="D157" s="22">
        <v>3.1822118404966093</v>
      </c>
    </row>
    <row r="158" spans="2:4">
      <c r="B158" s="25">
        <v>138</v>
      </c>
      <c r="C158" s="22">
        <v>24.4</v>
      </c>
      <c r="D158" s="22">
        <v>3.1945831322991562</v>
      </c>
    </row>
    <row r="159" spans="2:4">
      <c r="B159" s="25">
        <v>139</v>
      </c>
      <c r="C159" s="22">
        <v>23.2</v>
      </c>
      <c r="D159" s="22">
        <v>3.1441522786722644</v>
      </c>
    </row>
    <row r="160" spans="2:4">
      <c r="B160" s="25">
        <v>140</v>
      </c>
      <c r="C160" s="22">
        <v>25</v>
      </c>
      <c r="D160" s="22">
        <v>3.2188758248682006</v>
      </c>
    </row>
    <row r="161" spans="2:4">
      <c r="B161" s="25">
        <v>141</v>
      </c>
      <c r="C161" s="22">
        <v>23</v>
      </c>
      <c r="D161" s="22">
        <v>3.1354942159291497</v>
      </c>
    </row>
    <row r="162" spans="2:4">
      <c r="B162" s="25">
        <v>142</v>
      </c>
      <c r="C162" s="22">
        <v>23.9</v>
      </c>
      <c r="D162" s="22">
        <v>3.1738784589374651</v>
      </c>
    </row>
    <row r="163" spans="2:4">
      <c r="B163" s="25">
        <v>143</v>
      </c>
      <c r="C163" s="22">
        <v>23.6</v>
      </c>
      <c r="D163" s="22">
        <v>3.1612467120315646</v>
      </c>
    </row>
    <row r="164" spans="2:4">
      <c r="B164" s="25">
        <v>144</v>
      </c>
      <c r="C164" s="22">
        <v>22.4</v>
      </c>
      <c r="D164" s="22">
        <v>3.1090609588609941</v>
      </c>
    </row>
    <row r="165" spans="2:4">
      <c r="B165" s="25">
        <v>145</v>
      </c>
      <c r="C165" s="22">
        <v>22.5</v>
      </c>
      <c r="D165" s="22">
        <v>3.1135153092103742</v>
      </c>
    </row>
    <row r="166" spans="2:4">
      <c r="B166" s="25">
        <v>146</v>
      </c>
      <c r="C166" s="22">
        <v>22</v>
      </c>
      <c r="D166" s="22">
        <v>3.0910424533583161</v>
      </c>
    </row>
    <row r="167" spans="2:4">
      <c r="B167" s="25">
        <v>147</v>
      </c>
      <c r="C167" s="22">
        <v>22.8</v>
      </c>
      <c r="D167" s="22">
        <v>3.1267605359603952</v>
      </c>
    </row>
    <row r="168" spans="2:4">
      <c r="B168" s="25">
        <v>148</v>
      </c>
      <c r="C168" s="22">
        <v>20.399999999999999</v>
      </c>
      <c r="D168" s="22">
        <v>3.0155349008501706</v>
      </c>
    </row>
    <row r="169" spans="2:4">
      <c r="B169" s="25">
        <v>149</v>
      </c>
      <c r="C169" s="22">
        <v>25.5</v>
      </c>
      <c r="D169" s="22">
        <v>3.2386784521643803</v>
      </c>
    </row>
    <row r="170" spans="2:4">
      <c r="B170" s="25">
        <v>150</v>
      </c>
      <c r="C170" s="22">
        <v>21.5</v>
      </c>
      <c r="D170" s="22">
        <v>3.068052935133617</v>
      </c>
    </row>
    <row r="171" spans="2:4">
      <c r="B171" s="25">
        <v>151</v>
      </c>
      <c r="C171" s="22">
        <v>24.7</v>
      </c>
      <c r="D171" s="22">
        <v>3.2068032436339315</v>
      </c>
    </row>
    <row r="172" spans="2:4">
      <c r="B172" s="25">
        <v>152</v>
      </c>
      <c r="C172" s="22">
        <v>26.2</v>
      </c>
      <c r="D172" s="22">
        <v>3.2657594107670511</v>
      </c>
    </row>
    <row r="173" spans="2:4">
      <c r="B173" s="25">
        <v>153</v>
      </c>
      <c r="C173" s="22">
        <v>21.2</v>
      </c>
      <c r="D173" s="22">
        <v>3.0540011816779669</v>
      </c>
    </row>
    <row r="174" spans="2:4">
      <c r="B174" s="25">
        <v>154</v>
      </c>
      <c r="C174" s="22">
        <v>23.7</v>
      </c>
      <c r="D174" s="22">
        <v>3.1654750481410856</v>
      </c>
    </row>
    <row r="175" spans="2:4">
      <c r="B175" s="25">
        <v>155</v>
      </c>
      <c r="C175" s="22">
        <v>23.5</v>
      </c>
      <c r="D175" s="22">
        <v>3.1570004211501135</v>
      </c>
    </row>
    <row r="176" spans="2:4" ht="16" thickBot="1">
      <c r="B176" s="26">
        <v>156</v>
      </c>
      <c r="C176" s="21">
        <v>22.4</v>
      </c>
      <c r="D176" s="21">
        <v>3.1090609588609941</v>
      </c>
    </row>
    <row r="195" spans="2:7">
      <c r="G195" t="s">
        <v>219</v>
      </c>
    </row>
    <row r="198" spans="2:7">
      <c r="B198" s="17" t="s">
        <v>268</v>
      </c>
    </row>
    <row r="200" spans="2:7">
      <c r="B200" t="s">
        <v>269</v>
      </c>
    </row>
    <row r="201" spans="2:7" ht="16" thickBot="1"/>
    <row r="202" spans="2:7">
      <c r="B202" s="11" t="s">
        <v>205</v>
      </c>
      <c r="C202" s="12" t="s">
        <v>206</v>
      </c>
    </row>
    <row r="203" spans="2:7">
      <c r="B203" s="13" t="s">
        <v>270</v>
      </c>
      <c r="C203" s="20">
        <v>-0.67210648148148078</v>
      </c>
    </row>
    <row r="204" spans="2:7">
      <c r="B204" s="10" t="s">
        <v>271</v>
      </c>
      <c r="C204" s="22">
        <v>-1.9307870370370372</v>
      </c>
    </row>
    <row r="205" spans="2:7">
      <c r="B205" s="10" t="s">
        <v>272</v>
      </c>
      <c r="C205" s="22">
        <v>-1.8339120370370374</v>
      </c>
    </row>
    <row r="206" spans="2:7">
      <c r="B206" s="10" t="s">
        <v>273</v>
      </c>
      <c r="C206" s="22">
        <v>-0.81238425925926028</v>
      </c>
    </row>
    <row r="207" spans="2:7">
      <c r="B207" s="10" t="s">
        <v>274</v>
      </c>
      <c r="C207" s="22">
        <v>0.7935185185185194</v>
      </c>
    </row>
    <row r="208" spans="2:7">
      <c r="B208" s="10" t="s">
        <v>275</v>
      </c>
      <c r="C208" s="22">
        <v>0.99108796296296242</v>
      </c>
    </row>
    <row r="209" spans="2:3">
      <c r="B209" s="10" t="s">
        <v>276</v>
      </c>
      <c r="C209" s="22">
        <v>0.35115740740740775</v>
      </c>
    </row>
    <row r="210" spans="2:3">
      <c r="B210" s="10" t="s">
        <v>277</v>
      </c>
      <c r="C210" s="22">
        <v>1.8240740740740746</v>
      </c>
    </row>
    <row r="211" spans="2:3">
      <c r="B211" s="10" t="s">
        <v>278</v>
      </c>
      <c r="C211" s="22">
        <v>0.71886574074074028</v>
      </c>
    </row>
    <row r="212" spans="2:3">
      <c r="B212" s="10" t="s">
        <v>279</v>
      </c>
      <c r="C212" s="22">
        <v>0.93935185185185222</v>
      </c>
    </row>
    <row r="213" spans="2:3">
      <c r="B213" s="10" t="s">
        <v>280</v>
      </c>
      <c r="C213" s="22">
        <v>0.63032407407407387</v>
      </c>
    </row>
    <row r="214" spans="2:3" ht="16" thickBot="1">
      <c r="B214" s="19" t="s">
        <v>281</v>
      </c>
      <c r="C214" s="21">
        <v>-0.99918981481481495</v>
      </c>
    </row>
    <row r="233" spans="2:7">
      <c r="G233" t="s">
        <v>219</v>
      </c>
    </row>
    <row r="236" spans="2:7">
      <c r="B236" s="39" t="s">
        <v>265</v>
      </c>
    </row>
    <row r="237" spans="2:7" ht="16" thickBot="1">
      <c r="B237" s="39"/>
    </row>
    <row r="238" spans="2:7">
      <c r="B238" s="23" t="s">
        <v>266</v>
      </c>
      <c r="C238" s="12" t="s">
        <v>5</v>
      </c>
      <c r="D238" s="12" t="s">
        <v>282</v>
      </c>
      <c r="E238" s="12" t="s">
        <v>283</v>
      </c>
      <c r="F238" s="12" t="s">
        <v>284</v>
      </c>
    </row>
    <row r="239" spans="2:7">
      <c r="B239" s="24">
        <v>1</v>
      </c>
      <c r="C239" s="20">
        <v>53.1</v>
      </c>
      <c r="D239" s="20"/>
      <c r="E239" s="20"/>
      <c r="F239" s="20"/>
    </row>
    <row r="240" spans="2:7">
      <c r="B240" s="25">
        <v>2</v>
      </c>
      <c r="C240" s="22">
        <v>50.8</v>
      </c>
      <c r="D240" s="22"/>
      <c r="E240" s="22"/>
      <c r="F240" s="22"/>
    </row>
    <row r="241" spans="2:6">
      <c r="B241" s="25">
        <v>3</v>
      </c>
      <c r="C241" s="22">
        <v>50.1</v>
      </c>
      <c r="D241" s="22"/>
      <c r="E241" s="22"/>
      <c r="F241" s="22"/>
    </row>
    <row r="242" spans="2:6">
      <c r="B242" s="25">
        <v>4</v>
      </c>
      <c r="C242" s="22">
        <v>51.8</v>
      </c>
      <c r="D242" s="22"/>
      <c r="E242" s="22"/>
      <c r="F242" s="22"/>
    </row>
    <row r="243" spans="2:6">
      <c r="B243" s="25">
        <v>5</v>
      </c>
      <c r="C243" s="22">
        <v>53.9</v>
      </c>
      <c r="D243" s="22"/>
      <c r="E243" s="22"/>
      <c r="F243" s="22"/>
    </row>
    <row r="244" spans="2:6">
      <c r="B244" s="25">
        <v>6</v>
      </c>
      <c r="C244" s="22">
        <v>54.2</v>
      </c>
      <c r="D244" s="22"/>
      <c r="E244" s="22"/>
      <c r="F244" s="22"/>
    </row>
    <row r="245" spans="2:6">
      <c r="B245" s="25">
        <v>7</v>
      </c>
      <c r="C245" s="22">
        <v>50.2</v>
      </c>
      <c r="D245" s="22">
        <v>50.720833333333331</v>
      </c>
      <c r="E245" s="22">
        <v>0.35115740740740775</v>
      </c>
      <c r="F245" s="22">
        <v>-0.87199074074073479</v>
      </c>
    </row>
    <row r="246" spans="2:6">
      <c r="B246" s="25">
        <v>8</v>
      </c>
      <c r="C246" s="22">
        <v>53.4</v>
      </c>
      <c r="D246" s="22">
        <v>50.170833333333327</v>
      </c>
      <c r="E246" s="22">
        <v>1.8240740740740746</v>
      </c>
      <c r="F246" s="22">
        <v>1.4050925925925952</v>
      </c>
    </row>
    <row r="247" spans="2:6">
      <c r="B247" s="25">
        <v>9</v>
      </c>
      <c r="C247" s="22">
        <v>50.7</v>
      </c>
      <c r="D247" s="22">
        <v>49.691666666666663</v>
      </c>
      <c r="E247" s="22">
        <v>0.71886574074074028</v>
      </c>
      <c r="F247" s="22">
        <v>0.28946759259260091</v>
      </c>
    </row>
    <row r="248" spans="2:6">
      <c r="B248" s="25">
        <v>10</v>
      </c>
      <c r="C248" s="22">
        <v>48.4</v>
      </c>
      <c r="D248" s="22">
        <v>49.19166666666667</v>
      </c>
      <c r="E248" s="22">
        <v>0.93935185185185222</v>
      </c>
      <c r="F248" s="22">
        <v>-1.7310185185185247</v>
      </c>
    </row>
    <row r="249" spans="2:6">
      <c r="B249" s="25">
        <v>11</v>
      </c>
      <c r="C249" s="22">
        <v>50.9</v>
      </c>
      <c r="D249" s="22">
        <v>48.658333333333331</v>
      </c>
      <c r="E249" s="22">
        <v>0.63032407407407387</v>
      </c>
      <c r="F249" s="22">
        <v>1.6113425925925924</v>
      </c>
    </row>
    <row r="250" spans="2:6">
      <c r="B250" s="25">
        <v>12</v>
      </c>
      <c r="C250" s="22">
        <v>44.7</v>
      </c>
      <c r="D250" s="22">
        <v>48.091666666666669</v>
      </c>
      <c r="E250" s="22">
        <v>-0.99918981481481495</v>
      </c>
      <c r="F250" s="22">
        <v>-2.3924768518518533</v>
      </c>
    </row>
    <row r="251" spans="2:6">
      <c r="B251" s="25">
        <v>13</v>
      </c>
      <c r="C251" s="22">
        <v>46</v>
      </c>
      <c r="D251" s="22">
        <v>47.49583333333333</v>
      </c>
      <c r="E251" s="22">
        <v>-0.67210648148148078</v>
      </c>
      <c r="F251" s="22">
        <v>-0.8237268518518519</v>
      </c>
    </row>
    <row r="252" spans="2:6">
      <c r="B252" s="25">
        <v>14</v>
      </c>
      <c r="C252" s="22">
        <v>44.7</v>
      </c>
      <c r="D252" s="22">
        <v>47.029166666666669</v>
      </c>
      <c r="E252" s="22">
        <v>-1.9307870370370372</v>
      </c>
      <c r="F252" s="22">
        <v>-0.39837962962963047</v>
      </c>
    </row>
    <row r="253" spans="2:6">
      <c r="B253" s="25">
        <v>15</v>
      </c>
      <c r="C253" s="22">
        <v>44.7</v>
      </c>
      <c r="D253" s="22">
        <v>46.620833333333337</v>
      </c>
      <c r="E253" s="22">
        <v>-1.8339120370370374</v>
      </c>
      <c r="F253" s="22">
        <v>-8.6921296296296191E-2</v>
      </c>
    </row>
    <row r="254" spans="2:6">
      <c r="B254" s="25">
        <v>16</v>
      </c>
      <c r="C254" s="22">
        <v>45.2</v>
      </c>
      <c r="D254" s="22">
        <v>46.25833333333334</v>
      </c>
      <c r="E254" s="22">
        <v>-0.81238425925926028</v>
      </c>
      <c r="F254" s="22">
        <v>-0.24594907407407618</v>
      </c>
    </row>
    <row r="255" spans="2:6">
      <c r="B255" s="25">
        <v>17</v>
      </c>
      <c r="C255" s="22">
        <v>47.7</v>
      </c>
      <c r="D255" s="22">
        <v>45.941666666666663</v>
      </c>
      <c r="E255" s="22">
        <v>0.7935185185185194</v>
      </c>
      <c r="F255" s="22">
        <v>0.96481481481482234</v>
      </c>
    </row>
    <row r="256" spans="2:6">
      <c r="B256" s="25">
        <v>18</v>
      </c>
      <c r="C256" s="22">
        <v>46.8</v>
      </c>
      <c r="D256" s="22">
        <v>45.633333333333326</v>
      </c>
      <c r="E256" s="22">
        <v>0.99108796296296242</v>
      </c>
      <c r="F256" s="22">
        <v>0.17557870370370665</v>
      </c>
    </row>
    <row r="257" spans="2:6">
      <c r="B257" s="25">
        <v>19</v>
      </c>
      <c r="C257" s="22">
        <v>43.3</v>
      </c>
      <c r="D257" s="22">
        <v>45.454166666666666</v>
      </c>
      <c r="E257" s="22">
        <v>0.35115740740740775</v>
      </c>
      <c r="F257" s="22">
        <v>-2.5053240740740748</v>
      </c>
    </row>
    <row r="258" spans="2:6">
      <c r="B258" s="25">
        <v>20</v>
      </c>
      <c r="C258" s="22">
        <v>49.1</v>
      </c>
      <c r="D258" s="22">
        <v>45.166666666666671</v>
      </c>
      <c r="E258" s="22">
        <v>1.8240740740740746</v>
      </c>
      <c r="F258" s="22">
        <v>2.1092592592592538</v>
      </c>
    </row>
    <row r="259" spans="2:6">
      <c r="B259" s="25">
        <v>21</v>
      </c>
      <c r="C259" s="22">
        <v>45.2</v>
      </c>
      <c r="D259" s="22">
        <v>44.791666666666664</v>
      </c>
      <c r="E259" s="22">
        <v>0.71886574074074028</v>
      </c>
      <c r="F259" s="22">
        <v>-0.31053240740740051</v>
      </c>
    </row>
    <row r="260" spans="2:6">
      <c r="B260" s="25">
        <v>22</v>
      </c>
      <c r="C260" s="22">
        <v>45.2</v>
      </c>
      <c r="D260" s="22">
        <v>44.43333333333333</v>
      </c>
      <c r="E260" s="22">
        <v>0.93935185185185222</v>
      </c>
      <c r="F260" s="22">
        <v>-0.1726851851851805</v>
      </c>
    </row>
    <row r="261" spans="2:6">
      <c r="B261" s="25">
        <v>23</v>
      </c>
      <c r="C261" s="22">
        <v>46.5</v>
      </c>
      <c r="D261" s="22">
        <v>44.099999999999994</v>
      </c>
      <c r="E261" s="22">
        <v>0.63032407407407387</v>
      </c>
      <c r="F261" s="22">
        <v>1.7696759259259309</v>
      </c>
    </row>
    <row r="262" spans="2:6">
      <c r="B262" s="25">
        <v>24</v>
      </c>
      <c r="C262" s="22">
        <v>41.7</v>
      </c>
      <c r="D262" s="22">
        <v>43.737499999999997</v>
      </c>
      <c r="E262" s="22">
        <v>-0.99918981481481495</v>
      </c>
      <c r="F262" s="22">
        <v>-1.0383101851851819</v>
      </c>
    </row>
    <row r="263" spans="2:6">
      <c r="B263" s="25">
        <v>25</v>
      </c>
      <c r="C263" s="22">
        <v>44.7</v>
      </c>
      <c r="D263" s="22">
        <v>43.533333333333331</v>
      </c>
      <c r="E263" s="22">
        <v>-0.67210648148148078</v>
      </c>
      <c r="F263" s="22">
        <v>1.8387731481481495</v>
      </c>
    </row>
    <row r="264" spans="2:6">
      <c r="B264" s="25">
        <v>26</v>
      </c>
      <c r="C264" s="22">
        <v>39.1</v>
      </c>
      <c r="D264" s="22">
        <v>43.37916666666667</v>
      </c>
      <c r="E264" s="22">
        <v>-1.9307870370370372</v>
      </c>
      <c r="F264" s="22">
        <v>-2.3483796296296333</v>
      </c>
    </row>
    <row r="265" spans="2:6">
      <c r="B265" s="25">
        <v>27</v>
      </c>
      <c r="C265" s="22">
        <v>41.3</v>
      </c>
      <c r="D265" s="22">
        <v>42.99583333333333</v>
      </c>
      <c r="E265" s="22">
        <v>-1.8339120370370374</v>
      </c>
      <c r="F265" s="22">
        <v>0.13807870370370523</v>
      </c>
    </row>
    <row r="266" spans="2:6">
      <c r="B266" s="25">
        <v>28</v>
      </c>
      <c r="C266" s="22">
        <v>40</v>
      </c>
      <c r="D266" s="22">
        <v>42.670833333333327</v>
      </c>
      <c r="E266" s="22">
        <v>-0.81238425925926028</v>
      </c>
      <c r="F266" s="22">
        <v>-1.8584490740740662</v>
      </c>
    </row>
    <row r="267" spans="2:6">
      <c r="B267" s="25">
        <v>29</v>
      </c>
      <c r="C267" s="22">
        <v>44.9</v>
      </c>
      <c r="D267" s="22">
        <v>42.333333333333329</v>
      </c>
      <c r="E267" s="22">
        <v>0.7935185185185194</v>
      </c>
      <c r="F267" s="22">
        <v>1.7731481481481524</v>
      </c>
    </row>
    <row r="268" spans="2:6">
      <c r="B268" s="25">
        <v>30</v>
      </c>
      <c r="C268" s="22">
        <v>40.9</v>
      </c>
      <c r="D268" s="22">
        <v>41.966666666666669</v>
      </c>
      <c r="E268" s="22">
        <v>0.99108796296296242</v>
      </c>
      <c r="F268" s="22">
        <v>-2.0577546296296347</v>
      </c>
    </row>
    <row r="269" spans="2:6">
      <c r="B269" s="25">
        <v>31</v>
      </c>
      <c r="C269" s="22">
        <v>44.3</v>
      </c>
      <c r="D269" s="22">
        <v>41.591666666666669</v>
      </c>
      <c r="E269" s="22">
        <v>0.35115740740740775</v>
      </c>
      <c r="F269" s="22">
        <v>2.3571759259259224</v>
      </c>
    </row>
    <row r="270" spans="2:6">
      <c r="B270" s="25">
        <v>32</v>
      </c>
      <c r="C270" s="22">
        <v>44.4</v>
      </c>
      <c r="D270" s="22">
        <v>41.258333333333333</v>
      </c>
      <c r="E270" s="22">
        <v>1.8240740740740746</v>
      </c>
      <c r="F270" s="22">
        <v>1.3175925925925895</v>
      </c>
    </row>
    <row r="271" spans="2:6">
      <c r="B271" s="25">
        <v>33</v>
      </c>
      <c r="C271" s="22">
        <v>40.700000000000003</v>
      </c>
      <c r="D271" s="22">
        <v>40.791666666666671</v>
      </c>
      <c r="E271" s="22">
        <v>0.71886574074074028</v>
      </c>
      <c r="F271" s="22">
        <v>-0.81053240740740762</v>
      </c>
    </row>
    <row r="272" spans="2:6">
      <c r="B272" s="25">
        <v>34</v>
      </c>
      <c r="C272" s="22">
        <v>41.9</v>
      </c>
      <c r="D272" s="22">
        <v>40.333333333333329</v>
      </c>
      <c r="E272" s="22">
        <v>0.93935185185185222</v>
      </c>
      <c r="F272" s="22">
        <v>0.62731481481481666</v>
      </c>
    </row>
    <row r="273" spans="2:6">
      <c r="B273" s="25">
        <v>35</v>
      </c>
      <c r="C273" s="22">
        <v>41.7</v>
      </c>
      <c r="D273" s="22">
        <v>39.88333333333334</v>
      </c>
      <c r="E273" s="22">
        <v>0.63032407407407387</v>
      </c>
      <c r="F273" s="22">
        <v>1.1863425925925881</v>
      </c>
    </row>
    <row r="274" spans="2:6">
      <c r="B274" s="25">
        <v>36</v>
      </c>
      <c r="C274" s="22">
        <v>37.700000000000003</v>
      </c>
      <c r="D274" s="22">
        <v>39.433333333333337</v>
      </c>
      <c r="E274" s="22">
        <v>-0.99918981481481495</v>
      </c>
      <c r="F274" s="22">
        <v>-0.73414351851852189</v>
      </c>
    </row>
    <row r="275" spans="2:6">
      <c r="B275" s="25">
        <v>37</v>
      </c>
      <c r="C275" s="22">
        <v>39.700000000000003</v>
      </c>
      <c r="D275" s="22">
        <v>39.037500000000001</v>
      </c>
      <c r="E275" s="22">
        <v>-0.67210648148148078</v>
      </c>
      <c r="F275" s="22">
        <v>1.3346064814814795</v>
      </c>
    </row>
    <row r="276" spans="2:6">
      <c r="B276" s="25">
        <v>38</v>
      </c>
      <c r="C276" s="22">
        <v>36.1</v>
      </c>
      <c r="D276" s="22">
        <v>38.508333333333333</v>
      </c>
      <c r="E276" s="22">
        <v>-1.9307870370370372</v>
      </c>
      <c r="F276" s="22">
        <v>-0.47754629629629619</v>
      </c>
    </row>
    <row r="277" spans="2:6">
      <c r="B277" s="25">
        <v>39</v>
      </c>
      <c r="C277" s="22">
        <v>33.1</v>
      </c>
      <c r="D277" s="22">
        <v>38.304166666666674</v>
      </c>
      <c r="E277" s="22">
        <v>-1.8339120370370374</v>
      </c>
      <c r="F277" s="22">
        <v>-3.3702546296296347</v>
      </c>
    </row>
    <row r="278" spans="2:6">
      <c r="B278" s="25">
        <v>40</v>
      </c>
      <c r="C278" s="22">
        <v>37.200000000000003</v>
      </c>
      <c r="D278" s="22">
        <v>38.466666666666669</v>
      </c>
      <c r="E278" s="22">
        <v>-0.81238425925926028</v>
      </c>
      <c r="F278" s="22">
        <v>-0.45428240740740478</v>
      </c>
    </row>
    <row r="279" spans="2:6">
      <c r="B279" s="25">
        <v>41</v>
      </c>
      <c r="C279" s="22">
        <v>36.9</v>
      </c>
      <c r="D279" s="22">
        <v>38.408333333333331</v>
      </c>
      <c r="E279" s="22">
        <v>0.7935185185185194</v>
      </c>
      <c r="F279" s="22">
        <v>-2.3018518518518505</v>
      </c>
    </row>
    <row r="280" spans="2:6">
      <c r="B280" s="25">
        <v>42</v>
      </c>
      <c r="C280" s="22">
        <v>38.1</v>
      </c>
      <c r="D280" s="22">
        <v>38.183333333333337</v>
      </c>
      <c r="E280" s="22">
        <v>0.99108796296296242</v>
      </c>
      <c r="F280" s="22">
        <v>-1.0744212962963005</v>
      </c>
    </row>
    <row r="281" spans="2:6">
      <c r="B281" s="25">
        <v>43</v>
      </c>
      <c r="C281" s="22">
        <v>37.6</v>
      </c>
      <c r="D281" s="22">
        <v>37.862499999999997</v>
      </c>
      <c r="E281" s="22">
        <v>0.35115740740740775</v>
      </c>
      <c r="F281" s="22">
        <v>-0.61365740740740193</v>
      </c>
    </row>
    <row r="282" spans="2:6">
      <c r="B282" s="25">
        <v>44</v>
      </c>
      <c r="C282" s="22">
        <v>38.4</v>
      </c>
      <c r="D282" s="22">
        <v>37.504166666666663</v>
      </c>
      <c r="E282" s="22">
        <v>1.8240740740740746</v>
      </c>
      <c r="F282" s="22">
        <v>-0.92824074074074048</v>
      </c>
    </row>
    <row r="283" spans="2:6">
      <c r="B283" s="25">
        <v>45</v>
      </c>
      <c r="C283" s="22">
        <v>41.8</v>
      </c>
      <c r="D283" s="22">
        <v>37.404166666666676</v>
      </c>
      <c r="E283" s="22">
        <v>0.71886574074074028</v>
      </c>
      <c r="F283" s="22">
        <v>3.6769675925925824</v>
      </c>
    </row>
    <row r="284" spans="2:6">
      <c r="B284" s="25">
        <v>46</v>
      </c>
      <c r="C284" s="22">
        <v>44.7</v>
      </c>
      <c r="D284" s="22">
        <v>37.274999999999999</v>
      </c>
      <c r="E284" s="22">
        <v>0.93935185185185222</v>
      </c>
      <c r="F284" s="22">
        <v>6.4856481481481509</v>
      </c>
    </row>
    <row r="285" spans="2:6">
      <c r="B285" s="25">
        <v>47</v>
      </c>
      <c r="C285" s="22">
        <v>37.5</v>
      </c>
      <c r="D285" s="22">
        <v>37.066666666666663</v>
      </c>
      <c r="E285" s="22">
        <v>0.63032407407407387</v>
      </c>
      <c r="F285" s="22">
        <v>-0.19699074074073764</v>
      </c>
    </row>
    <row r="286" spans="2:6">
      <c r="B286" s="25">
        <v>48</v>
      </c>
      <c r="C286" s="22">
        <v>36.5</v>
      </c>
      <c r="D286" s="22">
        <v>36.92916666666666</v>
      </c>
      <c r="E286" s="22">
        <v>-0.99918981481481495</v>
      </c>
      <c r="F286" s="22">
        <v>0.57002314814815236</v>
      </c>
    </row>
    <row r="287" spans="2:6">
      <c r="B287" s="25">
        <v>49</v>
      </c>
      <c r="C287" s="22">
        <v>33.200000000000003</v>
      </c>
      <c r="D287" s="22">
        <v>36.800000000000004</v>
      </c>
      <c r="E287" s="22">
        <v>-0.67210648148148078</v>
      </c>
      <c r="F287" s="22">
        <v>-2.9278935185185233</v>
      </c>
    </row>
    <row r="288" spans="2:6">
      <c r="B288" s="25">
        <v>50</v>
      </c>
      <c r="C288" s="22">
        <v>34</v>
      </c>
      <c r="D288" s="22">
        <v>36.575000000000003</v>
      </c>
      <c r="E288" s="22">
        <v>-1.9307870370370372</v>
      </c>
      <c r="F288" s="22">
        <v>-0.64421296296296759</v>
      </c>
    </row>
    <row r="289" spans="2:6">
      <c r="B289" s="25">
        <v>51</v>
      </c>
      <c r="C289" s="22">
        <v>32.799999999999997</v>
      </c>
      <c r="D289" s="22">
        <v>36.166666666666664</v>
      </c>
      <c r="E289" s="22">
        <v>-1.8339120370370374</v>
      </c>
      <c r="F289" s="22">
        <v>-1.5327546296296291</v>
      </c>
    </row>
    <row r="290" spans="2:6">
      <c r="B290" s="25">
        <v>52</v>
      </c>
      <c r="C290" s="22">
        <v>34.4</v>
      </c>
      <c r="D290" s="22">
        <v>35.524999999999999</v>
      </c>
      <c r="E290" s="22">
        <v>-0.81238425925926028</v>
      </c>
      <c r="F290" s="22">
        <v>-0.31261574074073906</v>
      </c>
    </row>
    <row r="291" spans="2:6">
      <c r="B291" s="25">
        <v>53</v>
      </c>
      <c r="C291" s="22">
        <v>34.700000000000003</v>
      </c>
      <c r="D291" s="22">
        <v>34.954166666666666</v>
      </c>
      <c r="E291" s="22">
        <v>0.7935185185185194</v>
      </c>
      <c r="F291" s="22">
        <v>-1.0476851851851805</v>
      </c>
    </row>
    <row r="292" spans="2:6">
      <c r="B292" s="25">
        <v>54</v>
      </c>
      <c r="C292" s="22">
        <v>37</v>
      </c>
      <c r="D292" s="22">
        <v>34.633333333333333</v>
      </c>
      <c r="E292" s="22">
        <v>0.99108796296296242</v>
      </c>
      <c r="F292" s="22">
        <v>1.3755787037037024</v>
      </c>
    </row>
    <row r="293" spans="2:6">
      <c r="B293" s="25">
        <v>55</v>
      </c>
      <c r="C293" s="22">
        <v>35.6</v>
      </c>
      <c r="D293" s="22">
        <v>34.412500000000001</v>
      </c>
      <c r="E293" s="22">
        <v>0.35115740740740775</v>
      </c>
      <c r="F293" s="22">
        <v>0.8363425925925938</v>
      </c>
    </row>
    <row r="294" spans="2:6">
      <c r="B294" s="25">
        <v>56</v>
      </c>
      <c r="C294" s="22">
        <v>35</v>
      </c>
      <c r="D294" s="22">
        <v>34.191666666666663</v>
      </c>
      <c r="E294" s="22">
        <v>1.8240740740740746</v>
      </c>
      <c r="F294" s="22">
        <v>-1.0157407407407391</v>
      </c>
    </row>
    <row r="295" spans="2:6">
      <c r="B295" s="25">
        <v>57</v>
      </c>
      <c r="C295" s="22">
        <v>35.4</v>
      </c>
      <c r="D295" s="22">
        <v>34.083333333333336</v>
      </c>
      <c r="E295" s="22">
        <v>0.71886574074074028</v>
      </c>
      <c r="F295" s="22">
        <v>0.59780092592592382</v>
      </c>
    </row>
    <row r="296" spans="2:6">
      <c r="B296" s="25">
        <v>58</v>
      </c>
      <c r="C296" s="22">
        <v>35.700000000000003</v>
      </c>
      <c r="D296" s="22">
        <v>34.016666666666673</v>
      </c>
      <c r="E296" s="22">
        <v>0.93935185185185222</v>
      </c>
      <c r="F296" s="22">
        <v>0.74398148148147669</v>
      </c>
    </row>
    <row r="297" spans="2:6">
      <c r="B297" s="25">
        <v>59</v>
      </c>
      <c r="C297" s="22">
        <v>32.799999999999997</v>
      </c>
      <c r="D297" s="22">
        <v>33.824999999999996</v>
      </c>
      <c r="E297" s="22">
        <v>0.63032407407407387</v>
      </c>
      <c r="F297" s="22">
        <v>-1.6553240740740733</v>
      </c>
    </row>
    <row r="298" spans="2:6">
      <c r="B298" s="25">
        <v>60</v>
      </c>
      <c r="C298" s="22">
        <v>33.5</v>
      </c>
      <c r="D298" s="22">
        <v>33.625</v>
      </c>
      <c r="E298" s="22">
        <v>-0.99918981481481495</v>
      </c>
      <c r="F298" s="22">
        <v>0.87418981481481239</v>
      </c>
    </row>
    <row r="299" spans="2:6">
      <c r="B299" s="25">
        <v>61</v>
      </c>
      <c r="C299" s="22">
        <v>30.9</v>
      </c>
      <c r="D299" s="22">
        <v>33.37083333333333</v>
      </c>
      <c r="E299" s="22">
        <v>-0.67210648148148078</v>
      </c>
      <c r="F299" s="22">
        <v>-1.7987268518518498</v>
      </c>
    </row>
    <row r="300" spans="2:6">
      <c r="B300" s="25">
        <v>62</v>
      </c>
      <c r="C300" s="22">
        <v>31</v>
      </c>
      <c r="D300" s="22">
        <v>33.095833333333324</v>
      </c>
      <c r="E300" s="22">
        <v>-1.9307870370370372</v>
      </c>
      <c r="F300" s="22">
        <v>-0.16504629629628909</v>
      </c>
    </row>
    <row r="301" spans="2:6">
      <c r="B301" s="25">
        <v>63</v>
      </c>
      <c r="C301" s="22">
        <v>33.200000000000003</v>
      </c>
      <c r="D301" s="22">
        <v>32.824999999999996</v>
      </c>
      <c r="E301" s="22">
        <v>-1.8339120370370374</v>
      </c>
      <c r="F301" s="22">
        <v>2.2089120370370452</v>
      </c>
    </row>
    <row r="302" spans="2:6">
      <c r="B302" s="25">
        <v>64</v>
      </c>
      <c r="C302" s="22">
        <v>32.4</v>
      </c>
      <c r="D302" s="22">
        <v>32.483333333333327</v>
      </c>
      <c r="E302" s="22">
        <v>-0.81238425925926028</v>
      </c>
      <c r="F302" s="22">
        <v>0.72905092592593235</v>
      </c>
    </row>
    <row r="303" spans="2:6">
      <c r="B303" s="25">
        <v>65</v>
      </c>
      <c r="C303" s="22">
        <v>32.1</v>
      </c>
      <c r="D303" s="22">
        <v>32.254166666666663</v>
      </c>
      <c r="E303" s="22">
        <v>0.7935185185185194</v>
      </c>
      <c r="F303" s="22">
        <v>-0.94768518518517908</v>
      </c>
    </row>
    <row r="304" spans="2:6">
      <c r="B304" s="25">
        <v>66</v>
      </c>
      <c r="C304" s="22">
        <v>34.799999999999997</v>
      </c>
      <c r="D304" s="22">
        <v>32.137499999999996</v>
      </c>
      <c r="E304" s="22">
        <v>0.99108796296296242</v>
      </c>
      <c r="F304" s="22">
        <v>1.6714120370370367</v>
      </c>
    </row>
    <row r="305" spans="2:6">
      <c r="B305" s="25">
        <v>67</v>
      </c>
      <c r="C305" s="22">
        <v>31.7</v>
      </c>
      <c r="D305" s="22">
        <v>31.999999999999993</v>
      </c>
      <c r="E305" s="22">
        <v>0.35115740740740775</v>
      </c>
      <c r="F305" s="22">
        <v>-0.6511574074073998</v>
      </c>
    </row>
    <row r="306" spans="2:6">
      <c r="B306" s="25">
        <v>68</v>
      </c>
      <c r="C306" s="22">
        <v>32.299999999999997</v>
      </c>
      <c r="D306" s="22">
        <v>31.804166666666664</v>
      </c>
      <c r="E306" s="22">
        <v>1.8240740740740746</v>
      </c>
      <c r="F306" s="22">
        <v>-1.3282407407407426</v>
      </c>
    </row>
    <row r="307" spans="2:6">
      <c r="B307" s="25">
        <v>69</v>
      </c>
      <c r="C307" s="22">
        <v>31.6</v>
      </c>
      <c r="D307" s="22">
        <v>31.458333333333329</v>
      </c>
      <c r="E307" s="22">
        <v>0.71886574074074028</v>
      </c>
      <c r="F307" s="22">
        <v>-0.57719907407406623</v>
      </c>
    </row>
    <row r="308" spans="2:6">
      <c r="B308" s="25">
        <v>70</v>
      </c>
      <c r="C308" s="22">
        <v>31.3</v>
      </c>
      <c r="D308" s="22">
        <v>31.087499999999995</v>
      </c>
      <c r="E308" s="22">
        <v>0.93935185185185222</v>
      </c>
      <c r="F308" s="22">
        <v>-0.72685185185184764</v>
      </c>
    </row>
    <row r="309" spans="2:6">
      <c r="B309" s="25">
        <v>71</v>
      </c>
      <c r="C309" s="22">
        <v>31.7</v>
      </c>
      <c r="D309" s="22">
        <v>30.86666666666666</v>
      </c>
      <c r="E309" s="22">
        <v>0.63032407407407387</v>
      </c>
      <c r="F309" s="22">
        <v>0.2030092592592645</v>
      </c>
    </row>
    <row r="310" spans="2:6">
      <c r="B310" s="25">
        <v>72</v>
      </c>
      <c r="C310" s="22">
        <v>31.8</v>
      </c>
      <c r="D310" s="22">
        <v>30.654166666666661</v>
      </c>
      <c r="E310" s="22">
        <v>-0.99918981481481495</v>
      </c>
      <c r="F310" s="22">
        <v>2.1450231481481552</v>
      </c>
    </row>
    <row r="311" spans="2:6">
      <c r="B311" s="25">
        <v>73</v>
      </c>
      <c r="C311" s="22">
        <v>29.3</v>
      </c>
      <c r="D311" s="22">
        <v>30.404166666666661</v>
      </c>
      <c r="E311" s="22">
        <v>-0.67210648148148078</v>
      </c>
      <c r="F311" s="22">
        <v>-0.43206018518517908</v>
      </c>
    </row>
    <row r="312" spans="2:6">
      <c r="B312" s="25">
        <v>74</v>
      </c>
      <c r="C312" s="22">
        <v>27.9</v>
      </c>
      <c r="D312" s="22">
        <v>30.241666666666671</v>
      </c>
      <c r="E312" s="22">
        <v>-1.9307870370370372</v>
      </c>
      <c r="F312" s="22">
        <v>-0.41087962962963331</v>
      </c>
    </row>
    <row r="313" spans="2:6">
      <c r="B313" s="25">
        <v>75</v>
      </c>
      <c r="C313" s="22">
        <v>28</v>
      </c>
      <c r="D313" s="22">
        <v>30.079166666666666</v>
      </c>
      <c r="E313" s="22">
        <v>-1.8339120370370374</v>
      </c>
      <c r="F313" s="22">
        <v>-0.24525462962962763</v>
      </c>
    </row>
    <row r="314" spans="2:6">
      <c r="B314" s="25">
        <v>76</v>
      </c>
      <c r="C314" s="22">
        <v>28.7</v>
      </c>
      <c r="D314" s="22">
        <v>29.820833333333333</v>
      </c>
      <c r="E314" s="22">
        <v>-0.81238425925926028</v>
      </c>
      <c r="F314" s="22">
        <v>-0.30844907407407263</v>
      </c>
    </row>
    <row r="315" spans="2:6">
      <c r="B315" s="25">
        <v>77</v>
      </c>
      <c r="C315" s="22">
        <v>30.5</v>
      </c>
      <c r="D315" s="22">
        <v>29.525000000000002</v>
      </c>
      <c r="E315" s="22">
        <v>0.7935185185185194</v>
      </c>
      <c r="F315" s="22">
        <v>0.18148148148148024</v>
      </c>
    </row>
    <row r="316" spans="2:6">
      <c r="B316" s="25">
        <v>78</v>
      </c>
      <c r="C316" s="22">
        <v>31.3</v>
      </c>
      <c r="D316" s="22">
        <v>29.133333333333333</v>
      </c>
      <c r="E316" s="22">
        <v>0.99108796296296242</v>
      </c>
      <c r="F316" s="22">
        <v>1.1755787037037067</v>
      </c>
    </row>
    <row r="317" spans="2:6">
      <c r="B317" s="25">
        <v>79</v>
      </c>
      <c r="C317" s="22">
        <v>29.2</v>
      </c>
      <c r="D317" s="22">
        <v>28.716666666666665</v>
      </c>
      <c r="E317" s="22">
        <v>0.35115740740740775</v>
      </c>
      <c r="F317" s="22">
        <v>0.13217592592592808</v>
      </c>
    </row>
    <row r="318" spans="2:6">
      <c r="B318" s="25">
        <v>80</v>
      </c>
      <c r="C318" s="22">
        <v>30.9</v>
      </c>
      <c r="D318" s="22">
        <v>28.454166666666666</v>
      </c>
      <c r="E318" s="22">
        <v>1.8240740740740746</v>
      </c>
      <c r="F318" s="22">
        <v>0.62175925925925668</v>
      </c>
    </row>
    <row r="319" spans="2:6">
      <c r="B319" s="25">
        <v>81</v>
      </c>
      <c r="C319" s="22">
        <v>29.1</v>
      </c>
      <c r="D319" s="22">
        <v>28.195833333333333</v>
      </c>
      <c r="E319" s="22">
        <v>0.71886574074074028</v>
      </c>
      <c r="F319" s="22">
        <v>0.1853009259259295</v>
      </c>
    </row>
    <row r="320" spans="2:6">
      <c r="B320" s="25">
        <v>82</v>
      </c>
      <c r="C320" s="22">
        <v>27.6</v>
      </c>
      <c r="D320" s="22">
        <v>27.912499999999998</v>
      </c>
      <c r="E320" s="22">
        <v>0.93935185185185222</v>
      </c>
      <c r="F320" s="22">
        <v>-1.2518518518518498</v>
      </c>
    </row>
    <row r="321" spans="2:6">
      <c r="B321" s="25">
        <v>83</v>
      </c>
      <c r="C321" s="22">
        <v>28.3</v>
      </c>
      <c r="D321" s="22">
        <v>27.612499999999997</v>
      </c>
      <c r="E321" s="22">
        <v>0.63032407407407387</v>
      </c>
      <c r="F321" s="22">
        <v>5.7175925925928794E-2</v>
      </c>
    </row>
    <row r="322" spans="2:6">
      <c r="B322" s="25">
        <v>84</v>
      </c>
      <c r="C322" s="22">
        <v>25.8</v>
      </c>
      <c r="D322" s="22">
        <v>27.237500000000001</v>
      </c>
      <c r="E322" s="22">
        <v>-0.99918981481481495</v>
      </c>
      <c r="F322" s="22">
        <v>-0.43831018518518405</v>
      </c>
    </row>
    <row r="323" spans="2:6">
      <c r="B323" s="25">
        <v>85</v>
      </c>
      <c r="C323" s="22">
        <v>25.3</v>
      </c>
      <c r="D323" s="22">
        <v>26.908333333333328</v>
      </c>
      <c r="E323" s="22">
        <v>-0.67210648148148078</v>
      </c>
      <c r="F323" s="22">
        <v>-0.93622685185184551</v>
      </c>
    </row>
    <row r="324" spans="2:6">
      <c r="B324" s="25">
        <v>86</v>
      </c>
      <c r="C324" s="22">
        <v>25.6</v>
      </c>
      <c r="D324" s="22">
        <v>26.595833333333335</v>
      </c>
      <c r="E324" s="22">
        <v>-1.9307870370370372</v>
      </c>
      <c r="F324" s="22">
        <v>0.93495370370370523</v>
      </c>
    </row>
    <row r="325" spans="2:6">
      <c r="B325" s="25">
        <v>87</v>
      </c>
      <c r="C325" s="22">
        <v>24.1</v>
      </c>
      <c r="D325" s="22">
        <v>26.258333333333333</v>
      </c>
      <c r="E325" s="22">
        <v>-1.8339120370370374</v>
      </c>
      <c r="F325" s="22">
        <v>-0.32442129629629335</v>
      </c>
    </row>
    <row r="326" spans="2:6">
      <c r="B326" s="25">
        <v>88</v>
      </c>
      <c r="C326" s="22">
        <v>25.8</v>
      </c>
      <c r="D326" s="22">
        <v>25.987500000000004</v>
      </c>
      <c r="E326" s="22">
        <v>-0.81238425925926028</v>
      </c>
      <c r="F326" s="22">
        <v>0.62488425925925739</v>
      </c>
    </row>
    <row r="327" spans="2:6">
      <c r="B327" s="25">
        <v>89</v>
      </c>
      <c r="C327" s="22">
        <v>26.2</v>
      </c>
      <c r="D327" s="22">
        <v>25.729166666666671</v>
      </c>
      <c r="E327" s="22">
        <v>0.7935185185185194</v>
      </c>
      <c r="F327" s="22">
        <v>-0.32268518518519329</v>
      </c>
    </row>
    <row r="328" spans="2:6">
      <c r="B328" s="25">
        <v>90</v>
      </c>
      <c r="C328" s="22">
        <v>26.6</v>
      </c>
      <c r="D328" s="22">
        <v>25.462499999999999</v>
      </c>
      <c r="E328" s="22">
        <v>0.99108796296296242</v>
      </c>
      <c r="F328" s="22">
        <v>0.14641203703704164</v>
      </c>
    </row>
    <row r="329" spans="2:6">
      <c r="B329" s="25">
        <v>91</v>
      </c>
      <c r="C329" s="22">
        <v>26</v>
      </c>
      <c r="D329" s="22">
        <v>25.254166666666666</v>
      </c>
      <c r="E329" s="22">
        <v>0.35115740740740775</v>
      </c>
      <c r="F329" s="22">
        <v>0.39467592592592737</v>
      </c>
    </row>
    <row r="330" spans="2:6">
      <c r="B330" s="25">
        <v>92</v>
      </c>
      <c r="C330" s="22">
        <v>26.6</v>
      </c>
      <c r="D330" s="22">
        <v>24.966666666666665</v>
      </c>
      <c r="E330" s="22">
        <v>1.8240740740740746</v>
      </c>
      <c r="F330" s="22">
        <v>-0.19074074074073977</v>
      </c>
    </row>
    <row r="331" spans="2:6">
      <c r="B331" s="25">
        <v>93</v>
      </c>
      <c r="C331" s="22">
        <v>25.3</v>
      </c>
      <c r="D331" s="22">
        <v>24.625</v>
      </c>
      <c r="E331" s="22">
        <v>0.71886574074074028</v>
      </c>
      <c r="F331" s="22">
        <v>-4.3865740740738346E-2</v>
      </c>
    </row>
    <row r="332" spans="2:6">
      <c r="B332" s="25">
        <v>94</v>
      </c>
      <c r="C332" s="22">
        <v>24.9</v>
      </c>
      <c r="D332" s="22">
        <v>24.341666666666669</v>
      </c>
      <c r="E332" s="22">
        <v>0.93935185185185222</v>
      </c>
      <c r="F332" s="22">
        <v>-0.38101851851852331</v>
      </c>
    </row>
    <row r="333" spans="2:6">
      <c r="B333" s="25">
        <v>95</v>
      </c>
      <c r="C333" s="22">
        <v>24.8</v>
      </c>
      <c r="D333" s="22">
        <v>24.066666666666666</v>
      </c>
      <c r="E333" s="22">
        <v>0.63032407407407387</v>
      </c>
      <c r="F333" s="22">
        <v>0.10300925925925952</v>
      </c>
    </row>
    <row r="334" spans="2:6">
      <c r="B334" s="25">
        <v>96</v>
      </c>
      <c r="C334" s="22">
        <v>22.9</v>
      </c>
      <c r="D334" s="22">
        <v>23.800000000000004</v>
      </c>
      <c r="E334" s="22">
        <v>-0.99918981481481495</v>
      </c>
      <c r="F334" s="22">
        <v>9.9189814814810262E-2</v>
      </c>
    </row>
    <row r="335" spans="2:6">
      <c r="B335" s="25">
        <v>97</v>
      </c>
      <c r="C335" s="22">
        <v>23.2</v>
      </c>
      <c r="D335" s="22">
        <v>23.545833333333334</v>
      </c>
      <c r="E335" s="22">
        <v>-0.67210648148148078</v>
      </c>
      <c r="F335" s="22">
        <v>0.32627314814814667</v>
      </c>
    </row>
    <row r="336" spans="2:6">
      <c r="B336" s="25">
        <v>98</v>
      </c>
      <c r="C336" s="22">
        <v>20.8</v>
      </c>
      <c r="D336" s="22">
        <v>23.258333333333333</v>
      </c>
      <c r="E336" s="22">
        <v>-1.9307870370370372</v>
      </c>
      <c r="F336" s="22">
        <v>-0.52754629629629335</v>
      </c>
    </row>
    <row r="337" spans="2:6">
      <c r="B337" s="25">
        <v>99</v>
      </c>
      <c r="C337" s="22">
        <v>20.7</v>
      </c>
      <c r="D337" s="22">
        <v>22.937499999999996</v>
      </c>
      <c r="E337" s="22">
        <v>-1.8339120370370374</v>
      </c>
      <c r="F337" s="22">
        <v>-0.40358796296295907</v>
      </c>
    </row>
    <row r="338" spans="2:6">
      <c r="B338" s="25">
        <v>100</v>
      </c>
      <c r="C338" s="22">
        <v>22.4</v>
      </c>
      <c r="D338" s="22">
        <v>22.625</v>
      </c>
      <c r="E338" s="22">
        <v>-0.81238425925926028</v>
      </c>
      <c r="F338" s="22">
        <v>0.58738425925925952</v>
      </c>
    </row>
    <row r="339" spans="2:6">
      <c r="B339" s="25">
        <v>101</v>
      </c>
      <c r="C339" s="22">
        <v>23</v>
      </c>
      <c r="D339" s="22">
        <v>22.320833333333333</v>
      </c>
      <c r="E339" s="22">
        <v>0.7935185185185194</v>
      </c>
      <c r="F339" s="22">
        <v>-0.11435185185185048</v>
      </c>
    </row>
    <row r="340" spans="2:6">
      <c r="B340" s="25">
        <v>102</v>
      </c>
      <c r="C340" s="22">
        <v>23.4</v>
      </c>
      <c r="D340" s="22">
        <v>22.066666666666666</v>
      </c>
      <c r="E340" s="22">
        <v>0.99108796296296242</v>
      </c>
      <c r="F340" s="22">
        <v>0.34224537037037095</v>
      </c>
    </row>
    <row r="341" spans="2:6">
      <c r="B341" s="25">
        <v>103</v>
      </c>
      <c r="C341" s="22">
        <v>23.1</v>
      </c>
      <c r="D341" s="22">
        <v>21.812499999999996</v>
      </c>
      <c r="E341" s="22">
        <v>0.35115740740740775</v>
      </c>
      <c r="F341" s="22">
        <v>0.93634259259259878</v>
      </c>
    </row>
    <row r="342" spans="2:6">
      <c r="B342" s="25">
        <v>104</v>
      </c>
      <c r="C342" s="22">
        <v>22.6</v>
      </c>
      <c r="D342" s="22">
        <v>21.570833333333329</v>
      </c>
      <c r="E342" s="22">
        <v>1.8240740740740746</v>
      </c>
      <c r="F342" s="22">
        <v>-0.79490740740740407</v>
      </c>
    </row>
    <row r="343" spans="2:6">
      <c r="B343" s="25">
        <v>105</v>
      </c>
      <c r="C343" s="22">
        <v>21.6</v>
      </c>
      <c r="D343" s="22">
        <v>21.358333333333334</v>
      </c>
      <c r="E343" s="22">
        <v>0.71886574074074028</v>
      </c>
      <c r="F343" s="22">
        <v>-0.47719907407407192</v>
      </c>
    </row>
    <row r="344" spans="2:6">
      <c r="B344" s="25">
        <v>106</v>
      </c>
      <c r="C344" s="22">
        <v>21.1</v>
      </c>
      <c r="D344" s="22">
        <v>21.137499999999999</v>
      </c>
      <c r="E344" s="22">
        <v>0.93935185185185222</v>
      </c>
      <c r="F344" s="22">
        <v>-0.97685185185185119</v>
      </c>
    </row>
    <row r="345" spans="2:6">
      <c r="B345" s="25">
        <v>107</v>
      </c>
      <c r="C345" s="22">
        <v>21.3</v>
      </c>
      <c r="D345" s="22">
        <v>20.933333333333337</v>
      </c>
      <c r="E345" s="22">
        <v>0.63032407407407387</v>
      </c>
      <c r="F345" s="22">
        <v>-0.26365740740741117</v>
      </c>
    </row>
    <row r="346" spans="2:6">
      <c r="B346" s="25">
        <v>108</v>
      </c>
      <c r="C346" s="22">
        <v>20.3</v>
      </c>
      <c r="D346" s="22">
        <v>20.729166666666668</v>
      </c>
      <c r="E346" s="22">
        <v>-0.99918981481481495</v>
      </c>
      <c r="F346" s="22">
        <v>0.57002314814814881</v>
      </c>
    </row>
    <row r="347" spans="2:6">
      <c r="B347" s="25">
        <v>109</v>
      </c>
      <c r="C347" s="22">
        <v>19.7</v>
      </c>
      <c r="D347" s="22">
        <v>20.508333333333336</v>
      </c>
      <c r="E347" s="22">
        <v>-0.67210648148148078</v>
      </c>
      <c r="F347" s="22">
        <v>-0.13622685185185546</v>
      </c>
    </row>
    <row r="348" spans="2:6">
      <c r="B348" s="25">
        <v>110</v>
      </c>
      <c r="C348" s="22">
        <v>18.5</v>
      </c>
      <c r="D348" s="22">
        <v>20.333333333333332</v>
      </c>
      <c r="E348" s="22">
        <v>-1.9307870370370372</v>
      </c>
      <c r="F348" s="22">
        <v>9.7453703703706651E-2</v>
      </c>
    </row>
    <row r="349" spans="2:6">
      <c r="B349" s="25">
        <v>111</v>
      </c>
      <c r="C349" s="22">
        <v>17.899999999999999</v>
      </c>
      <c r="D349" s="22">
        <v>20.2</v>
      </c>
      <c r="E349" s="22">
        <v>-1.8339120370370374</v>
      </c>
      <c r="F349" s="22">
        <v>-0.46608796296296262</v>
      </c>
    </row>
    <row r="350" spans="2:6">
      <c r="B350" s="25">
        <v>112</v>
      </c>
      <c r="C350" s="22">
        <v>19.899999999999999</v>
      </c>
      <c r="D350" s="22">
        <v>20.070833333333333</v>
      </c>
      <c r="E350" s="22">
        <v>-0.81238425925926028</v>
      </c>
      <c r="F350" s="22">
        <v>0.64155092592592666</v>
      </c>
    </row>
    <row r="351" spans="2:6">
      <c r="B351" s="25">
        <v>113</v>
      </c>
      <c r="C351" s="22">
        <v>20.6</v>
      </c>
      <c r="D351" s="22">
        <v>19.949999999999996</v>
      </c>
      <c r="E351" s="22">
        <v>0.7935185185185194</v>
      </c>
      <c r="F351" s="22">
        <v>-0.14351851851851194</v>
      </c>
    </row>
    <row r="352" spans="2:6">
      <c r="B352" s="25">
        <v>114</v>
      </c>
      <c r="C352" s="22">
        <v>20.9</v>
      </c>
      <c r="D352" s="22">
        <v>19.845833333333331</v>
      </c>
      <c r="E352" s="22">
        <v>0.99108796296296242</v>
      </c>
      <c r="F352" s="22">
        <v>6.3078703703705941E-2</v>
      </c>
    </row>
    <row r="353" spans="2:6">
      <c r="B353" s="25">
        <v>115</v>
      </c>
      <c r="C353" s="22">
        <v>20.3</v>
      </c>
      <c r="D353" s="22">
        <v>19.954166666666666</v>
      </c>
      <c r="E353" s="22">
        <v>0.35115740740740775</v>
      </c>
      <c r="F353" s="22">
        <v>-5.3240740740712056E-3</v>
      </c>
    </row>
    <row r="354" spans="2:6">
      <c r="B354" s="25">
        <v>116</v>
      </c>
      <c r="C354" s="22">
        <v>21.2</v>
      </c>
      <c r="D354" s="22">
        <v>20.229166666666664</v>
      </c>
      <c r="E354" s="22">
        <v>1.8240740740740746</v>
      </c>
      <c r="F354" s="22">
        <v>-0.85324074074074119</v>
      </c>
    </row>
    <row r="355" spans="2:6">
      <c r="B355" s="25">
        <v>117</v>
      </c>
      <c r="C355" s="22">
        <v>19.8</v>
      </c>
      <c r="D355" s="22">
        <v>20.55</v>
      </c>
      <c r="E355" s="22">
        <v>0.71886574074074028</v>
      </c>
      <c r="F355" s="22">
        <v>-1.4688657407407391</v>
      </c>
    </row>
    <row r="356" spans="2:6">
      <c r="B356" s="25">
        <v>118</v>
      </c>
      <c r="C356" s="22">
        <v>19.8</v>
      </c>
      <c r="D356" s="22">
        <v>20.879166666666666</v>
      </c>
      <c r="E356" s="22">
        <v>0.93935185185185222</v>
      </c>
      <c r="F356" s="22">
        <v>-2.018518518518519</v>
      </c>
    </row>
    <row r="357" spans="2:6">
      <c r="B357" s="25">
        <v>119</v>
      </c>
      <c r="C357" s="22">
        <v>19.7</v>
      </c>
      <c r="D357" s="22">
        <v>21.137500000000003</v>
      </c>
      <c r="E357" s="22">
        <v>0.63032407407407387</v>
      </c>
      <c r="F357" s="22">
        <v>-2.0678240740740783</v>
      </c>
    </row>
    <row r="358" spans="2:6">
      <c r="B358" s="25">
        <v>120</v>
      </c>
      <c r="C358" s="22">
        <v>19.399999999999999</v>
      </c>
      <c r="D358" s="22">
        <v>21.4</v>
      </c>
      <c r="E358" s="22">
        <v>-0.99918981481481495</v>
      </c>
      <c r="F358" s="22">
        <v>-1.0008101851851841</v>
      </c>
    </row>
    <row r="359" spans="2:6">
      <c r="B359" s="25">
        <v>121</v>
      </c>
      <c r="C359" s="22">
        <v>23.2</v>
      </c>
      <c r="D359" s="22">
        <v>21.679166666666664</v>
      </c>
      <c r="E359" s="22">
        <v>-0.67210648148148078</v>
      </c>
      <c r="F359" s="22">
        <v>2.1929398148148174</v>
      </c>
    </row>
    <row r="360" spans="2:6">
      <c r="B360" s="25">
        <v>122</v>
      </c>
      <c r="C360" s="22">
        <v>21.6</v>
      </c>
      <c r="D360" s="22">
        <v>21.949999999999996</v>
      </c>
      <c r="E360" s="22">
        <v>-1.9307870370370372</v>
      </c>
      <c r="F360" s="22">
        <v>1.5807870370370445</v>
      </c>
    </row>
    <row r="361" spans="2:6">
      <c r="B361" s="25">
        <v>123</v>
      </c>
      <c r="C361" s="22">
        <v>22.5</v>
      </c>
      <c r="D361" s="22">
        <v>22.237500000000001</v>
      </c>
      <c r="E361" s="22">
        <v>-1.8339120370370374</v>
      </c>
      <c r="F361" s="22">
        <v>2.0964120370370374</v>
      </c>
    </row>
    <row r="362" spans="2:6">
      <c r="B362" s="25">
        <v>124</v>
      </c>
      <c r="C362" s="22">
        <v>23.2</v>
      </c>
      <c r="D362" s="22">
        <v>22.541666666666668</v>
      </c>
      <c r="E362" s="22">
        <v>-0.81238425925926028</v>
      </c>
      <c r="F362" s="22">
        <v>1.4707175925925924</v>
      </c>
    </row>
    <row r="363" spans="2:6">
      <c r="B363" s="25">
        <v>125</v>
      </c>
      <c r="C363" s="22">
        <v>23.5</v>
      </c>
      <c r="D363" s="22">
        <v>22.824999999999999</v>
      </c>
      <c r="E363" s="22">
        <v>0.7935185185185194</v>
      </c>
      <c r="F363" s="22">
        <v>-0.11851851851851691</v>
      </c>
    </row>
    <row r="364" spans="2:6">
      <c r="B364" s="25">
        <v>126</v>
      </c>
      <c r="C364" s="22">
        <v>24.3</v>
      </c>
      <c r="D364" s="22">
        <v>23.104166666666664</v>
      </c>
      <c r="E364" s="22">
        <v>0.99108796296296242</v>
      </c>
      <c r="F364" s="22">
        <v>0.20474537037037521</v>
      </c>
    </row>
    <row r="365" spans="2:6">
      <c r="B365" s="25">
        <v>127</v>
      </c>
      <c r="C365" s="22">
        <v>23.6</v>
      </c>
      <c r="D365" s="22">
        <v>23.258333333333333</v>
      </c>
      <c r="E365" s="22">
        <v>0.35115740740740775</v>
      </c>
      <c r="F365" s="22">
        <v>-9.4907407407376354E-3</v>
      </c>
    </row>
    <row r="366" spans="2:6">
      <c r="B366" s="25">
        <v>128</v>
      </c>
      <c r="C366" s="22">
        <v>24.4</v>
      </c>
      <c r="D366" s="22">
        <v>23.304166666666664</v>
      </c>
      <c r="E366" s="22">
        <v>1.8240740740740746</v>
      </c>
      <c r="F366" s="22">
        <v>-0.72824074074074119</v>
      </c>
    </row>
    <row r="367" spans="2:6">
      <c r="B367" s="25">
        <v>129</v>
      </c>
      <c r="C367" s="22">
        <v>23.5</v>
      </c>
      <c r="D367" s="22">
        <v>23.299999999999997</v>
      </c>
      <c r="E367" s="22">
        <v>0.71886574074074028</v>
      </c>
      <c r="F367" s="22">
        <v>-0.51886574074073621</v>
      </c>
    </row>
    <row r="368" spans="2:6">
      <c r="B368" s="25">
        <v>130</v>
      </c>
      <c r="C368" s="22">
        <v>23.4</v>
      </c>
      <c r="D368" s="22">
        <v>23.249999999999996</v>
      </c>
      <c r="E368" s="22">
        <v>0.93935185185185222</v>
      </c>
      <c r="F368" s="22">
        <v>-0.78935185185185119</v>
      </c>
    </row>
    <row r="369" spans="2:6">
      <c r="B369" s="25">
        <v>131</v>
      </c>
      <c r="C369" s="22">
        <v>22.9</v>
      </c>
      <c r="D369" s="22">
        <v>23.266666666666669</v>
      </c>
      <c r="E369" s="22">
        <v>0.63032407407407387</v>
      </c>
      <c r="F369" s="22">
        <v>-0.99699074074074545</v>
      </c>
    </row>
    <row r="370" spans="2:6">
      <c r="B370" s="25">
        <v>132</v>
      </c>
      <c r="C370" s="22">
        <v>22.9</v>
      </c>
      <c r="D370" s="22">
        <v>23.295833333333334</v>
      </c>
      <c r="E370" s="22">
        <v>-0.99918981481481495</v>
      </c>
      <c r="F370" s="22">
        <v>0.60335648148148024</v>
      </c>
    </row>
    <row r="371" spans="2:6">
      <c r="B371" s="25">
        <v>133</v>
      </c>
      <c r="C371" s="22">
        <v>23.4</v>
      </c>
      <c r="D371" s="22">
        <v>23.283333333333328</v>
      </c>
      <c r="E371" s="22">
        <v>-0.67210648148148078</v>
      </c>
      <c r="F371" s="22">
        <v>0.78877314814815236</v>
      </c>
    </row>
    <row r="372" spans="2:6">
      <c r="B372" s="25">
        <v>134</v>
      </c>
      <c r="C372" s="22">
        <v>22.5</v>
      </c>
      <c r="D372" s="22">
        <v>23.291666666666664</v>
      </c>
      <c r="E372" s="22">
        <v>-1.9307870370370372</v>
      </c>
      <c r="F372" s="22">
        <v>1.1391203703703745</v>
      </c>
    </row>
    <row r="373" spans="2:6">
      <c r="B373" s="25">
        <v>135</v>
      </c>
      <c r="C373" s="22">
        <v>21.5</v>
      </c>
      <c r="D373" s="22">
        <v>23.295833333333331</v>
      </c>
      <c r="E373" s="22">
        <v>-1.8339120370370374</v>
      </c>
      <c r="F373" s="22">
        <v>3.8078703703707362E-2</v>
      </c>
    </row>
    <row r="374" spans="2:6">
      <c r="B374" s="25">
        <v>136</v>
      </c>
      <c r="C374" s="22">
        <v>23</v>
      </c>
      <c r="D374" s="22">
        <v>23.295833333333331</v>
      </c>
      <c r="E374" s="22">
        <v>-0.81238425925926028</v>
      </c>
      <c r="F374" s="22">
        <v>0.51655092592593022</v>
      </c>
    </row>
    <row r="375" spans="2:6">
      <c r="B375" s="25">
        <v>137</v>
      </c>
      <c r="C375" s="22">
        <v>24.1</v>
      </c>
      <c r="D375" s="22">
        <v>23.345833333333331</v>
      </c>
      <c r="E375" s="22">
        <v>0.7935185185185194</v>
      </c>
      <c r="F375" s="22">
        <v>-3.9351851851847641E-2</v>
      </c>
    </row>
    <row r="376" spans="2:6">
      <c r="B376" s="25">
        <v>138</v>
      </c>
      <c r="C376" s="22">
        <v>24.4</v>
      </c>
      <c r="D376" s="22">
        <v>23.354166666666668</v>
      </c>
      <c r="E376" s="22">
        <v>0.99108796296296242</v>
      </c>
      <c r="F376" s="22">
        <v>5.4745370370369528E-2</v>
      </c>
    </row>
    <row r="377" spans="2:6">
      <c r="B377" s="25">
        <v>139</v>
      </c>
      <c r="C377" s="22">
        <v>23.2</v>
      </c>
      <c r="D377" s="22">
        <v>23.295833333333334</v>
      </c>
      <c r="E377" s="22">
        <v>0.35115740740740775</v>
      </c>
      <c r="F377" s="22">
        <v>-0.44699074074074119</v>
      </c>
    </row>
    <row r="378" spans="2:6">
      <c r="B378" s="25">
        <v>140</v>
      </c>
      <c r="C378" s="22">
        <v>25</v>
      </c>
      <c r="D378" s="22">
        <v>23.237500000000001</v>
      </c>
      <c r="E378" s="22">
        <v>1.8240740740740746</v>
      </c>
      <c r="F378" s="22">
        <v>-6.157407407407689E-2</v>
      </c>
    </row>
    <row r="379" spans="2:6">
      <c r="B379" s="25">
        <v>141</v>
      </c>
      <c r="C379" s="22">
        <v>23</v>
      </c>
      <c r="D379" s="22">
        <v>23.270833333333332</v>
      </c>
      <c r="E379" s="22">
        <v>0.71886574074074028</v>
      </c>
      <c r="F379" s="22">
        <v>-0.98969907407407121</v>
      </c>
    </row>
    <row r="380" spans="2:6">
      <c r="B380" s="25">
        <v>142</v>
      </c>
      <c r="C380" s="22">
        <v>23.9</v>
      </c>
      <c r="D380" s="22">
        <v>23.216666666666665</v>
      </c>
      <c r="E380" s="22">
        <v>0.93935185185185222</v>
      </c>
      <c r="F380" s="22">
        <v>-0.25601851851851976</v>
      </c>
    </row>
    <row r="381" spans="2:6">
      <c r="B381" s="25">
        <v>143</v>
      </c>
      <c r="C381" s="22">
        <v>23.6</v>
      </c>
      <c r="D381" s="22">
        <v>23.166666666666664</v>
      </c>
      <c r="E381" s="22">
        <v>0.63032407407407387</v>
      </c>
      <c r="F381" s="22">
        <v>-0.19699074074073764</v>
      </c>
    </row>
    <row r="382" spans="2:6">
      <c r="B382" s="25">
        <v>144</v>
      </c>
      <c r="C382" s="22">
        <v>22.4</v>
      </c>
      <c r="D382" s="22">
        <v>23.104166666666664</v>
      </c>
      <c r="E382" s="22">
        <v>-0.99918981481481495</v>
      </c>
      <c r="F382" s="22">
        <v>0.29502314814815023</v>
      </c>
    </row>
    <row r="383" spans="2:6">
      <c r="B383" s="25">
        <v>145</v>
      </c>
      <c r="C383" s="22">
        <v>22.5</v>
      </c>
      <c r="D383" s="22">
        <v>23.045833333333334</v>
      </c>
      <c r="E383" s="22">
        <v>-0.67210648148148078</v>
      </c>
      <c r="F383" s="22">
        <v>0.12627314814814738</v>
      </c>
    </row>
    <row r="384" spans="2:6">
      <c r="B384" s="25">
        <v>146</v>
      </c>
      <c r="C384" s="22">
        <v>22</v>
      </c>
      <c r="D384" s="22">
        <v>23.158333333333335</v>
      </c>
      <c r="E384" s="22">
        <v>-1.9307870370370372</v>
      </c>
      <c r="F384" s="22">
        <v>0.77245370370370381</v>
      </c>
    </row>
    <row r="385" spans="2:6">
      <c r="B385" s="25">
        <v>147</v>
      </c>
      <c r="C385" s="22">
        <v>22.8</v>
      </c>
      <c r="D385" s="22">
        <v>23.133333333333333</v>
      </c>
      <c r="E385" s="22">
        <v>-1.8339120370370374</v>
      </c>
      <c r="F385" s="22">
        <v>1.5005787037037059</v>
      </c>
    </row>
    <row r="386" spans="2:6">
      <c r="B386" s="25">
        <v>148</v>
      </c>
      <c r="C386" s="22">
        <v>20.399999999999999</v>
      </c>
      <c r="D386" s="22">
        <v>23.05</v>
      </c>
      <c r="E386" s="22">
        <v>-0.81238425925926028</v>
      </c>
      <c r="F386" s="22">
        <v>-1.8376157407407412</v>
      </c>
    </row>
    <row r="387" spans="2:6">
      <c r="B387" s="25">
        <v>149</v>
      </c>
      <c r="C387" s="22">
        <v>25.5</v>
      </c>
      <c r="D387" s="22">
        <v>23.037499999999998</v>
      </c>
      <c r="E387" s="22">
        <v>0.7935185185185194</v>
      </c>
      <c r="F387" s="22">
        <v>1.6689814814814845</v>
      </c>
    </row>
    <row r="388" spans="2:6">
      <c r="B388" s="25">
        <v>150</v>
      </c>
      <c r="C388" s="22">
        <v>21.5</v>
      </c>
      <c r="D388" s="22">
        <v>23.033333333333331</v>
      </c>
      <c r="E388" s="22">
        <v>0.99108796296296242</v>
      </c>
      <c r="F388" s="22">
        <v>-2.5244212962962926</v>
      </c>
    </row>
    <row r="389" spans="2:6">
      <c r="B389" s="25">
        <v>151</v>
      </c>
      <c r="C389" s="22">
        <v>24.7</v>
      </c>
      <c r="D389" s="22"/>
      <c r="E389" s="22"/>
      <c r="F389" s="22"/>
    </row>
    <row r="390" spans="2:6">
      <c r="B390" s="25">
        <v>152</v>
      </c>
      <c r="C390" s="22">
        <v>26.2</v>
      </c>
      <c r="D390" s="22"/>
      <c r="E390" s="22"/>
      <c r="F390" s="22"/>
    </row>
    <row r="391" spans="2:6">
      <c r="B391" s="25">
        <v>153</v>
      </c>
      <c r="C391" s="22">
        <v>21.2</v>
      </c>
      <c r="D391" s="22"/>
      <c r="E391" s="22"/>
      <c r="F391" s="22"/>
    </row>
    <row r="392" spans="2:6">
      <c r="B392" s="25">
        <v>154</v>
      </c>
      <c r="C392" s="22">
        <v>23.7</v>
      </c>
      <c r="D392" s="22"/>
      <c r="E392" s="22"/>
      <c r="F392" s="22"/>
    </row>
    <row r="393" spans="2:6">
      <c r="B393" s="10">
        <v>155</v>
      </c>
      <c r="C393" s="22">
        <v>23.5</v>
      </c>
      <c r="D393" s="22"/>
      <c r="E393" s="22"/>
      <c r="F393" s="22"/>
    </row>
    <row r="394" spans="2:6" ht="16" thickBot="1">
      <c r="B394" s="19">
        <v>156</v>
      </c>
      <c r="C394" s="21">
        <v>22.4</v>
      </c>
      <c r="D394" s="21"/>
      <c r="E394" s="21"/>
      <c r="F394" s="21"/>
    </row>
    <row r="413" spans="7:7">
      <c r="G413" t="s">
        <v>219</v>
      </c>
    </row>
    <row r="432" spans="7:7">
      <c r="G432" t="s">
        <v>219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DD966396">
              <controlPr defaultSize="0" autoFill="0" autoPict="0" macro="[0]!GoToResultsNew101320186524569">
                <anchor moveWithCells="1">
                  <from>
                    <xdr:col>0</xdr:col>
                    <xdr:colOff>330200</xdr:colOff>
                    <xdr:row>3</xdr:row>
                    <xdr:rowOff>0</xdr:rowOff>
                  </from>
                  <to>
                    <xdr:col>4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007800"/>
  </sheetPr>
  <dimension ref="B1:J324"/>
  <sheetViews>
    <sheetView topLeftCell="A43" zoomScaleNormal="100" workbookViewId="0">
      <selection activeCell="H62" sqref="H62"/>
    </sheetView>
  </sheetViews>
  <sheetFormatPr baseColWidth="10" defaultColWidth="8.83203125" defaultRowHeight="15"/>
  <cols>
    <col min="1" max="1" width="5" customWidth="1"/>
    <col min="4" max="4" width="21.1640625" bestFit="1" customWidth="1"/>
  </cols>
  <sheetData>
    <row r="1" spans="2:9">
      <c r="B1" t="s">
        <v>226</v>
      </c>
    </row>
    <row r="2" spans="2:9">
      <c r="B2" t="s">
        <v>174</v>
      </c>
    </row>
    <row r="3" spans="2:9">
      <c r="B3" t="s">
        <v>175</v>
      </c>
    </row>
    <row r="4" spans="2:9">
      <c r="B4" t="s">
        <v>176</v>
      </c>
    </row>
    <row r="5" spans="2:9">
      <c r="B5" t="s">
        <v>177</v>
      </c>
    </row>
    <row r="6" spans="2:9">
      <c r="B6" t="s">
        <v>178</v>
      </c>
    </row>
    <row r="7" spans="2:9">
      <c r="B7" t="s">
        <v>179</v>
      </c>
    </row>
    <row r="8" spans="2:9">
      <c r="B8" t="s">
        <v>175</v>
      </c>
    </row>
    <row r="9" spans="2:9">
      <c r="B9" t="s">
        <v>225</v>
      </c>
    </row>
    <row r="10" spans="2:9" ht="34.25" customHeight="1"/>
    <row r="11" spans="2:9" ht="16.25" customHeight="1"/>
    <row r="14" spans="2:9">
      <c r="B14" t="s">
        <v>180</v>
      </c>
    </row>
    <row r="15" spans="2:9" ht="16" thickBot="1"/>
    <row r="16" spans="2:9">
      <c r="B16" s="11" t="s">
        <v>181</v>
      </c>
      <c r="C16" s="12" t="s">
        <v>182</v>
      </c>
      <c r="D16" s="12" t="s">
        <v>183</v>
      </c>
      <c r="E16" s="12" t="s">
        <v>184</v>
      </c>
      <c r="F16" s="12" t="s">
        <v>185</v>
      </c>
      <c r="G16" s="12" t="s">
        <v>186</v>
      </c>
      <c r="H16" s="12" t="s">
        <v>187</v>
      </c>
      <c r="I16" s="12" t="s">
        <v>188</v>
      </c>
    </row>
    <row r="17" spans="2:9" ht="16" thickBot="1">
      <c r="B17" s="14" t="s">
        <v>5</v>
      </c>
      <c r="C17" s="15">
        <v>156</v>
      </c>
      <c r="D17" s="15">
        <v>0</v>
      </c>
      <c r="E17" s="15">
        <v>156</v>
      </c>
      <c r="F17" s="16">
        <v>17.899999999999999</v>
      </c>
      <c r="G17" s="16">
        <v>54.2</v>
      </c>
      <c r="H17" s="16">
        <v>31.433974358974371</v>
      </c>
      <c r="I17" s="16">
        <v>9.8384990777335712</v>
      </c>
    </row>
    <row r="20" spans="2:9">
      <c r="B20" s="17" t="s">
        <v>189</v>
      </c>
    </row>
    <row r="22" spans="2:9">
      <c r="B22" t="s">
        <v>190</v>
      </c>
    </row>
    <row r="24" spans="2:9">
      <c r="B24" t="s">
        <v>191</v>
      </c>
    </row>
    <row r="25" spans="2:9" ht="16" thickBot="1"/>
    <row r="26" spans="2:9">
      <c r="B26" s="18" t="s">
        <v>182</v>
      </c>
      <c r="C26" s="18">
        <v>131</v>
      </c>
    </row>
    <row r="27" spans="2:9">
      <c r="B27" s="10" t="s">
        <v>192</v>
      </c>
      <c r="C27" s="10">
        <v>127</v>
      </c>
    </row>
    <row r="28" spans="2:9">
      <c r="B28" s="10" t="s">
        <v>193</v>
      </c>
      <c r="C28" s="10">
        <v>436.57788645553234</v>
      </c>
    </row>
    <row r="29" spans="2:9">
      <c r="B29" s="10" t="s">
        <v>194</v>
      </c>
      <c r="C29" s="10">
        <v>3.3326556217979566</v>
      </c>
    </row>
    <row r="30" spans="2:9">
      <c r="B30" s="10" t="s">
        <v>167</v>
      </c>
      <c r="C30" s="10">
        <v>1.8255562499681999</v>
      </c>
    </row>
    <row r="31" spans="2:9">
      <c r="B31" s="10" t="s">
        <v>195</v>
      </c>
      <c r="C31" s="10">
        <v>3.3326556217979566</v>
      </c>
    </row>
    <row r="32" spans="2:9">
      <c r="B32" s="10" t="s">
        <v>196</v>
      </c>
      <c r="C32" s="10">
        <v>68659619818740.422</v>
      </c>
    </row>
    <row r="33" spans="2:9">
      <c r="B33" s="10" t="s">
        <v>197</v>
      </c>
      <c r="C33" s="10">
        <v>3.6418036689089894</v>
      </c>
    </row>
    <row r="34" spans="2:9">
      <c r="B34" s="10" t="s">
        <v>198</v>
      </c>
      <c r="C34" s="10">
        <v>530.77068787214409</v>
      </c>
    </row>
    <row r="35" spans="2:9">
      <c r="B35" s="10" t="s">
        <v>199</v>
      </c>
      <c r="C35" s="10">
        <v>4.0669695723636083</v>
      </c>
    </row>
    <row r="36" spans="2:9">
      <c r="B36" s="10" t="s">
        <v>200</v>
      </c>
      <c r="C36" s="10">
        <v>538.77068787214409</v>
      </c>
    </row>
    <row r="37" spans="2:9">
      <c r="B37" s="10" t="s">
        <v>201</v>
      </c>
      <c r="C37" s="10">
        <v>539.08814818960445</v>
      </c>
    </row>
    <row r="38" spans="2:9">
      <c r="B38" s="10" t="s">
        <v>202</v>
      </c>
      <c r="C38" s="10">
        <v>550.27147716494869</v>
      </c>
    </row>
    <row r="39" spans="2:9" ht="16" thickBot="1">
      <c r="B39" s="19" t="s">
        <v>203</v>
      </c>
      <c r="C39" s="19">
        <v>32</v>
      </c>
    </row>
    <row r="42" spans="2:9">
      <c r="B42" t="s">
        <v>204</v>
      </c>
    </row>
    <row r="43" spans="2:9" ht="16" thickBot="1"/>
    <row r="44" spans="2:9">
      <c r="B44" s="11" t="s">
        <v>205</v>
      </c>
      <c r="C44" s="12" t="s">
        <v>206</v>
      </c>
      <c r="D44" s="12" t="s">
        <v>207</v>
      </c>
      <c r="E44" s="12" t="s">
        <v>208</v>
      </c>
      <c r="F44" s="12" t="s">
        <v>209</v>
      </c>
    </row>
    <row r="45" spans="2:9" ht="16" thickBot="1">
      <c r="B45" s="14" t="s">
        <v>210</v>
      </c>
      <c r="C45" s="16">
        <v>5.2444907432587944E-2</v>
      </c>
      <c r="D45" s="16">
        <v>8.3868642762459547E-2</v>
      </c>
      <c r="E45" s="16">
        <v>-0.11193461181408859</v>
      </c>
      <c r="F45" s="16">
        <v>0.21682442667926449</v>
      </c>
    </row>
    <row r="47" spans="2:9" ht="16" thickBot="1"/>
    <row r="48" spans="2:9">
      <c r="B48" s="11" t="s">
        <v>205</v>
      </c>
      <c r="C48" s="12" t="s">
        <v>206</v>
      </c>
      <c r="D48" s="12" t="s">
        <v>207</v>
      </c>
      <c r="E48" s="12" t="s">
        <v>208</v>
      </c>
      <c r="F48" s="12" t="s">
        <v>209</v>
      </c>
      <c r="G48" s="12" t="s">
        <v>211</v>
      </c>
      <c r="H48" s="12" t="s">
        <v>208</v>
      </c>
      <c r="I48" s="12" t="s">
        <v>209</v>
      </c>
    </row>
    <row r="49" spans="2:9">
      <c r="B49" s="13" t="s">
        <v>212</v>
      </c>
      <c r="C49" s="20">
        <v>-0.51691931895829624</v>
      </c>
      <c r="D49" s="20">
        <v>7.4496096004735404E-2</v>
      </c>
      <c r="E49" s="20">
        <v>-0.66292898411641588</v>
      </c>
      <c r="F49" s="20">
        <v>-0.37090965380017665</v>
      </c>
      <c r="G49" s="20">
        <v>8.6428154223370815E-2</v>
      </c>
      <c r="H49" s="20">
        <v>-0.68631538848637641</v>
      </c>
      <c r="I49" s="20">
        <v>-0.34752324943021612</v>
      </c>
    </row>
    <row r="50" spans="2:9" ht="16" thickBot="1">
      <c r="B50" s="19" t="s">
        <v>213</v>
      </c>
      <c r="C50" s="21">
        <v>-0.28334749444863377</v>
      </c>
      <c r="D50" s="21">
        <v>8.2619504795301807E-2</v>
      </c>
      <c r="E50" s="21">
        <v>-0.44527874826795955</v>
      </c>
      <c r="F50" s="21">
        <v>-0.12141624062930798</v>
      </c>
      <c r="G50" s="21">
        <v>9.4322289994476963E-2</v>
      </c>
      <c r="H50" s="21">
        <v>-0.46821578577715128</v>
      </c>
      <c r="I50" s="21">
        <v>-9.8479203120116265E-2</v>
      </c>
    </row>
    <row r="53" spans="2:9">
      <c r="B53" t="s">
        <v>214</v>
      </c>
    </row>
    <row r="54" spans="2:9" ht="16" thickBot="1"/>
    <row r="55" spans="2:9">
      <c r="B55" s="23" t="s">
        <v>182</v>
      </c>
      <c r="C55" s="12" t="s">
        <v>5</v>
      </c>
      <c r="D55" s="12" t="s">
        <v>215</v>
      </c>
      <c r="E55" s="12" t="s">
        <v>216</v>
      </c>
      <c r="F55" s="12" t="s">
        <v>217</v>
      </c>
      <c r="G55" s="12" t="s">
        <v>218</v>
      </c>
      <c r="H55" s="12" t="s">
        <v>208</v>
      </c>
      <c r="I55" s="12" t="s">
        <v>209</v>
      </c>
    </row>
    <row r="56" spans="2:9">
      <c r="B56" s="24">
        <v>1</v>
      </c>
      <c r="C56" s="20">
        <v>53.1</v>
      </c>
      <c r="D56" s="20">
        <v>53.1</v>
      </c>
      <c r="E56" s="20">
        <v>0</v>
      </c>
      <c r="F56" s="20">
        <v>0</v>
      </c>
      <c r="G56" s="20"/>
      <c r="H56" s="20"/>
      <c r="I56" s="20"/>
    </row>
    <row r="57" spans="2:9">
      <c r="B57" s="25">
        <v>2</v>
      </c>
      <c r="C57" s="22">
        <v>50.8</v>
      </c>
      <c r="D57" s="22">
        <v>50.8</v>
      </c>
      <c r="E57" s="22">
        <v>0</v>
      </c>
      <c r="F57" s="22">
        <v>0</v>
      </c>
      <c r="G57" s="22"/>
      <c r="H57" s="22"/>
      <c r="I57" s="22"/>
    </row>
    <row r="58" spans="2:9">
      <c r="B58" s="25">
        <v>3</v>
      </c>
      <c r="C58" s="22">
        <v>50.1</v>
      </c>
      <c r="D58" s="22">
        <v>50.1</v>
      </c>
      <c r="E58" s="22">
        <v>0</v>
      </c>
      <c r="F58" s="22">
        <v>0</v>
      </c>
      <c r="G58" s="22"/>
      <c r="H58" s="22"/>
      <c r="I58" s="22"/>
    </row>
    <row r="59" spans="2:9">
      <c r="B59" s="25">
        <v>4</v>
      </c>
      <c r="C59" s="22">
        <v>51.8</v>
      </c>
      <c r="D59" s="22">
        <v>51.8</v>
      </c>
      <c r="E59" s="22">
        <v>0</v>
      </c>
      <c r="F59" s="22">
        <v>0</v>
      </c>
      <c r="G59" s="22"/>
      <c r="H59" s="22"/>
      <c r="I59" s="22"/>
    </row>
    <row r="60" spans="2:9">
      <c r="B60" s="25">
        <v>5</v>
      </c>
      <c r="C60" s="22">
        <v>53.9</v>
      </c>
      <c r="D60" s="22">
        <v>53.9</v>
      </c>
      <c r="E60" s="22">
        <v>0</v>
      </c>
      <c r="F60" s="22">
        <v>0</v>
      </c>
      <c r="G60" s="22"/>
      <c r="H60" s="22"/>
      <c r="I60" s="22"/>
    </row>
    <row r="61" spans="2:9">
      <c r="B61" s="25">
        <v>6</v>
      </c>
      <c r="C61" s="22">
        <v>54.2</v>
      </c>
      <c r="D61" s="22">
        <v>54.2</v>
      </c>
      <c r="E61" s="22">
        <v>0</v>
      </c>
      <c r="F61" s="22">
        <v>0</v>
      </c>
      <c r="G61" s="22"/>
      <c r="H61" s="22"/>
      <c r="I61" s="22"/>
    </row>
    <row r="62" spans="2:9">
      <c r="B62" s="25">
        <v>7</v>
      </c>
      <c r="C62" s="22">
        <v>50.2</v>
      </c>
      <c r="D62" s="22">
        <v>50.2</v>
      </c>
      <c r="E62" s="22">
        <v>0</v>
      </c>
      <c r="F62" s="22">
        <v>0</v>
      </c>
      <c r="G62" s="22"/>
      <c r="H62" s="22"/>
      <c r="I62" s="22"/>
    </row>
    <row r="63" spans="2:9">
      <c r="B63" s="25">
        <v>8</v>
      </c>
      <c r="C63" s="22">
        <v>53.4</v>
      </c>
      <c r="D63" s="22">
        <v>53.4</v>
      </c>
      <c r="E63" s="22">
        <v>0</v>
      </c>
      <c r="F63" s="22">
        <v>0</v>
      </c>
      <c r="G63" s="22"/>
      <c r="H63" s="22"/>
      <c r="I63" s="22"/>
    </row>
    <row r="64" spans="2:9">
      <c r="B64" s="25">
        <v>9</v>
      </c>
      <c r="C64" s="22">
        <v>50.7</v>
      </c>
      <c r="D64" s="22">
        <v>50.7</v>
      </c>
      <c r="E64" s="22">
        <v>0</v>
      </c>
      <c r="F64" s="22">
        <v>0</v>
      </c>
      <c r="G64" s="22"/>
      <c r="H64" s="22"/>
      <c r="I64" s="22"/>
    </row>
    <row r="65" spans="2:9">
      <c r="B65" s="25">
        <v>10</v>
      </c>
      <c r="C65" s="22">
        <v>48.4</v>
      </c>
      <c r="D65" s="22">
        <v>48.4</v>
      </c>
      <c r="E65" s="22">
        <v>0</v>
      </c>
      <c r="F65" s="22">
        <v>0</v>
      </c>
      <c r="G65" s="22"/>
      <c r="H65" s="22"/>
      <c r="I65" s="22"/>
    </row>
    <row r="66" spans="2:9">
      <c r="B66" s="25">
        <v>11</v>
      </c>
      <c r="C66" s="22">
        <v>50.9</v>
      </c>
      <c r="D66" s="22">
        <v>50.9</v>
      </c>
      <c r="E66" s="22">
        <v>0</v>
      </c>
      <c r="F66" s="22">
        <v>0</v>
      </c>
      <c r="G66" s="22"/>
      <c r="H66" s="22"/>
      <c r="I66" s="22"/>
    </row>
    <row r="67" spans="2:9">
      <c r="B67" s="25">
        <v>12</v>
      </c>
      <c r="C67" s="22">
        <v>44.7</v>
      </c>
      <c r="D67" s="22">
        <v>44.7</v>
      </c>
      <c r="E67" s="22">
        <v>0</v>
      </c>
      <c r="F67" s="22">
        <v>0</v>
      </c>
      <c r="G67" s="22"/>
      <c r="H67" s="22"/>
      <c r="I67" s="22"/>
    </row>
    <row r="68" spans="2:9">
      <c r="B68" s="25">
        <v>13</v>
      </c>
      <c r="C68" s="22">
        <v>46</v>
      </c>
      <c r="D68" s="22">
        <v>46</v>
      </c>
      <c r="E68" s="22">
        <v>0</v>
      </c>
      <c r="F68" s="22">
        <v>0</v>
      </c>
      <c r="G68" s="22"/>
      <c r="H68" s="22"/>
      <c r="I68" s="22"/>
    </row>
    <row r="69" spans="2:9">
      <c r="B69" s="25">
        <v>14</v>
      </c>
      <c r="C69" s="22">
        <v>44.7</v>
      </c>
      <c r="D69" s="22">
        <v>43.922022958254956</v>
      </c>
      <c r="E69" s="22">
        <v>0.77797704174504645</v>
      </c>
      <c r="F69" s="22">
        <v>0.42615889910738075</v>
      </c>
      <c r="G69" s="22"/>
      <c r="H69" s="22"/>
      <c r="I69" s="22"/>
    </row>
    <row r="70" spans="2:9">
      <c r="B70" s="25">
        <v>15</v>
      </c>
      <c r="C70" s="22">
        <v>44.7</v>
      </c>
      <c r="D70" s="22">
        <v>43.60938049255622</v>
      </c>
      <c r="E70" s="22">
        <v>1.0906195074437832</v>
      </c>
      <c r="F70" s="22">
        <v>0.59741764049329138</v>
      </c>
      <c r="G70" s="22"/>
      <c r="H70" s="22"/>
      <c r="I70" s="22"/>
    </row>
    <row r="71" spans="2:9">
      <c r="B71" s="25">
        <v>16</v>
      </c>
      <c r="C71" s="22">
        <v>45.2</v>
      </c>
      <c r="D71" s="22">
        <v>46.079843963039636</v>
      </c>
      <c r="E71" s="22">
        <v>-0.87984396303963308</v>
      </c>
      <c r="F71" s="22">
        <v>-0.48195938254707815</v>
      </c>
      <c r="G71" s="22"/>
      <c r="H71" s="22"/>
      <c r="I71" s="22"/>
    </row>
    <row r="72" spans="2:9">
      <c r="B72" s="25">
        <v>17</v>
      </c>
      <c r="C72" s="22">
        <v>47.7</v>
      </c>
      <c r="D72" s="22">
        <v>47.988065905450661</v>
      </c>
      <c r="E72" s="22">
        <v>-0.28806590545065802</v>
      </c>
      <c r="F72" s="22">
        <v>-0.15779623632833881</v>
      </c>
      <c r="G72" s="22"/>
      <c r="H72" s="22"/>
      <c r="I72" s="22"/>
    </row>
    <row r="73" spans="2:9">
      <c r="B73" s="25">
        <v>18</v>
      </c>
      <c r="C73" s="22">
        <v>46.8</v>
      </c>
      <c r="D73" s="22">
        <v>47.827860450776328</v>
      </c>
      <c r="E73" s="22">
        <v>-1.0278604507763305</v>
      </c>
      <c r="F73" s="22">
        <v>-0.56303959453138475</v>
      </c>
      <c r="G73" s="22"/>
      <c r="H73" s="22"/>
      <c r="I73" s="22"/>
    </row>
    <row r="74" spans="2:9">
      <c r="B74" s="25">
        <v>19</v>
      </c>
      <c r="C74" s="22">
        <v>43.3</v>
      </c>
      <c r="D74" s="22">
        <v>43.49352493332092</v>
      </c>
      <c r="E74" s="22">
        <v>-0.1935249333209228</v>
      </c>
      <c r="F74" s="22">
        <v>-0.10600874847011364</v>
      </c>
      <c r="G74" s="22"/>
      <c r="H74" s="22"/>
      <c r="I74" s="22"/>
    </row>
    <row r="75" spans="2:9">
      <c r="B75" s="25">
        <v>20</v>
      </c>
      <c r="C75" s="22">
        <v>49.1</v>
      </c>
      <c r="D75" s="22">
        <v>46.43135846679715</v>
      </c>
      <c r="E75" s="22">
        <v>2.6686415332028517</v>
      </c>
      <c r="F75" s="22">
        <v>1.4618237774099472</v>
      </c>
      <c r="G75" s="22"/>
      <c r="H75" s="22"/>
      <c r="I75" s="22"/>
    </row>
    <row r="76" spans="2:9">
      <c r="B76" s="25">
        <v>21</v>
      </c>
      <c r="C76" s="22">
        <v>45.2</v>
      </c>
      <c r="D76" s="22">
        <v>45.145268228006572</v>
      </c>
      <c r="E76" s="22">
        <v>5.4731771993431266E-2</v>
      </c>
      <c r="F76" s="22">
        <v>2.9980874045587289E-2</v>
      </c>
      <c r="G76" s="22"/>
      <c r="H76" s="22"/>
      <c r="I76" s="22"/>
    </row>
    <row r="77" spans="2:9">
      <c r="B77" s="25">
        <v>22</v>
      </c>
      <c r="C77" s="22">
        <v>45.2</v>
      </c>
      <c r="D77" s="22">
        <v>43.651544318449325</v>
      </c>
      <c r="E77" s="22">
        <v>1.5484556815506778</v>
      </c>
      <c r="F77" s="22">
        <v>0.84821033675497592</v>
      </c>
      <c r="G77" s="22"/>
      <c r="H77" s="22"/>
      <c r="I77" s="22"/>
    </row>
    <row r="78" spans="2:9">
      <c r="B78" s="25">
        <v>23</v>
      </c>
      <c r="C78" s="22">
        <v>46.5</v>
      </c>
      <c r="D78" s="22">
        <v>46.614313134630684</v>
      </c>
      <c r="E78" s="22">
        <v>-0.11431313463068449</v>
      </c>
      <c r="F78" s="22">
        <v>-6.2618248346319516E-2</v>
      </c>
      <c r="G78" s="22"/>
      <c r="H78" s="22"/>
      <c r="I78" s="22"/>
    </row>
    <row r="79" spans="2:9">
      <c r="B79" s="25">
        <v>24</v>
      </c>
      <c r="C79" s="22">
        <v>41.7</v>
      </c>
      <c r="D79" s="22">
        <v>40.97391610981996</v>
      </c>
      <c r="E79" s="22">
        <v>0.7260838901800426</v>
      </c>
      <c r="F79" s="22">
        <v>0.39773295958023236</v>
      </c>
      <c r="G79" s="22"/>
      <c r="H79" s="22"/>
      <c r="I79" s="22"/>
    </row>
    <row r="80" spans="2:9">
      <c r="B80" s="25">
        <v>25</v>
      </c>
      <c r="C80" s="22">
        <v>44.7</v>
      </c>
      <c r="D80" s="22">
        <v>42.543478484694717</v>
      </c>
      <c r="E80" s="22">
        <v>2.1565215153052861</v>
      </c>
      <c r="F80" s="22">
        <v>1.1812955724277745</v>
      </c>
      <c r="G80" s="22"/>
      <c r="H80" s="22"/>
      <c r="I80" s="22"/>
    </row>
    <row r="81" spans="2:9">
      <c r="B81" s="25">
        <v>26</v>
      </c>
      <c r="C81" s="22">
        <v>39.1</v>
      </c>
      <c r="D81" s="22">
        <v>42.414797905995087</v>
      </c>
      <c r="E81" s="22">
        <v>-3.3147979059950856</v>
      </c>
      <c r="F81" s="22">
        <v>-1.8157741817338291</v>
      </c>
      <c r="G81" s="22"/>
      <c r="H81" s="22"/>
      <c r="I81" s="22"/>
    </row>
    <row r="82" spans="2:9">
      <c r="B82" s="25">
        <v>27</v>
      </c>
      <c r="C82" s="22">
        <v>41.3</v>
      </c>
      <c r="D82" s="22">
        <v>41.080038347821578</v>
      </c>
      <c r="E82" s="22">
        <v>0.21996165217841934</v>
      </c>
      <c r="F82" s="22">
        <v>0.1204902079474412</v>
      </c>
      <c r="G82" s="22"/>
      <c r="H82" s="22"/>
      <c r="I82" s="22"/>
    </row>
    <row r="83" spans="2:9">
      <c r="B83" s="25">
        <v>28</v>
      </c>
      <c r="C83" s="22">
        <v>40</v>
      </c>
      <c r="D83" s="22">
        <v>41.002363352202735</v>
      </c>
      <c r="E83" s="22">
        <v>-1.0023633522027353</v>
      </c>
      <c r="F83" s="22">
        <v>-0.54907283860477918</v>
      </c>
      <c r="G83" s="22"/>
      <c r="H83" s="22"/>
      <c r="I83" s="22"/>
    </row>
    <row r="84" spans="2:9">
      <c r="B84" s="25">
        <v>29</v>
      </c>
      <c r="C84" s="22">
        <v>44.9</v>
      </c>
      <c r="D84" s="22">
        <v>43.594973445250062</v>
      </c>
      <c r="E84" s="22">
        <v>1.3050265547499365</v>
      </c>
      <c r="F84" s="22">
        <v>0.71486515672835016</v>
      </c>
      <c r="G84" s="22"/>
      <c r="H84" s="22"/>
      <c r="I84" s="22"/>
    </row>
    <row r="85" spans="2:9">
      <c r="B85" s="25">
        <v>30</v>
      </c>
      <c r="C85" s="22">
        <v>40.9</v>
      </c>
      <c r="D85" s="22">
        <v>43.14291982656875</v>
      </c>
      <c r="E85" s="22">
        <v>-2.2429198265687518</v>
      </c>
      <c r="F85" s="22">
        <v>-1.2286226878014972</v>
      </c>
      <c r="G85" s="22"/>
      <c r="H85" s="22"/>
      <c r="I85" s="22"/>
    </row>
    <row r="86" spans="2:9">
      <c r="B86" s="25">
        <v>31</v>
      </c>
      <c r="C86" s="22">
        <v>44.3</v>
      </c>
      <c r="D86" s="22">
        <v>39.138633810450983</v>
      </c>
      <c r="E86" s="22">
        <v>5.1613661895490139</v>
      </c>
      <c r="F86" s="22">
        <v>2.8272841166296145</v>
      </c>
      <c r="G86" s="22"/>
      <c r="H86" s="22"/>
      <c r="I86" s="22"/>
    </row>
    <row r="87" spans="2:9">
      <c r="B87" s="25">
        <v>32</v>
      </c>
      <c r="C87" s="22">
        <v>44.4</v>
      </c>
      <c r="D87" s="22">
        <v>45.825415632965715</v>
      </c>
      <c r="E87" s="22">
        <v>-1.4254156329657164</v>
      </c>
      <c r="F87" s="22">
        <v>-0.78081167479257152</v>
      </c>
      <c r="G87" s="22"/>
      <c r="H87" s="22"/>
      <c r="I87" s="22"/>
    </row>
    <row r="88" spans="2:9">
      <c r="B88" s="25">
        <v>33</v>
      </c>
      <c r="C88" s="22">
        <v>40.700000000000003</v>
      </c>
      <c r="D88" s="22">
        <v>43.507737163641309</v>
      </c>
      <c r="E88" s="22">
        <v>-2.8077371636413062</v>
      </c>
      <c r="F88" s="22">
        <v>-1.5380173378334496</v>
      </c>
      <c r="G88" s="22"/>
      <c r="H88" s="22"/>
      <c r="I88" s="22"/>
    </row>
    <row r="89" spans="2:9">
      <c r="B89" s="25">
        <v>34</v>
      </c>
      <c r="C89" s="22">
        <v>41.9</v>
      </c>
      <c r="D89" s="22">
        <v>40.222774567881068</v>
      </c>
      <c r="E89" s="22">
        <v>1.6772254321189308</v>
      </c>
      <c r="F89" s="22">
        <v>0.91874760481806417</v>
      </c>
      <c r="G89" s="22"/>
      <c r="H89" s="22"/>
      <c r="I89" s="22"/>
    </row>
    <row r="90" spans="2:9">
      <c r="B90" s="25">
        <v>35</v>
      </c>
      <c r="C90" s="22">
        <v>41.7</v>
      </c>
      <c r="D90" s="22">
        <v>42.684934200986746</v>
      </c>
      <c r="E90" s="22">
        <v>-0.98493420098674278</v>
      </c>
      <c r="F90" s="22">
        <v>-0.53952552872796977</v>
      </c>
      <c r="G90" s="22"/>
      <c r="H90" s="22"/>
      <c r="I90" s="22"/>
    </row>
    <row r="91" spans="2:9">
      <c r="B91" s="25">
        <v>36</v>
      </c>
      <c r="C91" s="22">
        <v>37.700000000000003</v>
      </c>
      <c r="D91" s="22">
        <v>37.556550155113946</v>
      </c>
      <c r="E91" s="22">
        <v>0.14344984488605661</v>
      </c>
      <c r="F91" s="22">
        <v>7.8578704374929795E-2</v>
      </c>
      <c r="G91" s="22"/>
      <c r="H91" s="22"/>
      <c r="I91" s="22"/>
    </row>
    <row r="92" spans="2:9">
      <c r="B92" s="25">
        <v>37</v>
      </c>
      <c r="C92" s="22">
        <v>39.700000000000003</v>
      </c>
      <c r="D92" s="22">
        <v>39.701815209142062</v>
      </c>
      <c r="E92" s="22">
        <v>-1.8152091420589045E-3</v>
      </c>
      <c r="F92" s="22">
        <v>-9.9433207938157174E-4</v>
      </c>
      <c r="G92" s="22"/>
      <c r="H92" s="22"/>
      <c r="I92" s="22"/>
    </row>
    <row r="93" spans="2:9">
      <c r="B93" s="25">
        <v>38</v>
      </c>
      <c r="C93" s="22">
        <v>36.1</v>
      </c>
      <c r="D93" s="22">
        <v>35.688414611801122</v>
      </c>
      <c r="E93" s="22">
        <v>0.4115853881988798</v>
      </c>
      <c r="F93" s="22">
        <v>0.22545752189561366</v>
      </c>
      <c r="G93" s="22"/>
      <c r="H93" s="22"/>
      <c r="I93" s="22"/>
    </row>
    <row r="94" spans="2:9">
      <c r="B94" s="25">
        <v>39</v>
      </c>
      <c r="C94" s="22">
        <v>33.1</v>
      </c>
      <c r="D94" s="22">
        <v>37.374704704163676</v>
      </c>
      <c r="E94" s="22">
        <v>-4.2747047041636748</v>
      </c>
      <c r="F94" s="22">
        <v>-2.3415902436521128</v>
      </c>
      <c r="G94" s="22"/>
      <c r="H94" s="22"/>
      <c r="I94" s="22"/>
    </row>
    <row r="95" spans="2:9">
      <c r="B95" s="25">
        <v>40</v>
      </c>
      <c r="C95" s="22">
        <v>37.200000000000003</v>
      </c>
      <c r="D95" s="22">
        <v>34.777873118374913</v>
      </c>
      <c r="E95" s="22">
        <v>2.4221268816250898</v>
      </c>
      <c r="F95" s="22">
        <v>1.3267884140339592</v>
      </c>
      <c r="G95" s="22"/>
      <c r="H95" s="22"/>
      <c r="I95" s="22"/>
    </row>
    <row r="96" spans="2:9">
      <c r="B96" s="25">
        <v>41</v>
      </c>
      <c r="C96" s="22">
        <v>36.9</v>
      </c>
      <c r="D96" s="22">
        <v>38.994340036168424</v>
      </c>
      <c r="E96" s="22">
        <v>-2.0943400361684255</v>
      </c>
      <c r="F96" s="22">
        <v>-1.1472339108723204</v>
      </c>
      <c r="G96" s="22"/>
      <c r="H96" s="22"/>
      <c r="I96" s="22"/>
    </row>
    <row r="97" spans="2:9">
      <c r="B97" s="25">
        <v>42</v>
      </c>
      <c r="C97" s="22">
        <v>38.1</v>
      </c>
      <c r="D97" s="22">
        <v>36.21693130238635</v>
      </c>
      <c r="E97" s="22">
        <v>1.8830686976136519</v>
      </c>
      <c r="F97" s="22">
        <v>1.0315040676760598</v>
      </c>
      <c r="G97" s="22"/>
      <c r="H97" s="22"/>
      <c r="I97" s="22"/>
    </row>
    <row r="98" spans="2:9">
      <c r="B98" s="25">
        <v>43</v>
      </c>
      <c r="C98" s="22">
        <v>37.6</v>
      </c>
      <c r="D98" s="22">
        <v>37.413068306957832</v>
      </c>
      <c r="E98" s="22">
        <v>0.18693169304216894</v>
      </c>
      <c r="F98" s="22">
        <v>0.10239711487686298</v>
      </c>
      <c r="G98" s="22"/>
      <c r="H98" s="22"/>
      <c r="I98" s="22"/>
    </row>
    <row r="99" spans="2:9">
      <c r="B99" s="25">
        <v>44</v>
      </c>
      <c r="C99" s="22">
        <v>38.4</v>
      </c>
      <c r="D99" s="22">
        <v>40.422534600941844</v>
      </c>
      <c r="E99" s="22">
        <v>-2.0225346009418459</v>
      </c>
      <c r="F99" s="22">
        <v>-1.107900455533527</v>
      </c>
      <c r="G99" s="22"/>
      <c r="H99" s="22"/>
      <c r="I99" s="22"/>
    </row>
    <row r="100" spans="2:9">
      <c r="B100" s="25">
        <v>45</v>
      </c>
      <c r="C100" s="22">
        <v>41.8</v>
      </c>
      <c r="D100" s="22">
        <v>35.218449719109231</v>
      </c>
      <c r="E100" s="22">
        <v>6.5815502808907667</v>
      </c>
      <c r="F100" s="22">
        <v>3.6052300667292028</v>
      </c>
      <c r="G100" s="22"/>
      <c r="H100" s="22"/>
      <c r="I100" s="22"/>
    </row>
    <row r="101" spans="2:9">
      <c r="B101" s="25">
        <v>46</v>
      </c>
      <c r="C101" s="22">
        <v>44.7</v>
      </c>
      <c r="D101" s="22">
        <v>39.062658599559825</v>
      </c>
      <c r="E101" s="22">
        <v>5.6373414004401781</v>
      </c>
      <c r="F101" s="22">
        <v>3.0880129826393339</v>
      </c>
      <c r="G101" s="22"/>
      <c r="H101" s="22"/>
      <c r="I101" s="22"/>
    </row>
    <row r="102" spans="2:9">
      <c r="B102" s="25">
        <v>47</v>
      </c>
      <c r="C102" s="22">
        <v>37.5</v>
      </c>
      <c r="D102" s="22">
        <v>43.972593363087007</v>
      </c>
      <c r="E102" s="22">
        <v>-6.4725933630870074</v>
      </c>
      <c r="F102" s="22">
        <v>-3.5455458374398248</v>
      </c>
      <c r="G102" s="22"/>
      <c r="H102" s="22"/>
      <c r="I102" s="22"/>
    </row>
    <row r="103" spans="2:9">
      <c r="B103" s="25">
        <v>48</v>
      </c>
      <c r="C103" s="22">
        <v>36.5</v>
      </c>
      <c r="D103" s="22">
        <v>37.213555244211435</v>
      </c>
      <c r="E103" s="22">
        <v>-0.71355524421143457</v>
      </c>
      <c r="F103" s="22">
        <v>-0.39087003987078695</v>
      </c>
      <c r="G103" s="22"/>
      <c r="H103" s="22"/>
      <c r="I103" s="22"/>
    </row>
    <row r="104" spans="2:9">
      <c r="B104" s="25">
        <v>49</v>
      </c>
      <c r="C104" s="22">
        <v>33.200000000000003</v>
      </c>
      <c r="D104" s="22">
        <v>37.217511618760476</v>
      </c>
      <c r="E104" s="22">
        <v>-4.0175116187604729</v>
      </c>
      <c r="F104" s="22">
        <v>-2.2007054665286021</v>
      </c>
      <c r="G104" s="22"/>
      <c r="H104" s="22"/>
      <c r="I104" s="22"/>
    </row>
    <row r="105" spans="2:9">
      <c r="B105" s="25">
        <v>50</v>
      </c>
      <c r="C105" s="22">
        <v>34</v>
      </c>
      <c r="D105" s="22">
        <v>32.021541511714503</v>
      </c>
      <c r="E105" s="22">
        <v>1.9784584882854972</v>
      </c>
      <c r="F105" s="22">
        <v>1.0837565198661836</v>
      </c>
      <c r="G105" s="22"/>
      <c r="H105" s="22"/>
      <c r="I105" s="22"/>
    </row>
    <row r="106" spans="2:9">
      <c r="B106" s="25">
        <v>51</v>
      </c>
      <c r="C106" s="22">
        <v>32.799999999999997</v>
      </c>
      <c r="D106" s="22">
        <v>30.008122696272412</v>
      </c>
      <c r="E106" s="22">
        <v>2.7918773037275848</v>
      </c>
      <c r="F106" s="22">
        <v>1.5293296515931611</v>
      </c>
      <c r="G106" s="22"/>
      <c r="H106" s="22"/>
      <c r="I106" s="22"/>
    </row>
    <row r="107" spans="2:9">
      <c r="B107" s="25">
        <v>52</v>
      </c>
      <c r="C107" s="22">
        <v>34.4</v>
      </c>
      <c r="D107" s="22">
        <v>35.303197600192739</v>
      </c>
      <c r="E107" s="22">
        <v>-0.90319760019274042</v>
      </c>
      <c r="F107" s="22">
        <v>-0.49475199693708349</v>
      </c>
      <c r="G107" s="22"/>
      <c r="H107" s="22"/>
      <c r="I107" s="22"/>
    </row>
    <row r="108" spans="2:9">
      <c r="B108" s="25">
        <v>53</v>
      </c>
      <c r="C108" s="22">
        <v>34.700000000000003</v>
      </c>
      <c r="D108" s="22">
        <v>36.176875497964296</v>
      </c>
      <c r="E108" s="22">
        <v>-1.4768754979642935</v>
      </c>
      <c r="F108" s="22">
        <v>-0.80900026936448544</v>
      </c>
      <c r="G108" s="22"/>
      <c r="H108" s="22"/>
      <c r="I108" s="22"/>
    </row>
    <row r="109" spans="2:9">
      <c r="B109" s="25">
        <v>54</v>
      </c>
      <c r="C109" s="22">
        <v>37</v>
      </c>
      <c r="D109" s="22">
        <v>34.980170281832422</v>
      </c>
      <c r="E109" s="22">
        <v>2.0198297181675784</v>
      </c>
      <c r="F109" s="22">
        <v>1.1064187795926654</v>
      </c>
      <c r="G109" s="22"/>
      <c r="H109" s="22"/>
      <c r="I109" s="22"/>
    </row>
    <row r="110" spans="2:9">
      <c r="B110" s="25">
        <v>55</v>
      </c>
      <c r="C110" s="22">
        <v>35.6</v>
      </c>
      <c r="D110" s="22">
        <v>36.376907765702995</v>
      </c>
      <c r="E110" s="22">
        <v>-0.77690776570299391</v>
      </c>
      <c r="F110" s="22">
        <v>-0.42557317295291625</v>
      </c>
      <c r="G110" s="22"/>
      <c r="H110" s="22"/>
      <c r="I110" s="22"/>
    </row>
    <row r="111" spans="2:9">
      <c r="B111" s="25">
        <v>56</v>
      </c>
      <c r="C111" s="22">
        <v>35</v>
      </c>
      <c r="D111" s="22">
        <v>37.340204853272112</v>
      </c>
      <c r="E111" s="22">
        <v>-2.3402048532721125</v>
      </c>
      <c r="F111" s="22">
        <v>-1.2819133090601167</v>
      </c>
      <c r="G111" s="22"/>
      <c r="H111" s="22"/>
      <c r="I111" s="22"/>
    </row>
    <row r="112" spans="2:9">
      <c r="B112" s="25">
        <v>57</v>
      </c>
      <c r="C112" s="22">
        <v>35.4</v>
      </c>
      <c r="D112" s="22">
        <v>37.111488696528937</v>
      </c>
      <c r="E112" s="22">
        <v>-1.7114886965289386</v>
      </c>
      <c r="F112" s="22">
        <v>-0.93751627568789064</v>
      </c>
      <c r="G112" s="22"/>
      <c r="H112" s="22"/>
      <c r="I112" s="22"/>
    </row>
    <row r="113" spans="2:9">
      <c r="B113" s="25">
        <v>58</v>
      </c>
      <c r="C113" s="22">
        <v>35.700000000000003</v>
      </c>
      <c r="D113" s="22">
        <v>38.431242196187704</v>
      </c>
      <c r="E113" s="22">
        <v>-2.7312421961877007</v>
      </c>
      <c r="F113" s="22">
        <v>-1.4961150587582701</v>
      </c>
      <c r="G113" s="22"/>
      <c r="H113" s="22"/>
      <c r="I113" s="22"/>
    </row>
    <row r="114" spans="2:9">
      <c r="B114" s="25">
        <v>59</v>
      </c>
      <c r="C114" s="22">
        <v>32.799999999999997</v>
      </c>
      <c r="D114" s="22">
        <v>31.680523757145703</v>
      </c>
      <c r="E114" s="22">
        <v>1.1194762428542937</v>
      </c>
      <c r="F114" s="22">
        <v>0.61322473239254849</v>
      </c>
      <c r="G114" s="22"/>
      <c r="H114" s="22"/>
      <c r="I114" s="22"/>
    </row>
    <row r="115" spans="2:9">
      <c r="B115" s="25">
        <v>60</v>
      </c>
      <c r="C115" s="22">
        <v>33.5</v>
      </c>
      <c r="D115" s="22">
        <v>29.854575318419791</v>
      </c>
      <c r="E115" s="22">
        <v>3.6454246815802094</v>
      </c>
      <c r="F115" s="22">
        <v>1.9968843368390925</v>
      </c>
      <c r="G115" s="22"/>
      <c r="H115" s="22"/>
      <c r="I115" s="22"/>
    </row>
    <row r="116" spans="2:9">
      <c r="B116" s="25">
        <v>61</v>
      </c>
      <c r="C116" s="22">
        <v>30.9</v>
      </c>
      <c r="D116" s="22">
        <v>30.485671813045748</v>
      </c>
      <c r="E116" s="22">
        <v>0.41432818695425055</v>
      </c>
      <c r="F116" s="22">
        <v>0.22695996738608734</v>
      </c>
      <c r="G116" s="22"/>
      <c r="H116" s="22"/>
      <c r="I116" s="22"/>
    </row>
    <row r="117" spans="2:9">
      <c r="B117" s="25">
        <v>62</v>
      </c>
      <c r="C117" s="22">
        <v>31</v>
      </c>
      <c r="D117" s="22">
        <v>30.969803124881391</v>
      </c>
      <c r="E117" s="22">
        <v>3.0196875118608801E-2</v>
      </c>
      <c r="F117" s="22">
        <v>1.6541191277526953E-2</v>
      </c>
      <c r="G117" s="22"/>
      <c r="H117" s="22"/>
      <c r="I117" s="22"/>
    </row>
    <row r="118" spans="2:9">
      <c r="B118" s="25">
        <v>63</v>
      </c>
      <c r="C118" s="22">
        <v>33.200000000000003</v>
      </c>
      <c r="D118" s="22">
        <v>29.109456056557853</v>
      </c>
      <c r="E118" s="22">
        <v>4.0905439434421496</v>
      </c>
      <c r="F118" s="22">
        <v>2.2407109852207538</v>
      </c>
      <c r="G118" s="22"/>
      <c r="H118" s="22"/>
      <c r="I118" s="22"/>
    </row>
    <row r="119" spans="2:9">
      <c r="B119" s="25">
        <v>64</v>
      </c>
      <c r="C119" s="22">
        <v>32.4</v>
      </c>
      <c r="D119" s="22">
        <v>33.58929733899118</v>
      </c>
      <c r="E119" s="22">
        <v>-1.1892973389911816</v>
      </c>
      <c r="F119" s="22">
        <v>-0.65147120994595398</v>
      </c>
      <c r="G119" s="22"/>
      <c r="H119" s="22"/>
      <c r="I119" s="22"/>
    </row>
    <row r="120" spans="2:9">
      <c r="B120" s="25">
        <v>65</v>
      </c>
      <c r="C120" s="22">
        <v>32.1</v>
      </c>
      <c r="D120" s="22">
        <v>34.238863669751929</v>
      </c>
      <c r="E120" s="22">
        <v>-2.1388636697519274</v>
      </c>
      <c r="F120" s="22">
        <v>-1.1716229887680454</v>
      </c>
      <c r="G120" s="22"/>
      <c r="H120" s="22"/>
      <c r="I120" s="22"/>
    </row>
    <row r="121" spans="2:9">
      <c r="B121" s="25">
        <v>66</v>
      </c>
      <c r="C121" s="22">
        <v>34.799999999999997</v>
      </c>
      <c r="D121" s="22">
        <v>34.412684987439995</v>
      </c>
      <c r="E121" s="22">
        <v>0.387315012560002</v>
      </c>
      <c r="F121" s="22">
        <v>0.21216273810612454</v>
      </c>
      <c r="G121" s="22"/>
      <c r="H121" s="22"/>
      <c r="I121" s="22"/>
    </row>
    <row r="122" spans="2:9">
      <c r="B122" s="25">
        <v>67</v>
      </c>
      <c r="C122" s="22">
        <v>31.7</v>
      </c>
      <c r="D122" s="22">
        <v>33.38922676044951</v>
      </c>
      <c r="E122" s="22">
        <v>-1.689226760449511</v>
      </c>
      <c r="F122" s="22">
        <v>-0.92532167139683397</v>
      </c>
      <c r="G122" s="22"/>
      <c r="H122" s="22"/>
      <c r="I122" s="22"/>
    </row>
    <row r="123" spans="2:9">
      <c r="B123" s="25">
        <v>68</v>
      </c>
      <c r="C123" s="22">
        <v>32.299999999999997</v>
      </c>
      <c r="D123" s="22">
        <v>32.609366665204099</v>
      </c>
      <c r="E123" s="22">
        <v>-0.30936666520410228</v>
      </c>
      <c r="F123" s="22">
        <v>-0.16946432913775802</v>
      </c>
      <c r="G123" s="22"/>
      <c r="H123" s="22"/>
      <c r="I123" s="22"/>
    </row>
    <row r="124" spans="2:9">
      <c r="B124" s="25">
        <v>69</v>
      </c>
      <c r="C124" s="22">
        <v>31.6</v>
      </c>
      <c r="D124" s="22">
        <v>33.236890528272312</v>
      </c>
      <c r="E124" s="22">
        <v>-1.6368905282723105</v>
      </c>
      <c r="F124" s="22">
        <v>-0.89665302194924101</v>
      </c>
      <c r="G124" s="22"/>
      <c r="H124" s="22"/>
      <c r="I124" s="22"/>
    </row>
    <row r="125" spans="2:9">
      <c r="B125" s="25">
        <v>70</v>
      </c>
      <c r="C125" s="22">
        <v>31.3</v>
      </c>
      <c r="D125" s="22">
        <v>33.746814434271229</v>
      </c>
      <c r="E125" s="22">
        <v>-2.4468144342712286</v>
      </c>
      <c r="F125" s="22">
        <v>-1.3403117183126243</v>
      </c>
      <c r="G125" s="22"/>
      <c r="H125" s="22"/>
      <c r="I125" s="22"/>
    </row>
    <row r="126" spans="2:9">
      <c r="B126" s="25">
        <v>71</v>
      </c>
      <c r="C126" s="22">
        <v>31.7</v>
      </c>
      <c r="D126" s="22">
        <v>27.974669945552932</v>
      </c>
      <c r="E126" s="22">
        <v>3.7253300544470669</v>
      </c>
      <c r="F126" s="22">
        <v>2.0406547618086051</v>
      </c>
      <c r="G126" s="22"/>
      <c r="H126" s="22"/>
      <c r="I126" s="22"/>
    </row>
    <row r="127" spans="2:9">
      <c r="B127" s="25">
        <v>72</v>
      </c>
      <c r="C127" s="22">
        <v>31.8</v>
      </c>
      <c r="D127" s="22">
        <v>29.684760309555429</v>
      </c>
      <c r="E127" s="22">
        <v>2.1152396904445716</v>
      </c>
      <c r="F127" s="22">
        <v>1.1586822868270523</v>
      </c>
      <c r="G127" s="22"/>
      <c r="H127" s="22"/>
      <c r="I127" s="22"/>
    </row>
    <row r="128" spans="2:9">
      <c r="B128" s="25">
        <v>73</v>
      </c>
      <c r="C128" s="22">
        <v>29.3</v>
      </c>
      <c r="D128" s="22">
        <v>29.16490941197463</v>
      </c>
      <c r="E128" s="22">
        <v>0.13509058802537055</v>
      </c>
      <c r="F128" s="22">
        <v>7.3999685316584324E-2</v>
      </c>
      <c r="G128" s="22"/>
      <c r="H128" s="22"/>
      <c r="I128" s="22"/>
    </row>
    <row r="129" spans="2:9">
      <c r="B129" s="25">
        <v>74</v>
      </c>
      <c r="C129" s="22">
        <v>27.9</v>
      </c>
      <c r="D129" s="22">
        <v>29.546220174790843</v>
      </c>
      <c r="E129" s="22">
        <v>-1.6462201747908445</v>
      </c>
      <c r="F129" s="22">
        <v>-0.90176359935198969</v>
      </c>
      <c r="G129" s="22"/>
      <c r="H129" s="22"/>
      <c r="I129" s="22"/>
    </row>
    <row r="130" spans="2:9">
      <c r="B130" s="25">
        <v>75</v>
      </c>
      <c r="C130" s="22">
        <v>28</v>
      </c>
      <c r="D130" s="22">
        <v>30.116621269287215</v>
      </c>
      <c r="E130" s="22">
        <v>-2.1166212692872151</v>
      </c>
      <c r="F130" s="22">
        <v>-1.1594390856617458</v>
      </c>
      <c r="G130" s="22"/>
      <c r="H130" s="22"/>
      <c r="I130" s="22"/>
    </row>
    <row r="131" spans="2:9">
      <c r="B131" s="25">
        <v>76</v>
      </c>
      <c r="C131" s="22">
        <v>28.7</v>
      </c>
      <c r="D131" s="22">
        <v>28.569670373642662</v>
      </c>
      <c r="E131" s="22">
        <v>0.13032962635733725</v>
      </c>
      <c r="F131" s="22">
        <v>7.1391734086313427E-2</v>
      </c>
      <c r="G131" s="22"/>
      <c r="H131" s="22"/>
      <c r="I131" s="22"/>
    </row>
    <row r="132" spans="2:9">
      <c r="B132" s="25">
        <v>77</v>
      </c>
      <c r="C132" s="22">
        <v>30.5</v>
      </c>
      <c r="D132" s="22">
        <v>28.248248539767037</v>
      </c>
      <c r="E132" s="22">
        <v>2.2517514602329634</v>
      </c>
      <c r="F132" s="22">
        <v>1.2334604645965785</v>
      </c>
      <c r="G132" s="22"/>
      <c r="H132" s="22"/>
      <c r="I132" s="22"/>
    </row>
    <row r="133" spans="2:9">
      <c r="B133" s="25">
        <v>78</v>
      </c>
      <c r="C133" s="22">
        <v>31.3</v>
      </c>
      <c r="D133" s="22">
        <v>32.191107424997355</v>
      </c>
      <c r="E133" s="22">
        <v>-0.89110742499735451</v>
      </c>
      <c r="F133" s="22">
        <v>-0.48812926197857615</v>
      </c>
      <c r="G133" s="22"/>
      <c r="H133" s="22"/>
      <c r="I133" s="22"/>
    </row>
    <row r="134" spans="2:9">
      <c r="B134" s="25">
        <v>79</v>
      </c>
      <c r="C134" s="22">
        <v>29.2</v>
      </c>
      <c r="D134" s="22">
        <v>29.707346645313741</v>
      </c>
      <c r="E134" s="22">
        <v>-0.50734664531374207</v>
      </c>
      <c r="F134" s="22">
        <v>-0.27791345532222289</v>
      </c>
      <c r="G134" s="22"/>
      <c r="H134" s="22"/>
      <c r="I134" s="22"/>
    </row>
    <row r="135" spans="2:9">
      <c r="B135" s="25">
        <v>80</v>
      </c>
      <c r="C135" s="22">
        <v>30.9</v>
      </c>
      <c r="D135" s="22">
        <v>29.29415525353739</v>
      </c>
      <c r="E135" s="22">
        <v>1.6058447464626084</v>
      </c>
      <c r="F135" s="22">
        <v>0.87964681805371991</v>
      </c>
      <c r="G135" s="22"/>
      <c r="H135" s="22"/>
      <c r="I135" s="22"/>
    </row>
    <row r="136" spans="2:9">
      <c r="B136" s="25">
        <v>81</v>
      </c>
      <c r="C136" s="22">
        <v>29.1</v>
      </c>
      <c r="D136" s="22">
        <v>29.869405956682535</v>
      </c>
      <c r="E136" s="22">
        <v>-0.76940595668253309</v>
      </c>
      <c r="F136" s="22">
        <v>-0.42146384516825253</v>
      </c>
      <c r="G136" s="22"/>
      <c r="H136" s="22"/>
      <c r="I136" s="22"/>
    </row>
    <row r="137" spans="2:9">
      <c r="B137" s="25">
        <v>82</v>
      </c>
      <c r="C137" s="22">
        <v>27.6</v>
      </c>
      <c r="D137" s="22">
        <v>29.801830637041995</v>
      </c>
      <c r="E137" s="22">
        <v>-2.2018306370419936</v>
      </c>
      <c r="F137" s="22">
        <v>-1.2061149236460658</v>
      </c>
      <c r="G137" s="22"/>
      <c r="H137" s="22"/>
      <c r="I137" s="22"/>
    </row>
    <row r="138" spans="2:9">
      <c r="B138" s="25">
        <v>83</v>
      </c>
      <c r="C138" s="22">
        <v>28.3</v>
      </c>
      <c r="D138" s="22">
        <v>27.87523344365869</v>
      </c>
      <c r="E138" s="22">
        <v>0.42476655634131077</v>
      </c>
      <c r="F138" s="22">
        <v>0.23267787905670392</v>
      </c>
      <c r="G138" s="22"/>
      <c r="H138" s="22"/>
      <c r="I138" s="22"/>
    </row>
    <row r="139" spans="2:9">
      <c r="B139" s="25">
        <v>84</v>
      </c>
      <c r="C139" s="22">
        <v>25.8</v>
      </c>
      <c r="D139" s="22">
        <v>28.033685297521103</v>
      </c>
      <c r="E139" s="22">
        <v>-2.2336852975211023</v>
      </c>
      <c r="F139" s="22">
        <v>-1.2235642136800835</v>
      </c>
      <c r="G139" s="22"/>
      <c r="H139" s="22"/>
      <c r="I139" s="22"/>
    </row>
    <row r="140" spans="2:9">
      <c r="B140" s="25">
        <v>85</v>
      </c>
      <c r="C140" s="22">
        <v>25.3</v>
      </c>
      <c r="D140" s="22">
        <v>24.805632472435935</v>
      </c>
      <c r="E140" s="22">
        <v>0.49436752756406577</v>
      </c>
      <c r="F140" s="22">
        <v>0.27080377697081498</v>
      </c>
      <c r="G140" s="22"/>
      <c r="H140" s="22"/>
      <c r="I140" s="22"/>
    </row>
    <row r="141" spans="2:9">
      <c r="B141" s="25">
        <v>86</v>
      </c>
      <c r="C141" s="22">
        <v>25.6</v>
      </c>
      <c r="D141" s="22">
        <v>23.378632140644338</v>
      </c>
      <c r="E141" s="22">
        <v>2.2213678593556629</v>
      </c>
      <c r="F141" s="22">
        <v>1.216816989010532</v>
      </c>
      <c r="G141" s="22"/>
      <c r="H141" s="22"/>
      <c r="I141" s="22"/>
    </row>
    <row r="142" spans="2:9">
      <c r="B142" s="25">
        <v>87</v>
      </c>
      <c r="C142" s="22">
        <v>24.1</v>
      </c>
      <c r="D142" s="22">
        <v>25.738064903175296</v>
      </c>
      <c r="E142" s="22">
        <v>-1.6380649031752945</v>
      </c>
      <c r="F142" s="22">
        <v>-0.8972963189733697</v>
      </c>
      <c r="G142" s="22"/>
      <c r="H142" s="22"/>
      <c r="I142" s="22"/>
    </row>
    <row r="143" spans="2:9">
      <c r="B143" s="25">
        <v>88</v>
      </c>
      <c r="C143" s="22">
        <v>25.8</v>
      </c>
      <c r="D143" s="22">
        <v>25.611728352037943</v>
      </c>
      <c r="E143" s="22">
        <v>0.18827164796205764</v>
      </c>
      <c r="F143" s="22">
        <v>0.10313111303217155</v>
      </c>
      <c r="G143" s="22"/>
      <c r="H143" s="22"/>
      <c r="I143" s="22"/>
    </row>
    <row r="144" spans="2:9">
      <c r="B144" s="25">
        <v>89</v>
      </c>
      <c r="C144" s="22">
        <v>26.2</v>
      </c>
      <c r="D144" s="22">
        <v>26.370445568185058</v>
      </c>
      <c r="E144" s="22">
        <v>-0.17044556818505896</v>
      </c>
      <c r="F144" s="22">
        <v>-9.3366374324553414E-2</v>
      </c>
      <c r="G144" s="22"/>
      <c r="H144" s="22"/>
      <c r="I144" s="22"/>
    </row>
    <row r="145" spans="2:9">
      <c r="B145" s="25">
        <v>90</v>
      </c>
      <c r="C145" s="22">
        <v>26.6</v>
      </c>
      <c r="D145" s="22">
        <v>28.056561235164146</v>
      </c>
      <c r="E145" s="22">
        <v>-1.4565612351641448</v>
      </c>
      <c r="F145" s="22">
        <v>-0.79787255812551228</v>
      </c>
      <c r="G145" s="22"/>
      <c r="H145" s="22"/>
      <c r="I145" s="22"/>
    </row>
    <row r="146" spans="2:9">
      <c r="B146" s="25">
        <v>91</v>
      </c>
      <c r="C146" s="22">
        <v>26</v>
      </c>
      <c r="D146" s="22">
        <v>24.803805357740519</v>
      </c>
      <c r="E146" s="22">
        <v>1.1961946422594814</v>
      </c>
      <c r="F146" s="22">
        <v>0.65524940263019471</v>
      </c>
      <c r="G146" s="22"/>
      <c r="H146" s="22"/>
      <c r="I146" s="22"/>
    </row>
    <row r="147" spans="2:9">
      <c r="B147" s="25">
        <v>92</v>
      </c>
      <c r="C147" s="22">
        <v>26.6</v>
      </c>
      <c r="D147" s="22">
        <v>26.568567300084002</v>
      </c>
      <c r="E147" s="22">
        <v>3.1432699915999507E-2</v>
      </c>
      <c r="F147" s="22">
        <v>1.7218149217011005E-2</v>
      </c>
      <c r="G147" s="22"/>
      <c r="H147" s="22"/>
      <c r="I147" s="22"/>
    </row>
    <row r="148" spans="2:9">
      <c r="B148" s="25">
        <v>93</v>
      </c>
      <c r="C148" s="22">
        <v>25.3</v>
      </c>
      <c r="D148" s="22">
        <v>25.621275237776679</v>
      </c>
      <c r="E148" s="22">
        <v>-0.32127523777667832</v>
      </c>
      <c r="F148" s="22">
        <v>-0.17598758613013143</v>
      </c>
      <c r="G148" s="22"/>
      <c r="H148" s="22"/>
      <c r="I148" s="22"/>
    </row>
    <row r="149" spans="2:9">
      <c r="B149" s="25">
        <v>94</v>
      </c>
      <c r="C149" s="22">
        <v>24.9</v>
      </c>
      <c r="D149" s="22">
        <v>24.144768223377909</v>
      </c>
      <c r="E149" s="22">
        <v>0.75523177662208951</v>
      </c>
      <c r="F149" s="22">
        <v>0.41369953768077278</v>
      </c>
      <c r="G149" s="22"/>
      <c r="H149" s="22"/>
      <c r="I149" s="22"/>
    </row>
    <row r="150" spans="2:9">
      <c r="B150" s="25">
        <v>95</v>
      </c>
      <c r="C150" s="22">
        <v>24.8</v>
      </c>
      <c r="D150" s="22">
        <v>25.224242169715868</v>
      </c>
      <c r="E150" s="22">
        <v>-0.42424216971586759</v>
      </c>
      <c r="F150" s="22">
        <v>-0.23239063147095995</v>
      </c>
      <c r="G150" s="22"/>
      <c r="H150" s="22"/>
      <c r="I150" s="22"/>
    </row>
    <row r="151" spans="2:9">
      <c r="B151" s="25">
        <v>96</v>
      </c>
      <c r="C151" s="22">
        <v>22.9</v>
      </c>
      <c r="D151" s="22">
        <v>23.508394918849277</v>
      </c>
      <c r="E151" s="22">
        <v>-0.6083949188492781</v>
      </c>
      <c r="F151" s="22">
        <v>-0.33326550132863669</v>
      </c>
      <c r="G151" s="22"/>
      <c r="H151" s="22"/>
      <c r="I151" s="22"/>
    </row>
    <row r="152" spans="2:9">
      <c r="B152" s="25">
        <v>97</v>
      </c>
      <c r="C152" s="22">
        <v>23.2</v>
      </c>
      <c r="D152" s="22">
        <v>22.006066000034838</v>
      </c>
      <c r="E152" s="22">
        <v>1.1939339999651608</v>
      </c>
      <c r="F152" s="22">
        <v>0.654011071960099</v>
      </c>
      <c r="G152" s="22"/>
      <c r="H152" s="22"/>
      <c r="I152" s="22"/>
    </row>
    <row r="153" spans="2:9">
      <c r="B153" s="25">
        <v>98</v>
      </c>
      <c r="C153" s="22">
        <v>20.8</v>
      </c>
      <c r="D153" s="22">
        <v>22.413934532826705</v>
      </c>
      <c r="E153" s="22">
        <v>-1.6139345328267041</v>
      </c>
      <c r="F153" s="22">
        <v>-0.88407822703618022</v>
      </c>
      <c r="G153" s="22"/>
      <c r="H153" s="22"/>
      <c r="I153" s="22"/>
    </row>
    <row r="154" spans="2:9">
      <c r="B154" s="25">
        <v>99</v>
      </c>
      <c r="C154" s="22">
        <v>20.7</v>
      </c>
      <c r="D154" s="22">
        <v>21.002139219018911</v>
      </c>
      <c r="E154" s="22">
        <v>-0.30213921901891183</v>
      </c>
      <c r="F154" s="22">
        <v>-0.16550529134567885</v>
      </c>
      <c r="G154" s="22"/>
      <c r="H154" s="22"/>
      <c r="I154" s="22"/>
    </row>
    <row r="155" spans="2:9">
      <c r="B155" s="25">
        <v>100</v>
      </c>
      <c r="C155" s="22">
        <v>22.4</v>
      </c>
      <c r="D155" s="22">
        <v>21.72941024545791</v>
      </c>
      <c r="E155" s="22">
        <v>0.67058975454208891</v>
      </c>
      <c r="F155" s="22">
        <v>0.36733447931487745</v>
      </c>
      <c r="G155" s="22"/>
      <c r="H155" s="22"/>
      <c r="I155" s="22"/>
    </row>
    <row r="156" spans="2:9">
      <c r="B156" s="25">
        <v>101</v>
      </c>
      <c r="C156" s="22">
        <v>23</v>
      </c>
      <c r="D156" s="22">
        <v>23.15231501464303</v>
      </c>
      <c r="E156" s="22">
        <v>-0.15231501464302966</v>
      </c>
      <c r="F156" s="22">
        <v>-8.3434851512070848E-2</v>
      </c>
      <c r="G156" s="22"/>
      <c r="H156" s="22"/>
      <c r="I156" s="22"/>
    </row>
    <row r="157" spans="2:9">
      <c r="B157" s="25">
        <v>102</v>
      </c>
      <c r="C157" s="22">
        <v>23.4</v>
      </c>
      <c r="D157" s="22">
        <v>23.717106361664168</v>
      </c>
      <c r="E157" s="22">
        <v>-0.31710636166416961</v>
      </c>
      <c r="F157" s="22">
        <v>-0.17370396648675898</v>
      </c>
      <c r="G157" s="22"/>
      <c r="H157" s="22"/>
      <c r="I157" s="22"/>
    </row>
    <row r="158" spans="2:9">
      <c r="B158" s="25">
        <v>103</v>
      </c>
      <c r="C158" s="22">
        <v>23.1</v>
      </c>
      <c r="D158" s="22">
        <v>22.535662192144493</v>
      </c>
      <c r="E158" s="22">
        <v>0.5643378078555088</v>
      </c>
      <c r="F158" s="22">
        <v>0.30913197435868617</v>
      </c>
      <c r="G158" s="22"/>
      <c r="H158" s="22"/>
      <c r="I158" s="22"/>
    </row>
    <row r="159" spans="2:9">
      <c r="B159" s="25">
        <v>104</v>
      </c>
      <c r="C159" s="22">
        <v>22.6</v>
      </c>
      <c r="D159" s="22">
        <v>23.73900107369149</v>
      </c>
      <c r="E159" s="22">
        <v>-1.1390010736914888</v>
      </c>
      <c r="F159" s="22">
        <v>-0.62392000997577013</v>
      </c>
      <c r="G159" s="22"/>
      <c r="H159" s="22"/>
      <c r="I159" s="22"/>
    </row>
    <row r="160" spans="2:9">
      <c r="B160" s="25">
        <v>105</v>
      </c>
      <c r="C160" s="22">
        <v>21.6</v>
      </c>
      <c r="D160" s="22">
        <v>21.990148393148505</v>
      </c>
      <c r="E160" s="22">
        <v>-0.39014839314850391</v>
      </c>
      <c r="F160" s="22">
        <v>-0.2137148023542414</v>
      </c>
      <c r="G160" s="22"/>
      <c r="H160" s="22"/>
      <c r="I160" s="22"/>
    </row>
    <row r="161" spans="2:9">
      <c r="B161" s="25">
        <v>106</v>
      </c>
      <c r="C161" s="22">
        <v>21.1</v>
      </c>
      <c r="D161" s="22">
        <v>20.762104379763425</v>
      </c>
      <c r="E161" s="22">
        <v>0.33789562023657638</v>
      </c>
      <c r="F161" s="22">
        <v>0.18509187007656561</v>
      </c>
      <c r="G161" s="22"/>
      <c r="H161" s="22"/>
      <c r="I161" s="22"/>
    </row>
    <row r="162" spans="2:9">
      <c r="B162" s="25">
        <v>107</v>
      </c>
      <c r="C162" s="22">
        <v>21.3</v>
      </c>
      <c r="D162" s="22">
        <v>21.219351670483793</v>
      </c>
      <c r="E162" s="22">
        <v>8.064832951620815E-2</v>
      </c>
      <c r="F162" s="22">
        <v>4.41774004595109E-2</v>
      </c>
      <c r="G162" s="22"/>
      <c r="H162" s="22"/>
      <c r="I162" s="22"/>
    </row>
    <row r="163" spans="2:9">
      <c r="B163" s="25">
        <v>108</v>
      </c>
      <c r="C163" s="22">
        <v>20.3</v>
      </c>
      <c r="D163" s="22">
        <v>19.294186259004345</v>
      </c>
      <c r="E163" s="22">
        <v>1.0058137409956558</v>
      </c>
      <c r="F163" s="22">
        <v>0.55096288652468339</v>
      </c>
      <c r="G163" s="22"/>
      <c r="H163" s="22"/>
      <c r="I163" s="22"/>
    </row>
    <row r="164" spans="2:9">
      <c r="B164" s="25">
        <v>109</v>
      </c>
      <c r="C164" s="22">
        <v>19.7</v>
      </c>
      <c r="D164" s="22">
        <v>19.922310257337145</v>
      </c>
      <c r="E164" s="22">
        <v>-0.2223102573371456</v>
      </c>
      <c r="F164" s="22">
        <v>-0.12177672276108617</v>
      </c>
      <c r="G164" s="22"/>
      <c r="H164" s="22"/>
      <c r="I164" s="22"/>
    </row>
    <row r="165" spans="2:9">
      <c r="B165" s="25">
        <v>110</v>
      </c>
      <c r="C165" s="22">
        <v>18.5</v>
      </c>
      <c r="D165" s="22">
        <v>18.515187703260512</v>
      </c>
      <c r="E165" s="22">
        <v>-1.5187703260512109E-2</v>
      </c>
      <c r="F165" s="22">
        <v>-8.3194934479705399E-3</v>
      </c>
      <c r="G165" s="22"/>
      <c r="H165" s="22"/>
      <c r="I165" s="22"/>
    </row>
    <row r="166" spans="2:9">
      <c r="B166" s="25">
        <v>111</v>
      </c>
      <c r="C166" s="22">
        <v>17.899999999999999</v>
      </c>
      <c r="D166" s="22">
        <v>17.880569684714935</v>
      </c>
      <c r="E166" s="22">
        <v>1.9430315285063671E-2</v>
      </c>
      <c r="F166" s="22">
        <v>1.064350401988552E-2</v>
      </c>
      <c r="G166" s="22"/>
      <c r="H166" s="22"/>
      <c r="I166" s="22"/>
    </row>
    <row r="167" spans="2:9">
      <c r="B167" s="25">
        <v>112</v>
      </c>
      <c r="C167" s="22">
        <v>19.899999999999999</v>
      </c>
      <c r="D167" s="22">
        <v>19.755501064350522</v>
      </c>
      <c r="E167" s="22">
        <v>0.14449893564947658</v>
      </c>
      <c r="F167" s="22">
        <v>7.9153373472876376E-2</v>
      </c>
      <c r="G167" s="22"/>
      <c r="H167" s="22"/>
      <c r="I167" s="22"/>
    </row>
    <row r="168" spans="2:9">
      <c r="B168" s="25">
        <v>113</v>
      </c>
      <c r="C168" s="22">
        <v>20.6</v>
      </c>
      <c r="D168" s="22">
        <v>20.390351021696656</v>
      </c>
      <c r="E168" s="22">
        <v>0.2096489783033455</v>
      </c>
      <c r="F168" s="22">
        <v>0.11484114954387051</v>
      </c>
      <c r="G168" s="22"/>
      <c r="H168" s="22"/>
      <c r="I168" s="22"/>
    </row>
    <row r="169" spans="2:9">
      <c r="B169" s="25">
        <v>114</v>
      </c>
      <c r="C169" s="22">
        <v>20.9</v>
      </c>
      <c r="D169" s="22">
        <v>21.021110825606257</v>
      </c>
      <c r="E169" s="22">
        <v>-0.12111082560625874</v>
      </c>
      <c r="F169" s="22">
        <v>-6.6341875583602758E-2</v>
      </c>
      <c r="G169" s="22"/>
      <c r="H169" s="22"/>
      <c r="I169" s="22"/>
    </row>
    <row r="170" spans="2:9">
      <c r="B170" s="25">
        <v>115</v>
      </c>
      <c r="C170" s="22">
        <v>20.3</v>
      </c>
      <c r="D170" s="22">
        <v>20.668783999835114</v>
      </c>
      <c r="E170" s="22">
        <v>-0.36878399983511301</v>
      </c>
      <c r="F170" s="22">
        <v>-0.20201185246498815</v>
      </c>
      <c r="G170" s="22"/>
      <c r="H170" s="22"/>
      <c r="I170" s="22"/>
    </row>
    <row r="171" spans="2:9">
      <c r="B171" s="25">
        <v>116</v>
      </c>
      <c r="C171" s="22">
        <v>21.2</v>
      </c>
      <c r="D171" s="22">
        <v>20.324914017697182</v>
      </c>
      <c r="E171" s="22">
        <v>0.8750859823028172</v>
      </c>
      <c r="F171" s="22">
        <v>0.47935306420608004</v>
      </c>
      <c r="G171" s="22"/>
      <c r="H171" s="22"/>
      <c r="I171" s="22"/>
    </row>
    <row r="172" spans="2:9">
      <c r="B172" s="25">
        <v>117</v>
      </c>
      <c r="C172" s="22">
        <v>19.8</v>
      </c>
      <c r="D172" s="22">
        <v>19.654519594642487</v>
      </c>
      <c r="E172" s="22">
        <v>0.14548040535751383</v>
      </c>
      <c r="F172" s="22">
        <v>7.9691001227734301E-2</v>
      </c>
      <c r="G172" s="22"/>
      <c r="H172" s="22"/>
      <c r="I172" s="22"/>
    </row>
    <row r="173" spans="2:9">
      <c r="B173" s="25">
        <v>118</v>
      </c>
      <c r="C173" s="22">
        <v>19.8</v>
      </c>
      <c r="D173" s="22">
        <v>19.593258455144376</v>
      </c>
      <c r="E173" s="22">
        <v>0.20674154485562468</v>
      </c>
      <c r="F173" s="22">
        <v>0.11324852075044305</v>
      </c>
      <c r="G173" s="22"/>
      <c r="H173" s="22"/>
      <c r="I173" s="22"/>
    </row>
    <row r="174" spans="2:9">
      <c r="B174" s="25">
        <v>119</v>
      </c>
      <c r="C174" s="22">
        <v>19.7</v>
      </c>
      <c r="D174" s="22">
        <v>19.773279187846029</v>
      </c>
      <c r="E174" s="22">
        <v>-7.3279187846029714E-2</v>
      </c>
      <c r="F174" s="22">
        <v>-4.0140744963244053E-2</v>
      </c>
      <c r="G174" s="22"/>
      <c r="H174" s="22"/>
      <c r="I174" s="22"/>
    </row>
    <row r="175" spans="2:9">
      <c r="B175" s="25">
        <v>120</v>
      </c>
      <c r="C175" s="22">
        <v>19.399999999999999</v>
      </c>
      <c r="D175" s="22">
        <v>18.658219028799913</v>
      </c>
      <c r="E175" s="22">
        <v>0.74178097120008601</v>
      </c>
      <c r="F175" s="22">
        <v>0.40633147908370798</v>
      </c>
      <c r="G175" s="22"/>
      <c r="H175" s="22"/>
      <c r="I175" s="22"/>
    </row>
    <row r="176" spans="2:9">
      <c r="B176" s="25">
        <v>121</v>
      </c>
      <c r="C176" s="22">
        <v>23.2</v>
      </c>
      <c r="D176" s="22">
        <v>18.663444523533798</v>
      </c>
      <c r="E176" s="22">
        <v>4.5365554764662015</v>
      </c>
      <c r="F176" s="22">
        <v>2.4850264003342684</v>
      </c>
      <c r="G176" s="22"/>
      <c r="H176" s="22"/>
      <c r="I176" s="22"/>
    </row>
    <row r="177" spans="2:9">
      <c r="B177" s="25">
        <v>122</v>
      </c>
      <c r="C177" s="22">
        <v>21.6</v>
      </c>
      <c r="D177" s="22">
        <v>19.619455333992043</v>
      </c>
      <c r="E177" s="22">
        <v>1.9805446660079582</v>
      </c>
      <c r="F177" s="22">
        <v>1.0848992826391726</v>
      </c>
      <c r="G177" s="22"/>
      <c r="H177" s="22"/>
      <c r="I177" s="22"/>
    </row>
    <row r="178" spans="2:9">
      <c r="B178" s="25">
        <v>123</v>
      </c>
      <c r="C178" s="22">
        <v>22.5</v>
      </c>
      <c r="D178" s="22">
        <v>21.274776438450793</v>
      </c>
      <c r="E178" s="22">
        <v>1.2252235615492069</v>
      </c>
      <c r="F178" s="22">
        <v>0.67115081311274283</v>
      </c>
      <c r="G178" s="22"/>
      <c r="H178" s="22"/>
      <c r="I178" s="22"/>
    </row>
    <row r="179" spans="2:9">
      <c r="B179" s="25">
        <v>124</v>
      </c>
      <c r="C179" s="22">
        <v>23.2</v>
      </c>
      <c r="D179" s="22">
        <v>23.814946986431302</v>
      </c>
      <c r="E179" s="22">
        <v>-0.61494698643130263</v>
      </c>
      <c r="F179" s="22">
        <v>-0.33685458141430297</v>
      </c>
      <c r="G179" s="22"/>
      <c r="H179" s="22"/>
      <c r="I179" s="22"/>
    </row>
    <row r="180" spans="2:9">
      <c r="B180" s="25">
        <v>125</v>
      </c>
      <c r="C180" s="22">
        <v>23.5</v>
      </c>
      <c r="D180" s="22">
        <v>24.601816343317118</v>
      </c>
      <c r="E180" s="22">
        <v>-1.1018163433171182</v>
      </c>
      <c r="F180" s="22">
        <v>-0.60355102360516755</v>
      </c>
      <c r="G180" s="22"/>
      <c r="H180" s="22"/>
      <c r="I180" s="22"/>
    </row>
    <row r="181" spans="2:9">
      <c r="B181" s="25">
        <v>126</v>
      </c>
      <c r="C181" s="22">
        <v>24.3</v>
      </c>
      <c r="D181" s="22">
        <v>24.12255201391616</v>
      </c>
      <c r="E181" s="22">
        <v>0.17744798608384116</v>
      </c>
      <c r="F181" s="22">
        <v>9.7202146516675234E-2</v>
      </c>
      <c r="G181" s="22"/>
      <c r="H181" s="22"/>
      <c r="I181" s="22"/>
    </row>
    <row r="182" spans="2:9">
      <c r="B182" s="25">
        <v>127</v>
      </c>
      <c r="C182" s="22">
        <v>23.6</v>
      </c>
      <c r="D182" s="22">
        <v>23.643287684515208</v>
      </c>
      <c r="E182" s="22">
        <v>-4.3287684515206593E-2</v>
      </c>
      <c r="F182" s="22">
        <v>-2.3712051883342754E-2</v>
      </c>
      <c r="G182" s="22"/>
      <c r="H182" s="22"/>
      <c r="I182" s="22"/>
    </row>
    <row r="183" spans="2:9">
      <c r="B183" s="25">
        <v>128</v>
      </c>
      <c r="C183" s="22">
        <v>24.4</v>
      </c>
      <c r="D183" s="22">
        <v>24.301042094099294</v>
      </c>
      <c r="E183" s="22">
        <v>9.8957905900704191E-2</v>
      </c>
      <c r="F183" s="22">
        <v>5.4206988090576766E-2</v>
      </c>
      <c r="G183" s="22"/>
      <c r="H183" s="22"/>
      <c r="I183" s="22"/>
    </row>
    <row r="184" spans="2:9">
      <c r="B184" s="25">
        <v>129</v>
      </c>
      <c r="C184" s="22">
        <v>23.5</v>
      </c>
      <c r="D184" s="22">
        <v>23.062072334546659</v>
      </c>
      <c r="E184" s="22">
        <v>0.43792766545334061</v>
      </c>
      <c r="F184" s="22">
        <v>0.23988724831731098</v>
      </c>
      <c r="G184" s="22"/>
      <c r="H184" s="22"/>
      <c r="I184" s="22"/>
    </row>
    <row r="185" spans="2:9">
      <c r="B185" s="25">
        <v>130</v>
      </c>
      <c r="C185" s="22">
        <v>23.4</v>
      </c>
      <c r="D185" s="22">
        <v>23.260550027113979</v>
      </c>
      <c r="E185" s="22">
        <v>0.13944997288601968</v>
      </c>
      <c r="F185" s="22">
        <v>7.6387661507800061E-2</v>
      </c>
      <c r="G185" s="22"/>
      <c r="H185" s="22"/>
      <c r="I185" s="22"/>
    </row>
    <row r="186" spans="2:9">
      <c r="B186" s="25">
        <v>131</v>
      </c>
      <c r="C186" s="22">
        <v>22.9</v>
      </c>
      <c r="D186" s="22">
        <v>23.465558599574827</v>
      </c>
      <c r="E186" s="22">
        <v>-0.56555859957482824</v>
      </c>
      <c r="F186" s="22">
        <v>-0.30980069750503714</v>
      </c>
      <c r="G186" s="22"/>
      <c r="H186" s="22"/>
      <c r="I186" s="22"/>
    </row>
    <row r="187" spans="2:9">
      <c r="B187" s="25">
        <v>132</v>
      </c>
      <c r="C187" s="22">
        <v>22.9</v>
      </c>
      <c r="D187" s="22">
        <v>22.754461135900822</v>
      </c>
      <c r="E187" s="22">
        <v>0.14553886409917638</v>
      </c>
      <c r="F187" s="22">
        <v>7.9723023654686934E-2</v>
      </c>
      <c r="G187" s="22"/>
      <c r="H187" s="22"/>
      <c r="I187" s="22"/>
    </row>
    <row r="188" spans="2:9">
      <c r="B188" s="25">
        <v>133</v>
      </c>
      <c r="C188" s="22">
        <v>23.4</v>
      </c>
      <c r="D188" s="22">
        <v>25.297764089311144</v>
      </c>
      <c r="E188" s="22">
        <v>-1.8977640893111456</v>
      </c>
      <c r="F188" s="22">
        <v>-1.0395538835597116</v>
      </c>
      <c r="G188" s="22"/>
      <c r="H188" s="22"/>
      <c r="I188" s="22"/>
    </row>
    <row r="189" spans="2:9">
      <c r="B189" s="25">
        <v>134</v>
      </c>
      <c r="C189" s="22">
        <v>22.5</v>
      </c>
      <c r="D189" s="22">
        <v>23.076810773636424</v>
      </c>
      <c r="E189" s="22">
        <v>-0.5768107736364243</v>
      </c>
      <c r="F189" s="22">
        <v>-0.31596439367259815</v>
      </c>
      <c r="G189" s="22"/>
      <c r="H189" s="22"/>
      <c r="I189" s="22"/>
    </row>
    <row r="190" spans="2:9">
      <c r="B190" s="25">
        <v>135</v>
      </c>
      <c r="C190" s="22">
        <v>21.5</v>
      </c>
      <c r="D190" s="22">
        <v>22.773818668873684</v>
      </c>
      <c r="E190" s="22">
        <v>-1.2738186688736839</v>
      </c>
      <c r="F190" s="22">
        <v>-0.69777015575163626</v>
      </c>
      <c r="G190" s="22"/>
      <c r="H190" s="22"/>
      <c r="I190" s="22"/>
    </row>
    <row r="191" spans="2:9">
      <c r="B191" s="25">
        <v>136</v>
      </c>
      <c r="C191" s="22">
        <v>23</v>
      </c>
      <c r="D191" s="22">
        <v>23.432893074289467</v>
      </c>
      <c r="E191" s="22">
        <v>-0.43289307428946699</v>
      </c>
      <c r="F191" s="22">
        <v>-0.23712940880184202</v>
      </c>
      <c r="G191" s="22"/>
      <c r="H191" s="22"/>
      <c r="I191" s="22"/>
    </row>
    <row r="192" spans="2:9">
      <c r="B192" s="25">
        <v>137</v>
      </c>
      <c r="C192" s="22">
        <v>24.1</v>
      </c>
      <c r="D192" s="22">
        <v>23.292307990903296</v>
      </c>
      <c r="E192" s="22">
        <v>0.80769200909670502</v>
      </c>
      <c r="F192" s="22">
        <v>0.44243611179374753</v>
      </c>
      <c r="G192" s="22"/>
      <c r="H192" s="22"/>
      <c r="I192" s="22"/>
    </row>
    <row r="193" spans="2:9">
      <c r="B193" s="25">
        <v>138</v>
      </c>
      <c r="C193" s="22">
        <v>24.4</v>
      </c>
      <c r="D193" s="22">
        <v>24.50547423142649</v>
      </c>
      <c r="E193" s="22">
        <v>-0.10547423142649137</v>
      </c>
      <c r="F193" s="22">
        <v>-5.7776489455380338E-2</v>
      </c>
      <c r="G193" s="22"/>
      <c r="H193" s="22"/>
      <c r="I193" s="22"/>
    </row>
    <row r="194" spans="2:9">
      <c r="B194" s="25">
        <v>139</v>
      </c>
      <c r="C194" s="22">
        <v>23.2</v>
      </c>
      <c r="D194" s="22">
        <v>24.015656828268423</v>
      </c>
      <c r="E194" s="22">
        <v>-0.81565682826842334</v>
      </c>
      <c r="F194" s="22">
        <v>-0.44679906646679968</v>
      </c>
      <c r="G194" s="22"/>
      <c r="H194" s="22"/>
      <c r="I194" s="22"/>
    </row>
    <row r="195" spans="2:9">
      <c r="B195" s="25">
        <v>140</v>
      </c>
      <c r="C195" s="22">
        <v>25</v>
      </c>
      <c r="D195" s="22">
        <v>24.403537504583774</v>
      </c>
      <c r="E195" s="22">
        <v>0.59646249541622609</v>
      </c>
      <c r="F195" s="22">
        <v>0.32672917935375373</v>
      </c>
      <c r="G195" s="22"/>
      <c r="H195" s="22"/>
      <c r="I195" s="22"/>
    </row>
    <row r="196" spans="2:9">
      <c r="B196" s="25">
        <v>141</v>
      </c>
      <c r="C196" s="22">
        <v>23</v>
      </c>
      <c r="D196" s="22">
        <v>23.558150029477154</v>
      </c>
      <c r="E196" s="22">
        <v>-0.55815002947715442</v>
      </c>
      <c r="F196" s="22">
        <v>-0.30574244397392691</v>
      </c>
      <c r="G196" s="22"/>
      <c r="H196" s="22"/>
      <c r="I196" s="22"/>
    </row>
    <row r="197" spans="2:9">
      <c r="B197" s="25">
        <v>142</v>
      </c>
      <c r="C197" s="22">
        <v>23.9</v>
      </c>
      <c r="D197" s="22">
        <v>23.525808419643397</v>
      </c>
      <c r="E197" s="22">
        <v>0.37419158035660161</v>
      </c>
      <c r="F197" s="22">
        <v>0.20497400743642921</v>
      </c>
      <c r="G197" s="22"/>
      <c r="H197" s="22"/>
      <c r="I197" s="22"/>
    </row>
    <row r="198" spans="2:9">
      <c r="B198" s="25">
        <v>143</v>
      </c>
      <c r="C198" s="22">
        <v>23.6</v>
      </c>
      <c r="D198" s="22">
        <v>23.113162774480923</v>
      </c>
      <c r="E198" s="22">
        <v>0.48683722551907849</v>
      </c>
      <c r="F198" s="22">
        <v>0.26667884132716202</v>
      </c>
      <c r="G198" s="22"/>
      <c r="H198" s="22"/>
      <c r="I198" s="22"/>
    </row>
    <row r="199" spans="2:9">
      <c r="B199" s="25">
        <v>144</v>
      </c>
      <c r="C199" s="22">
        <v>22.4</v>
      </c>
      <c r="D199" s="22">
        <v>23.572295321691193</v>
      </c>
      <c r="E199" s="22">
        <v>-1.1722953216911947</v>
      </c>
      <c r="F199" s="22">
        <v>-0.64215787473632513</v>
      </c>
      <c r="G199" s="22"/>
      <c r="H199" s="22"/>
      <c r="I199" s="22"/>
    </row>
    <row r="200" spans="2:9">
      <c r="B200" s="25">
        <v>145</v>
      </c>
      <c r="C200" s="22">
        <v>22.5</v>
      </c>
      <c r="D200" s="22">
        <v>24.461060985114052</v>
      </c>
      <c r="E200" s="22">
        <v>-1.9610609851140524</v>
      </c>
      <c r="F200" s="22">
        <v>-1.0742265460996958</v>
      </c>
      <c r="G200" s="22">
        <v>1.8255562499681999</v>
      </c>
      <c r="H200" s="22">
        <v>20.88303648342438</v>
      </c>
      <c r="I200" s="22">
        <v>28.039085486803724</v>
      </c>
    </row>
    <row r="201" spans="2:9">
      <c r="B201" s="25">
        <v>146</v>
      </c>
      <c r="C201" s="22">
        <v>22</v>
      </c>
      <c r="D201" s="22">
        <v>23.061660500465347</v>
      </c>
      <c r="E201" s="22">
        <v>-1.0616605004653472</v>
      </c>
      <c r="F201" s="22">
        <v>-0.58155452645397299</v>
      </c>
      <c r="G201" s="22">
        <v>2.0274090068311699</v>
      </c>
      <c r="H201" s="22">
        <v>19.088011865144136</v>
      </c>
      <c r="I201" s="22">
        <v>27.035309135786559</v>
      </c>
    </row>
    <row r="202" spans="2:9">
      <c r="B202" s="25">
        <v>147</v>
      </c>
      <c r="C202" s="22">
        <v>22.8</v>
      </c>
      <c r="D202" s="22">
        <v>22.77818466563696</v>
      </c>
      <c r="E202" s="22">
        <v>2.1815334363040506E-2</v>
      </c>
      <c r="F202" s="22">
        <v>1.1949965586335955E-2</v>
      </c>
      <c r="G202" s="22">
        <v>2.4467197156817444</v>
      </c>
      <c r="H202" s="22">
        <v>17.982702142636661</v>
      </c>
      <c r="I202" s="22">
        <v>27.573667188637259</v>
      </c>
    </row>
    <row r="203" spans="2:9">
      <c r="B203" s="25">
        <v>148</v>
      </c>
      <c r="C203" s="22">
        <v>20.399999999999999</v>
      </c>
      <c r="D203" s="22">
        <v>23.981951917940744</v>
      </c>
      <c r="E203" s="22">
        <v>-3.5819519179407457</v>
      </c>
      <c r="F203" s="22">
        <v>-1.9621153377241272</v>
      </c>
      <c r="G203" s="22">
        <v>2.6898562476984909</v>
      </c>
      <c r="H203" s="22">
        <v>18.709930548861653</v>
      </c>
      <c r="I203" s="22">
        <v>29.253973287019836</v>
      </c>
    </row>
    <row r="204" spans="2:9">
      <c r="B204" s="25">
        <v>149</v>
      </c>
      <c r="C204" s="22">
        <v>25.5</v>
      </c>
      <c r="D204" s="22">
        <v>24.913769740495365</v>
      </c>
      <c r="E204" s="22">
        <v>0.58623025950463514</v>
      </c>
      <c r="F204" s="22">
        <v>0.32112418311670587</v>
      </c>
      <c r="G204" s="22">
        <v>2.9652201278390389</v>
      </c>
      <c r="H204" s="22">
        <v>19.102045083697597</v>
      </c>
      <c r="I204" s="22">
        <v>30.725494397293133</v>
      </c>
    </row>
    <row r="205" spans="2:9">
      <c r="B205" s="25">
        <v>150</v>
      </c>
      <c r="C205" s="22">
        <v>21.5</v>
      </c>
      <c r="D205" s="22">
        <v>25.347747492266922</v>
      </c>
      <c r="E205" s="22">
        <v>-3.8477474922669224</v>
      </c>
      <c r="F205" s="22">
        <v>-2.1077123711383572</v>
      </c>
      <c r="G205" s="22">
        <v>3.1915698366007859</v>
      </c>
      <c r="H205" s="22">
        <v>19.092385558384997</v>
      </c>
      <c r="I205" s="22">
        <v>31.603109426148848</v>
      </c>
    </row>
    <row r="206" spans="2:9">
      <c r="B206" s="25">
        <v>151</v>
      </c>
      <c r="C206" s="22">
        <v>24.7</v>
      </c>
      <c r="D206" s="22">
        <v>24.315941071227783</v>
      </c>
      <c r="E206" s="22">
        <v>0.38405892877221603</v>
      </c>
      <c r="F206" s="22">
        <v>0.21037912624106</v>
      </c>
      <c r="G206" s="22">
        <v>3.4151351932865142</v>
      </c>
      <c r="H206" s="22">
        <v>17.62239909005098</v>
      </c>
      <c r="I206" s="22">
        <v>31.009483052404587</v>
      </c>
    </row>
    <row r="207" spans="2:9">
      <c r="B207" s="25">
        <v>152</v>
      </c>
      <c r="C207" s="22">
        <v>26.2</v>
      </c>
      <c r="D207" s="22">
        <v>25.841426586427406</v>
      </c>
      <c r="E207" s="22">
        <v>0.35857341357259287</v>
      </c>
      <c r="F207" s="22">
        <v>0.19641871543472791</v>
      </c>
      <c r="G207" s="22">
        <v>3.6189422045852981</v>
      </c>
      <c r="H207" s="22">
        <v>18.748430203308239</v>
      </c>
      <c r="I207" s="22">
        <v>32.934422969546574</v>
      </c>
    </row>
    <row r="208" spans="2:9">
      <c r="B208" s="25">
        <v>153</v>
      </c>
      <c r="C208" s="22">
        <v>21.2</v>
      </c>
      <c r="D208" s="22">
        <v>24.171084499997573</v>
      </c>
      <c r="E208" s="22">
        <v>-2.9710844999975734</v>
      </c>
      <c r="F208" s="22">
        <v>-1.6274954551793888</v>
      </c>
      <c r="G208" s="22">
        <v>3.8148013028487493</v>
      </c>
      <c r="H208" s="22">
        <v>16.694211338237551</v>
      </c>
      <c r="I208" s="22">
        <v>31.647957661757594</v>
      </c>
    </row>
    <row r="209" spans="2:9">
      <c r="B209" s="25">
        <v>154</v>
      </c>
      <c r="C209" s="22">
        <v>23.7</v>
      </c>
      <c r="D209" s="22">
        <v>24.800986657630251</v>
      </c>
      <c r="E209" s="22">
        <v>-1.1009866576302514</v>
      </c>
      <c r="F209" s="22">
        <v>-0.60309653983514888</v>
      </c>
      <c r="G209" s="22">
        <v>3.9996361246902139</v>
      </c>
      <c r="H209" s="22">
        <v>16.961843901972081</v>
      </c>
      <c r="I209" s="22">
        <v>32.64012941328842</v>
      </c>
    </row>
    <row r="210" spans="2:9">
      <c r="B210" s="25">
        <v>155</v>
      </c>
      <c r="C210" s="22">
        <v>23.5</v>
      </c>
      <c r="D210" s="22">
        <v>24.460009780618623</v>
      </c>
      <c r="E210" s="22">
        <v>-0.96000978061862341</v>
      </c>
      <c r="F210" s="22">
        <v>-0.5258724734640996</v>
      </c>
      <c r="G210" s="22">
        <v>4.1770147959678026</v>
      </c>
      <c r="H210" s="22">
        <v>16.273211217630809</v>
      </c>
      <c r="I210" s="22">
        <v>32.646808343606438</v>
      </c>
    </row>
    <row r="211" spans="2:9" ht="16" thickBot="1">
      <c r="B211" s="26">
        <v>156</v>
      </c>
      <c r="C211" s="21">
        <v>22.4</v>
      </c>
      <c r="D211" s="21">
        <v>23.614456577551493</v>
      </c>
      <c r="E211" s="21">
        <v>-1.2144565775514948</v>
      </c>
      <c r="F211" s="21">
        <v>-0.66525289350719807</v>
      </c>
      <c r="G211" s="21">
        <v>4.3468059124539691</v>
      </c>
      <c r="H211" s="21">
        <v>15.094873541355948</v>
      </c>
      <c r="I211" s="21">
        <v>32.134039613747035</v>
      </c>
    </row>
    <row r="230" spans="2:10">
      <c r="G230" t="s">
        <v>219</v>
      </c>
    </row>
    <row r="233" spans="2:10">
      <c r="B233" t="s">
        <v>220</v>
      </c>
    </row>
    <row r="234" spans="2:10" ht="16" thickBot="1"/>
    <row r="235" spans="2:10">
      <c r="B235" s="12" t="s">
        <v>221</v>
      </c>
      <c r="C235" s="12" t="s">
        <v>222</v>
      </c>
      <c r="D235" s="12" t="s">
        <v>218</v>
      </c>
      <c r="E235" s="12" t="s">
        <v>208</v>
      </c>
      <c r="F235" s="12" t="s">
        <v>209</v>
      </c>
      <c r="G235" s="12" t="s">
        <v>223</v>
      </c>
      <c r="H235" s="12" t="s">
        <v>218</v>
      </c>
      <c r="I235" s="12" t="s">
        <v>208</v>
      </c>
      <c r="J235" s="12" t="s">
        <v>209</v>
      </c>
    </row>
    <row r="236" spans="2:10">
      <c r="B236" s="24">
        <v>0</v>
      </c>
      <c r="C236" s="20">
        <v>1</v>
      </c>
      <c r="D236" s="20">
        <v>0</v>
      </c>
      <c r="E236" s="20"/>
      <c r="F236" s="20"/>
      <c r="G236" s="20">
        <v>1</v>
      </c>
      <c r="H236" s="20">
        <v>0</v>
      </c>
      <c r="I236" s="20"/>
      <c r="J236" s="20"/>
    </row>
    <row r="237" spans="2:10">
      <c r="B237" s="25">
        <v>1</v>
      </c>
      <c r="C237" s="22">
        <v>0.9582727848457645</v>
      </c>
      <c r="D237" s="22">
        <v>8.0064076902543566E-2</v>
      </c>
      <c r="E237" s="22">
        <v>-0.15692270718443055</v>
      </c>
      <c r="F237" s="22">
        <v>0.15692270718443055</v>
      </c>
      <c r="G237" s="22">
        <v>0.9582727848457645</v>
      </c>
      <c r="H237" s="22">
        <v>8.0064076902543566E-2</v>
      </c>
      <c r="I237" s="22">
        <v>-0.15692270718443055</v>
      </c>
      <c r="J237" s="22">
        <v>0.15692270718443055</v>
      </c>
    </row>
    <row r="238" spans="2:10">
      <c r="B238" s="25">
        <v>2</v>
      </c>
      <c r="C238" s="22">
        <v>0.94077604242618829</v>
      </c>
      <c r="D238" s="22">
        <v>0.13484495988870085</v>
      </c>
      <c r="E238" s="22">
        <v>-0.26429126487860183</v>
      </c>
      <c r="F238" s="22">
        <v>0.26429126487860183</v>
      </c>
      <c r="G238" s="22">
        <v>0.27522227783304026</v>
      </c>
      <c r="H238" s="22">
        <v>8.0064076902543566E-2</v>
      </c>
      <c r="I238" s="22">
        <v>-0.15692270718443055</v>
      </c>
      <c r="J238" s="22">
        <v>0.15692270718443055</v>
      </c>
    </row>
    <row r="239" spans="2:10">
      <c r="B239" s="25">
        <v>3</v>
      </c>
      <c r="C239" s="22">
        <v>0.91855056953419079</v>
      </c>
      <c r="D239" s="22">
        <v>0.17184318627447323</v>
      </c>
      <c r="E239" s="22">
        <v>-0.33680645608657522</v>
      </c>
      <c r="F239" s="22">
        <v>0.33680645608657522</v>
      </c>
      <c r="G239" s="22">
        <v>1.8681314977779185E-2</v>
      </c>
      <c r="H239" s="22">
        <v>8.0064076902543566E-2</v>
      </c>
      <c r="I239" s="22">
        <v>-0.15692270718443055</v>
      </c>
      <c r="J239" s="22">
        <v>0.15692270718443055</v>
      </c>
    </row>
    <row r="240" spans="2:10">
      <c r="B240" s="25">
        <v>4</v>
      </c>
      <c r="C240" s="22">
        <v>0.8878045436182862</v>
      </c>
      <c r="D240" s="22">
        <v>0.20086611949545682</v>
      </c>
      <c r="E240" s="22">
        <v>-0.39369035992541412</v>
      </c>
      <c r="F240" s="22">
        <v>0.39369035992541412</v>
      </c>
      <c r="G240" s="22">
        <v>-0.13319592097576061</v>
      </c>
      <c r="H240" s="22">
        <v>8.0064076902543566E-2</v>
      </c>
      <c r="I240" s="22">
        <v>-0.15692270718443055</v>
      </c>
      <c r="J240" s="22">
        <v>0.15692270718443055</v>
      </c>
    </row>
    <row r="241" spans="2:10">
      <c r="B241" s="25">
        <v>5</v>
      </c>
      <c r="C241" s="22">
        <v>0.86674574296078621</v>
      </c>
      <c r="D241" s="22">
        <v>0.22461586435740824</v>
      </c>
      <c r="E241" s="22">
        <v>-0.44023900449685405</v>
      </c>
      <c r="F241" s="22">
        <v>0.44023900449685405</v>
      </c>
      <c r="G241" s="22">
        <v>4.307451325376202E-2</v>
      </c>
      <c r="H241" s="22">
        <v>8.0064076902543566E-2</v>
      </c>
      <c r="I241" s="22">
        <v>-0.15692270718443055</v>
      </c>
      <c r="J241" s="22">
        <v>0.15692270718443055</v>
      </c>
    </row>
    <row r="242" spans="2:10">
      <c r="B242" s="25">
        <v>6</v>
      </c>
      <c r="C242" s="22">
        <v>0.84240096697095035</v>
      </c>
      <c r="D242" s="22">
        <v>0.24511971255246509</v>
      </c>
      <c r="E242" s="22">
        <v>-0.48042580850364208</v>
      </c>
      <c r="F242" s="22">
        <v>0.48042580850364208</v>
      </c>
      <c r="G242" s="22">
        <v>6.1321174927925588E-3</v>
      </c>
      <c r="H242" s="22">
        <v>8.0064076902543566E-2</v>
      </c>
      <c r="I242" s="22">
        <v>-0.15692270718443055</v>
      </c>
      <c r="J242" s="22">
        <v>0.15692270718443055</v>
      </c>
    </row>
    <row r="243" spans="2:10">
      <c r="B243" s="25">
        <v>7</v>
      </c>
      <c r="C243" s="22">
        <v>0.82178437406869476</v>
      </c>
      <c r="D243" s="22">
        <v>0.26302398059566284</v>
      </c>
      <c r="E243" s="22">
        <v>-0.51551752903786108</v>
      </c>
      <c r="F243" s="22">
        <v>0.51551752903786108</v>
      </c>
      <c r="G243" s="22">
        <v>3.7789757452864371E-2</v>
      </c>
      <c r="H243" s="22">
        <v>8.0064076902543566E-2</v>
      </c>
      <c r="I243" s="22">
        <v>-0.15692270718443055</v>
      </c>
      <c r="J243" s="22">
        <v>0.15692270718443055</v>
      </c>
    </row>
    <row r="244" spans="2:10">
      <c r="B244" s="25">
        <v>8</v>
      </c>
      <c r="C244" s="22">
        <v>0.80466796449893851</v>
      </c>
      <c r="D244" s="22">
        <v>0.2789976444666144</v>
      </c>
      <c r="E244" s="22">
        <v>-0.54682533492607477</v>
      </c>
      <c r="F244" s="22">
        <v>0.54682533492607477</v>
      </c>
      <c r="G244" s="22">
        <v>4.3279093950655496E-2</v>
      </c>
      <c r="H244" s="22">
        <v>8.0064076902543566E-2</v>
      </c>
      <c r="I244" s="22">
        <v>-0.15692270718443055</v>
      </c>
      <c r="J244" s="22">
        <v>0.15692270718443055</v>
      </c>
    </row>
    <row r="245" spans="2:10">
      <c r="B245" s="25">
        <v>9</v>
      </c>
      <c r="C245" s="22">
        <v>0.79223216379824668</v>
      </c>
      <c r="D245" s="22">
        <v>0.29349760867607</v>
      </c>
      <c r="E245" s="22">
        <v>-0.57524474255372759</v>
      </c>
      <c r="F245" s="22">
        <v>0.57524474255372759</v>
      </c>
      <c r="G245" s="22">
        <v>8.8396447691656277E-2</v>
      </c>
      <c r="H245" s="22">
        <v>8.0064076902543566E-2</v>
      </c>
      <c r="I245" s="22">
        <v>-0.15692270718443055</v>
      </c>
      <c r="J245" s="22">
        <v>0.15692270718443055</v>
      </c>
    </row>
    <row r="246" spans="2:10">
      <c r="B246" s="25">
        <v>10</v>
      </c>
      <c r="C246" s="22">
        <v>0.77454311013933386</v>
      </c>
      <c r="D246" s="22">
        <v>0.30689967066522483</v>
      </c>
      <c r="E246" s="22">
        <v>-0.60151230137104428</v>
      </c>
      <c r="F246" s="22">
        <v>0.60151230137104428</v>
      </c>
      <c r="G246" s="22">
        <v>-4.6852975040952531E-2</v>
      </c>
      <c r="H246" s="22">
        <v>8.0064076902543566E-2</v>
      </c>
      <c r="I246" s="22">
        <v>-0.15692270718443055</v>
      </c>
      <c r="J246" s="22">
        <v>0.15692270718443055</v>
      </c>
    </row>
    <row r="247" spans="2:10">
      <c r="B247" s="25">
        <v>11</v>
      </c>
      <c r="C247" s="22">
        <v>0.75953196837779324</v>
      </c>
      <c r="D247" s="22">
        <v>0.31918435397417999</v>
      </c>
      <c r="E247" s="22">
        <v>-0.62558983821807668</v>
      </c>
      <c r="F247" s="22">
        <v>0.62558983821807668</v>
      </c>
      <c r="G247" s="22">
        <v>-1.5644252198243443E-2</v>
      </c>
      <c r="H247" s="22">
        <v>8.0064076902543566E-2</v>
      </c>
      <c r="I247" s="22">
        <v>-0.15692270718443055</v>
      </c>
      <c r="J247" s="22">
        <v>0.15692270718443055</v>
      </c>
    </row>
    <row r="248" spans="2:10">
      <c r="B248" s="25">
        <v>12</v>
      </c>
      <c r="C248" s="22">
        <v>0.75188158619296841</v>
      </c>
      <c r="D248" s="22">
        <v>0.33056718261072848</v>
      </c>
      <c r="E248" s="22">
        <v>-0.64789977238790297</v>
      </c>
      <c r="F248" s="22">
        <v>0.64789977238790297</v>
      </c>
      <c r="G248" s="22">
        <v>9.7448898943108764E-2</v>
      </c>
      <c r="H248" s="22">
        <v>8.0064076902543566E-2</v>
      </c>
      <c r="I248" s="22">
        <v>-0.15692270718443055</v>
      </c>
      <c r="J248" s="22">
        <v>0.15692270718443055</v>
      </c>
    </row>
    <row r="249" spans="2:10">
      <c r="B249" s="25">
        <v>13</v>
      </c>
      <c r="C249" s="22">
        <v>0.7260540299205237</v>
      </c>
      <c r="D249" s="22">
        <v>0.34135381998728731</v>
      </c>
      <c r="E249" s="22">
        <v>-0.66904119316025179</v>
      </c>
      <c r="F249" s="22">
        <v>0.66904119316025179</v>
      </c>
      <c r="G249" s="22">
        <v>-0.16844218769024802</v>
      </c>
      <c r="H249" s="22">
        <v>8.0064076902543566E-2</v>
      </c>
      <c r="I249" s="22">
        <v>-0.15692270718443055</v>
      </c>
      <c r="J249" s="22">
        <v>0.15692270718443055</v>
      </c>
    </row>
    <row r="250" spans="2:10">
      <c r="B250" s="25">
        <v>14</v>
      </c>
      <c r="C250" s="22">
        <v>0.71296536821662027</v>
      </c>
      <c r="D250" s="22">
        <v>0.35111368651830605</v>
      </c>
      <c r="E250" s="22">
        <v>-0.68817018005496644</v>
      </c>
      <c r="F250" s="22">
        <v>0.68817018005496644</v>
      </c>
      <c r="G250" s="22">
        <v>2.9703408512951439E-2</v>
      </c>
      <c r="H250" s="22">
        <v>8.0064076902543566E-2</v>
      </c>
      <c r="I250" s="22">
        <v>-0.15692270718443055</v>
      </c>
      <c r="J250" s="22">
        <v>0.15692270718443055</v>
      </c>
    </row>
    <row r="251" spans="2:10">
      <c r="B251" s="25">
        <v>15</v>
      </c>
      <c r="C251" s="22">
        <v>0.69010359468140536</v>
      </c>
      <c r="D251" s="22">
        <v>0.36027453284663802</v>
      </c>
      <c r="E251" s="22">
        <v>-0.70612510892640312</v>
      </c>
      <c r="F251" s="22">
        <v>0.70612510892640312</v>
      </c>
      <c r="G251" s="22">
        <v>-7.4191701032560634E-2</v>
      </c>
      <c r="H251" s="22">
        <v>8.0064076902543566E-2</v>
      </c>
      <c r="I251" s="22">
        <v>-0.15692270718443055</v>
      </c>
      <c r="J251" s="22">
        <v>0.15692270718443055</v>
      </c>
    </row>
    <row r="252" spans="2:10">
      <c r="B252" s="25">
        <v>16</v>
      </c>
      <c r="C252" s="22">
        <v>0.66627713317864246</v>
      </c>
      <c r="D252" s="22">
        <v>0.36865080786331672</v>
      </c>
      <c r="E252" s="22">
        <v>-0.72254230628369598</v>
      </c>
      <c r="F252" s="22">
        <v>0.72254230628369598</v>
      </c>
      <c r="G252" s="22">
        <v>-2.6784052749701713E-2</v>
      </c>
      <c r="H252" s="22">
        <v>8.0064076902543566E-2</v>
      </c>
      <c r="I252" s="22">
        <v>-0.15692270718443055</v>
      </c>
      <c r="J252" s="22">
        <v>0.15692270718443055</v>
      </c>
    </row>
    <row r="253" spans="2:10">
      <c r="B253" s="25">
        <v>17</v>
      </c>
      <c r="C253" s="22">
        <v>0.64841884853443954</v>
      </c>
      <c r="D253" s="22">
        <v>0.37629080122893843</v>
      </c>
      <c r="E253" s="22">
        <v>-0.73751641812243951</v>
      </c>
      <c r="F253" s="22">
        <v>0.73751641812243951</v>
      </c>
      <c r="G253" s="22">
        <v>1.3559503785061046E-2</v>
      </c>
      <c r="H253" s="22">
        <v>8.0064076902543566E-2</v>
      </c>
      <c r="I253" s="22">
        <v>-0.15692270718443055</v>
      </c>
      <c r="J253" s="22">
        <v>0.15692270718443055</v>
      </c>
    </row>
    <row r="254" spans="2:10">
      <c r="B254" s="25">
        <v>18</v>
      </c>
      <c r="C254" s="22">
        <v>0.62420588463597593</v>
      </c>
      <c r="D254" s="22">
        <v>0.38338637597540082</v>
      </c>
      <c r="E254" s="22">
        <v>-0.75142348907511769</v>
      </c>
      <c r="F254" s="22">
        <v>0.75142348907511769</v>
      </c>
      <c r="G254" s="22">
        <v>-2.8081560517912118E-2</v>
      </c>
      <c r="H254" s="22">
        <v>8.0064076902543566E-2</v>
      </c>
      <c r="I254" s="22">
        <v>-0.15692270718443055</v>
      </c>
      <c r="J254" s="22">
        <v>0.15692270718443055</v>
      </c>
    </row>
    <row r="255" spans="2:10">
      <c r="B255" s="25">
        <v>19</v>
      </c>
      <c r="C255" s="22">
        <v>0.61043001926280616</v>
      </c>
      <c r="D255" s="22">
        <v>0.3898466467486531</v>
      </c>
      <c r="E255" s="22">
        <v>-0.76408538712106888</v>
      </c>
      <c r="F255" s="22">
        <v>0.76408538712106888</v>
      </c>
      <c r="G255" s="22">
        <v>8.8729904869582155E-2</v>
      </c>
      <c r="H255" s="22">
        <v>8.0064076902543566E-2</v>
      </c>
      <c r="I255" s="22">
        <v>-0.15692270718443055</v>
      </c>
      <c r="J255" s="22">
        <v>0.15692270718443055</v>
      </c>
    </row>
    <row r="256" spans="2:10">
      <c r="B256" s="25">
        <v>20</v>
      </c>
      <c r="C256" s="22">
        <v>0.59225027307950318</v>
      </c>
      <c r="D256" s="22">
        <v>0.39592631778491671</v>
      </c>
      <c r="E256" s="22">
        <v>-0.77600132338999683</v>
      </c>
      <c r="F256" s="22">
        <v>0.77600132338999683</v>
      </c>
      <c r="G256" s="22">
        <v>-2.5191439346306289E-2</v>
      </c>
      <c r="H256" s="22">
        <v>8.0064076902543566E-2</v>
      </c>
      <c r="I256" s="22">
        <v>-0.15692270718443055</v>
      </c>
      <c r="J256" s="22">
        <v>0.15692270718443055</v>
      </c>
    </row>
    <row r="257" spans="2:10">
      <c r="B257" s="25">
        <v>21</v>
      </c>
      <c r="C257" s="22">
        <v>0.57831690911230837</v>
      </c>
      <c r="D257" s="22">
        <v>0.40156515927043057</v>
      </c>
      <c r="E257" s="22">
        <v>-0.78705324961613432</v>
      </c>
      <c r="F257" s="22">
        <v>0.78705324961613432</v>
      </c>
      <c r="G257" s="22">
        <v>1.1743884458194787E-2</v>
      </c>
      <c r="H257" s="22">
        <v>8.0064076902543566E-2</v>
      </c>
      <c r="I257" s="22">
        <v>-0.15692270718443055</v>
      </c>
      <c r="J257" s="22">
        <v>0.15692270718443055</v>
      </c>
    </row>
    <row r="258" spans="2:10" ht="16" thickBot="1">
      <c r="B258" s="26">
        <v>22</v>
      </c>
      <c r="C258" s="21">
        <v>0.56011511235678546</v>
      </c>
      <c r="D258" s="21">
        <v>0.40686902485708865</v>
      </c>
      <c r="E258" s="21">
        <v>-0.79744863514482556</v>
      </c>
      <c r="F258" s="21">
        <v>0.79744863514482556</v>
      </c>
      <c r="G258" s="21">
        <v>-5.7385414050551253E-2</v>
      </c>
      <c r="H258" s="21">
        <v>8.0064076902543566E-2</v>
      </c>
      <c r="I258" s="21">
        <v>-0.15692270718443055</v>
      </c>
      <c r="J258" s="21">
        <v>0.15692270718443055</v>
      </c>
    </row>
    <row r="277" spans="2:10">
      <c r="G277" t="s">
        <v>219</v>
      </c>
    </row>
    <row r="280" spans="2:10">
      <c r="B280" t="s">
        <v>224</v>
      </c>
    </row>
    <row r="281" spans="2:10" ht="16" thickBot="1"/>
    <row r="282" spans="2:10">
      <c r="B282" s="12" t="s">
        <v>221</v>
      </c>
      <c r="C282" s="12" t="s">
        <v>222</v>
      </c>
      <c r="D282" s="12" t="s">
        <v>218</v>
      </c>
      <c r="E282" s="12" t="s">
        <v>208</v>
      </c>
      <c r="F282" s="12" t="s">
        <v>209</v>
      </c>
      <c r="G282" s="12" t="s">
        <v>223</v>
      </c>
      <c r="H282" s="12" t="s">
        <v>218</v>
      </c>
      <c r="I282" s="12" t="s">
        <v>208</v>
      </c>
      <c r="J282" s="12" t="s">
        <v>209</v>
      </c>
    </row>
    <row r="283" spans="2:10">
      <c r="B283" s="24">
        <v>0</v>
      </c>
      <c r="C283" s="20">
        <v>1</v>
      </c>
      <c r="D283" s="20">
        <v>0</v>
      </c>
      <c r="E283" s="20"/>
      <c r="F283" s="20"/>
      <c r="G283" s="20">
        <v>1</v>
      </c>
      <c r="H283" s="20">
        <v>0</v>
      </c>
      <c r="I283" s="20"/>
      <c r="J283" s="20"/>
    </row>
    <row r="284" spans="2:10">
      <c r="B284" s="25">
        <v>1</v>
      </c>
      <c r="C284" s="22">
        <v>-9.5693823675778972E-2</v>
      </c>
      <c r="D284" s="22">
        <v>8.0064076902543566E-2</v>
      </c>
      <c r="E284" s="22">
        <v>-0.15692270718443055</v>
      </c>
      <c r="F284" s="22">
        <v>0.15692270718443055</v>
      </c>
      <c r="G284" s="22">
        <v>-9.5693823675778972E-2</v>
      </c>
      <c r="H284" s="22">
        <v>8.0064076902543566E-2</v>
      </c>
      <c r="I284" s="22">
        <v>-0.15692270718443055</v>
      </c>
      <c r="J284" s="22">
        <v>0.15692270718443055</v>
      </c>
    </row>
    <row r="285" spans="2:10">
      <c r="B285" s="25">
        <v>2</v>
      </c>
      <c r="C285" s="22">
        <v>-0.10428602197056343</v>
      </c>
      <c r="D285" s="22">
        <v>8.0793921760597673E-2</v>
      </c>
      <c r="E285" s="22">
        <v>-0.15835317682051836</v>
      </c>
      <c r="F285" s="22">
        <v>0.15835317682051836</v>
      </c>
      <c r="G285" s="22">
        <v>-0.11449176621431351</v>
      </c>
      <c r="H285" s="22">
        <v>8.0064076902543566E-2</v>
      </c>
      <c r="I285" s="22">
        <v>-0.15692270718443055</v>
      </c>
      <c r="J285" s="22">
        <v>0.15692270718443055</v>
      </c>
    </row>
    <row r="286" spans="2:10">
      <c r="B286" s="25">
        <v>3</v>
      </c>
      <c r="C286" s="22">
        <v>4.3279953671498589E-2</v>
      </c>
      <c r="D286" s="22">
        <v>8.1652239615376571E-2</v>
      </c>
      <c r="E286" s="22">
        <v>-0.16003544890317267</v>
      </c>
      <c r="F286" s="22">
        <v>0.16003544890317267</v>
      </c>
      <c r="G286" s="22">
        <v>2.1681855229346056E-2</v>
      </c>
      <c r="H286" s="22">
        <v>8.0064076902543566E-2</v>
      </c>
      <c r="I286" s="22">
        <v>-0.15692270718443055</v>
      </c>
      <c r="J286" s="22">
        <v>0.15692270718443055</v>
      </c>
    </row>
    <row r="287" spans="2:10">
      <c r="B287" s="25">
        <v>4</v>
      </c>
      <c r="C287" s="22">
        <v>-0.1636183512169366</v>
      </c>
      <c r="D287" s="22">
        <v>8.1799162795692423E-2</v>
      </c>
      <c r="E287" s="22">
        <v>-0.16032341304508582</v>
      </c>
      <c r="F287" s="22">
        <v>0.16032341304508582</v>
      </c>
      <c r="G287" s="22">
        <v>-0.1726364089002897</v>
      </c>
      <c r="H287" s="22">
        <v>8.0064076902543566E-2</v>
      </c>
      <c r="I287" s="22">
        <v>-0.15692270718443055</v>
      </c>
      <c r="J287" s="22">
        <v>0.15692270718443055</v>
      </c>
    </row>
    <row r="288" spans="2:10">
      <c r="B288" s="25">
        <v>5</v>
      </c>
      <c r="C288" s="22">
        <v>6.649652528351005E-2</v>
      </c>
      <c r="D288" s="22">
        <v>8.3870856274492395E-2</v>
      </c>
      <c r="E288" s="22">
        <v>-0.16438385765054028</v>
      </c>
      <c r="F288" s="22">
        <v>0.16438385765054028</v>
      </c>
      <c r="G288" s="22">
        <v>4.1785796798805029E-2</v>
      </c>
      <c r="H288" s="22">
        <v>8.0064076902543566E-2</v>
      </c>
      <c r="I288" s="22">
        <v>-0.15692270718443055</v>
      </c>
      <c r="J288" s="22">
        <v>0.15692270718443055</v>
      </c>
    </row>
    <row r="289" spans="2:10">
      <c r="B289" s="25">
        <v>6</v>
      </c>
      <c r="C289" s="22">
        <v>0.11378067000096309</v>
      </c>
      <c r="D289" s="22">
        <v>8.4208135713568513E-2</v>
      </c>
      <c r="E289" s="22">
        <v>-0.16504491320385534</v>
      </c>
      <c r="F289" s="22">
        <v>0.16504491320385534</v>
      </c>
      <c r="G289" s="22">
        <v>8.9229003489042766E-2</v>
      </c>
      <c r="H289" s="22">
        <v>8.0064076902543566E-2</v>
      </c>
      <c r="I289" s="22">
        <v>-0.15692270718443055</v>
      </c>
      <c r="J289" s="22">
        <v>0.15692270718443055</v>
      </c>
    </row>
    <row r="290" spans="2:10">
      <c r="B290" s="25">
        <v>7</v>
      </c>
      <c r="C290" s="22">
        <v>-0.23881264015059137</v>
      </c>
      <c r="D290" s="22">
        <v>8.5187939306280422E-2</v>
      </c>
      <c r="E290" s="22">
        <v>-0.16696529295749363</v>
      </c>
      <c r="F290" s="22">
        <v>0.16696529295749363</v>
      </c>
      <c r="G290" s="22">
        <v>-0.21096257335986257</v>
      </c>
      <c r="H290" s="22">
        <v>8.0064076902543566E-2</v>
      </c>
      <c r="I290" s="22">
        <v>-0.15692270718443055</v>
      </c>
      <c r="J290" s="22">
        <v>0.15692270718443055</v>
      </c>
    </row>
    <row r="291" spans="2:10">
      <c r="B291" s="25">
        <v>8</v>
      </c>
      <c r="C291" s="22">
        <v>0.10827324722528904</v>
      </c>
      <c r="D291" s="22">
        <v>8.9376494597453698E-2</v>
      </c>
      <c r="E291" s="22">
        <v>-0.17517471047544791</v>
      </c>
      <c r="F291" s="22">
        <v>0.17517471047544791</v>
      </c>
      <c r="G291" s="22">
        <v>7.117659435183496E-2</v>
      </c>
      <c r="H291" s="22">
        <v>8.0064076902543566E-2</v>
      </c>
      <c r="I291" s="22">
        <v>-0.15692270718443055</v>
      </c>
      <c r="J291" s="22">
        <v>0.15692270718443055</v>
      </c>
    </row>
    <row r="292" spans="2:10">
      <c r="B292" s="25">
        <v>9</v>
      </c>
      <c r="C292" s="22">
        <v>0.28484397295154112</v>
      </c>
      <c r="D292" s="22">
        <v>9.0213379772195484E-2</v>
      </c>
      <c r="E292" s="22">
        <v>-0.17681497527713733</v>
      </c>
      <c r="F292" s="22">
        <v>0.17681497527713733</v>
      </c>
      <c r="G292" s="22">
        <v>0.29605351170007832</v>
      </c>
      <c r="H292" s="22">
        <v>8.0064076902543566E-2</v>
      </c>
      <c r="I292" s="22">
        <v>-0.15692270718443055</v>
      </c>
      <c r="J292" s="22">
        <v>0.15692270718443055</v>
      </c>
    </row>
    <row r="293" spans="2:10">
      <c r="B293" s="25">
        <v>10</v>
      </c>
      <c r="C293" s="22">
        <v>-0.12426830477211208</v>
      </c>
      <c r="D293" s="22">
        <v>9.5805324268617292E-2</v>
      </c>
      <c r="E293" s="22">
        <v>-0.18777498509367105</v>
      </c>
      <c r="F293" s="22">
        <v>0.18777498509367105</v>
      </c>
      <c r="G293" s="22">
        <v>-4.2966333212773884E-2</v>
      </c>
      <c r="H293" s="22">
        <v>8.0064076902543566E-2</v>
      </c>
      <c r="I293" s="22">
        <v>-0.15692270718443055</v>
      </c>
      <c r="J293" s="22">
        <v>0.15692270718443055</v>
      </c>
    </row>
    <row r="294" spans="2:10">
      <c r="B294" s="25">
        <v>11</v>
      </c>
      <c r="C294" s="22">
        <v>5.5743318760060612E-2</v>
      </c>
      <c r="D294" s="22">
        <v>9.683306438320681E-2</v>
      </c>
      <c r="E294" s="22">
        <v>-0.18978931870373356</v>
      </c>
      <c r="F294" s="22">
        <v>0.18978931870373356</v>
      </c>
      <c r="G294" s="22">
        <v>1.3915255745993926E-2</v>
      </c>
      <c r="H294" s="22">
        <v>8.0064076902543566E-2</v>
      </c>
      <c r="I294" s="22">
        <v>-0.15692270718443055</v>
      </c>
      <c r="J294" s="22">
        <v>0.15692270718443055</v>
      </c>
    </row>
    <row r="295" spans="2:10">
      <c r="B295" s="25">
        <v>12</v>
      </c>
      <c r="C295" s="22">
        <v>-6.0657209169259915E-2</v>
      </c>
      <c r="D295" s="22">
        <v>9.7038547818874221E-2</v>
      </c>
      <c r="E295" s="22">
        <v>-0.19019205883706125</v>
      </c>
      <c r="F295" s="22">
        <v>0.19019205883706125</v>
      </c>
      <c r="G295" s="22">
        <v>-1.4866549091293509E-2</v>
      </c>
      <c r="H295" s="22">
        <v>8.0064076902543566E-2</v>
      </c>
      <c r="I295" s="22">
        <v>-0.15692270718443055</v>
      </c>
      <c r="J295" s="22">
        <v>0.15692270718443055</v>
      </c>
    </row>
    <row r="296" spans="2:10">
      <c r="B296" s="25">
        <v>13</v>
      </c>
      <c r="C296" s="22">
        <v>-0.19773639944016036</v>
      </c>
      <c r="D296" s="22">
        <v>9.7281294386255018E-2</v>
      </c>
      <c r="E296" s="22">
        <v>-0.19066783336649834</v>
      </c>
      <c r="F296" s="22">
        <v>0.19066783336649834</v>
      </c>
      <c r="G296" s="22">
        <v>-0.11097722614385572</v>
      </c>
      <c r="H296" s="22">
        <v>8.0064076902543566E-2</v>
      </c>
      <c r="I296" s="22">
        <v>-0.15692270718443055</v>
      </c>
      <c r="J296" s="22">
        <v>0.15692270718443055</v>
      </c>
    </row>
    <row r="297" spans="2:10">
      <c r="B297" s="25">
        <v>14</v>
      </c>
      <c r="C297" s="22">
        <v>0.17627007981870962</v>
      </c>
      <c r="D297" s="22">
        <v>9.9824487141942586E-2</v>
      </c>
      <c r="E297" s="22">
        <v>-0.19565239957338915</v>
      </c>
      <c r="F297" s="22">
        <v>0.19565239957338915</v>
      </c>
      <c r="G297" s="22">
        <v>3.7686114473796738E-2</v>
      </c>
      <c r="H297" s="22">
        <v>8.0064076902543566E-2</v>
      </c>
      <c r="I297" s="22">
        <v>-0.15692270718443055</v>
      </c>
      <c r="J297" s="22">
        <v>0.15692270718443055</v>
      </c>
    </row>
    <row r="298" spans="2:10">
      <c r="B298" s="25">
        <v>15</v>
      </c>
      <c r="C298" s="22">
        <v>5.758512881269999E-2</v>
      </c>
      <c r="D298" s="22">
        <v>0.10180017777584721</v>
      </c>
      <c r="E298" s="22">
        <v>-0.1995246820604353</v>
      </c>
      <c r="F298" s="22">
        <v>0.1995246820604353</v>
      </c>
      <c r="G298" s="22">
        <v>7.5924872215966638E-2</v>
      </c>
      <c r="H298" s="22">
        <v>8.0064076902543566E-2</v>
      </c>
      <c r="I298" s="22">
        <v>-0.15692270718443055</v>
      </c>
      <c r="J298" s="22">
        <v>0.15692270718443055</v>
      </c>
    </row>
    <row r="299" spans="2:10">
      <c r="B299" s="25">
        <v>16</v>
      </c>
      <c r="C299" s="22">
        <v>-0.16978934219026454</v>
      </c>
      <c r="D299" s="22">
        <v>0.10200877226515895</v>
      </c>
      <c r="E299" s="22">
        <v>-0.19993351974685983</v>
      </c>
      <c r="F299" s="22">
        <v>0.19993351974685983</v>
      </c>
      <c r="G299" s="22">
        <v>-7.3479917478478887E-2</v>
      </c>
      <c r="H299" s="22">
        <v>8.0064076902543566E-2</v>
      </c>
      <c r="I299" s="22">
        <v>-0.15692270718443055</v>
      </c>
      <c r="J299" s="22">
        <v>0.15692270718443055</v>
      </c>
    </row>
    <row r="300" spans="2:10">
      <c r="B300" s="25">
        <v>17</v>
      </c>
      <c r="C300" s="22">
        <v>0.22918708318889408</v>
      </c>
      <c r="D300" s="22">
        <v>0.10380455075043166</v>
      </c>
      <c r="E300" s="22">
        <v>-0.20345318090220624</v>
      </c>
      <c r="F300" s="22">
        <v>0.20345318090220624</v>
      </c>
      <c r="G300" s="22">
        <v>0.13033115587654001</v>
      </c>
      <c r="H300" s="22">
        <v>8.0064076902543566E-2</v>
      </c>
      <c r="I300" s="22">
        <v>-0.15692270718443055</v>
      </c>
      <c r="J300" s="22">
        <v>0.15692270718443055</v>
      </c>
    </row>
    <row r="301" spans="2:10">
      <c r="B301" s="25">
        <v>18</v>
      </c>
      <c r="C301" s="22">
        <v>-1.0075876543228418E-2</v>
      </c>
      <c r="D301" s="22">
        <v>0.10699908519304305</v>
      </c>
      <c r="E301" s="22">
        <v>-0.20971435335709729</v>
      </c>
      <c r="F301" s="22">
        <v>0.20971435335709729</v>
      </c>
      <c r="G301" s="22">
        <v>1.1844632894563001E-2</v>
      </c>
      <c r="H301" s="22">
        <v>8.0064076902543566E-2</v>
      </c>
      <c r="I301" s="22">
        <v>-0.15692270718443055</v>
      </c>
      <c r="J301" s="22">
        <v>0.15692270718443055</v>
      </c>
    </row>
    <row r="302" spans="2:10">
      <c r="B302" s="25">
        <v>19</v>
      </c>
      <c r="C302" s="22">
        <v>-0.15435034359470678</v>
      </c>
      <c r="D302" s="22">
        <v>0.10700516722460152</v>
      </c>
      <c r="E302" s="22">
        <v>-0.20972627391990473</v>
      </c>
      <c r="F302" s="22">
        <v>0.20972627391990473</v>
      </c>
      <c r="G302" s="22">
        <v>-0.13641503985589198</v>
      </c>
      <c r="H302" s="22">
        <v>8.0064076902543566E-2</v>
      </c>
      <c r="I302" s="22">
        <v>-0.15692270718443055</v>
      </c>
      <c r="J302" s="22">
        <v>0.15692270718443055</v>
      </c>
    </row>
    <row r="303" spans="2:10">
      <c r="B303" s="25">
        <v>20</v>
      </c>
      <c r="C303" s="22">
        <v>0.13905266868555449</v>
      </c>
      <c r="D303" s="22">
        <v>0.10842297762215687</v>
      </c>
      <c r="E303" s="22">
        <v>-0.21250513123601966</v>
      </c>
      <c r="F303" s="22">
        <v>0.21250513123601966</v>
      </c>
      <c r="G303" s="22">
        <v>3.1054253133557214E-2</v>
      </c>
      <c r="H303" s="22">
        <v>8.0064076902543566E-2</v>
      </c>
      <c r="I303" s="22">
        <v>-0.15692270718443055</v>
      </c>
      <c r="J303" s="22">
        <v>0.15692270718443055</v>
      </c>
    </row>
    <row r="304" spans="2:10">
      <c r="B304" s="25">
        <v>21</v>
      </c>
      <c r="C304" s="22">
        <v>5.9403219545432859E-2</v>
      </c>
      <c r="D304" s="22">
        <v>0.1095601887403498</v>
      </c>
      <c r="E304" s="22">
        <v>-0.2147340240704963</v>
      </c>
      <c r="F304" s="22">
        <v>0.2147340240704963</v>
      </c>
      <c r="G304" s="22">
        <v>0.26079541798517458</v>
      </c>
      <c r="H304" s="22">
        <v>8.0064076902543566E-2</v>
      </c>
      <c r="I304" s="22">
        <v>-0.15692270718443055</v>
      </c>
      <c r="J304" s="22">
        <v>0.15692270718443055</v>
      </c>
    </row>
    <row r="305" spans="2:10" ht="16" thickBot="1">
      <c r="B305" s="26">
        <v>22</v>
      </c>
      <c r="C305" s="21">
        <v>-9.1222367514055158E-2</v>
      </c>
      <c r="D305" s="21">
        <v>0.10976645774181062</v>
      </c>
      <c r="E305" s="21">
        <v>-0.21513830388448657</v>
      </c>
      <c r="F305" s="21">
        <v>0.21513830388448657</v>
      </c>
      <c r="G305" s="21">
        <v>-4.0240002883519442E-2</v>
      </c>
      <c r="H305" s="21">
        <v>8.0064076902543566E-2</v>
      </c>
      <c r="I305" s="21">
        <v>-0.15692270718443055</v>
      </c>
      <c r="J305" s="21">
        <v>0.15692270718443055</v>
      </c>
    </row>
    <row r="324" spans="7:7">
      <c r="G324" t="s">
        <v>219</v>
      </c>
    </row>
  </sheetData>
  <pageMargins left="0.7" right="0.7" top="0.75" bottom="0.75" header="0.3" footer="0.3"/>
  <pageSetup orientation="portrait" horizontalDpi="200" verticalDpi="200" copies="0" r:id="rId1"/>
  <ignoredErrors>
    <ignoredError sqref="A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D241933">
              <controlPr defaultSize="0" autoFill="0" autoPict="0" macro="[0]!GoToResultsNew101320185045061">
                <anchor moveWithCells="1">
                  <from>
                    <xdr:col>0</xdr:col>
                    <xdr:colOff>330200</xdr:colOff>
                    <xdr:row>10</xdr:row>
                    <xdr:rowOff>0</xdr:rowOff>
                  </from>
                  <to>
                    <xdr:col>3</xdr:col>
                    <xdr:colOff>1206500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007800"/>
  </sheetPr>
  <dimension ref="A1:B157"/>
  <sheetViews>
    <sheetView workbookViewId="0"/>
  </sheetViews>
  <sheetFormatPr baseColWidth="10" defaultColWidth="8.83203125" defaultRowHeight="15"/>
  <sheetData>
    <row r="1" spans="1:2">
      <c r="A1" t="s">
        <v>182</v>
      </c>
      <c r="B1" s="8" t="s">
        <v>5</v>
      </c>
    </row>
    <row r="2" spans="1:2">
      <c r="A2">
        <v>1</v>
      </c>
      <c r="B2" s="9">
        <v>53.1</v>
      </c>
    </row>
    <row r="3" spans="1:2">
      <c r="A3">
        <v>2</v>
      </c>
      <c r="B3" s="9">
        <v>50.8</v>
      </c>
    </row>
    <row r="4" spans="1:2">
      <c r="A4">
        <v>3</v>
      </c>
      <c r="B4" s="9">
        <v>50.1</v>
      </c>
    </row>
    <row r="5" spans="1:2">
      <c r="A5">
        <v>4</v>
      </c>
      <c r="B5" s="9">
        <v>51.8</v>
      </c>
    </row>
    <row r="6" spans="1:2">
      <c r="A6">
        <v>5</v>
      </c>
      <c r="B6" s="9">
        <v>53.9</v>
      </c>
    </row>
    <row r="7" spans="1:2">
      <c r="A7">
        <v>6</v>
      </c>
      <c r="B7" s="9">
        <v>54.2</v>
      </c>
    </row>
    <row r="8" spans="1:2">
      <c r="A8">
        <v>7</v>
      </c>
      <c r="B8" s="9">
        <v>50.2</v>
      </c>
    </row>
    <row r="9" spans="1:2">
      <c r="A9">
        <v>8</v>
      </c>
      <c r="B9" s="9">
        <v>53.4</v>
      </c>
    </row>
    <row r="10" spans="1:2">
      <c r="A10">
        <v>9</v>
      </c>
      <c r="B10" s="9">
        <v>50.7</v>
      </c>
    </row>
    <row r="11" spans="1:2">
      <c r="A11">
        <v>10</v>
      </c>
      <c r="B11" s="9">
        <v>48.4</v>
      </c>
    </row>
    <row r="12" spans="1:2">
      <c r="A12">
        <v>11</v>
      </c>
      <c r="B12" s="9">
        <v>50.9</v>
      </c>
    </row>
    <row r="13" spans="1:2">
      <c r="A13">
        <v>12</v>
      </c>
      <c r="B13" s="9">
        <v>44.7</v>
      </c>
    </row>
    <row r="14" spans="1:2">
      <c r="A14">
        <v>13</v>
      </c>
      <c r="B14" s="9">
        <v>46</v>
      </c>
    </row>
    <row r="15" spans="1:2">
      <c r="A15">
        <v>14</v>
      </c>
      <c r="B15" s="9">
        <v>44.7</v>
      </c>
    </row>
    <row r="16" spans="1:2">
      <c r="A16">
        <v>15</v>
      </c>
      <c r="B16" s="9">
        <v>44.7</v>
      </c>
    </row>
    <row r="17" spans="1:2">
      <c r="A17">
        <v>16</v>
      </c>
      <c r="B17" s="9">
        <v>45.2</v>
      </c>
    </row>
    <row r="18" spans="1:2">
      <c r="A18">
        <v>17</v>
      </c>
      <c r="B18" s="9">
        <v>47.7</v>
      </c>
    </row>
    <row r="19" spans="1:2">
      <c r="A19">
        <v>18</v>
      </c>
      <c r="B19" s="9">
        <v>46.8</v>
      </c>
    </row>
    <row r="20" spans="1:2">
      <c r="A20">
        <v>19</v>
      </c>
      <c r="B20" s="9">
        <v>43.3</v>
      </c>
    </row>
    <row r="21" spans="1:2">
      <c r="A21">
        <v>20</v>
      </c>
      <c r="B21" s="9">
        <v>49.1</v>
      </c>
    </row>
    <row r="22" spans="1:2">
      <c r="A22">
        <v>21</v>
      </c>
      <c r="B22" s="9">
        <v>45.2</v>
      </c>
    </row>
    <row r="23" spans="1:2">
      <c r="A23">
        <v>22</v>
      </c>
      <c r="B23" s="9">
        <v>45.2</v>
      </c>
    </row>
    <row r="24" spans="1:2">
      <c r="A24">
        <v>23</v>
      </c>
      <c r="B24" s="9">
        <v>46.5</v>
      </c>
    </row>
    <row r="25" spans="1:2">
      <c r="A25">
        <v>24</v>
      </c>
      <c r="B25" s="9">
        <v>41.7</v>
      </c>
    </row>
    <row r="26" spans="1:2">
      <c r="A26">
        <v>25</v>
      </c>
      <c r="B26" s="9">
        <v>44.7</v>
      </c>
    </row>
    <row r="27" spans="1:2">
      <c r="A27">
        <v>26</v>
      </c>
      <c r="B27" s="9">
        <v>39.1</v>
      </c>
    </row>
    <row r="28" spans="1:2">
      <c r="A28">
        <v>27</v>
      </c>
      <c r="B28" s="9">
        <v>41.3</v>
      </c>
    </row>
    <row r="29" spans="1:2">
      <c r="A29">
        <v>28</v>
      </c>
      <c r="B29" s="9">
        <v>40</v>
      </c>
    </row>
    <row r="30" spans="1:2">
      <c r="A30">
        <v>29</v>
      </c>
      <c r="B30" s="9">
        <v>44.9</v>
      </c>
    </row>
    <row r="31" spans="1:2">
      <c r="A31">
        <v>30</v>
      </c>
      <c r="B31" s="9">
        <v>40.9</v>
      </c>
    </row>
    <row r="32" spans="1:2">
      <c r="A32">
        <v>31</v>
      </c>
      <c r="B32" s="9">
        <v>44.3</v>
      </c>
    </row>
    <row r="33" spans="1:2">
      <c r="A33">
        <v>32</v>
      </c>
      <c r="B33" s="9">
        <v>44.4</v>
      </c>
    </row>
    <row r="34" spans="1:2">
      <c r="A34">
        <v>33</v>
      </c>
      <c r="B34" s="9">
        <v>40.700000000000003</v>
      </c>
    </row>
    <row r="35" spans="1:2">
      <c r="A35">
        <v>34</v>
      </c>
      <c r="B35" s="9">
        <v>41.9</v>
      </c>
    </row>
    <row r="36" spans="1:2">
      <c r="A36">
        <v>35</v>
      </c>
      <c r="B36" s="9">
        <v>41.7</v>
      </c>
    </row>
    <row r="37" spans="1:2">
      <c r="A37">
        <v>36</v>
      </c>
      <c r="B37" s="9">
        <v>37.700000000000003</v>
      </c>
    </row>
    <row r="38" spans="1:2">
      <c r="A38">
        <v>37</v>
      </c>
      <c r="B38" s="9">
        <v>39.700000000000003</v>
      </c>
    </row>
    <row r="39" spans="1:2">
      <c r="A39">
        <v>38</v>
      </c>
      <c r="B39" s="9">
        <v>36.1</v>
      </c>
    </row>
    <row r="40" spans="1:2">
      <c r="A40">
        <v>39</v>
      </c>
      <c r="B40" s="9">
        <v>33.1</v>
      </c>
    </row>
    <row r="41" spans="1:2">
      <c r="A41">
        <v>40</v>
      </c>
      <c r="B41" s="9">
        <v>37.200000000000003</v>
      </c>
    </row>
    <row r="42" spans="1:2">
      <c r="A42">
        <v>41</v>
      </c>
      <c r="B42" s="9">
        <v>36.9</v>
      </c>
    </row>
    <row r="43" spans="1:2">
      <c r="A43">
        <v>42</v>
      </c>
      <c r="B43" s="9">
        <v>38.1</v>
      </c>
    </row>
    <row r="44" spans="1:2">
      <c r="A44">
        <v>43</v>
      </c>
      <c r="B44" s="9">
        <v>37.6</v>
      </c>
    </row>
    <row r="45" spans="1:2">
      <c r="A45">
        <v>44</v>
      </c>
      <c r="B45" s="9">
        <v>38.4</v>
      </c>
    </row>
    <row r="46" spans="1:2">
      <c r="A46">
        <v>45</v>
      </c>
      <c r="B46" s="9">
        <v>41.8</v>
      </c>
    </row>
    <row r="47" spans="1:2">
      <c r="A47">
        <v>46</v>
      </c>
      <c r="B47" s="9">
        <v>44.7</v>
      </c>
    </row>
    <row r="48" spans="1:2">
      <c r="A48">
        <v>47</v>
      </c>
      <c r="B48" s="9">
        <v>37.5</v>
      </c>
    </row>
    <row r="49" spans="1:2">
      <c r="A49">
        <v>48</v>
      </c>
      <c r="B49" s="9">
        <v>36.5</v>
      </c>
    </row>
    <row r="50" spans="1:2">
      <c r="A50">
        <v>49</v>
      </c>
      <c r="B50" s="9">
        <v>33.200000000000003</v>
      </c>
    </row>
    <row r="51" spans="1:2">
      <c r="A51">
        <v>50</v>
      </c>
      <c r="B51" s="9">
        <v>34</v>
      </c>
    </row>
    <row r="52" spans="1:2">
      <c r="A52">
        <v>51</v>
      </c>
      <c r="B52" s="9">
        <v>32.799999999999997</v>
      </c>
    </row>
    <row r="53" spans="1:2">
      <c r="A53">
        <v>52</v>
      </c>
      <c r="B53" s="9">
        <v>34.4</v>
      </c>
    </row>
    <row r="54" spans="1:2">
      <c r="A54">
        <v>53</v>
      </c>
      <c r="B54" s="9">
        <v>34.700000000000003</v>
      </c>
    </row>
    <row r="55" spans="1:2">
      <c r="A55">
        <v>54</v>
      </c>
      <c r="B55" s="9">
        <v>37</v>
      </c>
    </row>
    <row r="56" spans="1:2">
      <c r="A56">
        <v>55</v>
      </c>
      <c r="B56" s="9">
        <v>35.6</v>
      </c>
    </row>
    <row r="57" spans="1:2">
      <c r="A57">
        <v>56</v>
      </c>
      <c r="B57" s="9">
        <v>35</v>
      </c>
    </row>
    <row r="58" spans="1:2">
      <c r="A58">
        <v>57</v>
      </c>
      <c r="B58" s="9">
        <v>35.4</v>
      </c>
    </row>
    <row r="59" spans="1:2">
      <c r="A59">
        <v>58</v>
      </c>
      <c r="B59" s="9">
        <v>35.700000000000003</v>
      </c>
    </row>
    <row r="60" spans="1:2">
      <c r="A60">
        <v>59</v>
      </c>
      <c r="B60" s="9">
        <v>32.799999999999997</v>
      </c>
    </row>
    <row r="61" spans="1:2">
      <c r="A61">
        <v>60</v>
      </c>
      <c r="B61" s="9">
        <v>33.5</v>
      </c>
    </row>
    <row r="62" spans="1:2">
      <c r="A62">
        <v>61</v>
      </c>
      <c r="B62" s="9">
        <v>30.9</v>
      </c>
    </row>
    <row r="63" spans="1:2">
      <c r="A63">
        <v>62</v>
      </c>
      <c r="B63" s="9">
        <v>31</v>
      </c>
    </row>
    <row r="64" spans="1:2">
      <c r="A64">
        <v>63</v>
      </c>
      <c r="B64" s="9">
        <v>33.200000000000003</v>
      </c>
    </row>
    <row r="65" spans="1:2">
      <c r="A65">
        <v>64</v>
      </c>
      <c r="B65" s="9">
        <v>32.4</v>
      </c>
    </row>
    <row r="66" spans="1:2">
      <c r="A66">
        <v>65</v>
      </c>
      <c r="B66" s="9">
        <v>32.1</v>
      </c>
    </row>
    <row r="67" spans="1:2">
      <c r="A67">
        <v>66</v>
      </c>
      <c r="B67" s="9">
        <v>34.799999999999997</v>
      </c>
    </row>
    <row r="68" spans="1:2">
      <c r="A68">
        <v>67</v>
      </c>
      <c r="B68" s="9">
        <v>31.7</v>
      </c>
    </row>
    <row r="69" spans="1:2">
      <c r="A69">
        <v>68</v>
      </c>
      <c r="B69" s="9">
        <v>32.299999999999997</v>
      </c>
    </row>
    <row r="70" spans="1:2">
      <c r="A70">
        <v>69</v>
      </c>
      <c r="B70" s="9">
        <v>31.6</v>
      </c>
    </row>
    <row r="71" spans="1:2">
      <c r="A71">
        <v>70</v>
      </c>
      <c r="B71" s="9">
        <v>31.3</v>
      </c>
    </row>
    <row r="72" spans="1:2">
      <c r="A72">
        <v>71</v>
      </c>
      <c r="B72" s="9">
        <v>31.7</v>
      </c>
    </row>
    <row r="73" spans="1:2">
      <c r="A73">
        <v>72</v>
      </c>
      <c r="B73" s="9">
        <v>31.8</v>
      </c>
    </row>
    <row r="74" spans="1:2">
      <c r="A74">
        <v>73</v>
      </c>
      <c r="B74" s="9">
        <v>29.3</v>
      </c>
    </row>
    <row r="75" spans="1:2">
      <c r="A75">
        <v>74</v>
      </c>
      <c r="B75" s="9">
        <v>27.9</v>
      </c>
    </row>
    <row r="76" spans="1:2">
      <c r="A76">
        <v>75</v>
      </c>
      <c r="B76" s="9">
        <v>28</v>
      </c>
    </row>
    <row r="77" spans="1:2">
      <c r="A77">
        <v>76</v>
      </c>
      <c r="B77" s="9">
        <v>28.7</v>
      </c>
    </row>
    <row r="78" spans="1:2">
      <c r="A78">
        <v>77</v>
      </c>
      <c r="B78" s="9">
        <v>30.5</v>
      </c>
    </row>
    <row r="79" spans="1:2">
      <c r="A79">
        <v>78</v>
      </c>
      <c r="B79" s="9">
        <v>31.3</v>
      </c>
    </row>
    <row r="80" spans="1:2">
      <c r="A80">
        <v>79</v>
      </c>
      <c r="B80" s="9">
        <v>29.2</v>
      </c>
    </row>
    <row r="81" spans="1:2">
      <c r="A81">
        <v>80</v>
      </c>
      <c r="B81" s="9">
        <v>30.9</v>
      </c>
    </row>
    <row r="82" spans="1:2">
      <c r="A82">
        <v>81</v>
      </c>
      <c r="B82" s="9">
        <v>29.1</v>
      </c>
    </row>
    <row r="83" spans="1:2">
      <c r="A83">
        <v>82</v>
      </c>
      <c r="B83" s="9">
        <v>27.6</v>
      </c>
    </row>
    <row r="84" spans="1:2">
      <c r="A84">
        <v>83</v>
      </c>
      <c r="B84" s="9">
        <v>28.3</v>
      </c>
    </row>
    <row r="85" spans="1:2">
      <c r="A85">
        <v>84</v>
      </c>
      <c r="B85" s="9">
        <v>25.8</v>
      </c>
    </row>
    <row r="86" spans="1:2">
      <c r="A86">
        <v>85</v>
      </c>
      <c r="B86" s="9">
        <v>25.3</v>
      </c>
    </row>
    <row r="87" spans="1:2">
      <c r="A87">
        <v>86</v>
      </c>
      <c r="B87" s="9">
        <v>25.6</v>
      </c>
    </row>
    <row r="88" spans="1:2">
      <c r="A88">
        <v>87</v>
      </c>
      <c r="B88" s="9">
        <v>24.1</v>
      </c>
    </row>
    <row r="89" spans="1:2">
      <c r="A89">
        <v>88</v>
      </c>
      <c r="B89" s="9">
        <v>25.8</v>
      </c>
    </row>
    <row r="90" spans="1:2">
      <c r="A90">
        <v>89</v>
      </c>
      <c r="B90" s="9">
        <v>26.2</v>
      </c>
    </row>
    <row r="91" spans="1:2">
      <c r="A91">
        <v>90</v>
      </c>
      <c r="B91" s="9">
        <v>26.6</v>
      </c>
    </row>
    <row r="92" spans="1:2">
      <c r="A92">
        <v>91</v>
      </c>
      <c r="B92" s="9">
        <v>26</v>
      </c>
    </row>
    <row r="93" spans="1:2">
      <c r="A93">
        <v>92</v>
      </c>
      <c r="B93" s="9">
        <v>26.6</v>
      </c>
    </row>
    <row r="94" spans="1:2">
      <c r="A94">
        <v>93</v>
      </c>
      <c r="B94" s="9">
        <v>25.3</v>
      </c>
    </row>
    <row r="95" spans="1:2">
      <c r="A95">
        <v>94</v>
      </c>
      <c r="B95" s="9">
        <v>24.9</v>
      </c>
    </row>
    <row r="96" spans="1:2">
      <c r="A96">
        <v>95</v>
      </c>
      <c r="B96" s="9">
        <v>24.8</v>
      </c>
    </row>
    <row r="97" spans="1:2">
      <c r="A97">
        <v>96</v>
      </c>
      <c r="B97" s="9">
        <v>22.9</v>
      </c>
    </row>
    <row r="98" spans="1:2">
      <c r="A98">
        <v>97</v>
      </c>
      <c r="B98" s="9">
        <v>23.2</v>
      </c>
    </row>
    <row r="99" spans="1:2">
      <c r="A99">
        <v>98</v>
      </c>
      <c r="B99" s="9">
        <v>20.8</v>
      </c>
    </row>
    <row r="100" spans="1:2">
      <c r="A100">
        <v>99</v>
      </c>
      <c r="B100" s="9">
        <v>20.7</v>
      </c>
    </row>
    <row r="101" spans="1:2">
      <c r="A101">
        <v>100</v>
      </c>
      <c r="B101" s="9">
        <v>22.4</v>
      </c>
    </row>
    <row r="102" spans="1:2">
      <c r="A102">
        <v>101</v>
      </c>
      <c r="B102" s="9">
        <v>23</v>
      </c>
    </row>
    <row r="103" spans="1:2">
      <c r="A103">
        <v>102</v>
      </c>
      <c r="B103" s="9">
        <v>23.4</v>
      </c>
    </row>
    <row r="104" spans="1:2">
      <c r="A104">
        <v>103</v>
      </c>
      <c r="B104" s="9">
        <v>23.1</v>
      </c>
    </row>
    <row r="105" spans="1:2">
      <c r="A105">
        <v>104</v>
      </c>
      <c r="B105" s="9">
        <v>22.6</v>
      </c>
    </row>
    <row r="106" spans="1:2">
      <c r="A106">
        <v>105</v>
      </c>
      <c r="B106" s="9">
        <v>21.6</v>
      </c>
    </row>
    <row r="107" spans="1:2">
      <c r="A107">
        <v>106</v>
      </c>
      <c r="B107" s="9">
        <v>21.1</v>
      </c>
    </row>
    <row r="108" spans="1:2">
      <c r="A108">
        <v>107</v>
      </c>
      <c r="B108" s="9">
        <v>21.3</v>
      </c>
    </row>
    <row r="109" spans="1:2">
      <c r="A109">
        <v>108</v>
      </c>
      <c r="B109" s="9">
        <v>20.3</v>
      </c>
    </row>
    <row r="110" spans="1:2">
      <c r="A110">
        <v>109</v>
      </c>
      <c r="B110" s="9">
        <v>19.7</v>
      </c>
    </row>
    <row r="111" spans="1:2">
      <c r="A111">
        <v>110</v>
      </c>
      <c r="B111" s="9">
        <v>18.5</v>
      </c>
    </row>
    <row r="112" spans="1:2">
      <c r="A112">
        <v>111</v>
      </c>
      <c r="B112" s="9">
        <v>17.899999999999999</v>
      </c>
    </row>
    <row r="113" spans="1:2">
      <c r="A113">
        <v>112</v>
      </c>
      <c r="B113" s="9">
        <v>19.899999999999999</v>
      </c>
    </row>
    <row r="114" spans="1:2">
      <c r="A114">
        <v>113</v>
      </c>
      <c r="B114" s="9">
        <v>20.6</v>
      </c>
    </row>
    <row r="115" spans="1:2">
      <c r="A115">
        <v>114</v>
      </c>
      <c r="B115" s="9">
        <v>20.9</v>
      </c>
    </row>
    <row r="116" spans="1:2">
      <c r="A116">
        <v>115</v>
      </c>
      <c r="B116" s="9">
        <v>20.3</v>
      </c>
    </row>
    <row r="117" spans="1:2">
      <c r="A117">
        <v>116</v>
      </c>
      <c r="B117" s="9">
        <v>21.2</v>
      </c>
    </row>
    <row r="118" spans="1:2">
      <c r="A118">
        <v>117</v>
      </c>
      <c r="B118" s="9">
        <v>19.8</v>
      </c>
    </row>
    <row r="119" spans="1:2">
      <c r="A119">
        <v>118</v>
      </c>
      <c r="B119" s="9">
        <v>19.8</v>
      </c>
    </row>
    <row r="120" spans="1:2">
      <c r="A120">
        <v>119</v>
      </c>
      <c r="B120" s="9">
        <v>19.7</v>
      </c>
    </row>
    <row r="121" spans="1:2">
      <c r="A121">
        <v>120</v>
      </c>
      <c r="B121" s="9">
        <v>19.399999999999999</v>
      </c>
    </row>
    <row r="122" spans="1:2">
      <c r="A122">
        <v>121</v>
      </c>
      <c r="B122" s="9">
        <v>23.2</v>
      </c>
    </row>
    <row r="123" spans="1:2">
      <c r="A123">
        <v>122</v>
      </c>
      <c r="B123" s="9">
        <v>21.6</v>
      </c>
    </row>
    <row r="124" spans="1:2">
      <c r="A124">
        <v>123</v>
      </c>
      <c r="B124" s="9">
        <v>22.5</v>
      </c>
    </row>
    <row r="125" spans="1:2">
      <c r="A125">
        <v>124</v>
      </c>
      <c r="B125" s="9">
        <v>23.2</v>
      </c>
    </row>
    <row r="126" spans="1:2">
      <c r="A126">
        <v>125</v>
      </c>
      <c r="B126" s="9">
        <v>23.5</v>
      </c>
    </row>
    <row r="127" spans="1:2">
      <c r="A127">
        <v>126</v>
      </c>
      <c r="B127" s="9">
        <v>24.3</v>
      </c>
    </row>
    <row r="128" spans="1:2">
      <c r="A128">
        <v>127</v>
      </c>
      <c r="B128" s="9">
        <v>23.6</v>
      </c>
    </row>
    <row r="129" spans="1:2">
      <c r="A129">
        <v>128</v>
      </c>
      <c r="B129" s="9">
        <v>24.4</v>
      </c>
    </row>
    <row r="130" spans="1:2">
      <c r="A130">
        <v>129</v>
      </c>
      <c r="B130" s="9">
        <v>23.5</v>
      </c>
    </row>
    <row r="131" spans="1:2">
      <c r="A131">
        <v>130</v>
      </c>
      <c r="B131" s="9">
        <v>23.4</v>
      </c>
    </row>
    <row r="132" spans="1:2">
      <c r="A132">
        <v>131</v>
      </c>
      <c r="B132" s="9">
        <v>22.9</v>
      </c>
    </row>
    <row r="133" spans="1:2">
      <c r="A133">
        <v>132</v>
      </c>
      <c r="B133" s="9">
        <v>22.9</v>
      </c>
    </row>
    <row r="134" spans="1:2">
      <c r="A134">
        <v>133</v>
      </c>
      <c r="B134" s="9">
        <v>23.4</v>
      </c>
    </row>
    <row r="135" spans="1:2">
      <c r="A135">
        <v>134</v>
      </c>
      <c r="B135" s="9">
        <v>22.5</v>
      </c>
    </row>
    <row r="136" spans="1:2">
      <c r="A136">
        <v>135</v>
      </c>
      <c r="B136" s="9">
        <v>21.5</v>
      </c>
    </row>
    <row r="137" spans="1:2">
      <c r="A137">
        <v>136</v>
      </c>
      <c r="B137" s="9">
        <v>23</v>
      </c>
    </row>
    <row r="138" spans="1:2">
      <c r="A138">
        <v>137</v>
      </c>
      <c r="B138" s="9">
        <v>24.1</v>
      </c>
    </row>
    <row r="139" spans="1:2">
      <c r="A139">
        <v>138</v>
      </c>
      <c r="B139" s="9">
        <v>24.4</v>
      </c>
    </row>
    <row r="140" spans="1:2">
      <c r="A140">
        <v>139</v>
      </c>
      <c r="B140" s="9">
        <v>23.2</v>
      </c>
    </row>
    <row r="141" spans="1:2">
      <c r="A141">
        <v>140</v>
      </c>
      <c r="B141" s="9">
        <v>25</v>
      </c>
    </row>
    <row r="142" spans="1:2">
      <c r="A142">
        <v>141</v>
      </c>
      <c r="B142" s="9">
        <v>23</v>
      </c>
    </row>
    <row r="143" spans="1:2">
      <c r="A143">
        <v>142</v>
      </c>
      <c r="B143" s="9">
        <v>23.9</v>
      </c>
    </row>
    <row r="144" spans="1:2">
      <c r="A144">
        <v>143</v>
      </c>
      <c r="B144" s="9">
        <v>23.6</v>
      </c>
    </row>
    <row r="145" spans="1:2">
      <c r="A145">
        <v>144</v>
      </c>
      <c r="B145" s="9">
        <v>22.4</v>
      </c>
    </row>
    <row r="146" spans="1:2">
      <c r="A146">
        <v>145</v>
      </c>
      <c r="B146" s="9">
        <v>22.5</v>
      </c>
    </row>
    <row r="147" spans="1:2">
      <c r="A147">
        <v>146</v>
      </c>
      <c r="B147" s="9">
        <v>22</v>
      </c>
    </row>
    <row r="148" spans="1:2">
      <c r="A148">
        <v>147</v>
      </c>
      <c r="B148" s="9">
        <v>22.8</v>
      </c>
    </row>
    <row r="149" spans="1:2">
      <c r="A149">
        <v>148</v>
      </c>
      <c r="B149" s="9">
        <v>20.399999999999999</v>
      </c>
    </row>
    <row r="150" spans="1:2">
      <c r="A150">
        <v>149</v>
      </c>
      <c r="B150" s="9">
        <v>25.5</v>
      </c>
    </row>
    <row r="151" spans="1:2">
      <c r="A151">
        <v>150</v>
      </c>
      <c r="B151" s="9">
        <v>21.5</v>
      </c>
    </row>
    <row r="152" spans="1:2">
      <c r="A152">
        <v>151</v>
      </c>
      <c r="B152" s="9">
        <v>24.7</v>
      </c>
    </row>
    <row r="153" spans="1:2">
      <c r="A153">
        <v>152</v>
      </c>
      <c r="B153" s="9">
        <v>26.2</v>
      </c>
    </row>
    <row r="154" spans="1:2">
      <c r="A154">
        <v>153</v>
      </c>
      <c r="B154" s="9">
        <v>21.2</v>
      </c>
    </row>
    <row r="155" spans="1:2">
      <c r="A155">
        <v>154</v>
      </c>
      <c r="B155" s="9">
        <v>23.7</v>
      </c>
    </row>
    <row r="156" spans="1:2">
      <c r="A156">
        <v>155</v>
      </c>
      <c r="B156" s="9">
        <v>23.5</v>
      </c>
    </row>
    <row r="157" spans="1:2">
      <c r="A157">
        <v>156</v>
      </c>
      <c r="B157" s="9">
        <v>22.4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rgb="FF007800"/>
  </sheetPr>
  <dimension ref="B1:I247"/>
  <sheetViews>
    <sheetView zoomScaleNormal="100" workbookViewId="0">
      <selection activeCell="F53" sqref="F53"/>
    </sheetView>
  </sheetViews>
  <sheetFormatPr baseColWidth="10" defaultColWidth="8.83203125" defaultRowHeight="15"/>
  <cols>
    <col min="1" max="1" width="5" customWidth="1"/>
  </cols>
  <sheetData>
    <row r="1" spans="2:9">
      <c r="B1" t="s">
        <v>287</v>
      </c>
    </row>
    <row r="2" spans="2:9">
      <c r="B2" t="s">
        <v>286</v>
      </c>
    </row>
    <row r="3" spans="2:9" ht="34.25" customHeight="1"/>
    <row r="4" spans="2:9" ht="16.25" customHeight="1"/>
    <row r="7" spans="2:9">
      <c r="B7" t="s">
        <v>180</v>
      </c>
    </row>
    <row r="8" spans="2:9" ht="16" thickBot="1"/>
    <row r="9" spans="2:9">
      <c r="B9" s="11" t="s">
        <v>181</v>
      </c>
      <c r="C9" s="12" t="s">
        <v>182</v>
      </c>
      <c r="D9" s="12" t="s">
        <v>183</v>
      </c>
      <c r="E9" s="12" t="s">
        <v>184</v>
      </c>
      <c r="F9" s="12" t="s">
        <v>185</v>
      </c>
      <c r="G9" s="12" t="s">
        <v>186</v>
      </c>
      <c r="H9" s="12" t="s">
        <v>187</v>
      </c>
      <c r="I9" s="12" t="s">
        <v>188</v>
      </c>
    </row>
    <row r="10" spans="2:9" ht="16" thickBot="1">
      <c r="B10" s="14" t="s">
        <v>5</v>
      </c>
      <c r="C10" s="15">
        <v>156</v>
      </c>
      <c r="D10" s="15">
        <v>0</v>
      </c>
      <c r="E10" s="15">
        <v>156</v>
      </c>
      <c r="F10" s="16">
        <v>17.899999999999999</v>
      </c>
      <c r="G10" s="16">
        <v>54.2</v>
      </c>
      <c r="H10" s="16">
        <v>31.433974358974371</v>
      </c>
      <c r="I10" s="16">
        <v>9.8384990777335712</v>
      </c>
    </row>
    <row r="13" spans="2:9">
      <c r="B13" s="17" t="s">
        <v>268</v>
      </c>
    </row>
    <row r="15" spans="2:9">
      <c r="B15" t="s">
        <v>269</v>
      </c>
    </row>
    <row r="16" spans="2:9" ht="16" thickBot="1"/>
    <row r="17" spans="2:3">
      <c r="B17" s="11" t="s">
        <v>205</v>
      </c>
      <c r="C17" s="12" t="s">
        <v>206</v>
      </c>
    </row>
    <row r="18" spans="2:3">
      <c r="B18" s="13" t="s">
        <v>270</v>
      </c>
      <c r="C18" s="20">
        <v>0.97847472461337903</v>
      </c>
    </row>
    <row r="19" spans="2:3">
      <c r="B19" s="10" t="s">
        <v>271</v>
      </c>
      <c r="C19" s="22">
        <v>0.93707248862945713</v>
      </c>
    </row>
    <row r="20" spans="2:3">
      <c r="B20" s="10" t="s">
        <v>272</v>
      </c>
      <c r="C20" s="22">
        <v>0.93828400589420857</v>
      </c>
    </row>
    <row r="21" spans="2:3">
      <c r="B21" s="10" t="s">
        <v>273</v>
      </c>
      <c r="C21" s="22">
        <v>0.97380411394316235</v>
      </c>
    </row>
    <row r="22" spans="2:3">
      <c r="B22" s="10" t="s">
        <v>274</v>
      </c>
      <c r="C22" s="22">
        <v>1.0275566848532147</v>
      </c>
    </row>
    <row r="23" spans="2:3">
      <c r="B23" s="10" t="s">
        <v>275</v>
      </c>
      <c r="C23" s="22">
        <v>1.0343086104143013</v>
      </c>
    </row>
    <row r="24" spans="2:3">
      <c r="B24" s="10" t="s">
        <v>276</v>
      </c>
      <c r="C24" s="22">
        <v>1.0132461694027695</v>
      </c>
    </row>
    <row r="25" spans="2:3">
      <c r="B25" s="10" t="s">
        <v>277</v>
      </c>
      <c r="C25" s="22">
        <v>1.0550552330203224</v>
      </c>
    </row>
    <row r="26" spans="2:3">
      <c r="B26" s="10" t="s">
        <v>278</v>
      </c>
      <c r="C26" s="22">
        <v>1.0182550004741353</v>
      </c>
    </row>
    <row r="27" spans="2:3">
      <c r="B27" s="10" t="s">
        <v>279</v>
      </c>
      <c r="C27" s="22">
        <v>1.0241404826497529</v>
      </c>
    </row>
    <row r="28" spans="2:3">
      <c r="B28" s="10" t="s">
        <v>280</v>
      </c>
      <c r="C28" s="22">
        <v>1.0135208239044666</v>
      </c>
    </row>
    <row r="29" spans="2:3" ht="16" thickBot="1">
      <c r="B29" s="19" t="s">
        <v>281</v>
      </c>
      <c r="C29" s="21">
        <v>0.96739601113764628</v>
      </c>
    </row>
    <row r="48" spans="7:7">
      <c r="G48" t="s">
        <v>219</v>
      </c>
    </row>
    <row r="51" spans="2:6">
      <c r="B51" s="39" t="s">
        <v>265</v>
      </c>
    </row>
    <row r="52" spans="2:6" ht="16" thickBot="1">
      <c r="B52" s="39"/>
    </row>
    <row r="53" spans="2:6">
      <c r="B53" s="23" t="s">
        <v>266</v>
      </c>
      <c r="C53" s="12" t="s">
        <v>5</v>
      </c>
      <c r="D53" s="12" t="s">
        <v>282</v>
      </c>
      <c r="E53" s="12" t="s">
        <v>283</v>
      </c>
      <c r="F53" s="12" t="s">
        <v>284</v>
      </c>
    </row>
    <row r="54" spans="2:6">
      <c r="B54" s="24">
        <v>1</v>
      </c>
      <c r="C54" s="20">
        <v>53.1</v>
      </c>
      <c r="D54" s="20"/>
      <c r="E54" s="20"/>
      <c r="F54" s="20"/>
    </row>
    <row r="55" spans="2:6">
      <c r="B55" s="25">
        <v>2</v>
      </c>
      <c r="C55" s="22">
        <v>50.8</v>
      </c>
      <c r="D55" s="22"/>
      <c r="E55" s="22"/>
      <c r="F55" s="22"/>
    </row>
    <row r="56" spans="2:6">
      <c r="B56" s="25">
        <v>3</v>
      </c>
      <c r="C56" s="22">
        <v>50.1</v>
      </c>
      <c r="D56" s="22"/>
      <c r="E56" s="22"/>
      <c r="F56" s="22"/>
    </row>
    <row r="57" spans="2:6">
      <c r="B57" s="25">
        <v>4</v>
      </c>
      <c r="C57" s="22">
        <v>51.8</v>
      </c>
      <c r="D57" s="22"/>
      <c r="E57" s="22"/>
      <c r="F57" s="22"/>
    </row>
    <row r="58" spans="2:6">
      <c r="B58" s="25">
        <v>5</v>
      </c>
      <c r="C58" s="22">
        <v>53.9</v>
      </c>
      <c r="D58" s="22"/>
      <c r="E58" s="22"/>
      <c r="F58" s="22"/>
    </row>
    <row r="59" spans="2:6">
      <c r="B59" s="25">
        <v>6</v>
      </c>
      <c r="C59" s="22">
        <v>54.2</v>
      </c>
      <c r="D59" s="22"/>
      <c r="E59" s="22"/>
      <c r="F59" s="22"/>
    </row>
    <row r="60" spans="2:6">
      <c r="B60" s="25">
        <v>7</v>
      </c>
      <c r="C60" s="22">
        <v>50.2</v>
      </c>
      <c r="D60" s="22">
        <v>50.720833333333331</v>
      </c>
      <c r="E60" s="22">
        <v>1.0132461694027695</v>
      </c>
      <c r="F60" s="22">
        <v>0.97679261229624637</v>
      </c>
    </row>
    <row r="61" spans="2:6">
      <c r="B61" s="25">
        <v>8</v>
      </c>
      <c r="C61" s="22">
        <v>53.4</v>
      </c>
      <c r="D61" s="22">
        <v>50.170833333333327</v>
      </c>
      <c r="E61" s="22">
        <v>1.0550552330203224</v>
      </c>
      <c r="F61" s="22">
        <v>1.0088224688651937</v>
      </c>
    </row>
    <row r="62" spans="2:6">
      <c r="B62" s="25">
        <v>9</v>
      </c>
      <c r="C62" s="22">
        <v>50.7</v>
      </c>
      <c r="D62" s="22">
        <v>49.691666666666663</v>
      </c>
      <c r="E62" s="22">
        <v>1.0182550004741353</v>
      </c>
      <c r="F62" s="22">
        <v>1.0020002837744313</v>
      </c>
    </row>
    <row r="63" spans="2:6">
      <c r="B63" s="25">
        <v>10</v>
      </c>
      <c r="C63" s="22">
        <v>48.4</v>
      </c>
      <c r="D63" s="22">
        <v>49.19166666666667</v>
      </c>
      <c r="E63" s="22">
        <v>1.0241404826497529</v>
      </c>
      <c r="F63" s="22">
        <v>0.9607143794186026</v>
      </c>
    </row>
    <row r="64" spans="2:6">
      <c r="B64" s="25">
        <v>11</v>
      </c>
      <c r="C64" s="22">
        <v>50.9</v>
      </c>
      <c r="D64" s="22">
        <v>48.658333333333331</v>
      </c>
      <c r="E64" s="22">
        <v>1.0135208239044666</v>
      </c>
      <c r="F64" s="22">
        <v>1.0321144941298106</v>
      </c>
    </row>
    <row r="65" spans="2:6">
      <c r="B65" s="25">
        <v>12</v>
      </c>
      <c r="C65" s="22">
        <v>44.7</v>
      </c>
      <c r="D65" s="22">
        <v>48.091666666666669</v>
      </c>
      <c r="E65" s="22">
        <v>0.96739601113764628</v>
      </c>
      <c r="F65" s="22">
        <v>0.96080090295070031</v>
      </c>
    </row>
    <row r="66" spans="2:6">
      <c r="B66" s="25">
        <v>13</v>
      </c>
      <c r="C66" s="22">
        <v>46</v>
      </c>
      <c r="D66" s="22">
        <v>47.49583333333333</v>
      </c>
      <c r="E66" s="22">
        <v>0.97847472461337903</v>
      </c>
      <c r="F66" s="22">
        <v>0.98981198485402211</v>
      </c>
    </row>
    <row r="67" spans="2:6">
      <c r="B67" s="25">
        <v>14</v>
      </c>
      <c r="C67" s="22">
        <v>44.7</v>
      </c>
      <c r="D67" s="22">
        <v>47.029166666666669</v>
      </c>
      <c r="E67" s="22">
        <v>0.93707248862945713</v>
      </c>
      <c r="F67" s="22">
        <v>1.0143014635115781</v>
      </c>
    </row>
    <row r="68" spans="2:6">
      <c r="B68" s="25">
        <v>15</v>
      </c>
      <c r="C68" s="22">
        <v>44.7</v>
      </c>
      <c r="D68" s="22">
        <v>46.620833333333337</v>
      </c>
      <c r="E68" s="22">
        <v>0.93828400589420857</v>
      </c>
      <c r="F68" s="22">
        <v>1.0218641842414742</v>
      </c>
    </row>
    <row r="69" spans="2:6">
      <c r="B69" s="25">
        <v>16</v>
      </c>
      <c r="C69" s="22">
        <v>45.2</v>
      </c>
      <c r="D69" s="22">
        <v>46.25833333333334</v>
      </c>
      <c r="E69" s="22">
        <v>0.97380411394316235</v>
      </c>
      <c r="F69" s="22">
        <v>1.0034063580402501</v>
      </c>
    </row>
    <row r="70" spans="2:6">
      <c r="B70" s="25">
        <v>17</v>
      </c>
      <c r="C70" s="22">
        <v>47.7</v>
      </c>
      <c r="D70" s="22">
        <v>45.941666666666663</v>
      </c>
      <c r="E70" s="22">
        <v>1.0275566848532147</v>
      </c>
      <c r="F70" s="22">
        <v>1.0104290963273492</v>
      </c>
    </row>
    <row r="71" spans="2:6">
      <c r="B71" s="25">
        <v>18</v>
      </c>
      <c r="C71" s="22">
        <v>46.8</v>
      </c>
      <c r="D71" s="22">
        <v>45.633333333333326</v>
      </c>
      <c r="E71" s="22">
        <v>1.0343086104143013</v>
      </c>
      <c r="F71" s="22">
        <v>0.99154749010200005</v>
      </c>
    </row>
    <row r="72" spans="2:6">
      <c r="B72" s="25">
        <v>19</v>
      </c>
      <c r="C72" s="22">
        <v>43.3</v>
      </c>
      <c r="D72" s="22">
        <v>45.454166666666666</v>
      </c>
      <c r="E72" s="22">
        <v>1.0132461694027695</v>
      </c>
      <c r="F72" s="22">
        <v>0.94015449272408858</v>
      </c>
    </row>
    <row r="73" spans="2:6">
      <c r="B73" s="25">
        <v>20</v>
      </c>
      <c r="C73" s="22">
        <v>49.1</v>
      </c>
      <c r="D73" s="22">
        <v>45.166666666666671</v>
      </c>
      <c r="E73" s="22">
        <v>1.0550552330203224</v>
      </c>
      <c r="F73" s="22">
        <v>1.0303582569195873</v>
      </c>
    </row>
    <row r="74" spans="2:6">
      <c r="B74" s="25">
        <v>21</v>
      </c>
      <c r="C74" s="22">
        <v>45.2</v>
      </c>
      <c r="D74" s="22">
        <v>44.791666666666664</v>
      </c>
      <c r="E74" s="22">
        <v>1.0182550004741353</v>
      </c>
      <c r="F74" s="22">
        <v>0.99102511512331148</v>
      </c>
    </row>
    <row r="75" spans="2:6">
      <c r="B75" s="25">
        <v>22</v>
      </c>
      <c r="C75" s="22">
        <v>45.2</v>
      </c>
      <c r="D75" s="22">
        <v>44.43333333333333</v>
      </c>
      <c r="E75" s="22">
        <v>1.0241404826497529</v>
      </c>
      <c r="F75" s="22">
        <v>0.99327614796210228</v>
      </c>
    </row>
    <row r="76" spans="2:6">
      <c r="B76" s="25">
        <v>23</v>
      </c>
      <c r="C76" s="22">
        <v>46.5</v>
      </c>
      <c r="D76" s="22">
        <v>44.099999999999994</v>
      </c>
      <c r="E76" s="22">
        <v>1.0135208239044666</v>
      </c>
      <c r="F76" s="22">
        <v>1.0403553077927403</v>
      </c>
    </row>
    <row r="77" spans="2:6">
      <c r="B77" s="25">
        <v>24</v>
      </c>
      <c r="C77" s="22">
        <v>41.7</v>
      </c>
      <c r="D77" s="22">
        <v>43.737499999999997</v>
      </c>
      <c r="E77" s="22">
        <v>0.96739601113764628</v>
      </c>
      <c r="F77" s="22">
        <v>0.98554805945714175</v>
      </c>
    </row>
    <row r="78" spans="2:6">
      <c r="B78" s="25">
        <v>25</v>
      </c>
      <c r="C78" s="22">
        <v>44.7</v>
      </c>
      <c r="D78" s="22">
        <v>43.533333333333331</v>
      </c>
      <c r="E78" s="22">
        <v>0.97847472461337903</v>
      </c>
      <c r="F78" s="22">
        <v>1.0493877476991429</v>
      </c>
    </row>
    <row r="79" spans="2:6">
      <c r="B79" s="25">
        <v>26</v>
      </c>
      <c r="C79" s="22">
        <v>39.1</v>
      </c>
      <c r="D79" s="22">
        <v>43.37916666666667</v>
      </c>
      <c r="E79" s="22">
        <v>0.93707248862945713</v>
      </c>
      <c r="F79" s="22">
        <v>0.96188325630763005</v>
      </c>
    </row>
    <row r="80" spans="2:6">
      <c r="B80" s="25">
        <v>27</v>
      </c>
      <c r="C80" s="22">
        <v>41.3</v>
      </c>
      <c r="D80" s="22">
        <v>42.99583333333333</v>
      </c>
      <c r="E80" s="22">
        <v>0.93828400589420857</v>
      </c>
      <c r="F80" s="22">
        <v>1.0237392810591253</v>
      </c>
    </row>
    <row r="81" spans="2:6">
      <c r="B81" s="25">
        <v>28</v>
      </c>
      <c r="C81" s="22">
        <v>40</v>
      </c>
      <c r="D81" s="22">
        <v>42.670833333333327</v>
      </c>
      <c r="E81" s="22">
        <v>0.97380411394316235</v>
      </c>
      <c r="F81" s="22">
        <v>0.96262527831152922</v>
      </c>
    </row>
    <row r="82" spans="2:6">
      <c r="B82" s="25">
        <v>29</v>
      </c>
      <c r="C82" s="22">
        <v>44.9</v>
      </c>
      <c r="D82" s="22">
        <v>42.333333333333329</v>
      </c>
      <c r="E82" s="22">
        <v>1.0275566848532147</v>
      </c>
      <c r="F82" s="22">
        <v>1.0321862889844877</v>
      </c>
    </row>
    <row r="83" spans="2:6">
      <c r="B83" s="25">
        <v>30</v>
      </c>
      <c r="C83" s="22">
        <v>40.9</v>
      </c>
      <c r="D83" s="22">
        <v>41.966666666666669</v>
      </c>
      <c r="E83" s="22">
        <v>1.0343086104143013</v>
      </c>
      <c r="F83" s="22">
        <v>0.94225552467601104</v>
      </c>
    </row>
    <row r="84" spans="2:6">
      <c r="B84" s="25">
        <v>31</v>
      </c>
      <c r="C84" s="22">
        <v>44.3</v>
      </c>
      <c r="D84" s="22">
        <v>41.591666666666669</v>
      </c>
      <c r="E84" s="22">
        <v>1.0132461694027695</v>
      </c>
      <c r="F84" s="22">
        <v>1.0511929313362891</v>
      </c>
    </row>
    <row r="85" spans="2:6">
      <c r="B85" s="25">
        <v>32</v>
      </c>
      <c r="C85" s="22">
        <v>44.4</v>
      </c>
      <c r="D85" s="22">
        <v>41.258333333333333</v>
      </c>
      <c r="E85" s="22">
        <v>1.0550552330203224</v>
      </c>
      <c r="F85" s="22">
        <v>1.0199904226848155</v>
      </c>
    </row>
    <row r="86" spans="2:6">
      <c r="B86" s="25">
        <v>33</v>
      </c>
      <c r="C86" s="22">
        <v>40.700000000000003</v>
      </c>
      <c r="D86" s="22">
        <v>40.791666666666671</v>
      </c>
      <c r="E86" s="22">
        <v>1.0182550004741353</v>
      </c>
      <c r="F86" s="22">
        <v>0.97986536626304344</v>
      </c>
    </row>
    <row r="87" spans="2:6">
      <c r="B87" s="25">
        <v>34</v>
      </c>
      <c r="C87" s="22">
        <v>41.9</v>
      </c>
      <c r="D87" s="22">
        <v>40.333333333333329</v>
      </c>
      <c r="E87" s="22">
        <v>1.0241404826497529</v>
      </c>
      <c r="F87" s="22">
        <v>1.0143559333957965</v>
      </c>
    </row>
    <row r="88" spans="2:6">
      <c r="B88" s="25">
        <v>35</v>
      </c>
      <c r="C88" s="22">
        <v>41.7</v>
      </c>
      <c r="D88" s="22">
        <v>39.88333333333334</v>
      </c>
      <c r="E88" s="22">
        <v>1.0135208239044666</v>
      </c>
      <c r="F88" s="22">
        <v>1.0316014183150399</v>
      </c>
    </row>
    <row r="89" spans="2:6">
      <c r="B89" s="25">
        <v>36</v>
      </c>
      <c r="C89" s="22">
        <v>37.700000000000003</v>
      </c>
      <c r="D89" s="22">
        <v>39.433333333333337</v>
      </c>
      <c r="E89" s="22">
        <v>0.96739601113764628</v>
      </c>
      <c r="F89" s="22">
        <v>0.98826534845813518</v>
      </c>
    </row>
    <row r="90" spans="2:6">
      <c r="B90" s="25">
        <v>37</v>
      </c>
      <c r="C90" s="22">
        <v>39.700000000000003</v>
      </c>
      <c r="D90" s="22">
        <v>39.037500000000001</v>
      </c>
      <c r="E90" s="22">
        <v>0.97847472461337903</v>
      </c>
      <c r="F90" s="22">
        <v>1.0393430057716582</v>
      </c>
    </row>
    <row r="91" spans="2:6">
      <c r="B91" s="25">
        <v>38</v>
      </c>
      <c r="C91" s="22">
        <v>36.1</v>
      </c>
      <c r="D91" s="22">
        <v>38.508333333333333</v>
      </c>
      <c r="E91" s="22">
        <v>0.93707248862945713</v>
      </c>
      <c r="F91" s="22">
        <v>1.0004129197498146</v>
      </c>
    </row>
    <row r="92" spans="2:6">
      <c r="B92" s="25">
        <v>39</v>
      </c>
      <c r="C92" s="22">
        <v>33.1</v>
      </c>
      <c r="D92" s="22">
        <v>38.304166666666674</v>
      </c>
      <c r="E92" s="22">
        <v>0.93828400589420857</v>
      </c>
      <c r="F92" s="22">
        <v>0.92097461966494043</v>
      </c>
    </row>
    <row r="93" spans="2:6">
      <c r="B93" s="25">
        <v>40</v>
      </c>
      <c r="C93" s="22">
        <v>37.200000000000003</v>
      </c>
      <c r="D93" s="22">
        <v>38.466666666666669</v>
      </c>
      <c r="E93" s="22">
        <v>0.97380411394316235</v>
      </c>
      <c r="F93" s="22">
        <v>0.99308582018253733</v>
      </c>
    </row>
    <row r="94" spans="2:6">
      <c r="B94" s="25">
        <v>41</v>
      </c>
      <c r="C94" s="22">
        <v>36.9</v>
      </c>
      <c r="D94" s="22">
        <v>38.408333333333331</v>
      </c>
      <c r="E94" s="22">
        <v>1.0275566848532147</v>
      </c>
      <c r="F94" s="22">
        <v>0.93496448675135069</v>
      </c>
    </row>
    <row r="95" spans="2:6">
      <c r="B95" s="25">
        <v>42</v>
      </c>
      <c r="C95" s="22">
        <v>38.1</v>
      </c>
      <c r="D95" s="22">
        <v>38.183333333333337</v>
      </c>
      <c r="E95" s="22">
        <v>1.0343086104143013</v>
      </c>
      <c r="F95" s="22">
        <v>0.96471936603433717</v>
      </c>
    </row>
    <row r="96" spans="2:6">
      <c r="B96" s="25">
        <v>43</v>
      </c>
      <c r="C96" s="22">
        <v>37.6</v>
      </c>
      <c r="D96" s="22">
        <v>37.862499999999997</v>
      </c>
      <c r="E96" s="22">
        <v>1.0132461694027695</v>
      </c>
      <c r="F96" s="22">
        <v>0.98008465149533042</v>
      </c>
    </row>
    <row r="97" spans="2:6">
      <c r="B97" s="25">
        <v>44</v>
      </c>
      <c r="C97" s="22">
        <v>38.4</v>
      </c>
      <c r="D97" s="22">
        <v>37.504166666666663</v>
      </c>
      <c r="E97" s="22">
        <v>1.0550552330203224</v>
      </c>
      <c r="F97" s="22">
        <v>0.97045747257392256</v>
      </c>
    </row>
    <row r="98" spans="2:6">
      <c r="B98" s="25">
        <v>45</v>
      </c>
      <c r="C98" s="22">
        <v>41.8</v>
      </c>
      <c r="D98" s="22">
        <v>37.404166666666676</v>
      </c>
      <c r="E98" s="22">
        <v>1.0182550004741353</v>
      </c>
      <c r="F98" s="22">
        <v>1.0974879152343595</v>
      </c>
    </row>
    <row r="99" spans="2:6">
      <c r="B99" s="25">
        <v>46</v>
      </c>
      <c r="C99" s="22">
        <v>44.7</v>
      </c>
      <c r="D99" s="22">
        <v>37.274999999999999</v>
      </c>
      <c r="E99" s="22">
        <v>1.0241404826497529</v>
      </c>
      <c r="F99" s="22">
        <v>1.1709283944361677</v>
      </c>
    </row>
    <row r="100" spans="2:6">
      <c r="B100" s="25">
        <v>47</v>
      </c>
      <c r="C100" s="22">
        <v>37.5</v>
      </c>
      <c r="D100" s="22">
        <v>37.066666666666663</v>
      </c>
      <c r="E100" s="22">
        <v>1.0135208239044666</v>
      </c>
      <c r="F100" s="22">
        <v>0.99819423895465553</v>
      </c>
    </row>
    <row r="101" spans="2:6">
      <c r="B101" s="25">
        <v>48</v>
      </c>
      <c r="C101" s="22">
        <v>36.5</v>
      </c>
      <c r="D101" s="22">
        <v>36.92916666666666</v>
      </c>
      <c r="E101" s="22">
        <v>0.96739601113764628</v>
      </c>
      <c r="F101" s="22">
        <v>1.0216898162150114</v>
      </c>
    </row>
    <row r="102" spans="2:6">
      <c r="B102" s="25">
        <v>49</v>
      </c>
      <c r="C102" s="22">
        <v>33.200000000000003</v>
      </c>
      <c r="D102" s="22">
        <v>36.800000000000004</v>
      </c>
      <c r="E102" s="22">
        <v>0.97847472461337903</v>
      </c>
      <c r="F102" s="22">
        <v>0.92202066169869723</v>
      </c>
    </row>
    <row r="103" spans="2:6">
      <c r="B103" s="25">
        <v>50</v>
      </c>
      <c r="C103" s="22">
        <v>34</v>
      </c>
      <c r="D103" s="22">
        <v>36.575000000000003</v>
      </c>
      <c r="E103" s="22">
        <v>0.93707248862945713</v>
      </c>
      <c r="F103" s="22">
        <v>0.99202220783368855</v>
      </c>
    </row>
    <row r="104" spans="2:6">
      <c r="B104" s="25">
        <v>51</v>
      </c>
      <c r="C104" s="22">
        <v>32.799999999999997</v>
      </c>
      <c r="D104" s="22">
        <v>36.166666666666664</v>
      </c>
      <c r="E104" s="22">
        <v>0.93828400589420857</v>
      </c>
      <c r="F104" s="22">
        <v>0.96656495975544499</v>
      </c>
    </row>
    <row r="105" spans="2:6">
      <c r="B105" s="25">
        <v>52</v>
      </c>
      <c r="C105" s="22">
        <v>34.4</v>
      </c>
      <c r="D105" s="22">
        <v>35.524999999999999</v>
      </c>
      <c r="E105" s="22">
        <v>0.97380411394316235</v>
      </c>
      <c r="F105" s="22">
        <v>0.9943808478374383</v>
      </c>
    </row>
    <row r="106" spans="2:6">
      <c r="B106" s="25">
        <v>53</v>
      </c>
      <c r="C106" s="22">
        <v>34.700000000000003</v>
      </c>
      <c r="D106" s="22">
        <v>34.954166666666666</v>
      </c>
      <c r="E106" s="22">
        <v>1.0275566848532147</v>
      </c>
      <c r="F106" s="22">
        <v>0.96610589738248065</v>
      </c>
    </row>
    <row r="107" spans="2:6">
      <c r="B107" s="25">
        <v>54</v>
      </c>
      <c r="C107" s="22">
        <v>37</v>
      </c>
      <c r="D107" s="22">
        <v>34.633333333333333</v>
      </c>
      <c r="E107" s="22">
        <v>1.0343086104143013</v>
      </c>
      <c r="F107" s="22">
        <v>1.0328976542232546</v>
      </c>
    </row>
    <row r="108" spans="2:6">
      <c r="B108" s="25">
        <v>55</v>
      </c>
      <c r="C108" s="22">
        <v>35.6</v>
      </c>
      <c r="D108" s="22">
        <v>34.412500000000001</v>
      </c>
      <c r="E108" s="22">
        <v>1.0132461694027695</v>
      </c>
      <c r="F108" s="22">
        <v>1.0209836867895088</v>
      </c>
    </row>
    <row r="109" spans="2:6">
      <c r="B109" s="25">
        <v>56</v>
      </c>
      <c r="C109" s="22">
        <v>35</v>
      </c>
      <c r="D109" s="22">
        <v>34.191666666666663</v>
      </c>
      <c r="E109" s="22">
        <v>1.0550552330203224</v>
      </c>
      <c r="F109" s="22">
        <v>0.9702252603288426</v>
      </c>
    </row>
    <row r="110" spans="2:6">
      <c r="B110" s="25">
        <v>57</v>
      </c>
      <c r="C110" s="22">
        <v>35.4</v>
      </c>
      <c r="D110" s="22">
        <v>34.083333333333336</v>
      </c>
      <c r="E110" s="22">
        <v>1.0182550004741353</v>
      </c>
      <c r="F110" s="22">
        <v>1.0200105144215768</v>
      </c>
    </row>
    <row r="111" spans="2:6">
      <c r="B111" s="25">
        <v>58</v>
      </c>
      <c r="C111" s="22">
        <v>35.700000000000003</v>
      </c>
      <c r="D111" s="22">
        <v>34.016666666666673</v>
      </c>
      <c r="E111" s="22">
        <v>1.0241404826497529</v>
      </c>
      <c r="F111" s="22">
        <v>1.0247476435903644</v>
      </c>
    </row>
    <row r="112" spans="2:6">
      <c r="B112" s="25">
        <v>59</v>
      </c>
      <c r="C112" s="22">
        <v>32.799999999999997</v>
      </c>
      <c r="D112" s="22">
        <v>33.824999999999996</v>
      </c>
      <c r="E112" s="22">
        <v>1.0135208239044666</v>
      </c>
      <c r="F112" s="22">
        <v>0.95676077572962859</v>
      </c>
    </row>
    <row r="113" spans="2:6">
      <c r="B113" s="25">
        <v>60</v>
      </c>
      <c r="C113" s="22">
        <v>33.5</v>
      </c>
      <c r="D113" s="22">
        <v>33.625</v>
      </c>
      <c r="E113" s="22">
        <v>0.96739601113764628</v>
      </c>
      <c r="F113" s="22">
        <v>1.0298600742724011</v>
      </c>
    </row>
    <row r="114" spans="2:6">
      <c r="B114" s="25">
        <v>61</v>
      </c>
      <c r="C114" s="22">
        <v>30.9</v>
      </c>
      <c r="D114" s="22">
        <v>33.37083333333333</v>
      </c>
      <c r="E114" s="22">
        <v>0.97847472461337903</v>
      </c>
      <c r="F114" s="22">
        <v>0.94632827361160499</v>
      </c>
    </row>
    <row r="115" spans="2:6">
      <c r="B115" s="25">
        <v>62</v>
      </c>
      <c r="C115" s="22">
        <v>31</v>
      </c>
      <c r="D115" s="22">
        <v>33.095833333333324</v>
      </c>
      <c r="E115" s="22">
        <v>0.93707248862945713</v>
      </c>
      <c r="F115" s="22">
        <v>0.99957453899951787</v>
      </c>
    </row>
    <row r="116" spans="2:6">
      <c r="B116" s="25">
        <v>63</v>
      </c>
      <c r="C116" s="22">
        <v>33.200000000000003</v>
      </c>
      <c r="D116" s="22">
        <v>32.824999999999996</v>
      </c>
      <c r="E116" s="22">
        <v>0.93828400589420857</v>
      </c>
      <c r="F116" s="22">
        <v>1.0779510393349385</v>
      </c>
    </row>
    <row r="117" spans="2:6">
      <c r="B117" s="25">
        <v>64</v>
      </c>
      <c r="C117" s="22">
        <v>32.4</v>
      </c>
      <c r="D117" s="22">
        <v>32.483333333333327</v>
      </c>
      <c r="E117" s="22">
        <v>0.97380411394316235</v>
      </c>
      <c r="F117" s="22">
        <v>1.024266140957232</v>
      </c>
    </row>
    <row r="118" spans="2:6">
      <c r="B118" s="25">
        <v>65</v>
      </c>
      <c r="C118" s="22">
        <v>32.1</v>
      </c>
      <c r="D118" s="22">
        <v>32.254166666666663</v>
      </c>
      <c r="E118" s="22">
        <v>1.0275566848532147</v>
      </c>
      <c r="F118" s="22">
        <v>0.96853075888759654</v>
      </c>
    </row>
    <row r="119" spans="2:6">
      <c r="B119" s="25">
        <v>66</v>
      </c>
      <c r="C119" s="22">
        <v>34.799999999999997</v>
      </c>
      <c r="D119" s="22">
        <v>32.137499999999996</v>
      </c>
      <c r="E119" s="22">
        <v>1.0343086104143013</v>
      </c>
      <c r="F119" s="22">
        <v>1.0469284798436074</v>
      </c>
    </row>
    <row r="120" spans="2:6">
      <c r="B120" s="25">
        <v>67</v>
      </c>
      <c r="C120" s="22">
        <v>31.7</v>
      </c>
      <c r="D120" s="22">
        <v>31.999999999999993</v>
      </c>
      <c r="E120" s="22">
        <v>1.0132461694027695</v>
      </c>
      <c r="F120" s="22">
        <v>0.9776745571946226</v>
      </c>
    </row>
    <row r="121" spans="2:6">
      <c r="B121" s="25">
        <v>68</v>
      </c>
      <c r="C121" s="22">
        <v>32.299999999999997</v>
      </c>
      <c r="D121" s="22">
        <v>31.804166666666664</v>
      </c>
      <c r="E121" s="22">
        <v>1.0550552330203224</v>
      </c>
      <c r="F121" s="22">
        <v>0.9625943445046844</v>
      </c>
    </row>
    <row r="122" spans="2:6">
      <c r="B122" s="25">
        <v>69</v>
      </c>
      <c r="C122" s="22">
        <v>31.6</v>
      </c>
      <c r="D122" s="22">
        <v>31.458333333333329</v>
      </c>
      <c r="E122" s="22">
        <v>1.0182550004741353</v>
      </c>
      <c r="F122" s="22">
        <v>0.98649484735213311</v>
      </c>
    </row>
    <row r="123" spans="2:6">
      <c r="B123" s="25">
        <v>70</v>
      </c>
      <c r="C123" s="22">
        <v>31.3</v>
      </c>
      <c r="D123" s="22">
        <v>31.087499999999995</v>
      </c>
      <c r="E123" s="22">
        <v>1.0241404826497529</v>
      </c>
      <c r="F123" s="22">
        <v>0.983102964769201</v>
      </c>
    </row>
    <row r="124" spans="2:6">
      <c r="B124" s="25">
        <v>71</v>
      </c>
      <c r="C124" s="22">
        <v>31.7</v>
      </c>
      <c r="D124" s="22">
        <v>30.86666666666666</v>
      </c>
      <c r="E124" s="22">
        <v>1.0135208239044666</v>
      </c>
      <c r="F124" s="22">
        <v>1.0132972268062546</v>
      </c>
    </row>
    <row r="125" spans="2:6">
      <c r="B125" s="25">
        <v>72</v>
      </c>
      <c r="C125" s="22">
        <v>31.8</v>
      </c>
      <c r="D125" s="22">
        <v>30.654166666666661</v>
      </c>
      <c r="E125" s="22">
        <v>0.96739601113764628</v>
      </c>
      <c r="F125" s="22">
        <v>1.0723419929855786</v>
      </c>
    </row>
    <row r="126" spans="2:6">
      <c r="B126" s="25">
        <v>73</v>
      </c>
      <c r="C126" s="22">
        <v>29.3</v>
      </c>
      <c r="D126" s="22">
        <v>30.404166666666661</v>
      </c>
      <c r="E126" s="22">
        <v>0.97847472461337903</v>
      </c>
      <c r="F126" s="22">
        <v>0.98488359626583966</v>
      </c>
    </row>
    <row r="127" spans="2:6">
      <c r="B127" s="25">
        <v>74</v>
      </c>
      <c r="C127" s="22">
        <v>27.9</v>
      </c>
      <c r="D127" s="22">
        <v>30.241666666666671</v>
      </c>
      <c r="E127" s="22">
        <v>0.93707248862945713</v>
      </c>
      <c r="F127" s="22">
        <v>0.9845217011498828</v>
      </c>
    </row>
    <row r="128" spans="2:6">
      <c r="B128" s="25">
        <v>75</v>
      </c>
      <c r="C128" s="22">
        <v>28</v>
      </c>
      <c r="D128" s="22">
        <v>30.079166666666666</v>
      </c>
      <c r="E128" s="22">
        <v>0.93828400589420857</v>
      </c>
      <c r="F128" s="22">
        <v>0.99210563848686628</v>
      </c>
    </row>
    <row r="129" spans="2:6">
      <c r="B129" s="25">
        <v>76</v>
      </c>
      <c r="C129" s="22">
        <v>28.7</v>
      </c>
      <c r="D129" s="22">
        <v>29.820833333333333</v>
      </c>
      <c r="E129" s="22">
        <v>0.97380411394316235</v>
      </c>
      <c r="F129" s="22">
        <v>0.98830391622853919</v>
      </c>
    </row>
    <row r="130" spans="2:6">
      <c r="B130" s="25">
        <v>77</v>
      </c>
      <c r="C130" s="22">
        <v>30.5</v>
      </c>
      <c r="D130" s="22">
        <v>29.525000000000002</v>
      </c>
      <c r="E130" s="22">
        <v>1.0275566848532147</v>
      </c>
      <c r="F130" s="22">
        <v>1.0053195869471063</v>
      </c>
    </row>
    <row r="131" spans="2:6">
      <c r="B131" s="25">
        <v>78</v>
      </c>
      <c r="C131" s="22">
        <v>31.3</v>
      </c>
      <c r="D131" s="22">
        <v>29.133333333333333</v>
      </c>
      <c r="E131" s="22">
        <v>1.0343086104143013</v>
      </c>
      <c r="F131" s="22">
        <v>1.0387332161450369</v>
      </c>
    </row>
    <row r="132" spans="2:6">
      <c r="B132" s="25">
        <v>79</v>
      </c>
      <c r="C132" s="22">
        <v>29.2</v>
      </c>
      <c r="D132" s="22">
        <v>28.716666666666665</v>
      </c>
      <c r="E132" s="22">
        <v>1.0132461694027695</v>
      </c>
      <c r="F132" s="22">
        <v>1.0035380732117394</v>
      </c>
    </row>
    <row r="133" spans="2:6">
      <c r="B133" s="25">
        <v>80</v>
      </c>
      <c r="C133" s="22">
        <v>30.9</v>
      </c>
      <c r="D133" s="22">
        <v>28.454166666666666</v>
      </c>
      <c r="E133" s="22">
        <v>1.0550552330203224</v>
      </c>
      <c r="F133" s="22">
        <v>1.0292891919979377</v>
      </c>
    </row>
    <row r="134" spans="2:6">
      <c r="B134" s="25">
        <v>81</v>
      </c>
      <c r="C134" s="22">
        <v>29.1</v>
      </c>
      <c r="D134" s="22">
        <v>28.195833333333333</v>
      </c>
      <c r="E134" s="22">
        <v>1.0182550004741353</v>
      </c>
      <c r="F134" s="22">
        <v>1.0135647606567069</v>
      </c>
    </row>
    <row r="135" spans="2:6">
      <c r="B135" s="25">
        <v>82</v>
      </c>
      <c r="C135" s="22">
        <v>27.6</v>
      </c>
      <c r="D135" s="22">
        <v>27.912499999999998</v>
      </c>
      <c r="E135" s="22">
        <v>1.0241404826497529</v>
      </c>
      <c r="F135" s="22">
        <v>0.96549674180518574</v>
      </c>
    </row>
    <row r="136" spans="2:6">
      <c r="B136" s="25">
        <v>83</v>
      </c>
      <c r="C136" s="22">
        <v>28.3</v>
      </c>
      <c r="D136" s="22">
        <v>27.612499999999997</v>
      </c>
      <c r="E136" s="22">
        <v>1.0135208239044666</v>
      </c>
      <c r="F136" s="22">
        <v>1.0112255414824582</v>
      </c>
    </row>
    <row r="137" spans="2:6">
      <c r="B137" s="25">
        <v>84</v>
      </c>
      <c r="C137" s="22">
        <v>25.8</v>
      </c>
      <c r="D137" s="22">
        <v>27.237500000000001</v>
      </c>
      <c r="E137" s="22">
        <v>0.96739601113764628</v>
      </c>
      <c r="F137" s="22">
        <v>0.9791476149493904</v>
      </c>
    </row>
    <row r="138" spans="2:6">
      <c r="B138" s="25">
        <v>85</v>
      </c>
      <c r="C138" s="22">
        <v>25.3</v>
      </c>
      <c r="D138" s="22">
        <v>26.908333333333328</v>
      </c>
      <c r="E138" s="22">
        <v>0.97847472461337903</v>
      </c>
      <c r="F138" s="22">
        <v>0.96091309204754571</v>
      </c>
    </row>
    <row r="139" spans="2:6">
      <c r="B139" s="25">
        <v>86</v>
      </c>
      <c r="C139" s="22">
        <v>25.6</v>
      </c>
      <c r="D139" s="22">
        <v>26.595833333333335</v>
      </c>
      <c r="E139" s="22">
        <v>0.93707248862945713</v>
      </c>
      <c r="F139" s="22">
        <v>1.0271956579209549</v>
      </c>
    </row>
    <row r="140" spans="2:6">
      <c r="B140" s="25">
        <v>87</v>
      </c>
      <c r="C140" s="22">
        <v>24.1</v>
      </c>
      <c r="D140" s="22">
        <v>26.258333333333333</v>
      </c>
      <c r="E140" s="22">
        <v>0.93828400589420857</v>
      </c>
      <c r="F140" s="22">
        <v>0.97817277713483342</v>
      </c>
    </row>
    <row r="141" spans="2:6">
      <c r="B141" s="25">
        <v>88</v>
      </c>
      <c r="C141" s="22">
        <v>25.8</v>
      </c>
      <c r="D141" s="22">
        <v>25.987500000000004</v>
      </c>
      <c r="E141" s="22">
        <v>0.97380411394316235</v>
      </c>
      <c r="F141" s="22">
        <v>1.0194914753080804</v>
      </c>
    </row>
    <row r="142" spans="2:6">
      <c r="B142" s="25">
        <v>89</v>
      </c>
      <c r="C142" s="22">
        <v>26.2</v>
      </c>
      <c r="D142" s="22">
        <v>25.729166666666671</v>
      </c>
      <c r="E142" s="22">
        <v>1.0275566848532147</v>
      </c>
      <c r="F142" s="22">
        <v>0.99099116394455944</v>
      </c>
    </row>
    <row r="143" spans="2:6">
      <c r="B143" s="25">
        <v>90</v>
      </c>
      <c r="C143" s="22">
        <v>26.6</v>
      </c>
      <c r="D143" s="22">
        <v>25.462499999999999</v>
      </c>
      <c r="E143" s="22">
        <v>1.0343086104143013</v>
      </c>
      <c r="F143" s="22">
        <v>1.0100211184555907</v>
      </c>
    </row>
    <row r="144" spans="2:6">
      <c r="B144" s="25">
        <v>91</v>
      </c>
      <c r="C144" s="22">
        <v>26</v>
      </c>
      <c r="D144" s="22">
        <v>25.254166666666666</v>
      </c>
      <c r="E144" s="22">
        <v>1.0132461694027695</v>
      </c>
      <c r="F144" s="22">
        <v>1.0160739921243498</v>
      </c>
    </row>
    <row r="145" spans="2:6">
      <c r="B145" s="25">
        <v>92</v>
      </c>
      <c r="C145" s="22">
        <v>26.6</v>
      </c>
      <c r="D145" s="22">
        <v>24.966666666666665</v>
      </c>
      <c r="E145" s="22">
        <v>1.0550552330203224</v>
      </c>
      <c r="F145" s="22">
        <v>1.0098244408472039</v>
      </c>
    </row>
    <row r="146" spans="2:6">
      <c r="B146" s="25">
        <v>93</v>
      </c>
      <c r="C146" s="22">
        <v>25.3</v>
      </c>
      <c r="D146" s="22">
        <v>24.625</v>
      </c>
      <c r="E146" s="22">
        <v>1.0182550004741353</v>
      </c>
      <c r="F146" s="22">
        <v>1.0089920177502607</v>
      </c>
    </row>
    <row r="147" spans="2:6">
      <c r="B147" s="25">
        <v>94</v>
      </c>
      <c r="C147" s="22">
        <v>24.9</v>
      </c>
      <c r="D147" s="22">
        <v>24.341666666666669</v>
      </c>
      <c r="E147" s="22">
        <v>1.0241404826497529</v>
      </c>
      <c r="F147" s="22">
        <v>0.99882522715622601</v>
      </c>
    </row>
    <row r="148" spans="2:6">
      <c r="B148" s="25">
        <v>95</v>
      </c>
      <c r="C148" s="22">
        <v>24.8</v>
      </c>
      <c r="D148" s="22">
        <v>24.066666666666666</v>
      </c>
      <c r="E148" s="22">
        <v>1.0135208239044666</v>
      </c>
      <c r="F148" s="22">
        <v>1.016723968391354</v>
      </c>
    </row>
    <row r="149" spans="2:6">
      <c r="B149" s="25">
        <v>96</v>
      </c>
      <c r="C149" s="22">
        <v>22.9</v>
      </c>
      <c r="D149" s="22">
        <v>23.800000000000004</v>
      </c>
      <c r="E149" s="22">
        <v>0.96739601113764628</v>
      </c>
      <c r="F149" s="22">
        <v>0.99461323271124669</v>
      </c>
    </row>
    <row r="150" spans="2:6">
      <c r="B150" s="25">
        <v>97</v>
      </c>
      <c r="C150" s="22">
        <v>23.2</v>
      </c>
      <c r="D150" s="22">
        <v>23.545833333333334</v>
      </c>
      <c r="E150" s="22">
        <v>0.97847472461337903</v>
      </c>
      <c r="F150" s="22">
        <v>1.0069880287295943</v>
      </c>
    </row>
    <row r="151" spans="2:6">
      <c r="B151" s="25">
        <v>98</v>
      </c>
      <c r="C151" s="22">
        <v>20.8</v>
      </c>
      <c r="D151" s="22">
        <v>23.258333333333333</v>
      </c>
      <c r="E151" s="22">
        <v>0.93707248862945713</v>
      </c>
      <c r="F151" s="22">
        <v>0.95435852403510069</v>
      </c>
    </row>
    <row r="152" spans="2:6">
      <c r="B152" s="25">
        <v>99</v>
      </c>
      <c r="C152" s="22">
        <v>20.7</v>
      </c>
      <c r="D152" s="22">
        <v>22.937499999999996</v>
      </c>
      <c r="E152" s="22">
        <v>0.93828400589420857</v>
      </c>
      <c r="F152" s="22">
        <v>0.96181146689827057</v>
      </c>
    </row>
    <row r="153" spans="2:6">
      <c r="B153" s="25">
        <v>100</v>
      </c>
      <c r="C153" s="22">
        <v>22.4</v>
      </c>
      <c r="D153" s="22">
        <v>22.625</v>
      </c>
      <c r="E153" s="22">
        <v>0.97380411394316235</v>
      </c>
      <c r="F153" s="22">
        <v>1.0166882994669404</v>
      </c>
    </row>
    <row r="154" spans="2:6">
      <c r="B154" s="25">
        <v>101</v>
      </c>
      <c r="C154" s="22">
        <v>23</v>
      </c>
      <c r="D154" s="22">
        <v>22.320833333333333</v>
      </c>
      <c r="E154" s="22">
        <v>1.0275566848532147</v>
      </c>
      <c r="F154" s="22">
        <v>1.0027938052033374</v>
      </c>
    </row>
    <row r="155" spans="2:6">
      <c r="B155" s="25">
        <v>102</v>
      </c>
      <c r="C155" s="22">
        <v>23.4</v>
      </c>
      <c r="D155" s="22">
        <v>22.066666666666666</v>
      </c>
      <c r="E155" s="22">
        <v>1.0343086104143013</v>
      </c>
      <c r="F155" s="22">
        <v>1.0252481223184575</v>
      </c>
    </row>
    <row r="156" spans="2:6">
      <c r="B156" s="25">
        <v>103</v>
      </c>
      <c r="C156" s="22">
        <v>23.1</v>
      </c>
      <c r="D156" s="22">
        <v>21.812499999999996</v>
      </c>
      <c r="E156" s="22">
        <v>1.0132461694027695</v>
      </c>
      <c r="F156" s="22">
        <v>1.0451811415086132</v>
      </c>
    </row>
    <row r="157" spans="2:6">
      <c r="B157" s="25">
        <v>104</v>
      </c>
      <c r="C157" s="22">
        <v>22.6</v>
      </c>
      <c r="D157" s="22">
        <v>21.570833333333329</v>
      </c>
      <c r="E157" s="22">
        <v>1.0550552330203224</v>
      </c>
      <c r="F157" s="22">
        <v>0.99303903413141492</v>
      </c>
    </row>
    <row r="158" spans="2:6">
      <c r="B158" s="25">
        <v>105</v>
      </c>
      <c r="C158" s="22">
        <v>21.6</v>
      </c>
      <c r="D158" s="22">
        <v>21.358333333333334</v>
      </c>
      <c r="E158" s="22">
        <v>1.0182550004741353</v>
      </c>
      <c r="F158" s="22">
        <v>0.99318428578422391</v>
      </c>
    </row>
    <row r="159" spans="2:6">
      <c r="B159" s="25">
        <v>106</v>
      </c>
      <c r="C159" s="22">
        <v>21.1</v>
      </c>
      <c r="D159" s="22">
        <v>21.137499999999999</v>
      </c>
      <c r="E159" s="22">
        <v>1.0241404826497529</v>
      </c>
      <c r="F159" s="22">
        <v>0.97469626359318462</v>
      </c>
    </row>
    <row r="160" spans="2:6">
      <c r="B160" s="25">
        <v>107</v>
      </c>
      <c r="C160" s="22">
        <v>21.3</v>
      </c>
      <c r="D160" s="22">
        <v>20.933333333333337</v>
      </c>
      <c r="E160" s="22">
        <v>1.0135208239044666</v>
      </c>
      <c r="F160" s="22">
        <v>1.0039418032350056</v>
      </c>
    </row>
    <row r="161" spans="2:6">
      <c r="B161" s="25">
        <v>108</v>
      </c>
      <c r="C161" s="22">
        <v>20.3</v>
      </c>
      <c r="D161" s="22">
        <v>20.729166666666668</v>
      </c>
      <c r="E161" s="22">
        <v>0.96739601113764628</v>
      </c>
      <c r="F161" s="22">
        <v>1.0123015509030466</v>
      </c>
    </row>
    <row r="162" spans="2:6">
      <c r="B162" s="25">
        <v>109</v>
      </c>
      <c r="C162" s="22">
        <v>19.7</v>
      </c>
      <c r="D162" s="22">
        <v>20.508333333333336</v>
      </c>
      <c r="E162" s="22">
        <v>0.97847472461337903</v>
      </c>
      <c r="F162" s="22">
        <v>0.98171685362266403</v>
      </c>
    </row>
    <row r="163" spans="2:6">
      <c r="B163" s="25">
        <v>110</v>
      </c>
      <c r="C163" s="22">
        <v>18.5</v>
      </c>
      <c r="D163" s="22">
        <v>20.333333333333332</v>
      </c>
      <c r="E163" s="22">
        <v>0.93707248862945713</v>
      </c>
      <c r="F163" s="22">
        <v>0.97093456121465904</v>
      </c>
    </row>
    <row r="164" spans="2:6">
      <c r="B164" s="25">
        <v>111</v>
      </c>
      <c r="C164" s="22">
        <v>17.899999999999999</v>
      </c>
      <c r="D164" s="22">
        <v>20.2</v>
      </c>
      <c r="E164" s="22">
        <v>0.93828400589420857</v>
      </c>
      <c r="F164" s="22">
        <v>0.94442472459804261</v>
      </c>
    </row>
    <row r="165" spans="2:6">
      <c r="B165" s="25">
        <v>112</v>
      </c>
      <c r="C165" s="22">
        <v>19.899999999999999</v>
      </c>
      <c r="D165" s="22">
        <v>20.070833333333333</v>
      </c>
      <c r="E165" s="22">
        <v>0.97380411394316235</v>
      </c>
      <c r="F165" s="22">
        <v>1.0181600838501585</v>
      </c>
    </row>
    <row r="166" spans="2:6">
      <c r="B166" s="25">
        <v>113</v>
      </c>
      <c r="C166" s="22">
        <v>20.6</v>
      </c>
      <c r="D166" s="22">
        <v>19.949999999999996</v>
      </c>
      <c r="E166" s="22">
        <v>1.0275566848532147</v>
      </c>
      <c r="F166" s="22">
        <v>1.0048900161469811</v>
      </c>
    </row>
    <row r="167" spans="2:6">
      <c r="B167" s="25">
        <v>114</v>
      </c>
      <c r="C167" s="22">
        <v>20.9</v>
      </c>
      <c r="D167" s="22">
        <v>19.845833333333331</v>
      </c>
      <c r="E167" s="22">
        <v>1.0343086104143013</v>
      </c>
      <c r="F167" s="22">
        <v>1.0181852614454163</v>
      </c>
    </row>
    <row r="168" spans="2:6">
      <c r="B168" s="25">
        <v>115</v>
      </c>
      <c r="C168" s="22">
        <v>20.3</v>
      </c>
      <c r="D168" s="22">
        <v>19.954166666666666</v>
      </c>
      <c r="E168" s="22">
        <v>1.0132461694027695</v>
      </c>
      <c r="F168" s="22">
        <v>1.0040318089949196</v>
      </c>
    </row>
    <row r="169" spans="2:6">
      <c r="B169" s="25">
        <v>116</v>
      </c>
      <c r="C169" s="22">
        <v>21.2</v>
      </c>
      <c r="D169" s="22">
        <v>20.229166666666664</v>
      </c>
      <c r="E169" s="22">
        <v>1.0550552330203224</v>
      </c>
      <c r="F169" s="22">
        <v>0.99330511642595154</v>
      </c>
    </row>
    <row r="170" spans="2:6">
      <c r="B170" s="25">
        <v>117</v>
      </c>
      <c r="C170" s="22">
        <v>19.8</v>
      </c>
      <c r="D170" s="22">
        <v>20.55</v>
      </c>
      <c r="E170" s="22">
        <v>1.0182550004741353</v>
      </c>
      <c r="F170" s="22">
        <v>0.94623021658267847</v>
      </c>
    </row>
    <row r="171" spans="2:6">
      <c r="B171" s="25">
        <v>118</v>
      </c>
      <c r="C171" s="22">
        <v>19.8</v>
      </c>
      <c r="D171" s="22">
        <v>20.879166666666666</v>
      </c>
      <c r="E171" s="22">
        <v>1.0241404826497529</v>
      </c>
      <c r="F171" s="22">
        <v>0.92596057465162285</v>
      </c>
    </row>
    <row r="172" spans="2:6">
      <c r="B172" s="25">
        <v>119</v>
      </c>
      <c r="C172" s="22">
        <v>19.7</v>
      </c>
      <c r="D172" s="22">
        <v>21.137500000000003</v>
      </c>
      <c r="E172" s="22">
        <v>1.0135208239044666</v>
      </c>
      <c r="F172" s="22">
        <v>0.91955969884954381</v>
      </c>
    </row>
    <row r="173" spans="2:6">
      <c r="B173" s="25">
        <v>120</v>
      </c>
      <c r="C173" s="22">
        <v>19.399999999999999</v>
      </c>
      <c r="D173" s="22">
        <v>21.4</v>
      </c>
      <c r="E173" s="22">
        <v>0.96739601113764628</v>
      </c>
      <c r="F173" s="22">
        <v>0.93709509408528946</v>
      </c>
    </row>
    <row r="174" spans="2:6">
      <c r="B174" s="25">
        <v>121</v>
      </c>
      <c r="C174" s="22">
        <v>23.2</v>
      </c>
      <c r="D174" s="22">
        <v>21.679166666666664</v>
      </c>
      <c r="E174" s="22">
        <v>0.97847472461337903</v>
      </c>
      <c r="F174" s="22">
        <v>1.0936938978187465</v>
      </c>
    </row>
    <row r="175" spans="2:6">
      <c r="B175" s="25">
        <v>122</v>
      </c>
      <c r="C175" s="22">
        <v>21.6</v>
      </c>
      <c r="D175" s="22">
        <v>21.949999999999996</v>
      </c>
      <c r="E175" s="22">
        <v>0.93707248862945713</v>
      </c>
      <c r="F175" s="22">
        <v>1.0501371896459482</v>
      </c>
    </row>
    <row r="176" spans="2:6">
      <c r="B176" s="25">
        <v>123</v>
      </c>
      <c r="C176" s="22">
        <v>22.5</v>
      </c>
      <c r="D176" s="22">
        <v>22.237500000000001</v>
      </c>
      <c r="E176" s="22">
        <v>0.93828400589420857</v>
      </c>
      <c r="F176" s="22">
        <v>1.0783562099850468</v>
      </c>
    </row>
    <row r="177" spans="2:6">
      <c r="B177" s="25">
        <v>124</v>
      </c>
      <c r="C177" s="22">
        <v>23.2</v>
      </c>
      <c r="D177" s="22">
        <v>22.541666666666668</v>
      </c>
      <c r="E177" s="22">
        <v>0.97380411394316235</v>
      </c>
      <c r="F177" s="22">
        <v>1.0568913818131709</v>
      </c>
    </row>
    <row r="178" spans="2:6">
      <c r="B178" s="25">
        <v>125</v>
      </c>
      <c r="C178" s="22">
        <v>23.5</v>
      </c>
      <c r="D178" s="22">
        <v>22.824999999999999</v>
      </c>
      <c r="E178" s="22">
        <v>1.0275566848532147</v>
      </c>
      <c r="F178" s="22">
        <v>1.0019620834336995</v>
      </c>
    </row>
    <row r="179" spans="2:6">
      <c r="B179" s="25">
        <v>126</v>
      </c>
      <c r="C179" s="22">
        <v>24.3</v>
      </c>
      <c r="D179" s="22">
        <v>23.104166666666664</v>
      </c>
      <c r="E179" s="22">
        <v>1.0343086104143013</v>
      </c>
      <c r="F179" s="22">
        <v>1.0168709128567726</v>
      </c>
    </row>
    <row r="180" spans="2:6">
      <c r="B180" s="25">
        <v>127</v>
      </c>
      <c r="C180" s="22">
        <v>23.6</v>
      </c>
      <c r="D180" s="22">
        <v>23.258333333333333</v>
      </c>
      <c r="E180" s="22">
        <v>1.0132461694027695</v>
      </c>
      <c r="F180" s="22">
        <v>1.001425029654867</v>
      </c>
    </row>
    <row r="181" spans="2:6">
      <c r="B181" s="25">
        <v>128</v>
      </c>
      <c r="C181" s="22">
        <v>24.4</v>
      </c>
      <c r="D181" s="22">
        <v>23.304166666666664</v>
      </c>
      <c r="E181" s="22">
        <v>1.0550552330203224</v>
      </c>
      <c r="F181" s="22">
        <v>0.99238696873493371</v>
      </c>
    </row>
    <row r="182" spans="2:6">
      <c r="B182" s="25">
        <v>129</v>
      </c>
      <c r="C182" s="22">
        <v>23.5</v>
      </c>
      <c r="D182" s="22">
        <v>23.299999999999997</v>
      </c>
      <c r="E182" s="22">
        <v>1.0182550004741353</v>
      </c>
      <c r="F182" s="22">
        <v>0.99050207513588695</v>
      </c>
    </row>
    <row r="183" spans="2:6">
      <c r="B183" s="25">
        <v>130</v>
      </c>
      <c r="C183" s="22">
        <v>23.4</v>
      </c>
      <c r="D183" s="22">
        <v>23.249999999999996</v>
      </c>
      <c r="E183" s="22">
        <v>1.0241404826497529</v>
      </c>
      <c r="F183" s="22">
        <v>0.98272808267400902</v>
      </c>
    </row>
    <row r="184" spans="2:6">
      <c r="B184" s="25">
        <v>131</v>
      </c>
      <c r="C184" s="22">
        <v>22.9</v>
      </c>
      <c r="D184" s="22">
        <v>23.266666666666669</v>
      </c>
      <c r="E184" s="22">
        <v>1.0135208239044666</v>
      </c>
      <c r="F184" s="22">
        <v>0.97111047396876804</v>
      </c>
    </row>
    <row r="185" spans="2:6">
      <c r="B185" s="25">
        <v>132</v>
      </c>
      <c r="C185" s="22">
        <v>22.9</v>
      </c>
      <c r="D185" s="22">
        <v>23.295833333333334</v>
      </c>
      <c r="E185" s="22">
        <v>0.96739601113764628</v>
      </c>
      <c r="F185" s="22">
        <v>1.0161385772217209</v>
      </c>
    </row>
    <row r="186" spans="2:6">
      <c r="B186" s="25">
        <v>133</v>
      </c>
      <c r="C186" s="22">
        <v>23.4</v>
      </c>
      <c r="D186" s="22">
        <v>23.283333333333328</v>
      </c>
      <c r="E186" s="22">
        <v>0.97847472461337903</v>
      </c>
      <c r="F186" s="22">
        <v>1.0271197732688579</v>
      </c>
    </row>
    <row r="187" spans="2:6">
      <c r="B187" s="25">
        <v>134</v>
      </c>
      <c r="C187" s="22">
        <v>22.5</v>
      </c>
      <c r="D187" s="22">
        <v>23.291666666666664</v>
      </c>
      <c r="E187" s="22">
        <v>0.93707248862945713</v>
      </c>
      <c r="F187" s="22">
        <v>1.0308815435030658</v>
      </c>
    </row>
    <row r="188" spans="2:6">
      <c r="B188" s="25">
        <v>135</v>
      </c>
      <c r="C188" s="22">
        <v>21.5</v>
      </c>
      <c r="D188" s="22">
        <v>23.295833333333331</v>
      </c>
      <c r="E188" s="22">
        <v>0.93828400589420857</v>
      </c>
      <c r="F188" s="22">
        <v>0.9836167053625009</v>
      </c>
    </row>
    <row r="189" spans="2:6">
      <c r="B189" s="25">
        <v>136</v>
      </c>
      <c r="C189" s="22">
        <v>23</v>
      </c>
      <c r="D189" s="22">
        <v>23.295833333333331</v>
      </c>
      <c r="E189" s="22">
        <v>0.97380411394316235</v>
      </c>
      <c r="F189" s="22">
        <v>1.0138599800095356</v>
      </c>
    </row>
    <row r="190" spans="2:6">
      <c r="B190" s="25">
        <v>137</v>
      </c>
      <c r="C190" s="22">
        <v>24.1</v>
      </c>
      <c r="D190" s="22">
        <v>23.345833333333331</v>
      </c>
      <c r="E190" s="22">
        <v>1.0275566848532147</v>
      </c>
      <c r="F190" s="22">
        <v>1.0046201226736462</v>
      </c>
    </row>
    <row r="191" spans="2:6">
      <c r="B191" s="25">
        <v>138</v>
      </c>
      <c r="C191" s="22">
        <v>24.4</v>
      </c>
      <c r="D191" s="22">
        <v>23.354166666666668</v>
      </c>
      <c r="E191" s="22">
        <v>1.0343086104143013</v>
      </c>
      <c r="F191" s="22">
        <v>1.0101254447836154</v>
      </c>
    </row>
    <row r="192" spans="2:6">
      <c r="B192" s="25">
        <v>139</v>
      </c>
      <c r="C192" s="22">
        <v>23.2</v>
      </c>
      <c r="D192" s="22">
        <v>23.295833333333334</v>
      </c>
      <c r="E192" s="22">
        <v>1.0132461694027695</v>
      </c>
      <c r="F192" s="22">
        <v>0.9828670226694266</v>
      </c>
    </row>
    <row r="193" spans="2:6">
      <c r="B193" s="25">
        <v>140</v>
      </c>
      <c r="C193" s="22">
        <v>25</v>
      </c>
      <c r="D193" s="22">
        <v>23.237500000000001</v>
      </c>
      <c r="E193" s="22">
        <v>1.0550552330203224</v>
      </c>
      <c r="F193" s="22">
        <v>1.019707021985512</v>
      </c>
    </row>
    <row r="194" spans="2:6">
      <c r="B194" s="25">
        <v>141</v>
      </c>
      <c r="C194" s="22">
        <v>23</v>
      </c>
      <c r="D194" s="22">
        <v>23.270833333333332</v>
      </c>
      <c r="E194" s="22">
        <v>1.0182550004741353</v>
      </c>
      <c r="F194" s="22">
        <v>0.97064260192138685</v>
      </c>
    </row>
    <row r="195" spans="2:6">
      <c r="B195" s="25">
        <v>142</v>
      </c>
      <c r="C195" s="22">
        <v>23.9</v>
      </c>
      <c r="D195" s="22">
        <v>23.216666666666665</v>
      </c>
      <c r="E195" s="22">
        <v>1.0241404826497529</v>
      </c>
      <c r="F195" s="22">
        <v>1.0051676465475361</v>
      </c>
    </row>
    <row r="196" spans="2:6">
      <c r="B196" s="25">
        <v>143</v>
      </c>
      <c r="C196" s="22">
        <v>23.6</v>
      </c>
      <c r="D196" s="22">
        <v>23.166666666666664</v>
      </c>
      <c r="E196" s="22">
        <v>1.0135208239044666</v>
      </c>
      <c r="F196" s="22">
        <v>1.0051150523447412</v>
      </c>
    </row>
    <row r="197" spans="2:6">
      <c r="B197" s="25">
        <v>144</v>
      </c>
      <c r="C197" s="22">
        <v>22.4</v>
      </c>
      <c r="D197" s="22">
        <v>23.104166666666664</v>
      </c>
      <c r="E197" s="22">
        <v>0.96739601113764628</v>
      </c>
      <c r="F197" s="22">
        <v>1.0021977357903362</v>
      </c>
    </row>
    <row r="198" spans="2:6">
      <c r="B198" s="25">
        <v>145</v>
      </c>
      <c r="C198" s="22">
        <v>22.5</v>
      </c>
      <c r="D198" s="22">
        <v>23.045833333333334</v>
      </c>
      <c r="E198" s="22">
        <v>0.97847472461337903</v>
      </c>
      <c r="F198" s="22">
        <v>0.99779308461162552</v>
      </c>
    </row>
    <row r="199" spans="2:6">
      <c r="B199" s="25">
        <v>146</v>
      </c>
      <c r="C199" s="22">
        <v>22</v>
      </c>
      <c r="D199" s="22">
        <v>23.158333333333335</v>
      </c>
      <c r="E199" s="22">
        <v>0.93707248862945713</v>
      </c>
      <c r="F199" s="22">
        <v>1.01377643612816</v>
      </c>
    </row>
    <row r="200" spans="2:6">
      <c r="B200" s="25">
        <v>147</v>
      </c>
      <c r="C200" s="22">
        <v>22.8</v>
      </c>
      <c r="D200" s="22">
        <v>23.133333333333333</v>
      </c>
      <c r="E200" s="22">
        <v>0.93828400589420857</v>
      </c>
      <c r="F200" s="22">
        <v>1.0504183934785178</v>
      </c>
    </row>
    <row r="201" spans="2:6">
      <c r="B201" s="25">
        <v>148</v>
      </c>
      <c r="C201" s="22">
        <v>20.399999999999999</v>
      </c>
      <c r="D201" s="22">
        <v>23.05</v>
      </c>
      <c r="E201" s="22">
        <v>0.97380411394316235</v>
      </c>
      <c r="F201" s="22">
        <v>0.90884041799458926</v>
      </c>
    </row>
    <row r="202" spans="2:6">
      <c r="B202" s="25">
        <v>149</v>
      </c>
      <c r="C202" s="22">
        <v>25.5</v>
      </c>
      <c r="D202" s="22">
        <v>23.037499999999998</v>
      </c>
      <c r="E202" s="22">
        <v>1.0275566848532147</v>
      </c>
      <c r="F202" s="22">
        <v>1.0772066933174025</v>
      </c>
    </row>
    <row r="203" spans="2:6">
      <c r="B203" s="25">
        <v>150</v>
      </c>
      <c r="C203" s="22">
        <v>21.5</v>
      </c>
      <c r="D203" s="22">
        <v>23.033333333333331</v>
      </c>
      <c r="E203" s="22">
        <v>1.0343086104143013</v>
      </c>
      <c r="F203" s="22">
        <v>0.90246740911589851</v>
      </c>
    </row>
    <row r="204" spans="2:6">
      <c r="B204" s="25">
        <v>151</v>
      </c>
      <c r="C204" s="22">
        <v>24.7</v>
      </c>
      <c r="D204" s="22"/>
      <c r="E204" s="22"/>
      <c r="F204" s="22"/>
    </row>
    <row r="205" spans="2:6">
      <c r="B205" s="25">
        <v>152</v>
      </c>
      <c r="C205" s="22">
        <v>26.2</v>
      </c>
      <c r="D205" s="22"/>
      <c r="E205" s="22"/>
      <c r="F205" s="22"/>
    </row>
    <row r="206" spans="2:6">
      <c r="B206" s="25">
        <v>153</v>
      </c>
      <c r="C206" s="22">
        <v>21.2</v>
      </c>
      <c r="D206" s="22"/>
      <c r="E206" s="22"/>
      <c r="F206" s="22"/>
    </row>
    <row r="207" spans="2:6">
      <c r="B207" s="25">
        <v>154</v>
      </c>
      <c r="C207" s="22">
        <v>23.7</v>
      </c>
      <c r="D207" s="22"/>
      <c r="E207" s="22"/>
      <c r="F207" s="22"/>
    </row>
    <row r="208" spans="2:6">
      <c r="B208" s="10">
        <v>155</v>
      </c>
      <c r="C208" s="22">
        <v>23.5</v>
      </c>
      <c r="D208" s="22"/>
      <c r="E208" s="22"/>
      <c r="F208" s="22"/>
    </row>
    <row r="209" spans="2:6" ht="16" thickBot="1">
      <c r="B209" s="19">
        <v>156</v>
      </c>
      <c r="C209" s="21">
        <v>22.4</v>
      </c>
      <c r="D209" s="21"/>
      <c r="E209" s="21"/>
      <c r="F209" s="21"/>
    </row>
    <row r="228" spans="7:7">
      <c r="G228" t="s">
        <v>219</v>
      </c>
    </row>
    <row r="247" spans="7:7">
      <c r="G247" t="s">
        <v>219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DD851179">
              <controlPr defaultSize="0" autoFill="0" autoPict="0" macro="[0]!GoToResultsNew101320187265790">
                <anchor moveWithCells="1">
                  <from>
                    <xdr:col>0</xdr:col>
                    <xdr:colOff>330200</xdr:colOff>
                    <xdr:row>3</xdr:row>
                    <xdr:rowOff>0</xdr:rowOff>
                  </from>
                  <to>
                    <xdr:col>4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rgb="FF007800"/>
  </sheetPr>
  <dimension ref="A1:A157"/>
  <sheetViews>
    <sheetView workbookViewId="0"/>
  </sheetViews>
  <sheetFormatPr baseColWidth="10" defaultColWidth="8.83203125" defaultRowHeight="15"/>
  <sheetData>
    <row r="1" spans="1:1">
      <c r="A1" s="12" t="s">
        <v>5</v>
      </c>
    </row>
    <row r="2" spans="1:1">
      <c r="A2" s="20">
        <v>53.1</v>
      </c>
    </row>
    <row r="3" spans="1:1">
      <c r="A3" s="22">
        <v>50.8</v>
      </c>
    </row>
    <row r="4" spans="1:1">
      <c r="A4" s="22">
        <v>50.1</v>
      </c>
    </row>
    <row r="5" spans="1:1">
      <c r="A5" s="22">
        <v>51.8</v>
      </c>
    </row>
    <row r="6" spans="1:1">
      <c r="A6" s="22">
        <v>53.9</v>
      </c>
    </row>
    <row r="7" spans="1:1">
      <c r="A7" s="22">
        <v>54.2</v>
      </c>
    </row>
    <row r="8" spans="1:1">
      <c r="A8" s="22">
        <v>50.2</v>
      </c>
    </row>
    <row r="9" spans="1:1">
      <c r="A9" s="22">
        <v>53.4</v>
      </c>
    </row>
    <row r="10" spans="1:1">
      <c r="A10" s="22">
        <v>50.7</v>
      </c>
    </row>
    <row r="11" spans="1:1">
      <c r="A11" s="22">
        <v>48.4</v>
      </c>
    </row>
    <row r="12" spans="1:1">
      <c r="A12" s="22">
        <v>50.9</v>
      </c>
    </row>
    <row r="13" spans="1:1">
      <c r="A13" s="22">
        <v>44.7</v>
      </c>
    </row>
    <row r="14" spans="1:1">
      <c r="A14" s="22">
        <v>46</v>
      </c>
    </row>
    <row r="15" spans="1:1">
      <c r="A15" s="22">
        <v>44.7</v>
      </c>
    </row>
    <row r="16" spans="1:1">
      <c r="A16" s="22">
        <v>44.7</v>
      </c>
    </row>
    <row r="17" spans="1:1">
      <c r="A17" s="22">
        <v>45.2</v>
      </c>
    </row>
    <row r="18" spans="1:1">
      <c r="A18" s="22">
        <v>47.7</v>
      </c>
    </row>
    <row r="19" spans="1:1">
      <c r="A19" s="22">
        <v>46.8</v>
      </c>
    </row>
    <row r="20" spans="1:1">
      <c r="A20" s="22">
        <v>43.3</v>
      </c>
    </row>
    <row r="21" spans="1:1">
      <c r="A21" s="22">
        <v>49.1</v>
      </c>
    </row>
    <row r="22" spans="1:1">
      <c r="A22" s="22">
        <v>45.2</v>
      </c>
    </row>
    <row r="23" spans="1:1">
      <c r="A23" s="22">
        <v>45.2</v>
      </c>
    </row>
    <row r="24" spans="1:1">
      <c r="A24" s="22">
        <v>46.5</v>
      </c>
    </row>
    <row r="25" spans="1:1">
      <c r="A25" s="22">
        <v>41.7</v>
      </c>
    </row>
    <row r="26" spans="1:1">
      <c r="A26" s="22">
        <v>44.7</v>
      </c>
    </row>
    <row r="27" spans="1:1">
      <c r="A27" s="22">
        <v>39.1</v>
      </c>
    </row>
    <row r="28" spans="1:1">
      <c r="A28" s="22">
        <v>41.3</v>
      </c>
    </row>
    <row r="29" spans="1:1">
      <c r="A29" s="22">
        <v>40</v>
      </c>
    </row>
    <row r="30" spans="1:1">
      <c r="A30" s="22">
        <v>44.9</v>
      </c>
    </row>
    <row r="31" spans="1:1">
      <c r="A31" s="22">
        <v>40.9</v>
      </c>
    </row>
    <row r="32" spans="1:1">
      <c r="A32" s="22">
        <v>44.3</v>
      </c>
    </row>
    <row r="33" spans="1:1">
      <c r="A33" s="22">
        <v>44.4</v>
      </c>
    </row>
    <row r="34" spans="1:1">
      <c r="A34" s="22">
        <v>40.700000000000003</v>
      </c>
    </row>
    <row r="35" spans="1:1">
      <c r="A35" s="22">
        <v>41.9</v>
      </c>
    </row>
    <row r="36" spans="1:1">
      <c r="A36" s="22">
        <v>41.7</v>
      </c>
    </row>
    <row r="37" spans="1:1">
      <c r="A37" s="22">
        <v>37.700000000000003</v>
      </c>
    </row>
    <row r="38" spans="1:1">
      <c r="A38" s="22">
        <v>39.700000000000003</v>
      </c>
    </row>
    <row r="39" spans="1:1">
      <c r="A39" s="22">
        <v>36.1</v>
      </c>
    </row>
    <row r="40" spans="1:1">
      <c r="A40" s="22">
        <v>33.1</v>
      </c>
    </row>
    <row r="41" spans="1:1">
      <c r="A41" s="22">
        <v>37.200000000000003</v>
      </c>
    </row>
    <row r="42" spans="1:1">
      <c r="A42" s="22">
        <v>36.9</v>
      </c>
    </row>
    <row r="43" spans="1:1">
      <c r="A43" s="22">
        <v>38.1</v>
      </c>
    </row>
    <row r="44" spans="1:1">
      <c r="A44" s="22">
        <v>37.6</v>
      </c>
    </row>
    <row r="45" spans="1:1">
      <c r="A45" s="22">
        <v>38.4</v>
      </c>
    </row>
    <row r="46" spans="1:1">
      <c r="A46" s="22">
        <v>41.8</v>
      </c>
    </row>
    <row r="47" spans="1:1">
      <c r="A47" s="22">
        <v>44.7</v>
      </c>
    </row>
    <row r="48" spans="1:1">
      <c r="A48" s="22">
        <v>37.5</v>
      </c>
    </row>
    <row r="49" spans="1:1">
      <c r="A49" s="22">
        <v>36.5</v>
      </c>
    </row>
    <row r="50" spans="1:1">
      <c r="A50" s="22">
        <v>33.200000000000003</v>
      </c>
    </row>
    <row r="51" spans="1:1">
      <c r="A51" s="22">
        <v>34</v>
      </c>
    </row>
    <row r="52" spans="1:1">
      <c r="A52" s="22">
        <v>32.799999999999997</v>
      </c>
    </row>
    <row r="53" spans="1:1">
      <c r="A53" s="22">
        <v>34.4</v>
      </c>
    </row>
    <row r="54" spans="1:1">
      <c r="A54" s="22">
        <v>34.700000000000003</v>
      </c>
    </row>
    <row r="55" spans="1:1">
      <c r="A55" s="22">
        <v>37</v>
      </c>
    </row>
    <row r="56" spans="1:1">
      <c r="A56" s="22">
        <v>35.6</v>
      </c>
    </row>
    <row r="57" spans="1:1">
      <c r="A57" s="22">
        <v>35</v>
      </c>
    </row>
    <row r="58" spans="1:1">
      <c r="A58" s="22">
        <v>35.4</v>
      </c>
    </row>
    <row r="59" spans="1:1">
      <c r="A59" s="22">
        <v>35.700000000000003</v>
      </c>
    </row>
    <row r="60" spans="1:1">
      <c r="A60" s="22">
        <v>32.799999999999997</v>
      </c>
    </row>
    <row r="61" spans="1:1">
      <c r="A61" s="22">
        <v>33.5</v>
      </c>
    </row>
    <row r="62" spans="1:1">
      <c r="A62" s="22">
        <v>30.9</v>
      </c>
    </row>
    <row r="63" spans="1:1">
      <c r="A63" s="22">
        <v>31</v>
      </c>
    </row>
    <row r="64" spans="1:1">
      <c r="A64" s="22">
        <v>33.200000000000003</v>
      </c>
    </row>
    <row r="65" spans="1:1">
      <c r="A65" s="22">
        <v>32.4</v>
      </c>
    </row>
    <row r="66" spans="1:1">
      <c r="A66" s="22">
        <v>32.1</v>
      </c>
    </row>
    <row r="67" spans="1:1">
      <c r="A67" s="22">
        <v>34.799999999999997</v>
      </c>
    </row>
    <row r="68" spans="1:1">
      <c r="A68" s="22">
        <v>31.7</v>
      </c>
    </row>
    <row r="69" spans="1:1">
      <c r="A69" s="22">
        <v>32.299999999999997</v>
      </c>
    </row>
    <row r="70" spans="1:1">
      <c r="A70" s="22">
        <v>31.6</v>
      </c>
    </row>
    <row r="71" spans="1:1">
      <c r="A71" s="22">
        <v>31.3</v>
      </c>
    </row>
    <row r="72" spans="1:1">
      <c r="A72" s="22">
        <v>31.7</v>
      </c>
    </row>
    <row r="73" spans="1:1">
      <c r="A73" s="22">
        <v>31.8</v>
      </c>
    </row>
    <row r="74" spans="1:1">
      <c r="A74" s="22">
        <v>29.3</v>
      </c>
    </row>
    <row r="75" spans="1:1">
      <c r="A75" s="22">
        <v>27.9</v>
      </c>
    </row>
    <row r="76" spans="1:1">
      <c r="A76" s="22">
        <v>28</v>
      </c>
    </row>
    <row r="77" spans="1:1">
      <c r="A77" s="22">
        <v>28.7</v>
      </c>
    </row>
    <row r="78" spans="1:1">
      <c r="A78" s="22">
        <v>30.5</v>
      </c>
    </row>
    <row r="79" spans="1:1">
      <c r="A79" s="22">
        <v>31.3</v>
      </c>
    </row>
    <row r="80" spans="1:1">
      <c r="A80" s="22">
        <v>29.2</v>
      </c>
    </row>
    <row r="81" spans="1:1">
      <c r="A81" s="22">
        <v>30.9</v>
      </c>
    </row>
    <row r="82" spans="1:1">
      <c r="A82" s="22">
        <v>29.1</v>
      </c>
    </row>
    <row r="83" spans="1:1">
      <c r="A83" s="22">
        <v>27.6</v>
      </c>
    </row>
    <row r="84" spans="1:1">
      <c r="A84" s="22">
        <v>28.3</v>
      </c>
    </row>
    <row r="85" spans="1:1">
      <c r="A85" s="22">
        <v>25.8</v>
      </c>
    </row>
    <row r="86" spans="1:1">
      <c r="A86" s="22">
        <v>25.3</v>
      </c>
    </row>
    <row r="87" spans="1:1">
      <c r="A87" s="22">
        <v>25.6</v>
      </c>
    </row>
    <row r="88" spans="1:1">
      <c r="A88" s="22">
        <v>24.1</v>
      </c>
    </row>
    <row r="89" spans="1:1">
      <c r="A89" s="22">
        <v>25.8</v>
      </c>
    </row>
    <row r="90" spans="1:1">
      <c r="A90" s="22">
        <v>26.2</v>
      </c>
    </row>
    <row r="91" spans="1:1">
      <c r="A91" s="22">
        <v>26.6</v>
      </c>
    </row>
    <row r="92" spans="1:1">
      <c r="A92" s="22">
        <v>26</v>
      </c>
    </row>
    <row r="93" spans="1:1">
      <c r="A93" s="22">
        <v>26.6</v>
      </c>
    </row>
    <row r="94" spans="1:1">
      <c r="A94" s="22">
        <v>25.3</v>
      </c>
    </row>
    <row r="95" spans="1:1">
      <c r="A95" s="22">
        <v>24.9</v>
      </c>
    </row>
    <row r="96" spans="1:1">
      <c r="A96" s="22">
        <v>24.8</v>
      </c>
    </row>
    <row r="97" spans="1:1">
      <c r="A97" s="22">
        <v>22.9</v>
      </c>
    </row>
    <row r="98" spans="1:1">
      <c r="A98" s="22">
        <v>23.2</v>
      </c>
    </row>
    <row r="99" spans="1:1">
      <c r="A99" s="22">
        <v>20.8</v>
      </c>
    </row>
    <row r="100" spans="1:1">
      <c r="A100" s="22">
        <v>20.7</v>
      </c>
    </row>
    <row r="101" spans="1:1">
      <c r="A101" s="22">
        <v>22.4</v>
      </c>
    </row>
    <row r="102" spans="1:1">
      <c r="A102" s="22">
        <v>23</v>
      </c>
    </row>
    <row r="103" spans="1:1">
      <c r="A103" s="22">
        <v>23.4</v>
      </c>
    </row>
    <row r="104" spans="1:1">
      <c r="A104" s="22">
        <v>23.1</v>
      </c>
    </row>
    <row r="105" spans="1:1">
      <c r="A105" s="22">
        <v>22.6</v>
      </c>
    </row>
    <row r="106" spans="1:1">
      <c r="A106" s="22">
        <v>21.6</v>
      </c>
    </row>
    <row r="107" spans="1:1">
      <c r="A107" s="22">
        <v>21.1</v>
      </c>
    </row>
    <row r="108" spans="1:1">
      <c r="A108" s="22">
        <v>21.3</v>
      </c>
    </row>
    <row r="109" spans="1:1">
      <c r="A109" s="22">
        <v>20.3</v>
      </c>
    </row>
    <row r="110" spans="1:1">
      <c r="A110" s="22">
        <v>19.7</v>
      </c>
    </row>
    <row r="111" spans="1:1">
      <c r="A111" s="22">
        <v>18.5</v>
      </c>
    </row>
    <row r="112" spans="1:1">
      <c r="A112" s="22">
        <v>17.899999999999999</v>
      </c>
    </row>
    <row r="113" spans="1:1">
      <c r="A113" s="22">
        <v>19.899999999999999</v>
      </c>
    </row>
    <row r="114" spans="1:1">
      <c r="A114" s="22">
        <v>20.6</v>
      </c>
    </row>
    <row r="115" spans="1:1">
      <c r="A115" s="22">
        <v>20.9</v>
      </c>
    </row>
    <row r="116" spans="1:1">
      <c r="A116" s="22">
        <v>20.3</v>
      </c>
    </row>
    <row r="117" spans="1:1">
      <c r="A117" s="22">
        <v>21.2</v>
      </c>
    </row>
    <row r="118" spans="1:1">
      <c r="A118" s="22">
        <v>19.8</v>
      </c>
    </row>
    <row r="119" spans="1:1">
      <c r="A119" s="22">
        <v>19.8</v>
      </c>
    </row>
    <row r="120" spans="1:1">
      <c r="A120" s="22">
        <v>19.7</v>
      </c>
    </row>
    <row r="121" spans="1:1">
      <c r="A121" s="22">
        <v>19.399999999999999</v>
      </c>
    </row>
    <row r="122" spans="1:1">
      <c r="A122" s="22">
        <v>23.2</v>
      </c>
    </row>
    <row r="123" spans="1:1">
      <c r="A123" s="22">
        <v>21.6</v>
      </c>
    </row>
    <row r="124" spans="1:1">
      <c r="A124" s="22">
        <v>22.5</v>
      </c>
    </row>
    <row r="125" spans="1:1">
      <c r="A125" s="22">
        <v>23.2</v>
      </c>
    </row>
    <row r="126" spans="1:1">
      <c r="A126" s="22">
        <v>23.5</v>
      </c>
    </row>
    <row r="127" spans="1:1">
      <c r="A127" s="22">
        <v>24.3</v>
      </c>
    </row>
    <row r="128" spans="1:1">
      <c r="A128" s="22">
        <v>23.6</v>
      </c>
    </row>
    <row r="129" spans="1:1">
      <c r="A129" s="22">
        <v>24.4</v>
      </c>
    </row>
    <row r="130" spans="1:1">
      <c r="A130" s="22">
        <v>23.5</v>
      </c>
    </row>
    <row r="131" spans="1:1">
      <c r="A131" s="22">
        <v>23.4</v>
      </c>
    </row>
    <row r="132" spans="1:1">
      <c r="A132" s="22">
        <v>22.9</v>
      </c>
    </row>
    <row r="133" spans="1:1">
      <c r="A133" s="22">
        <v>22.9</v>
      </c>
    </row>
    <row r="134" spans="1:1">
      <c r="A134" s="22">
        <v>23.4</v>
      </c>
    </row>
    <row r="135" spans="1:1">
      <c r="A135" s="22">
        <v>22.5</v>
      </c>
    </row>
    <row r="136" spans="1:1">
      <c r="A136" s="22">
        <v>21.5</v>
      </c>
    </row>
    <row r="137" spans="1:1">
      <c r="A137" s="22">
        <v>23</v>
      </c>
    </row>
    <row r="138" spans="1:1">
      <c r="A138" s="22">
        <v>24.1</v>
      </c>
    </row>
    <row r="139" spans="1:1">
      <c r="A139" s="22">
        <v>24.4</v>
      </c>
    </row>
    <row r="140" spans="1:1">
      <c r="A140" s="22">
        <v>23.2</v>
      </c>
    </row>
    <row r="141" spans="1:1">
      <c r="A141" s="22">
        <v>25</v>
      </c>
    </row>
    <row r="142" spans="1:1">
      <c r="A142" s="22">
        <v>23</v>
      </c>
    </row>
    <row r="143" spans="1:1">
      <c r="A143" s="22">
        <v>23.9</v>
      </c>
    </row>
    <row r="144" spans="1:1">
      <c r="A144" s="22">
        <v>23.6</v>
      </c>
    </row>
    <row r="145" spans="1:1">
      <c r="A145" s="22">
        <v>22.4</v>
      </c>
    </row>
    <row r="146" spans="1:1">
      <c r="A146" s="22">
        <v>22.5</v>
      </c>
    </row>
    <row r="147" spans="1:1">
      <c r="A147" s="22">
        <v>22</v>
      </c>
    </row>
    <row r="148" spans="1:1">
      <c r="A148" s="22">
        <v>22.8</v>
      </c>
    </row>
    <row r="149" spans="1:1">
      <c r="A149" s="22">
        <v>20.399999999999999</v>
      </c>
    </row>
    <row r="150" spans="1:1">
      <c r="A150" s="22">
        <v>25.5</v>
      </c>
    </row>
    <row r="151" spans="1:1">
      <c r="A151" s="22">
        <v>21.5</v>
      </c>
    </row>
    <row r="152" spans="1:1">
      <c r="A152" s="22">
        <v>24.7</v>
      </c>
    </row>
    <row r="153" spans="1:1">
      <c r="A153" s="22">
        <v>26.2</v>
      </c>
    </row>
    <row r="154" spans="1:1">
      <c r="A154" s="22">
        <v>21.2</v>
      </c>
    </row>
    <row r="155" spans="1:1">
      <c r="A155" s="22">
        <v>23.7</v>
      </c>
    </row>
    <row r="156" spans="1:1">
      <c r="A156" s="22">
        <v>23.5</v>
      </c>
    </row>
    <row r="157" spans="1:1" ht="16" thickBot="1">
      <c r="A157" s="21">
        <v>22.4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007800"/>
  </sheetPr>
  <dimension ref="B1:I31"/>
  <sheetViews>
    <sheetView zoomScaleNormal="100" workbookViewId="0"/>
  </sheetViews>
  <sheetFormatPr baseColWidth="10" defaultColWidth="8.83203125" defaultRowHeight="15"/>
  <cols>
    <col min="1" max="1" width="5" customWidth="1"/>
  </cols>
  <sheetData>
    <row r="1" spans="2:9">
      <c r="B1" t="s">
        <v>289</v>
      </c>
    </row>
    <row r="2" spans="2:9">
      <c r="B2" t="s">
        <v>286</v>
      </c>
    </row>
    <row r="3" spans="2:9" ht="34.25" customHeight="1"/>
    <row r="4" spans="2:9" ht="16.25" customHeight="1"/>
    <row r="7" spans="2:9">
      <c r="B7" t="s">
        <v>180</v>
      </c>
    </row>
    <row r="8" spans="2:9" ht="16" thickBot="1"/>
    <row r="9" spans="2:9">
      <c r="B9" s="11" t="s">
        <v>181</v>
      </c>
      <c r="C9" s="12" t="s">
        <v>182</v>
      </c>
      <c r="D9" s="12" t="s">
        <v>183</v>
      </c>
      <c r="E9" s="12" t="s">
        <v>184</v>
      </c>
      <c r="F9" s="12" t="s">
        <v>185</v>
      </c>
      <c r="G9" s="12" t="s">
        <v>186</v>
      </c>
      <c r="H9" s="12" t="s">
        <v>187</v>
      </c>
      <c r="I9" s="12" t="s">
        <v>188</v>
      </c>
    </row>
    <row r="10" spans="2:9" ht="16" thickBot="1">
      <c r="B10" s="14" t="s">
        <v>5</v>
      </c>
      <c r="C10" s="15">
        <v>156</v>
      </c>
      <c r="D10" s="15">
        <v>0</v>
      </c>
      <c r="E10" s="15">
        <v>156</v>
      </c>
      <c r="F10" s="16">
        <v>17.899999999999999</v>
      </c>
      <c r="G10" s="16">
        <v>54.2</v>
      </c>
      <c r="H10" s="16">
        <v>31.433974358974371</v>
      </c>
      <c r="I10" s="16">
        <v>9.8384990777335712</v>
      </c>
    </row>
    <row r="13" spans="2:9">
      <c r="B13" t="s">
        <v>288</v>
      </c>
    </row>
    <row r="31" spans="7:7">
      <c r="G31" t="s">
        <v>219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D291762">
              <controlPr defaultSize="0" autoFill="0" autoPict="0" macro="[0]!GoToResultsNew101320187292520">
                <anchor moveWithCells="1">
                  <from>
                    <xdr:col>0</xdr:col>
                    <xdr:colOff>330200</xdr:colOff>
                    <xdr:row>3</xdr:row>
                    <xdr:rowOff>0</xdr:rowOff>
                  </from>
                  <to>
                    <xdr:col>2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tabColor rgb="FF007800"/>
  </sheetPr>
  <dimension ref="B1:J45"/>
  <sheetViews>
    <sheetView zoomScaleNormal="100" workbookViewId="0">
      <selection activeCell="J21" sqref="J21"/>
    </sheetView>
  </sheetViews>
  <sheetFormatPr baseColWidth="10" defaultColWidth="8.83203125" defaultRowHeight="15"/>
  <cols>
    <col min="1" max="1" width="5" customWidth="1"/>
    <col min="2" max="2" width="9.1640625" customWidth="1"/>
  </cols>
  <sheetData>
    <row r="1" spans="2:9">
      <c r="B1" t="s">
        <v>259</v>
      </c>
    </row>
    <row r="2" spans="2:9">
      <c r="B2" t="s">
        <v>248</v>
      </c>
    </row>
    <row r="3" spans="2:9">
      <c r="B3" t="s">
        <v>249</v>
      </c>
    </row>
    <row r="4" spans="2:9">
      <c r="B4" t="s">
        <v>250</v>
      </c>
    </row>
    <row r="5" spans="2:9" ht="34.25" customHeight="1"/>
    <row r="6" spans="2:9" ht="16.25" customHeight="1"/>
    <row r="9" spans="2:9">
      <c r="B9" t="s">
        <v>180</v>
      </c>
    </row>
    <row r="10" spans="2:9" ht="16" thickBot="1"/>
    <row r="11" spans="2:9">
      <c r="B11" s="11" t="s">
        <v>181</v>
      </c>
      <c r="C11" s="12" t="s">
        <v>182</v>
      </c>
      <c r="D11" s="12" t="s">
        <v>183</v>
      </c>
      <c r="E11" s="12" t="s">
        <v>184</v>
      </c>
      <c r="F11" s="12" t="s">
        <v>185</v>
      </c>
      <c r="G11" s="12" t="s">
        <v>186</v>
      </c>
      <c r="H11" s="12" t="s">
        <v>187</v>
      </c>
      <c r="I11" s="12" t="s">
        <v>188</v>
      </c>
    </row>
    <row r="12" spans="2:9" ht="16" thickBot="1">
      <c r="B12" s="14" t="s">
        <v>5</v>
      </c>
      <c r="C12" s="15">
        <v>156</v>
      </c>
      <c r="D12" s="15">
        <v>0</v>
      </c>
      <c r="E12" s="15">
        <v>156</v>
      </c>
      <c r="F12" s="16">
        <v>17.899999999999999</v>
      </c>
      <c r="G12" s="16">
        <v>54.2</v>
      </c>
      <c r="H12" s="16">
        <v>31.433974358974371</v>
      </c>
      <c r="I12" s="16">
        <v>9.8384990777335712</v>
      </c>
    </row>
    <row r="15" spans="2:9">
      <c r="B15" t="s">
        <v>251</v>
      </c>
    </row>
    <row r="16" spans="2:9" ht="16" thickBot="1"/>
    <row r="17" spans="2:10">
      <c r="B17" s="18" t="s">
        <v>252</v>
      </c>
      <c r="C17" s="36">
        <v>-1.7445173125436888</v>
      </c>
    </row>
    <row r="18" spans="2:10">
      <c r="B18" s="10" t="s">
        <v>253</v>
      </c>
      <c r="C18" s="37">
        <v>-3.4205492831050286</v>
      </c>
    </row>
    <row r="19" spans="2:10">
      <c r="B19" s="10" t="s">
        <v>254</v>
      </c>
      <c r="C19" s="37">
        <v>0.71767585931227207</v>
      </c>
    </row>
    <row r="20" spans="2:10" ht="16" thickBot="1">
      <c r="B20" s="19" t="s">
        <v>241</v>
      </c>
      <c r="C20" s="38">
        <v>0.05</v>
      </c>
    </row>
    <row r="22" spans="2:10">
      <c r="B22" s="27" t="s">
        <v>255</v>
      </c>
    </row>
    <row r="23" spans="2:10">
      <c r="B23" s="27" t="s">
        <v>256</v>
      </c>
    </row>
    <row r="24" spans="2:10">
      <c r="B24" s="27" t="s">
        <v>257</v>
      </c>
    </row>
    <row r="25" spans="2:10" ht="15" customHeight="1">
      <c r="B25" s="40" t="s">
        <v>258</v>
      </c>
      <c r="C25" s="40"/>
      <c r="D25" s="40"/>
      <c r="E25" s="40"/>
      <c r="F25" s="40"/>
      <c r="G25" s="40"/>
      <c r="H25" s="40"/>
      <c r="I25" s="40"/>
      <c r="J25" s="40"/>
    </row>
    <row r="26" spans="2:10">
      <c r="B26" s="40"/>
      <c r="C26" s="40"/>
      <c r="D26" s="40"/>
      <c r="E26" s="40"/>
      <c r="F26" s="40"/>
      <c r="G26" s="40"/>
      <c r="H26" s="40"/>
      <c r="I26" s="40"/>
      <c r="J26" s="40"/>
    </row>
    <row r="45" spans="7:7">
      <c r="G45" t="s">
        <v>219</v>
      </c>
    </row>
  </sheetData>
  <mergeCells count="1">
    <mergeCell ref="B25:J26"/>
  </mergeCells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D211828">
              <controlPr defaultSize="0" autoFill="0" autoPict="0" macro="[0]!GoToResultsNew101320185485063">
                <anchor moveWithCells="1">
                  <from>
                    <xdr:col>0</xdr:col>
                    <xdr:colOff>330200</xdr:colOff>
                    <xdr:row>5</xdr:row>
                    <xdr:rowOff>0</xdr:rowOff>
                  </from>
                  <to>
                    <xdr:col>4</xdr:col>
                    <xdr:colOff>596900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32704X765"/>
  <dimension ref="A1:L157"/>
  <sheetViews>
    <sheetView tabSelected="1" workbookViewId="0">
      <selection activeCell="I2" sqref="I2"/>
    </sheetView>
  </sheetViews>
  <sheetFormatPr baseColWidth="10" defaultColWidth="8.83203125" defaultRowHeight="15"/>
  <cols>
    <col min="1" max="1" width="6.1640625" style="5" customWidth="1"/>
    <col min="2" max="2" width="9.1640625" style="5"/>
    <col min="3" max="3" width="10.6640625" style="5" bestFit="1" customWidth="1"/>
    <col min="4" max="4" width="10.5" style="5" bestFit="1" customWidth="1"/>
    <col min="10" max="10" width="14.1640625" bestFit="1" customWidth="1"/>
  </cols>
  <sheetData>
    <row r="1" spans="1:12">
      <c r="A1" s="5" t="s">
        <v>163</v>
      </c>
      <c r="B1" s="5" t="s">
        <v>5</v>
      </c>
      <c r="C1" s="5" t="s">
        <v>164</v>
      </c>
      <c r="D1" s="5" t="s">
        <v>165</v>
      </c>
    </row>
    <row r="2" spans="1:12">
      <c r="A2" s="5">
        <v>1</v>
      </c>
      <c r="B2" s="5">
        <v>53.1</v>
      </c>
      <c r="C2" s="5">
        <v>53.1</v>
      </c>
      <c r="D2" s="5">
        <f>C2-B2</f>
        <v>0</v>
      </c>
      <c r="H2" s="7" t="s">
        <v>166</v>
      </c>
      <c r="I2" s="7">
        <v>0.6</v>
      </c>
      <c r="J2" s="7" t="s">
        <v>173</v>
      </c>
      <c r="K2" s="7">
        <v>60</v>
      </c>
      <c r="L2" s="7"/>
    </row>
    <row r="3" spans="1:12">
      <c r="A3" s="5">
        <f>A2+1</f>
        <v>2</v>
      </c>
      <c r="B3" s="5">
        <v>50.8</v>
      </c>
      <c r="C3" s="5">
        <f>B2*$I$2+(1-$I$2)*C2</f>
        <v>53.1</v>
      </c>
      <c r="D3" s="5">
        <f t="shared" ref="D3:D66" si="0">C3-B3</f>
        <v>2.3000000000000043</v>
      </c>
      <c r="H3" s="7" t="s">
        <v>167</v>
      </c>
      <c r="I3" s="7">
        <f>SQRT(SUMSQ(D2:D157)/COUNTA(D2:D157))</f>
        <v>1.929067703773697</v>
      </c>
      <c r="J3" s="7"/>
      <c r="K3" s="7"/>
      <c r="L3" s="7"/>
    </row>
    <row r="4" spans="1:12">
      <c r="A4" s="5">
        <f t="shared" ref="A4:A67" si="1">A3+1</f>
        <v>3</v>
      </c>
      <c r="B4" s="5">
        <v>50.1</v>
      </c>
      <c r="C4" s="5">
        <f t="shared" ref="C4:C67" si="2">B3*$I$2+(1-$I$2)*C3</f>
        <v>51.72</v>
      </c>
      <c r="D4" s="5">
        <f t="shared" si="0"/>
        <v>1.6199999999999974</v>
      </c>
    </row>
    <row r="5" spans="1:12">
      <c r="A5" s="5">
        <f t="shared" si="1"/>
        <v>4</v>
      </c>
      <c r="B5" s="5">
        <v>51.8</v>
      </c>
      <c r="C5" s="5">
        <f t="shared" si="2"/>
        <v>50.748000000000005</v>
      </c>
      <c r="D5" s="5">
        <f t="shared" si="0"/>
        <v>-1.0519999999999925</v>
      </c>
    </row>
    <row r="6" spans="1:12">
      <c r="A6" s="5">
        <f t="shared" si="1"/>
        <v>5</v>
      </c>
      <c r="B6" s="5">
        <v>53.9</v>
      </c>
      <c r="C6" s="5">
        <f t="shared" si="2"/>
        <v>51.379199999999997</v>
      </c>
      <c r="D6" s="5">
        <f t="shared" si="0"/>
        <v>-2.5208000000000013</v>
      </c>
    </row>
    <row r="7" spans="1:12">
      <c r="A7" s="5">
        <f t="shared" si="1"/>
        <v>6</v>
      </c>
      <c r="B7" s="5">
        <v>54.2</v>
      </c>
      <c r="C7" s="5">
        <f t="shared" si="2"/>
        <v>52.891679999999994</v>
      </c>
      <c r="D7" s="5">
        <f t="shared" si="0"/>
        <v>-1.308320000000009</v>
      </c>
    </row>
    <row r="8" spans="1:12">
      <c r="A8" s="5">
        <f t="shared" si="1"/>
        <v>7</v>
      </c>
      <c r="B8" s="5">
        <v>50.2</v>
      </c>
      <c r="C8" s="5">
        <f t="shared" si="2"/>
        <v>53.676672000000003</v>
      </c>
      <c r="D8" s="5">
        <f t="shared" si="0"/>
        <v>3.4766720000000007</v>
      </c>
    </row>
    <row r="9" spans="1:12">
      <c r="A9" s="5">
        <f t="shared" si="1"/>
        <v>8</v>
      </c>
      <c r="B9" s="5">
        <v>53.4</v>
      </c>
      <c r="C9" s="5">
        <f t="shared" si="2"/>
        <v>51.590668800000003</v>
      </c>
      <c r="D9" s="5">
        <f t="shared" si="0"/>
        <v>-1.8093311999999955</v>
      </c>
    </row>
    <row r="10" spans="1:12">
      <c r="A10" s="5">
        <f t="shared" si="1"/>
        <v>9</v>
      </c>
      <c r="B10" s="5">
        <v>50.7</v>
      </c>
      <c r="C10" s="5">
        <f t="shared" si="2"/>
        <v>52.676267520000003</v>
      </c>
      <c r="D10" s="5">
        <f t="shared" si="0"/>
        <v>1.9762675200000004</v>
      </c>
    </row>
    <row r="11" spans="1:12">
      <c r="A11" s="5">
        <f t="shared" si="1"/>
        <v>10</v>
      </c>
      <c r="B11" s="5">
        <v>48.4</v>
      </c>
      <c r="C11" s="5">
        <f t="shared" si="2"/>
        <v>51.490507008000009</v>
      </c>
      <c r="D11" s="5">
        <f t="shared" si="0"/>
        <v>3.0905070080000101</v>
      </c>
    </row>
    <row r="12" spans="1:12">
      <c r="A12" s="5">
        <f t="shared" si="1"/>
        <v>11</v>
      </c>
      <c r="B12" s="5">
        <v>50.9</v>
      </c>
      <c r="C12" s="5">
        <f t="shared" si="2"/>
        <v>49.636202803200007</v>
      </c>
      <c r="D12" s="5">
        <f t="shared" si="0"/>
        <v>-1.2637971967999917</v>
      </c>
    </row>
    <row r="13" spans="1:12">
      <c r="A13" s="5">
        <f t="shared" si="1"/>
        <v>12</v>
      </c>
      <c r="B13" s="5">
        <v>44.7</v>
      </c>
      <c r="C13" s="5">
        <f t="shared" si="2"/>
        <v>50.394481121280002</v>
      </c>
      <c r="D13" s="5">
        <f t="shared" si="0"/>
        <v>5.6944811212799991</v>
      </c>
    </row>
    <row r="14" spans="1:12">
      <c r="A14" s="5">
        <f t="shared" si="1"/>
        <v>13</v>
      </c>
      <c r="B14" s="5">
        <v>46</v>
      </c>
      <c r="C14" s="5">
        <f t="shared" si="2"/>
        <v>46.977792448512005</v>
      </c>
      <c r="D14" s="5">
        <f t="shared" si="0"/>
        <v>0.97779244851200531</v>
      </c>
    </row>
    <row r="15" spans="1:12">
      <c r="A15" s="5">
        <f t="shared" si="1"/>
        <v>14</v>
      </c>
      <c r="B15" s="5">
        <v>44.7</v>
      </c>
      <c r="C15" s="5">
        <f t="shared" si="2"/>
        <v>46.391116979404799</v>
      </c>
      <c r="D15" s="5">
        <f t="shared" si="0"/>
        <v>1.6911169794047964</v>
      </c>
    </row>
    <row r="16" spans="1:12">
      <c r="A16" s="5">
        <f t="shared" si="1"/>
        <v>15</v>
      </c>
      <c r="B16" s="5">
        <v>44.7</v>
      </c>
      <c r="C16" s="5">
        <f t="shared" si="2"/>
        <v>45.376446791761921</v>
      </c>
      <c r="D16" s="5">
        <f t="shared" si="0"/>
        <v>0.67644679176191858</v>
      </c>
    </row>
    <row r="17" spans="1:4">
      <c r="A17" s="5">
        <f t="shared" si="1"/>
        <v>16</v>
      </c>
      <c r="B17" s="5">
        <v>45.2</v>
      </c>
      <c r="C17" s="5">
        <f t="shared" si="2"/>
        <v>44.970578716704765</v>
      </c>
      <c r="D17" s="5">
        <f t="shared" si="0"/>
        <v>-0.22942128329523825</v>
      </c>
    </row>
    <row r="18" spans="1:4">
      <c r="A18" s="5">
        <f t="shared" si="1"/>
        <v>17</v>
      </c>
      <c r="B18" s="5">
        <v>47.7</v>
      </c>
      <c r="C18" s="5">
        <f t="shared" si="2"/>
        <v>45.108231486681909</v>
      </c>
      <c r="D18" s="5">
        <f t="shared" si="0"/>
        <v>-2.5917685133180939</v>
      </c>
    </row>
    <row r="19" spans="1:4">
      <c r="A19" s="5">
        <f t="shared" si="1"/>
        <v>18</v>
      </c>
      <c r="B19" s="5">
        <v>46.8</v>
      </c>
      <c r="C19" s="5">
        <f t="shared" si="2"/>
        <v>46.663292594672768</v>
      </c>
      <c r="D19" s="5">
        <f t="shared" si="0"/>
        <v>-0.13670740532722903</v>
      </c>
    </row>
    <row r="20" spans="1:4">
      <c r="A20" s="5">
        <f t="shared" si="1"/>
        <v>19</v>
      </c>
      <c r="B20" s="5">
        <v>43.3</v>
      </c>
      <c r="C20" s="5">
        <f t="shared" si="2"/>
        <v>46.745317037869107</v>
      </c>
      <c r="D20" s="5">
        <f t="shared" si="0"/>
        <v>3.4453170378691098</v>
      </c>
    </row>
    <row r="21" spans="1:4">
      <c r="A21" s="5">
        <f t="shared" si="1"/>
        <v>20</v>
      </c>
      <c r="B21" s="5">
        <v>49.1</v>
      </c>
      <c r="C21" s="5">
        <f t="shared" si="2"/>
        <v>44.678126815147635</v>
      </c>
      <c r="D21" s="5">
        <f t="shared" si="0"/>
        <v>-4.421873184852366</v>
      </c>
    </row>
    <row r="22" spans="1:4">
      <c r="A22" s="5">
        <f t="shared" si="1"/>
        <v>21</v>
      </c>
      <c r="B22" s="5">
        <v>45.2</v>
      </c>
      <c r="C22" s="5">
        <f t="shared" si="2"/>
        <v>47.331250726059054</v>
      </c>
      <c r="D22" s="5">
        <f t="shared" si="0"/>
        <v>2.1312507260590507</v>
      </c>
    </row>
    <row r="23" spans="1:4">
      <c r="A23" s="5">
        <f t="shared" si="1"/>
        <v>22</v>
      </c>
      <c r="B23" s="5">
        <v>45.2</v>
      </c>
      <c r="C23" s="5">
        <f t="shared" si="2"/>
        <v>46.052500290423623</v>
      </c>
      <c r="D23" s="5">
        <f t="shared" si="0"/>
        <v>0.8525002904236203</v>
      </c>
    </row>
    <row r="24" spans="1:4">
      <c r="A24" s="5">
        <f t="shared" si="1"/>
        <v>23</v>
      </c>
      <c r="B24" s="5">
        <v>46.5</v>
      </c>
      <c r="C24" s="5">
        <f t="shared" si="2"/>
        <v>45.54100011616945</v>
      </c>
      <c r="D24" s="5">
        <f t="shared" si="0"/>
        <v>-0.95899988383055046</v>
      </c>
    </row>
    <row r="25" spans="1:4">
      <c r="A25" s="5">
        <f t="shared" si="1"/>
        <v>24</v>
      </c>
      <c r="B25" s="5">
        <v>41.7</v>
      </c>
      <c r="C25" s="5">
        <f t="shared" si="2"/>
        <v>46.116400046467774</v>
      </c>
      <c r="D25" s="5">
        <f t="shared" si="0"/>
        <v>4.4164000464677713</v>
      </c>
    </row>
    <row r="26" spans="1:4">
      <c r="A26" s="5">
        <f t="shared" si="1"/>
        <v>25</v>
      </c>
      <c r="B26" s="5">
        <v>44.7</v>
      </c>
      <c r="C26" s="5">
        <f t="shared" si="2"/>
        <v>43.46656001858711</v>
      </c>
      <c r="D26" s="5">
        <f t="shared" si="0"/>
        <v>-1.2334399814128929</v>
      </c>
    </row>
    <row r="27" spans="1:4">
      <c r="A27" s="5">
        <f t="shared" si="1"/>
        <v>26</v>
      </c>
      <c r="B27" s="5">
        <v>39.1</v>
      </c>
      <c r="C27" s="5">
        <f t="shared" si="2"/>
        <v>44.20662400743484</v>
      </c>
      <c r="D27" s="5">
        <f t="shared" si="0"/>
        <v>5.1066240074348386</v>
      </c>
    </row>
    <row r="28" spans="1:4">
      <c r="A28" s="5">
        <f t="shared" si="1"/>
        <v>27</v>
      </c>
      <c r="B28" s="5">
        <v>41.3</v>
      </c>
      <c r="C28" s="5">
        <f t="shared" si="2"/>
        <v>41.142649602973933</v>
      </c>
      <c r="D28" s="5">
        <f t="shared" si="0"/>
        <v>-0.15735039702606457</v>
      </c>
    </row>
    <row r="29" spans="1:4">
      <c r="A29" s="5">
        <f t="shared" si="1"/>
        <v>28</v>
      </c>
      <c r="B29" s="5">
        <v>40</v>
      </c>
      <c r="C29" s="5">
        <f t="shared" si="2"/>
        <v>41.23705984118957</v>
      </c>
      <c r="D29" s="5">
        <f t="shared" si="0"/>
        <v>1.2370598411895699</v>
      </c>
    </row>
    <row r="30" spans="1:4">
      <c r="A30" s="5">
        <f t="shared" si="1"/>
        <v>29</v>
      </c>
      <c r="B30" s="5">
        <v>44.9</v>
      </c>
      <c r="C30" s="5">
        <f t="shared" si="2"/>
        <v>40.494823936475825</v>
      </c>
      <c r="D30" s="5">
        <f t="shared" si="0"/>
        <v>-4.4051760635241735</v>
      </c>
    </row>
    <row r="31" spans="1:4">
      <c r="A31" s="5">
        <f t="shared" si="1"/>
        <v>30</v>
      </c>
      <c r="B31" s="5">
        <v>40.9</v>
      </c>
      <c r="C31" s="5">
        <f t="shared" si="2"/>
        <v>43.137929574590331</v>
      </c>
      <c r="D31" s="5">
        <f t="shared" si="0"/>
        <v>2.237929574590332</v>
      </c>
    </row>
    <row r="32" spans="1:4">
      <c r="A32" s="5">
        <f t="shared" si="1"/>
        <v>31</v>
      </c>
      <c r="B32" s="5">
        <v>44.3</v>
      </c>
      <c r="C32" s="5">
        <f t="shared" si="2"/>
        <v>41.795171829836136</v>
      </c>
      <c r="D32" s="5">
        <f t="shared" si="0"/>
        <v>-2.5048281701638615</v>
      </c>
    </row>
    <row r="33" spans="1:4">
      <c r="A33" s="5">
        <f t="shared" si="1"/>
        <v>32</v>
      </c>
      <c r="B33" s="5">
        <v>44.4</v>
      </c>
      <c r="C33" s="5">
        <f t="shared" si="2"/>
        <v>43.29806873193445</v>
      </c>
      <c r="D33" s="5">
        <f t="shared" si="0"/>
        <v>-1.1019312680655489</v>
      </c>
    </row>
    <row r="34" spans="1:4">
      <c r="A34" s="5">
        <f t="shared" si="1"/>
        <v>33</v>
      </c>
      <c r="B34" s="5">
        <v>40.700000000000003</v>
      </c>
      <c r="C34" s="5">
        <f t="shared" si="2"/>
        <v>43.959227492773778</v>
      </c>
      <c r="D34" s="5">
        <f t="shared" si="0"/>
        <v>3.2592274927737748</v>
      </c>
    </row>
    <row r="35" spans="1:4">
      <c r="A35" s="5">
        <f t="shared" si="1"/>
        <v>34</v>
      </c>
      <c r="B35" s="5">
        <v>41.9</v>
      </c>
      <c r="C35" s="5">
        <f t="shared" si="2"/>
        <v>42.003690997109516</v>
      </c>
      <c r="D35" s="5">
        <f t="shared" si="0"/>
        <v>0.10369099710951701</v>
      </c>
    </row>
    <row r="36" spans="1:4">
      <c r="A36" s="5">
        <f t="shared" si="1"/>
        <v>35</v>
      </c>
      <c r="B36" s="5">
        <v>41.7</v>
      </c>
      <c r="C36" s="5">
        <f t="shared" si="2"/>
        <v>41.941476398843804</v>
      </c>
      <c r="D36" s="5">
        <f t="shared" si="0"/>
        <v>0.24147639884380112</v>
      </c>
    </row>
    <row r="37" spans="1:4">
      <c r="A37" s="5">
        <f t="shared" si="1"/>
        <v>36</v>
      </c>
      <c r="B37" s="5">
        <v>37.700000000000003</v>
      </c>
      <c r="C37" s="5">
        <f t="shared" si="2"/>
        <v>41.79659055953752</v>
      </c>
      <c r="D37" s="5">
        <f t="shared" si="0"/>
        <v>4.0965905595375176</v>
      </c>
    </row>
    <row r="38" spans="1:4">
      <c r="A38" s="5">
        <f t="shared" si="1"/>
        <v>37</v>
      </c>
      <c r="B38" s="5">
        <v>39.700000000000003</v>
      </c>
      <c r="C38" s="5">
        <f t="shared" si="2"/>
        <v>39.338636223815008</v>
      </c>
      <c r="D38" s="5">
        <f t="shared" si="0"/>
        <v>-0.36136377618499438</v>
      </c>
    </row>
    <row r="39" spans="1:4">
      <c r="A39" s="5">
        <f t="shared" si="1"/>
        <v>38</v>
      </c>
      <c r="B39" s="5">
        <v>36.1</v>
      </c>
      <c r="C39" s="5">
        <f t="shared" si="2"/>
        <v>39.555454489526007</v>
      </c>
      <c r="D39" s="5">
        <f t="shared" si="0"/>
        <v>3.4554544895260051</v>
      </c>
    </row>
    <row r="40" spans="1:4">
      <c r="A40" s="5">
        <f t="shared" si="1"/>
        <v>39</v>
      </c>
      <c r="B40" s="5">
        <v>33.1</v>
      </c>
      <c r="C40" s="5">
        <f t="shared" si="2"/>
        <v>37.482181795810405</v>
      </c>
      <c r="D40" s="5">
        <f t="shared" si="0"/>
        <v>4.3821817958104035</v>
      </c>
    </row>
    <row r="41" spans="1:4">
      <c r="A41" s="5">
        <f t="shared" si="1"/>
        <v>40</v>
      </c>
      <c r="B41" s="5">
        <v>37.200000000000003</v>
      </c>
      <c r="C41" s="5">
        <f t="shared" si="2"/>
        <v>34.852872718324164</v>
      </c>
      <c r="D41" s="5">
        <f t="shared" si="0"/>
        <v>-2.3471272816758386</v>
      </c>
    </row>
    <row r="42" spans="1:4">
      <c r="A42" s="5">
        <f t="shared" si="1"/>
        <v>41</v>
      </c>
      <c r="B42" s="5">
        <v>36.9</v>
      </c>
      <c r="C42" s="5">
        <f t="shared" si="2"/>
        <v>36.26114908732967</v>
      </c>
      <c r="D42" s="5">
        <f t="shared" si="0"/>
        <v>-0.63885091267032834</v>
      </c>
    </row>
    <row r="43" spans="1:4">
      <c r="A43" s="5">
        <f t="shared" si="1"/>
        <v>42</v>
      </c>
      <c r="B43" s="5">
        <v>38.1</v>
      </c>
      <c r="C43" s="5">
        <f t="shared" si="2"/>
        <v>36.644459634931863</v>
      </c>
      <c r="D43" s="5">
        <f t="shared" si="0"/>
        <v>-1.4555403650681384</v>
      </c>
    </row>
    <row r="44" spans="1:4">
      <c r="A44" s="5">
        <f t="shared" si="1"/>
        <v>43</v>
      </c>
      <c r="B44" s="5">
        <v>37.6</v>
      </c>
      <c r="C44" s="5">
        <f t="shared" si="2"/>
        <v>37.517783853972745</v>
      </c>
      <c r="D44" s="5">
        <f t="shared" si="0"/>
        <v>-8.2216146027256798E-2</v>
      </c>
    </row>
    <row r="45" spans="1:4">
      <c r="A45" s="5">
        <f t="shared" si="1"/>
        <v>44</v>
      </c>
      <c r="B45" s="5">
        <v>38.4</v>
      </c>
      <c r="C45" s="5">
        <f t="shared" si="2"/>
        <v>37.567113541589094</v>
      </c>
      <c r="D45" s="5">
        <f t="shared" si="0"/>
        <v>-0.83288645841090414</v>
      </c>
    </row>
    <row r="46" spans="1:4">
      <c r="A46" s="5">
        <f t="shared" si="1"/>
        <v>45</v>
      </c>
      <c r="B46" s="5">
        <v>41.8</v>
      </c>
      <c r="C46" s="5">
        <f t="shared" si="2"/>
        <v>38.066845416635637</v>
      </c>
      <c r="D46" s="5">
        <f t="shared" si="0"/>
        <v>-3.7331545833643602</v>
      </c>
    </row>
    <row r="47" spans="1:4">
      <c r="A47" s="5">
        <f t="shared" si="1"/>
        <v>46</v>
      </c>
      <c r="B47" s="5">
        <v>44.7</v>
      </c>
      <c r="C47" s="5">
        <f t="shared" si="2"/>
        <v>40.306738166654256</v>
      </c>
      <c r="D47" s="5">
        <f t="shared" si="0"/>
        <v>-4.3932618333457469</v>
      </c>
    </row>
    <row r="48" spans="1:4">
      <c r="A48" s="5">
        <f t="shared" si="1"/>
        <v>47</v>
      </c>
      <c r="B48" s="5">
        <v>37.5</v>
      </c>
      <c r="C48" s="5">
        <f t="shared" si="2"/>
        <v>42.942695266661701</v>
      </c>
      <c r="D48" s="5">
        <f t="shared" si="0"/>
        <v>5.4426952666617012</v>
      </c>
    </row>
    <row r="49" spans="1:4">
      <c r="A49" s="5">
        <f t="shared" si="1"/>
        <v>48</v>
      </c>
      <c r="B49" s="5">
        <v>36.5</v>
      </c>
      <c r="C49" s="5">
        <f t="shared" si="2"/>
        <v>39.67707810666468</v>
      </c>
      <c r="D49" s="5">
        <f t="shared" si="0"/>
        <v>3.1770781066646805</v>
      </c>
    </row>
    <row r="50" spans="1:4">
      <c r="A50" s="5">
        <f t="shared" si="1"/>
        <v>49</v>
      </c>
      <c r="B50" s="5">
        <v>33.200000000000003</v>
      </c>
      <c r="C50" s="5">
        <f t="shared" si="2"/>
        <v>37.770831242665871</v>
      </c>
      <c r="D50" s="5">
        <f t="shared" si="0"/>
        <v>4.5708312426658679</v>
      </c>
    </row>
    <row r="51" spans="1:4">
      <c r="A51" s="5">
        <f t="shared" si="1"/>
        <v>50</v>
      </c>
      <c r="B51" s="5">
        <v>34</v>
      </c>
      <c r="C51" s="5">
        <f t="shared" si="2"/>
        <v>35.028332497066351</v>
      </c>
      <c r="D51" s="5">
        <f t="shared" si="0"/>
        <v>1.0283324970663514</v>
      </c>
    </row>
    <row r="52" spans="1:4">
      <c r="A52" s="5">
        <f t="shared" si="1"/>
        <v>51</v>
      </c>
      <c r="B52" s="5">
        <v>32.799999999999997</v>
      </c>
      <c r="C52" s="5">
        <f t="shared" si="2"/>
        <v>34.411332998826538</v>
      </c>
      <c r="D52" s="5">
        <f t="shared" si="0"/>
        <v>1.6113329988265406</v>
      </c>
    </row>
    <row r="53" spans="1:4">
      <c r="A53" s="5">
        <f t="shared" si="1"/>
        <v>52</v>
      </c>
      <c r="B53" s="5">
        <v>34.4</v>
      </c>
      <c r="C53" s="5">
        <f t="shared" si="2"/>
        <v>33.444533199530611</v>
      </c>
      <c r="D53" s="5">
        <f t="shared" si="0"/>
        <v>-0.95546680046938803</v>
      </c>
    </row>
    <row r="54" spans="1:4">
      <c r="A54" s="5">
        <f t="shared" si="1"/>
        <v>53</v>
      </c>
      <c r="B54" s="5">
        <v>34.700000000000003</v>
      </c>
      <c r="C54" s="5">
        <f t="shared" si="2"/>
        <v>34.017813279812245</v>
      </c>
      <c r="D54" s="5">
        <f t="shared" si="0"/>
        <v>-0.68218672018775806</v>
      </c>
    </row>
    <row r="55" spans="1:4">
      <c r="A55" s="5">
        <f t="shared" si="1"/>
        <v>54</v>
      </c>
      <c r="B55" s="5">
        <v>37</v>
      </c>
      <c r="C55" s="5">
        <f t="shared" si="2"/>
        <v>34.427125311924897</v>
      </c>
      <c r="D55" s="5">
        <f t="shared" si="0"/>
        <v>-2.5728746880751032</v>
      </c>
    </row>
    <row r="56" spans="1:4">
      <c r="A56" s="5">
        <f t="shared" si="1"/>
        <v>55</v>
      </c>
      <c r="B56" s="5">
        <v>35.6</v>
      </c>
      <c r="C56" s="5">
        <f t="shared" si="2"/>
        <v>35.97085012476996</v>
      </c>
      <c r="D56" s="5">
        <f t="shared" si="0"/>
        <v>0.37085012476995871</v>
      </c>
    </row>
    <row r="57" spans="1:4">
      <c r="A57" s="5">
        <f t="shared" si="1"/>
        <v>56</v>
      </c>
      <c r="B57" s="5">
        <v>35</v>
      </c>
      <c r="C57" s="5">
        <f t="shared" si="2"/>
        <v>35.748340049907981</v>
      </c>
      <c r="D57" s="5">
        <f t="shared" si="0"/>
        <v>0.74834004990798064</v>
      </c>
    </row>
    <row r="58" spans="1:4">
      <c r="A58" s="5">
        <f t="shared" si="1"/>
        <v>57</v>
      </c>
      <c r="B58" s="5">
        <v>35.4</v>
      </c>
      <c r="C58" s="5">
        <f t="shared" si="2"/>
        <v>35.299336019963192</v>
      </c>
      <c r="D58" s="5">
        <f t="shared" si="0"/>
        <v>-0.10066398003680632</v>
      </c>
    </row>
    <row r="59" spans="1:4">
      <c r="A59" s="5">
        <f t="shared" si="1"/>
        <v>58</v>
      </c>
      <c r="B59" s="5">
        <v>35.700000000000003</v>
      </c>
      <c r="C59" s="5">
        <f t="shared" si="2"/>
        <v>35.359734407985272</v>
      </c>
      <c r="D59" s="5">
        <f t="shared" si="0"/>
        <v>-0.34026559201473106</v>
      </c>
    </row>
    <row r="60" spans="1:4">
      <c r="A60" s="5">
        <f t="shared" si="1"/>
        <v>59</v>
      </c>
      <c r="B60" s="5">
        <v>32.799999999999997</v>
      </c>
      <c r="C60" s="5">
        <f t="shared" si="2"/>
        <v>35.563893763194109</v>
      </c>
      <c r="D60" s="5">
        <f t="shared" si="0"/>
        <v>2.7638937631941118</v>
      </c>
    </row>
    <row r="61" spans="1:4">
      <c r="A61" s="5">
        <f t="shared" si="1"/>
        <v>60</v>
      </c>
      <c r="B61" s="5">
        <v>33.5</v>
      </c>
      <c r="C61" s="5">
        <f t="shared" si="2"/>
        <v>33.905557505277642</v>
      </c>
      <c r="D61" s="5">
        <f t="shared" si="0"/>
        <v>0.40555750527764189</v>
      </c>
    </row>
    <row r="62" spans="1:4">
      <c r="A62" s="5">
        <f t="shared" si="1"/>
        <v>61</v>
      </c>
      <c r="B62" s="5">
        <v>30.9</v>
      </c>
      <c r="C62" s="5">
        <f t="shared" si="2"/>
        <v>33.662223002111055</v>
      </c>
      <c r="D62" s="5">
        <f t="shared" si="0"/>
        <v>2.7622230021110568</v>
      </c>
    </row>
    <row r="63" spans="1:4">
      <c r="A63" s="5">
        <f t="shared" si="1"/>
        <v>62</v>
      </c>
      <c r="B63" s="5">
        <v>31</v>
      </c>
      <c r="C63" s="5">
        <f t="shared" si="2"/>
        <v>32.004889200844424</v>
      </c>
      <c r="D63" s="5">
        <f t="shared" si="0"/>
        <v>1.0048892008444241</v>
      </c>
    </row>
    <row r="64" spans="1:4">
      <c r="A64" s="5">
        <f t="shared" si="1"/>
        <v>63</v>
      </c>
      <c r="B64" s="5">
        <v>33.200000000000003</v>
      </c>
      <c r="C64" s="5">
        <f t="shared" si="2"/>
        <v>31.401955680337768</v>
      </c>
      <c r="D64" s="5">
        <f t="shared" si="0"/>
        <v>-1.7980443196622353</v>
      </c>
    </row>
    <row r="65" spans="1:4">
      <c r="A65" s="5">
        <f t="shared" si="1"/>
        <v>64</v>
      </c>
      <c r="B65" s="5">
        <v>32.4</v>
      </c>
      <c r="C65" s="5">
        <f t="shared" si="2"/>
        <v>32.480782272135109</v>
      </c>
      <c r="D65" s="5">
        <f t="shared" si="0"/>
        <v>8.0782272135110134E-2</v>
      </c>
    </row>
    <row r="66" spans="1:4">
      <c r="A66" s="5">
        <f t="shared" si="1"/>
        <v>65</v>
      </c>
      <c r="B66" s="5">
        <v>32.1</v>
      </c>
      <c r="C66" s="5">
        <f t="shared" si="2"/>
        <v>32.432312908854044</v>
      </c>
      <c r="D66" s="5">
        <f t="shared" si="0"/>
        <v>0.33231290885404263</v>
      </c>
    </row>
    <row r="67" spans="1:4">
      <c r="A67" s="5">
        <f t="shared" si="1"/>
        <v>66</v>
      </c>
      <c r="B67" s="5">
        <v>34.799999999999997</v>
      </c>
      <c r="C67" s="5">
        <f t="shared" si="2"/>
        <v>32.232925163541623</v>
      </c>
      <c r="D67" s="5">
        <f t="shared" ref="D67:D130" si="3">C67-B67</f>
        <v>-2.5670748364583744</v>
      </c>
    </row>
    <row r="68" spans="1:4">
      <c r="A68" s="5">
        <f t="shared" ref="A68:A131" si="4">A67+1</f>
        <v>67</v>
      </c>
      <c r="B68" s="5">
        <v>31.7</v>
      </c>
      <c r="C68" s="5">
        <f t="shared" ref="C68:C131" si="5">B67*$I$2+(1-$I$2)*C67</f>
        <v>33.77317006541665</v>
      </c>
      <c r="D68" s="5">
        <f t="shared" si="3"/>
        <v>2.0731700654166509</v>
      </c>
    </row>
    <row r="69" spans="1:4">
      <c r="A69" s="5">
        <f t="shared" si="4"/>
        <v>68</v>
      </c>
      <c r="B69" s="5">
        <v>32.299999999999997</v>
      </c>
      <c r="C69" s="5">
        <f t="shared" si="5"/>
        <v>32.529268026166662</v>
      </c>
      <c r="D69" s="5">
        <f t="shared" si="3"/>
        <v>0.22926802616666464</v>
      </c>
    </row>
    <row r="70" spans="1:4">
      <c r="A70" s="5">
        <f t="shared" si="4"/>
        <v>69</v>
      </c>
      <c r="B70" s="5">
        <v>31.6</v>
      </c>
      <c r="C70" s="5">
        <f t="shared" si="5"/>
        <v>32.391707210466663</v>
      </c>
      <c r="D70" s="5">
        <f t="shared" si="3"/>
        <v>0.79170721046666159</v>
      </c>
    </row>
    <row r="71" spans="1:4">
      <c r="A71" s="5">
        <f t="shared" si="4"/>
        <v>70</v>
      </c>
      <c r="B71" s="5">
        <v>31.3</v>
      </c>
      <c r="C71" s="5">
        <f t="shared" si="5"/>
        <v>31.916682884186667</v>
      </c>
      <c r="D71" s="5">
        <f t="shared" si="3"/>
        <v>0.61668288418666606</v>
      </c>
    </row>
    <row r="72" spans="1:4">
      <c r="A72" s="5">
        <f t="shared" si="4"/>
        <v>71</v>
      </c>
      <c r="B72" s="5">
        <v>31.7</v>
      </c>
      <c r="C72" s="5">
        <f t="shared" si="5"/>
        <v>31.546673153674668</v>
      </c>
      <c r="D72" s="5">
        <f t="shared" si="3"/>
        <v>-0.15332684632533145</v>
      </c>
    </row>
    <row r="73" spans="1:4">
      <c r="A73" s="5">
        <f t="shared" si="4"/>
        <v>72</v>
      </c>
      <c r="B73" s="5">
        <v>31.8</v>
      </c>
      <c r="C73" s="5">
        <f t="shared" si="5"/>
        <v>31.638669261469868</v>
      </c>
      <c r="D73" s="5">
        <f t="shared" si="3"/>
        <v>-0.16133073853013258</v>
      </c>
    </row>
    <row r="74" spans="1:4">
      <c r="A74" s="5">
        <f t="shared" si="4"/>
        <v>73</v>
      </c>
      <c r="B74" s="5">
        <v>29.3</v>
      </c>
      <c r="C74" s="5">
        <f t="shared" si="5"/>
        <v>31.735467704587947</v>
      </c>
      <c r="D74" s="5">
        <f t="shared" si="3"/>
        <v>2.4354677045879463</v>
      </c>
    </row>
    <row r="75" spans="1:4">
      <c r="A75" s="5">
        <f t="shared" si="4"/>
        <v>74</v>
      </c>
      <c r="B75" s="5">
        <v>27.9</v>
      </c>
      <c r="C75" s="5">
        <f t="shared" si="5"/>
        <v>30.27418708183518</v>
      </c>
      <c r="D75" s="5">
        <f t="shared" si="3"/>
        <v>2.3741870818351813</v>
      </c>
    </row>
    <row r="76" spans="1:4">
      <c r="A76" s="5">
        <f t="shared" si="4"/>
        <v>75</v>
      </c>
      <c r="B76" s="5">
        <v>28</v>
      </c>
      <c r="C76" s="5">
        <f t="shared" si="5"/>
        <v>28.84967483273407</v>
      </c>
      <c r="D76" s="5">
        <f t="shared" si="3"/>
        <v>0.84967483273407041</v>
      </c>
    </row>
    <row r="77" spans="1:4">
      <c r="A77" s="5">
        <f t="shared" si="4"/>
        <v>76</v>
      </c>
      <c r="B77" s="5">
        <v>28.7</v>
      </c>
      <c r="C77" s="5">
        <f t="shared" si="5"/>
        <v>28.339869933093631</v>
      </c>
      <c r="D77" s="5">
        <f t="shared" si="3"/>
        <v>-0.36013006690636828</v>
      </c>
    </row>
    <row r="78" spans="1:4">
      <c r="A78" s="5">
        <f t="shared" si="4"/>
        <v>77</v>
      </c>
      <c r="B78" s="5">
        <v>30.5</v>
      </c>
      <c r="C78" s="5">
        <f t="shared" si="5"/>
        <v>28.555947973237451</v>
      </c>
      <c r="D78" s="5">
        <f t="shared" si="3"/>
        <v>-1.9440520267625487</v>
      </c>
    </row>
    <row r="79" spans="1:4">
      <c r="A79" s="5">
        <f t="shared" si="4"/>
        <v>78</v>
      </c>
      <c r="B79" s="5">
        <v>31.3</v>
      </c>
      <c r="C79" s="5">
        <f t="shared" si="5"/>
        <v>29.722379189294983</v>
      </c>
      <c r="D79" s="5">
        <f t="shared" si="3"/>
        <v>-1.5776208107050174</v>
      </c>
    </row>
    <row r="80" spans="1:4">
      <c r="A80" s="5">
        <f t="shared" si="4"/>
        <v>79</v>
      </c>
      <c r="B80" s="5">
        <v>29.2</v>
      </c>
      <c r="C80" s="5">
        <f t="shared" si="5"/>
        <v>30.668951675717995</v>
      </c>
      <c r="D80" s="5">
        <f t="shared" si="3"/>
        <v>1.4689516757179959</v>
      </c>
    </row>
    <row r="81" spans="1:4">
      <c r="A81" s="5">
        <f t="shared" si="4"/>
        <v>80</v>
      </c>
      <c r="B81" s="5">
        <v>30.9</v>
      </c>
      <c r="C81" s="5">
        <f t="shared" si="5"/>
        <v>29.787580670287198</v>
      </c>
      <c r="D81" s="5">
        <f t="shared" si="3"/>
        <v>-1.1124193297128002</v>
      </c>
    </row>
    <row r="82" spans="1:4">
      <c r="A82" s="5">
        <f t="shared" si="4"/>
        <v>81</v>
      </c>
      <c r="B82" s="5">
        <v>29.1</v>
      </c>
      <c r="C82" s="5">
        <f t="shared" si="5"/>
        <v>30.455032268114877</v>
      </c>
      <c r="D82" s="5">
        <f t="shared" si="3"/>
        <v>1.3550322681148756</v>
      </c>
    </row>
    <row r="83" spans="1:4">
      <c r="A83" s="5">
        <f t="shared" si="4"/>
        <v>82</v>
      </c>
      <c r="B83" s="5">
        <v>27.6</v>
      </c>
      <c r="C83" s="5">
        <f t="shared" si="5"/>
        <v>29.642012907245952</v>
      </c>
      <c r="D83" s="5">
        <f t="shared" si="3"/>
        <v>2.042012907245951</v>
      </c>
    </row>
    <row r="84" spans="1:4">
      <c r="A84" s="5">
        <f t="shared" si="4"/>
        <v>83</v>
      </c>
      <c r="B84" s="5">
        <v>28.3</v>
      </c>
      <c r="C84" s="5">
        <f t="shared" si="5"/>
        <v>28.416805162898381</v>
      </c>
      <c r="D84" s="5">
        <f t="shared" si="3"/>
        <v>0.11680516289838039</v>
      </c>
    </row>
    <row r="85" spans="1:4">
      <c r="A85" s="5">
        <f t="shared" si="4"/>
        <v>84</v>
      </c>
      <c r="B85" s="5">
        <v>25.8</v>
      </c>
      <c r="C85" s="5">
        <f t="shared" si="5"/>
        <v>28.346722065159355</v>
      </c>
      <c r="D85" s="5">
        <f t="shared" si="3"/>
        <v>2.5467220651593543</v>
      </c>
    </row>
    <row r="86" spans="1:4">
      <c r="A86" s="5">
        <f t="shared" si="4"/>
        <v>85</v>
      </c>
      <c r="B86" s="5">
        <v>25.3</v>
      </c>
      <c r="C86" s="5">
        <f t="shared" si="5"/>
        <v>26.818688826063742</v>
      </c>
      <c r="D86" s="5">
        <f t="shared" si="3"/>
        <v>1.518688826063741</v>
      </c>
    </row>
    <row r="87" spans="1:4">
      <c r="A87" s="5">
        <f t="shared" si="4"/>
        <v>86</v>
      </c>
      <c r="B87" s="5">
        <v>25.6</v>
      </c>
      <c r="C87" s="5">
        <f t="shared" si="5"/>
        <v>25.907475530425497</v>
      </c>
      <c r="D87" s="5">
        <f t="shared" si="3"/>
        <v>0.30747553042549569</v>
      </c>
    </row>
    <row r="88" spans="1:4">
      <c r="A88" s="5">
        <f t="shared" si="4"/>
        <v>87</v>
      </c>
      <c r="B88" s="5">
        <v>24.1</v>
      </c>
      <c r="C88" s="5">
        <f t="shared" si="5"/>
        <v>25.722990212170199</v>
      </c>
      <c r="D88" s="5">
        <f t="shared" si="3"/>
        <v>1.6229902121701976</v>
      </c>
    </row>
    <row r="89" spans="1:4">
      <c r="A89" s="5">
        <f t="shared" si="4"/>
        <v>88</v>
      </c>
      <c r="B89" s="5">
        <v>25.8</v>
      </c>
      <c r="C89" s="5">
        <f t="shared" si="5"/>
        <v>24.749196084868082</v>
      </c>
      <c r="D89" s="5">
        <f t="shared" si="3"/>
        <v>-1.0508039151319188</v>
      </c>
    </row>
    <row r="90" spans="1:4">
      <c r="A90" s="5">
        <f t="shared" si="4"/>
        <v>89</v>
      </c>
      <c r="B90" s="5">
        <v>26.2</v>
      </c>
      <c r="C90" s="5">
        <f t="shared" si="5"/>
        <v>25.379678433947234</v>
      </c>
      <c r="D90" s="5">
        <f t="shared" si="3"/>
        <v>-0.82032156605276541</v>
      </c>
    </row>
    <row r="91" spans="1:4">
      <c r="A91" s="5">
        <f t="shared" si="4"/>
        <v>90</v>
      </c>
      <c r="B91" s="5">
        <v>26.6</v>
      </c>
      <c r="C91" s="5">
        <f t="shared" si="5"/>
        <v>25.871871373578891</v>
      </c>
      <c r="D91" s="5">
        <f t="shared" si="3"/>
        <v>-0.72812862642111043</v>
      </c>
    </row>
    <row r="92" spans="1:4">
      <c r="A92" s="5">
        <f t="shared" si="4"/>
        <v>91</v>
      </c>
      <c r="B92" s="5">
        <v>26</v>
      </c>
      <c r="C92" s="5">
        <f t="shared" si="5"/>
        <v>26.308748549431556</v>
      </c>
      <c r="D92" s="5">
        <f t="shared" si="3"/>
        <v>0.30874854943155583</v>
      </c>
    </row>
    <row r="93" spans="1:4">
      <c r="A93" s="5">
        <f t="shared" si="4"/>
        <v>92</v>
      </c>
      <c r="B93" s="5">
        <v>26.6</v>
      </c>
      <c r="C93" s="5">
        <f t="shared" si="5"/>
        <v>26.123499419772621</v>
      </c>
      <c r="D93" s="5">
        <f t="shared" si="3"/>
        <v>-0.47650058022738051</v>
      </c>
    </row>
    <row r="94" spans="1:4">
      <c r="A94" s="5">
        <f t="shared" si="4"/>
        <v>93</v>
      </c>
      <c r="B94" s="5">
        <v>25.3</v>
      </c>
      <c r="C94" s="5">
        <f t="shared" si="5"/>
        <v>26.409399767909051</v>
      </c>
      <c r="D94" s="5">
        <f t="shared" si="3"/>
        <v>1.1093997679090499</v>
      </c>
    </row>
    <row r="95" spans="1:4">
      <c r="A95" s="5">
        <f t="shared" si="4"/>
        <v>94</v>
      </c>
      <c r="B95" s="5">
        <v>24.9</v>
      </c>
      <c r="C95" s="5">
        <f t="shared" si="5"/>
        <v>25.743759907163621</v>
      </c>
      <c r="D95" s="5">
        <f t="shared" si="3"/>
        <v>0.84375990716362281</v>
      </c>
    </row>
    <row r="96" spans="1:4">
      <c r="A96" s="5">
        <f t="shared" si="4"/>
        <v>95</v>
      </c>
      <c r="B96" s="5">
        <v>24.8</v>
      </c>
      <c r="C96" s="5">
        <f t="shared" si="5"/>
        <v>25.237503962865446</v>
      </c>
      <c r="D96" s="5">
        <f t="shared" si="3"/>
        <v>0.43750396286544557</v>
      </c>
    </row>
    <row r="97" spans="1:4">
      <c r="A97" s="5">
        <f t="shared" si="4"/>
        <v>96</v>
      </c>
      <c r="B97" s="5">
        <v>22.9</v>
      </c>
      <c r="C97" s="5">
        <f t="shared" si="5"/>
        <v>24.975001585146178</v>
      </c>
      <c r="D97" s="5">
        <f t="shared" si="3"/>
        <v>2.0750015851461789</v>
      </c>
    </row>
    <row r="98" spans="1:4">
      <c r="A98" s="5">
        <f t="shared" si="4"/>
        <v>97</v>
      </c>
      <c r="B98" s="5">
        <v>23.2</v>
      </c>
      <c r="C98" s="5">
        <f t="shared" si="5"/>
        <v>23.73000063405847</v>
      </c>
      <c r="D98" s="5">
        <f t="shared" si="3"/>
        <v>0.53000063405847087</v>
      </c>
    </row>
    <row r="99" spans="1:4">
      <c r="A99" s="5">
        <f t="shared" si="4"/>
        <v>98</v>
      </c>
      <c r="B99" s="5">
        <v>20.8</v>
      </c>
      <c r="C99" s="5">
        <f t="shared" si="5"/>
        <v>23.41200025362339</v>
      </c>
      <c r="D99" s="5">
        <f t="shared" si="3"/>
        <v>2.6120002536233891</v>
      </c>
    </row>
    <row r="100" spans="1:4">
      <c r="A100" s="5">
        <f t="shared" si="4"/>
        <v>99</v>
      </c>
      <c r="B100" s="5">
        <v>20.7</v>
      </c>
      <c r="C100" s="5">
        <f t="shared" si="5"/>
        <v>21.844800101449358</v>
      </c>
      <c r="D100" s="5">
        <f t="shared" si="3"/>
        <v>1.1448001014493592</v>
      </c>
    </row>
    <row r="101" spans="1:4">
      <c r="A101" s="5">
        <f t="shared" si="4"/>
        <v>100</v>
      </c>
      <c r="B101" s="5">
        <v>22.4</v>
      </c>
      <c r="C101" s="5">
        <f t="shared" si="5"/>
        <v>21.157920040579743</v>
      </c>
      <c r="D101" s="5">
        <f t="shared" si="3"/>
        <v>-1.2420799594202556</v>
      </c>
    </row>
    <row r="102" spans="1:4">
      <c r="A102" s="5">
        <f t="shared" si="4"/>
        <v>101</v>
      </c>
      <c r="B102" s="5">
        <v>23</v>
      </c>
      <c r="C102" s="5">
        <f t="shared" si="5"/>
        <v>21.903168016231895</v>
      </c>
      <c r="D102" s="5">
        <f t="shared" si="3"/>
        <v>-1.0968319837681051</v>
      </c>
    </row>
    <row r="103" spans="1:4">
      <c r="A103" s="5">
        <f t="shared" si="4"/>
        <v>102</v>
      </c>
      <c r="B103" s="5">
        <v>23.4</v>
      </c>
      <c r="C103" s="5">
        <f t="shared" si="5"/>
        <v>22.561267206492758</v>
      </c>
      <c r="D103" s="5">
        <f t="shared" si="3"/>
        <v>-0.83873279350724061</v>
      </c>
    </row>
    <row r="104" spans="1:4">
      <c r="A104" s="5">
        <f t="shared" si="4"/>
        <v>103</v>
      </c>
      <c r="B104" s="5">
        <v>23.1</v>
      </c>
      <c r="C104" s="5">
        <f t="shared" si="5"/>
        <v>23.064506882597101</v>
      </c>
      <c r="D104" s="5">
        <f t="shared" si="3"/>
        <v>-3.5493117402900509E-2</v>
      </c>
    </row>
    <row r="105" spans="1:4">
      <c r="A105" s="5">
        <f t="shared" si="4"/>
        <v>104</v>
      </c>
      <c r="B105" s="5">
        <v>22.6</v>
      </c>
      <c r="C105" s="5">
        <f t="shared" si="5"/>
        <v>23.085802753038841</v>
      </c>
      <c r="D105" s="5">
        <f t="shared" si="3"/>
        <v>0.4858027530388398</v>
      </c>
    </row>
    <row r="106" spans="1:4">
      <c r="A106" s="5">
        <f t="shared" si="4"/>
        <v>105</v>
      </c>
      <c r="B106" s="5">
        <v>21.6</v>
      </c>
      <c r="C106" s="5">
        <f t="shared" si="5"/>
        <v>22.794321101215537</v>
      </c>
      <c r="D106" s="5">
        <f t="shared" si="3"/>
        <v>1.1943211012155359</v>
      </c>
    </row>
    <row r="107" spans="1:4">
      <c r="A107" s="5">
        <f t="shared" si="4"/>
        <v>106</v>
      </c>
      <c r="B107" s="5">
        <v>21.1</v>
      </c>
      <c r="C107" s="5">
        <f t="shared" si="5"/>
        <v>22.077728440486219</v>
      </c>
      <c r="D107" s="5">
        <f t="shared" si="3"/>
        <v>0.97772844048621721</v>
      </c>
    </row>
    <row r="108" spans="1:4">
      <c r="A108" s="5">
        <f t="shared" si="4"/>
        <v>107</v>
      </c>
      <c r="B108" s="5">
        <v>21.3</v>
      </c>
      <c r="C108" s="5">
        <f t="shared" si="5"/>
        <v>21.49109137619449</v>
      </c>
      <c r="D108" s="5">
        <f t="shared" si="3"/>
        <v>0.19109137619448902</v>
      </c>
    </row>
    <row r="109" spans="1:4">
      <c r="A109" s="5">
        <f t="shared" si="4"/>
        <v>108</v>
      </c>
      <c r="B109" s="5">
        <v>20.3</v>
      </c>
      <c r="C109" s="5">
        <f t="shared" si="5"/>
        <v>21.376436550477795</v>
      </c>
      <c r="D109" s="5">
        <f t="shared" si="3"/>
        <v>1.0764365504777942</v>
      </c>
    </row>
    <row r="110" spans="1:4">
      <c r="A110" s="5">
        <f t="shared" si="4"/>
        <v>109</v>
      </c>
      <c r="B110" s="5">
        <v>19.7</v>
      </c>
      <c r="C110" s="5">
        <f t="shared" si="5"/>
        <v>20.730574620191121</v>
      </c>
      <c r="D110" s="5">
        <f t="shared" si="3"/>
        <v>1.0305746201911212</v>
      </c>
    </row>
    <row r="111" spans="1:4">
      <c r="A111" s="5">
        <f t="shared" si="4"/>
        <v>110</v>
      </c>
      <c r="B111" s="5">
        <v>18.5</v>
      </c>
      <c r="C111" s="5">
        <f t="shared" si="5"/>
        <v>20.112229848076446</v>
      </c>
      <c r="D111" s="5">
        <f t="shared" si="3"/>
        <v>1.6122298480764456</v>
      </c>
    </row>
    <row r="112" spans="1:4">
      <c r="A112" s="5">
        <f t="shared" si="4"/>
        <v>111</v>
      </c>
      <c r="B112" s="5">
        <v>17.899999999999999</v>
      </c>
      <c r="C112" s="5">
        <f t="shared" si="5"/>
        <v>19.144891939230579</v>
      </c>
      <c r="D112" s="5">
        <f t="shared" si="3"/>
        <v>1.2448919392305804</v>
      </c>
    </row>
    <row r="113" spans="1:4">
      <c r="A113" s="5">
        <f t="shared" si="4"/>
        <v>112</v>
      </c>
      <c r="B113" s="5">
        <v>19.899999999999999</v>
      </c>
      <c r="C113" s="5">
        <f t="shared" si="5"/>
        <v>18.397956775692229</v>
      </c>
      <c r="D113" s="5">
        <f t="shared" si="3"/>
        <v>-1.5020432243077693</v>
      </c>
    </row>
    <row r="114" spans="1:4">
      <c r="A114" s="5">
        <f t="shared" si="4"/>
        <v>113</v>
      </c>
      <c r="B114" s="5">
        <v>20.6</v>
      </c>
      <c r="C114" s="5">
        <f t="shared" si="5"/>
        <v>19.299182710276892</v>
      </c>
      <c r="D114" s="5">
        <f t="shared" si="3"/>
        <v>-1.3008172897231098</v>
      </c>
    </row>
    <row r="115" spans="1:4">
      <c r="A115" s="5">
        <f t="shared" si="4"/>
        <v>114</v>
      </c>
      <c r="B115" s="5">
        <v>20.9</v>
      </c>
      <c r="C115" s="5">
        <f t="shared" si="5"/>
        <v>20.079673084110759</v>
      </c>
      <c r="D115" s="5">
        <f t="shared" si="3"/>
        <v>-0.82032691588923967</v>
      </c>
    </row>
    <row r="116" spans="1:4">
      <c r="A116" s="5">
        <f t="shared" si="4"/>
        <v>115</v>
      </c>
      <c r="B116" s="5">
        <v>20.3</v>
      </c>
      <c r="C116" s="5">
        <f t="shared" si="5"/>
        <v>20.571869233644303</v>
      </c>
      <c r="D116" s="5">
        <f t="shared" si="3"/>
        <v>0.27186923364430271</v>
      </c>
    </row>
    <row r="117" spans="1:4">
      <c r="A117" s="5">
        <f t="shared" si="4"/>
        <v>116</v>
      </c>
      <c r="B117" s="5">
        <v>21.2</v>
      </c>
      <c r="C117" s="5">
        <f t="shared" si="5"/>
        <v>20.40874769345772</v>
      </c>
      <c r="D117" s="5">
        <f t="shared" si="3"/>
        <v>-0.79125230654227963</v>
      </c>
    </row>
    <row r="118" spans="1:4">
      <c r="A118" s="5">
        <f t="shared" si="4"/>
        <v>117</v>
      </c>
      <c r="B118" s="5">
        <v>19.8</v>
      </c>
      <c r="C118" s="5">
        <f t="shared" si="5"/>
        <v>20.883499077383085</v>
      </c>
      <c r="D118" s="5">
        <f t="shared" si="3"/>
        <v>1.0834990773830846</v>
      </c>
    </row>
    <row r="119" spans="1:4">
      <c r="A119" s="5">
        <f t="shared" si="4"/>
        <v>118</v>
      </c>
      <c r="B119" s="5">
        <v>19.8</v>
      </c>
      <c r="C119" s="5">
        <f t="shared" si="5"/>
        <v>20.233399630953237</v>
      </c>
      <c r="D119" s="5">
        <f t="shared" si="3"/>
        <v>0.43339963095323597</v>
      </c>
    </row>
    <row r="120" spans="1:4">
      <c r="A120" s="5">
        <f t="shared" si="4"/>
        <v>119</v>
      </c>
      <c r="B120" s="5">
        <v>19.7</v>
      </c>
      <c r="C120" s="5">
        <f t="shared" si="5"/>
        <v>19.973359852381297</v>
      </c>
      <c r="D120" s="5">
        <f t="shared" si="3"/>
        <v>0.27335985238129723</v>
      </c>
    </row>
    <row r="121" spans="1:4">
      <c r="A121" s="5">
        <f t="shared" si="4"/>
        <v>120</v>
      </c>
      <c r="B121" s="5">
        <v>19.399999999999999</v>
      </c>
      <c r="C121" s="5">
        <f t="shared" si="5"/>
        <v>19.809343940952516</v>
      </c>
      <c r="D121" s="5">
        <f t="shared" si="3"/>
        <v>0.40934394095251747</v>
      </c>
    </row>
    <row r="122" spans="1:4">
      <c r="A122" s="5">
        <f t="shared" si="4"/>
        <v>121</v>
      </c>
      <c r="B122" s="5">
        <v>23.2</v>
      </c>
      <c r="C122" s="5">
        <f t="shared" si="5"/>
        <v>19.563737576381005</v>
      </c>
      <c r="D122" s="5">
        <f t="shared" si="3"/>
        <v>-3.6362624236189944</v>
      </c>
    </row>
    <row r="123" spans="1:4">
      <c r="A123" s="5">
        <f t="shared" si="4"/>
        <v>122</v>
      </c>
      <c r="B123" s="5">
        <v>21.6</v>
      </c>
      <c r="C123" s="5">
        <f t="shared" si="5"/>
        <v>21.745495030552402</v>
      </c>
      <c r="D123" s="5">
        <f t="shared" si="3"/>
        <v>0.1454950305524001</v>
      </c>
    </row>
    <row r="124" spans="1:4">
      <c r="A124" s="5">
        <f t="shared" si="4"/>
        <v>123</v>
      </c>
      <c r="B124" s="5">
        <v>22.5</v>
      </c>
      <c r="C124" s="5">
        <f t="shared" si="5"/>
        <v>21.658198012220964</v>
      </c>
      <c r="D124" s="5">
        <f t="shared" si="3"/>
        <v>-0.8418019877790357</v>
      </c>
    </row>
    <row r="125" spans="1:4">
      <c r="A125" s="5">
        <f t="shared" si="4"/>
        <v>124</v>
      </c>
      <c r="B125" s="5">
        <v>23.2</v>
      </c>
      <c r="C125" s="5">
        <f t="shared" si="5"/>
        <v>22.163279204888386</v>
      </c>
      <c r="D125" s="5">
        <f t="shared" si="3"/>
        <v>-1.0367207951116129</v>
      </c>
    </row>
    <row r="126" spans="1:4">
      <c r="A126" s="5">
        <f t="shared" si="4"/>
        <v>125</v>
      </c>
      <c r="B126" s="5">
        <v>23.5</v>
      </c>
      <c r="C126" s="5">
        <f t="shared" si="5"/>
        <v>22.785311681955356</v>
      </c>
      <c r="D126" s="5">
        <f t="shared" si="3"/>
        <v>-0.71468831804464372</v>
      </c>
    </row>
    <row r="127" spans="1:4">
      <c r="A127" s="5">
        <f t="shared" si="4"/>
        <v>126</v>
      </c>
      <c r="B127" s="5">
        <v>24.3</v>
      </c>
      <c r="C127" s="5">
        <f t="shared" si="5"/>
        <v>23.214124672782141</v>
      </c>
      <c r="D127" s="5">
        <f t="shared" si="3"/>
        <v>-1.0858753272178596</v>
      </c>
    </row>
    <row r="128" spans="1:4">
      <c r="A128" s="5">
        <f t="shared" si="4"/>
        <v>127</v>
      </c>
      <c r="B128" s="5">
        <v>23.6</v>
      </c>
      <c r="C128" s="5">
        <f t="shared" si="5"/>
        <v>23.865649869112858</v>
      </c>
      <c r="D128" s="5">
        <f t="shared" si="3"/>
        <v>0.26564986911285615</v>
      </c>
    </row>
    <row r="129" spans="1:4">
      <c r="A129" s="5">
        <f t="shared" si="4"/>
        <v>128</v>
      </c>
      <c r="B129" s="5">
        <v>24.4</v>
      </c>
      <c r="C129" s="5">
        <f t="shared" si="5"/>
        <v>23.706259947645144</v>
      </c>
      <c r="D129" s="5">
        <f t="shared" si="3"/>
        <v>-0.6937400523548547</v>
      </c>
    </row>
    <row r="130" spans="1:4">
      <c r="A130" s="5">
        <f t="shared" si="4"/>
        <v>129</v>
      </c>
      <c r="B130" s="5">
        <v>23.5</v>
      </c>
      <c r="C130" s="5">
        <f t="shared" si="5"/>
        <v>24.122503979058056</v>
      </c>
      <c r="D130" s="5">
        <f t="shared" si="3"/>
        <v>0.62250397905805599</v>
      </c>
    </row>
    <row r="131" spans="1:4">
      <c r="A131" s="5">
        <f t="shared" si="4"/>
        <v>130</v>
      </c>
      <c r="B131" s="5">
        <v>23.4</v>
      </c>
      <c r="C131" s="5">
        <f t="shared" si="5"/>
        <v>23.749001591623223</v>
      </c>
      <c r="D131" s="5">
        <f t="shared" ref="D131:D157" si="6">C131-B131</f>
        <v>0.34900159162322453</v>
      </c>
    </row>
    <row r="132" spans="1:4">
      <c r="A132" s="5">
        <f t="shared" ref="A132:A157" si="7">A131+1</f>
        <v>131</v>
      </c>
      <c r="B132" s="5">
        <v>22.9</v>
      </c>
      <c r="C132" s="5">
        <f t="shared" ref="C132:C157" si="8">B131*$I$2+(1-$I$2)*C131</f>
        <v>23.53960063664929</v>
      </c>
      <c r="D132" s="5">
        <f t="shared" si="6"/>
        <v>0.63960063664929123</v>
      </c>
    </row>
    <row r="133" spans="1:4">
      <c r="A133" s="5">
        <f t="shared" si="7"/>
        <v>132</v>
      </c>
      <c r="B133" s="5">
        <v>22.9</v>
      </c>
      <c r="C133" s="5">
        <f t="shared" si="8"/>
        <v>23.155840254659715</v>
      </c>
      <c r="D133" s="5">
        <f t="shared" si="6"/>
        <v>0.25584025465971649</v>
      </c>
    </row>
    <row r="134" spans="1:4">
      <c r="A134" s="5">
        <f t="shared" si="7"/>
        <v>133</v>
      </c>
      <c r="B134" s="5">
        <v>23.4</v>
      </c>
      <c r="C134" s="5">
        <f t="shared" si="8"/>
        <v>23.002336101863882</v>
      </c>
      <c r="D134" s="5">
        <f t="shared" si="6"/>
        <v>-0.39766389813611625</v>
      </c>
    </row>
    <row r="135" spans="1:4">
      <c r="A135" s="5">
        <f t="shared" si="7"/>
        <v>134</v>
      </c>
      <c r="B135" s="5">
        <v>22.5</v>
      </c>
      <c r="C135" s="5">
        <f t="shared" si="8"/>
        <v>23.240934440745555</v>
      </c>
      <c r="D135" s="5">
        <f t="shared" si="6"/>
        <v>0.74093444074555492</v>
      </c>
    </row>
    <row r="136" spans="1:4">
      <c r="A136" s="5">
        <f t="shared" si="7"/>
        <v>135</v>
      </c>
      <c r="B136" s="5">
        <v>21.5</v>
      </c>
      <c r="C136" s="5">
        <f t="shared" si="8"/>
        <v>22.796373776298225</v>
      </c>
      <c r="D136" s="5">
        <f t="shared" si="6"/>
        <v>1.2963737762982248</v>
      </c>
    </row>
    <row r="137" spans="1:4">
      <c r="A137" s="5">
        <f t="shared" si="7"/>
        <v>136</v>
      </c>
      <c r="B137" s="5">
        <v>23</v>
      </c>
      <c r="C137" s="5">
        <f t="shared" si="8"/>
        <v>22.018549510519293</v>
      </c>
      <c r="D137" s="5">
        <f t="shared" si="6"/>
        <v>-0.98145048948070723</v>
      </c>
    </row>
    <row r="138" spans="1:4">
      <c r="A138" s="5">
        <f t="shared" si="7"/>
        <v>137</v>
      </c>
      <c r="B138" s="5">
        <v>24.1</v>
      </c>
      <c r="C138" s="5">
        <f t="shared" si="8"/>
        <v>22.607419804207716</v>
      </c>
      <c r="D138" s="5">
        <f t="shared" si="6"/>
        <v>-1.4925801957922857</v>
      </c>
    </row>
    <row r="139" spans="1:4">
      <c r="A139" s="5">
        <f t="shared" si="7"/>
        <v>138</v>
      </c>
      <c r="B139" s="5">
        <v>24.4</v>
      </c>
      <c r="C139" s="5">
        <f t="shared" si="8"/>
        <v>23.502967921683087</v>
      </c>
      <c r="D139" s="5">
        <f t="shared" si="6"/>
        <v>-0.89703207831691145</v>
      </c>
    </row>
    <row r="140" spans="1:4">
      <c r="A140" s="5">
        <f t="shared" si="7"/>
        <v>139</v>
      </c>
      <c r="B140" s="5">
        <v>23.2</v>
      </c>
      <c r="C140" s="5">
        <f t="shared" si="8"/>
        <v>24.041187168673233</v>
      </c>
      <c r="D140" s="5">
        <f t="shared" si="6"/>
        <v>0.84118716867323329</v>
      </c>
    </row>
    <row r="141" spans="1:4">
      <c r="A141" s="5">
        <f t="shared" si="7"/>
        <v>140</v>
      </c>
      <c r="B141" s="5">
        <v>25</v>
      </c>
      <c r="C141" s="5">
        <f t="shared" si="8"/>
        <v>23.536474867469295</v>
      </c>
      <c r="D141" s="5">
        <f t="shared" si="6"/>
        <v>-1.4635251325307053</v>
      </c>
    </row>
    <row r="142" spans="1:4">
      <c r="A142" s="5">
        <f t="shared" si="7"/>
        <v>141</v>
      </c>
      <c r="B142" s="5">
        <v>23</v>
      </c>
      <c r="C142" s="5">
        <f t="shared" si="8"/>
        <v>24.414589946987718</v>
      </c>
      <c r="D142" s="5">
        <f t="shared" si="6"/>
        <v>1.4145899469877179</v>
      </c>
    </row>
    <row r="143" spans="1:4">
      <c r="A143" s="5">
        <f t="shared" si="7"/>
        <v>142</v>
      </c>
      <c r="B143" s="5">
        <v>23.9</v>
      </c>
      <c r="C143" s="5">
        <f t="shared" si="8"/>
        <v>23.565835978795086</v>
      </c>
      <c r="D143" s="5">
        <f t="shared" si="6"/>
        <v>-0.33416402120491284</v>
      </c>
    </row>
    <row r="144" spans="1:4">
      <c r="A144" s="5">
        <f t="shared" si="7"/>
        <v>143</v>
      </c>
      <c r="B144" s="5">
        <v>23.6</v>
      </c>
      <c r="C144" s="5">
        <f t="shared" si="8"/>
        <v>23.766334391518033</v>
      </c>
      <c r="D144" s="5">
        <f t="shared" si="6"/>
        <v>0.16633439151803131</v>
      </c>
    </row>
    <row r="145" spans="1:4">
      <c r="A145" s="5">
        <f t="shared" si="7"/>
        <v>144</v>
      </c>
      <c r="B145" s="5">
        <v>22.4</v>
      </c>
      <c r="C145" s="5">
        <f t="shared" si="8"/>
        <v>23.666533756607215</v>
      </c>
      <c r="D145" s="5">
        <f t="shared" si="6"/>
        <v>1.2665337566072168</v>
      </c>
    </row>
    <row r="146" spans="1:4">
      <c r="A146" s="5">
        <f t="shared" si="7"/>
        <v>145</v>
      </c>
      <c r="B146" s="5">
        <v>22.5</v>
      </c>
      <c r="C146" s="5">
        <f t="shared" si="8"/>
        <v>22.906613502642884</v>
      </c>
      <c r="D146" s="5">
        <f t="shared" si="6"/>
        <v>0.40661350264288387</v>
      </c>
    </row>
    <row r="147" spans="1:4">
      <c r="A147" s="5">
        <f t="shared" si="7"/>
        <v>146</v>
      </c>
      <c r="B147" s="5">
        <v>22</v>
      </c>
      <c r="C147" s="5">
        <f t="shared" si="8"/>
        <v>22.662645401057155</v>
      </c>
      <c r="D147" s="5">
        <f t="shared" si="6"/>
        <v>0.66264540105715497</v>
      </c>
    </row>
    <row r="148" spans="1:4">
      <c r="A148" s="5">
        <f t="shared" si="7"/>
        <v>147</v>
      </c>
      <c r="B148" s="5">
        <v>22.8</v>
      </c>
      <c r="C148" s="5">
        <f t="shared" si="8"/>
        <v>22.265058160422861</v>
      </c>
      <c r="D148" s="5">
        <f t="shared" si="6"/>
        <v>-0.53494183957714014</v>
      </c>
    </row>
    <row r="149" spans="1:4">
      <c r="A149" s="5">
        <f t="shared" si="7"/>
        <v>148</v>
      </c>
      <c r="B149" s="5">
        <v>20.399999999999999</v>
      </c>
      <c r="C149" s="5">
        <f t="shared" si="8"/>
        <v>22.586023264169143</v>
      </c>
      <c r="D149" s="5">
        <f t="shared" si="6"/>
        <v>2.1860232641691439</v>
      </c>
    </row>
    <row r="150" spans="1:4">
      <c r="A150" s="5">
        <f t="shared" si="7"/>
        <v>149</v>
      </c>
      <c r="B150" s="5">
        <v>25.5</v>
      </c>
      <c r="C150" s="5">
        <f t="shared" si="8"/>
        <v>21.274409305667653</v>
      </c>
      <c r="D150" s="5">
        <f t="shared" si="6"/>
        <v>-4.2255906943323467</v>
      </c>
    </row>
    <row r="151" spans="1:4">
      <c r="A151" s="5">
        <f t="shared" si="7"/>
        <v>150</v>
      </c>
      <c r="B151" s="5">
        <v>21.5</v>
      </c>
      <c r="C151" s="5">
        <f t="shared" si="8"/>
        <v>23.809763722267061</v>
      </c>
      <c r="D151" s="5">
        <f t="shared" si="6"/>
        <v>2.3097637222670606</v>
      </c>
    </row>
    <row r="152" spans="1:4">
      <c r="A152" s="5">
        <f t="shared" si="7"/>
        <v>151</v>
      </c>
      <c r="B152" s="5">
        <v>24.7</v>
      </c>
      <c r="C152" s="5">
        <f t="shared" si="8"/>
        <v>22.423905488906826</v>
      </c>
      <c r="D152" s="5">
        <f t="shared" si="6"/>
        <v>-2.2760945110931736</v>
      </c>
    </row>
    <row r="153" spans="1:4">
      <c r="A153" s="5">
        <f t="shared" si="7"/>
        <v>152</v>
      </c>
      <c r="B153" s="5">
        <v>26.2</v>
      </c>
      <c r="C153" s="5">
        <f t="shared" si="8"/>
        <v>23.789562195562731</v>
      </c>
      <c r="D153" s="5">
        <f t="shared" si="6"/>
        <v>-2.4104378044372687</v>
      </c>
    </row>
    <row r="154" spans="1:4">
      <c r="A154" s="5">
        <f t="shared" si="7"/>
        <v>153</v>
      </c>
      <c r="B154" s="5">
        <v>21.2</v>
      </c>
      <c r="C154" s="5">
        <f t="shared" si="8"/>
        <v>25.235824878225092</v>
      </c>
      <c r="D154" s="5">
        <f t="shared" si="6"/>
        <v>4.0358248782250925</v>
      </c>
    </row>
    <row r="155" spans="1:4">
      <c r="A155" s="5">
        <f t="shared" si="7"/>
        <v>154</v>
      </c>
      <c r="B155" s="5">
        <v>23.7</v>
      </c>
      <c r="C155" s="5">
        <f t="shared" si="8"/>
        <v>22.814329951290034</v>
      </c>
      <c r="D155" s="5">
        <f t="shared" si="6"/>
        <v>-0.88567004870996513</v>
      </c>
    </row>
    <row r="156" spans="1:4">
      <c r="A156" s="5">
        <f t="shared" si="7"/>
        <v>155</v>
      </c>
      <c r="B156" s="5">
        <v>23.5</v>
      </c>
      <c r="C156" s="5">
        <f t="shared" si="8"/>
        <v>23.345731980516014</v>
      </c>
      <c r="D156" s="5">
        <f t="shared" si="6"/>
        <v>-0.15426801948398605</v>
      </c>
    </row>
    <row r="157" spans="1:4">
      <c r="A157" s="5">
        <f t="shared" si="7"/>
        <v>156</v>
      </c>
      <c r="B157" s="5">
        <v>22.4</v>
      </c>
      <c r="C157" s="5">
        <f t="shared" si="8"/>
        <v>23.438292792206404</v>
      </c>
      <c r="D157" s="5">
        <f t="shared" si="6"/>
        <v>1.0382927922064056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007800"/>
  </sheetPr>
  <dimension ref="B1:I216"/>
  <sheetViews>
    <sheetView topLeftCell="A8" zoomScaleNormal="100" workbookViewId="0">
      <selection activeCell="C30" sqref="C30"/>
    </sheetView>
  </sheetViews>
  <sheetFormatPr baseColWidth="10" defaultColWidth="8.83203125" defaultRowHeight="15"/>
  <cols>
    <col min="1" max="1" width="5" customWidth="1"/>
  </cols>
  <sheetData>
    <row r="1" spans="2:9">
      <c r="B1" t="s">
        <v>247</v>
      </c>
    </row>
    <row r="2" spans="2:9">
      <c r="B2" t="s">
        <v>227</v>
      </c>
    </row>
    <row r="3" spans="2:9">
      <c r="B3" t="s">
        <v>228</v>
      </c>
    </row>
    <row r="4" spans="2:9">
      <c r="B4" t="s">
        <v>229</v>
      </c>
    </row>
    <row r="5" spans="2:9">
      <c r="B5" t="s">
        <v>230</v>
      </c>
    </row>
    <row r="6" spans="2:9">
      <c r="B6" t="s">
        <v>246</v>
      </c>
    </row>
    <row r="7" spans="2:9">
      <c r="B7" t="s">
        <v>175</v>
      </c>
    </row>
    <row r="8" spans="2:9" ht="34.25" customHeight="1"/>
    <row r="9" spans="2:9" ht="16.25" customHeight="1"/>
    <row r="12" spans="2:9">
      <c r="B12" s="27" t="s">
        <v>180</v>
      </c>
    </row>
    <row r="13" spans="2:9" ht="16" thickBot="1"/>
    <row r="14" spans="2:9">
      <c r="B14" s="11" t="s">
        <v>181</v>
      </c>
      <c r="C14" s="12" t="s">
        <v>182</v>
      </c>
      <c r="D14" s="12" t="s">
        <v>183</v>
      </c>
      <c r="E14" s="12" t="s">
        <v>184</v>
      </c>
      <c r="F14" s="12" t="s">
        <v>185</v>
      </c>
      <c r="G14" s="12" t="s">
        <v>186</v>
      </c>
      <c r="H14" s="12" t="s">
        <v>187</v>
      </c>
      <c r="I14" s="12" t="s">
        <v>188</v>
      </c>
    </row>
    <row r="15" spans="2:9" ht="16" thickBot="1">
      <c r="B15" s="29" t="s">
        <v>5</v>
      </c>
      <c r="C15" s="30">
        <v>156</v>
      </c>
      <c r="D15" s="30">
        <v>0</v>
      </c>
      <c r="E15" s="30">
        <v>156</v>
      </c>
      <c r="F15" s="31">
        <v>17.899999999999999</v>
      </c>
      <c r="G15" s="31">
        <v>54.2</v>
      </c>
      <c r="H15" s="31">
        <v>31.433974358974371</v>
      </c>
      <c r="I15" s="31">
        <v>9.8384990777335712</v>
      </c>
    </row>
    <row r="18" spans="2:3">
      <c r="B18" s="27" t="s">
        <v>233</v>
      </c>
    </row>
    <row r="19" spans="2:3" ht="16" thickBot="1"/>
    <row r="20" spans="2:3">
      <c r="B20" s="11" t="s">
        <v>234</v>
      </c>
      <c r="C20" s="12" t="s">
        <v>206</v>
      </c>
    </row>
    <row r="21" spans="2:3">
      <c r="B21" s="32" t="s">
        <v>182</v>
      </c>
      <c r="C21" s="24">
        <v>156</v>
      </c>
    </row>
    <row r="22" spans="2:3">
      <c r="B22" s="28" t="s">
        <v>192</v>
      </c>
      <c r="C22" s="25">
        <v>155</v>
      </c>
    </row>
    <row r="23" spans="2:3">
      <c r="B23" s="28" t="s">
        <v>193</v>
      </c>
      <c r="C23" s="22">
        <v>580.52314409586495</v>
      </c>
    </row>
    <row r="24" spans="2:3">
      <c r="B24" s="28" t="s">
        <v>194</v>
      </c>
      <c r="C24" s="22">
        <v>3.7453106070700963</v>
      </c>
    </row>
    <row r="25" spans="2:3">
      <c r="B25" s="28" t="s">
        <v>167</v>
      </c>
      <c r="C25" s="22">
        <v>1.9352804982921976</v>
      </c>
    </row>
    <row r="26" spans="2:3">
      <c r="B26" s="28" t="s">
        <v>197</v>
      </c>
      <c r="C26" s="22">
        <v>4.7256918789907996</v>
      </c>
    </row>
    <row r="27" spans="2:3">
      <c r="B27" s="28" t="s">
        <v>235</v>
      </c>
      <c r="C27" s="22">
        <v>-1.1561137013706146</v>
      </c>
    </row>
    <row r="28" spans="2:3">
      <c r="B28" s="28" t="s">
        <v>236</v>
      </c>
      <c r="C28" s="22">
        <v>1.4692732685388126</v>
      </c>
    </row>
    <row r="29" spans="2:3" ht="16" thickBot="1">
      <c r="B29" s="33" t="s">
        <v>237</v>
      </c>
      <c r="C29" s="21">
        <v>0.96004918103282211</v>
      </c>
    </row>
    <row r="32" spans="2:3">
      <c r="B32" s="27" t="s">
        <v>240</v>
      </c>
    </row>
    <row r="33" spans="2:5" ht="16" thickBot="1"/>
    <row r="34" spans="2:5">
      <c r="B34" s="11" t="s">
        <v>234</v>
      </c>
      <c r="C34" s="12" t="s">
        <v>205</v>
      </c>
    </row>
    <row r="35" spans="2:5">
      <c r="B35" s="32" t="s">
        <v>241</v>
      </c>
      <c r="C35" s="24">
        <v>0.6</v>
      </c>
    </row>
    <row r="36" spans="2:5" ht="16" thickBot="1">
      <c r="B36" s="33" t="s">
        <v>242</v>
      </c>
      <c r="C36" s="26">
        <v>53.1</v>
      </c>
    </row>
    <row r="39" spans="2:5">
      <c r="B39" s="27" t="s">
        <v>243</v>
      </c>
    </row>
    <row r="40" spans="2:5" ht="16" thickBot="1"/>
    <row r="41" spans="2:5">
      <c r="B41" s="23"/>
      <c r="C41" s="12" t="s">
        <v>5</v>
      </c>
      <c r="D41" s="12" t="s">
        <v>244</v>
      </c>
      <c r="E41" s="12" t="s">
        <v>216</v>
      </c>
    </row>
    <row r="42" spans="2:5">
      <c r="B42" s="24">
        <v>1</v>
      </c>
      <c r="C42" s="20">
        <v>53.1</v>
      </c>
      <c r="D42" s="20"/>
      <c r="E42" s="20"/>
    </row>
    <row r="43" spans="2:5">
      <c r="B43" s="25">
        <v>2</v>
      </c>
      <c r="C43" s="22">
        <v>50.8</v>
      </c>
      <c r="D43" s="22">
        <v>53.1</v>
      </c>
      <c r="E43" s="22">
        <v>-2.3000000000000043</v>
      </c>
    </row>
    <row r="44" spans="2:5">
      <c r="B44" s="25">
        <v>3</v>
      </c>
      <c r="C44" s="22">
        <v>50.1</v>
      </c>
      <c r="D44" s="22">
        <v>51.72</v>
      </c>
      <c r="E44" s="22">
        <v>-1.6199999999999974</v>
      </c>
    </row>
    <row r="45" spans="2:5">
      <c r="B45" s="25">
        <v>4</v>
      </c>
      <c r="C45" s="22">
        <v>51.8</v>
      </c>
      <c r="D45" s="22">
        <v>50.748000000000005</v>
      </c>
      <c r="E45" s="22">
        <v>1.0519999999999925</v>
      </c>
    </row>
    <row r="46" spans="2:5">
      <c r="B46" s="25">
        <v>5</v>
      </c>
      <c r="C46" s="22">
        <v>53.9</v>
      </c>
      <c r="D46" s="22">
        <v>51.379199999999997</v>
      </c>
      <c r="E46" s="22">
        <v>2.5208000000000013</v>
      </c>
    </row>
    <row r="47" spans="2:5">
      <c r="B47" s="25">
        <v>6</v>
      </c>
      <c r="C47" s="22">
        <v>54.2</v>
      </c>
      <c r="D47" s="22">
        <v>52.891679999999994</v>
      </c>
      <c r="E47" s="22">
        <v>1.308320000000009</v>
      </c>
    </row>
    <row r="48" spans="2:5">
      <c r="B48" s="25">
        <v>7</v>
      </c>
      <c r="C48" s="22">
        <v>50.2</v>
      </c>
      <c r="D48" s="22">
        <v>53.676672000000003</v>
      </c>
      <c r="E48" s="22">
        <v>-3.4766720000000007</v>
      </c>
    </row>
    <row r="49" spans="2:5">
      <c r="B49" s="25">
        <v>8</v>
      </c>
      <c r="C49" s="22">
        <v>53.4</v>
      </c>
      <c r="D49" s="22">
        <v>51.590668800000003</v>
      </c>
      <c r="E49" s="22">
        <v>1.8093311999999955</v>
      </c>
    </row>
    <row r="50" spans="2:5">
      <c r="B50" s="25">
        <v>9</v>
      </c>
      <c r="C50" s="22">
        <v>50.7</v>
      </c>
      <c r="D50" s="22">
        <v>52.676267520000003</v>
      </c>
      <c r="E50" s="22">
        <v>-1.9762675200000004</v>
      </c>
    </row>
    <row r="51" spans="2:5">
      <c r="B51" s="25">
        <v>10</v>
      </c>
      <c r="C51" s="22">
        <v>48.4</v>
      </c>
      <c r="D51" s="22">
        <v>51.490507008000009</v>
      </c>
      <c r="E51" s="22">
        <v>-3.0905070080000101</v>
      </c>
    </row>
    <row r="52" spans="2:5">
      <c r="B52" s="25">
        <v>11</v>
      </c>
      <c r="C52" s="22">
        <v>50.9</v>
      </c>
      <c r="D52" s="22">
        <v>49.636202803200007</v>
      </c>
      <c r="E52" s="22">
        <v>1.2637971967999917</v>
      </c>
    </row>
    <row r="53" spans="2:5">
      <c r="B53" s="25">
        <v>12</v>
      </c>
      <c r="C53" s="22">
        <v>44.7</v>
      </c>
      <c r="D53" s="22">
        <v>50.394481121280002</v>
      </c>
      <c r="E53" s="22">
        <v>-5.6944811212799991</v>
      </c>
    </row>
    <row r="54" spans="2:5">
      <c r="B54" s="25">
        <v>13</v>
      </c>
      <c r="C54" s="22">
        <v>46</v>
      </c>
      <c r="D54" s="22">
        <v>46.977792448512005</v>
      </c>
      <c r="E54" s="22">
        <v>-0.97779244851200531</v>
      </c>
    </row>
    <row r="55" spans="2:5">
      <c r="B55" s="25">
        <v>14</v>
      </c>
      <c r="C55" s="22">
        <v>44.7</v>
      </c>
      <c r="D55" s="22">
        <v>46.391116979404799</v>
      </c>
      <c r="E55" s="22">
        <v>-1.6911169794047964</v>
      </c>
    </row>
    <row r="56" spans="2:5">
      <c r="B56" s="25">
        <v>15</v>
      </c>
      <c r="C56" s="22">
        <v>44.7</v>
      </c>
      <c r="D56" s="22">
        <v>45.376446791761921</v>
      </c>
      <c r="E56" s="22">
        <v>-0.67644679176191858</v>
      </c>
    </row>
    <row r="57" spans="2:5">
      <c r="B57" s="25">
        <v>16</v>
      </c>
      <c r="C57" s="22">
        <v>45.2</v>
      </c>
      <c r="D57" s="22">
        <v>44.970578716704765</v>
      </c>
      <c r="E57" s="22">
        <v>0.22942128329523825</v>
      </c>
    </row>
    <row r="58" spans="2:5">
      <c r="B58" s="25">
        <v>17</v>
      </c>
      <c r="C58" s="22">
        <v>47.7</v>
      </c>
      <c r="D58" s="22">
        <v>45.108231486681909</v>
      </c>
      <c r="E58" s="22">
        <v>2.5917685133180939</v>
      </c>
    </row>
    <row r="59" spans="2:5">
      <c r="B59" s="25">
        <v>18</v>
      </c>
      <c r="C59" s="22">
        <v>46.8</v>
      </c>
      <c r="D59" s="22">
        <v>46.663292594672768</v>
      </c>
      <c r="E59" s="22">
        <v>0.13670740532722903</v>
      </c>
    </row>
    <row r="60" spans="2:5">
      <c r="B60" s="25">
        <v>19</v>
      </c>
      <c r="C60" s="22">
        <v>43.3</v>
      </c>
      <c r="D60" s="22">
        <v>46.745317037869107</v>
      </c>
      <c r="E60" s="22">
        <v>-3.4453170378691098</v>
      </c>
    </row>
    <row r="61" spans="2:5">
      <c r="B61" s="25">
        <v>20</v>
      </c>
      <c r="C61" s="22">
        <v>49.1</v>
      </c>
      <c r="D61" s="22">
        <v>44.678126815147635</v>
      </c>
      <c r="E61" s="22">
        <v>4.421873184852366</v>
      </c>
    </row>
    <row r="62" spans="2:5">
      <c r="B62" s="25">
        <v>21</v>
      </c>
      <c r="C62" s="22">
        <v>45.2</v>
      </c>
      <c r="D62" s="22">
        <v>47.331250726059054</v>
      </c>
      <c r="E62" s="22">
        <v>-2.1312507260590507</v>
      </c>
    </row>
    <row r="63" spans="2:5">
      <c r="B63" s="25">
        <v>22</v>
      </c>
      <c r="C63" s="22">
        <v>45.2</v>
      </c>
      <c r="D63" s="22">
        <v>46.052500290423623</v>
      </c>
      <c r="E63" s="22">
        <v>-0.8525002904236203</v>
      </c>
    </row>
    <row r="64" spans="2:5">
      <c r="B64" s="25">
        <v>23</v>
      </c>
      <c r="C64" s="22">
        <v>46.5</v>
      </c>
      <c r="D64" s="22">
        <v>45.54100011616945</v>
      </c>
      <c r="E64" s="22">
        <v>0.95899988383055046</v>
      </c>
    </row>
    <row r="65" spans="2:5">
      <c r="B65" s="25">
        <v>24</v>
      </c>
      <c r="C65" s="22">
        <v>41.7</v>
      </c>
      <c r="D65" s="22">
        <v>46.116400046467774</v>
      </c>
      <c r="E65" s="22">
        <v>-4.4164000464677713</v>
      </c>
    </row>
    <row r="66" spans="2:5">
      <c r="B66" s="25">
        <v>25</v>
      </c>
      <c r="C66" s="22">
        <v>44.7</v>
      </c>
      <c r="D66" s="22">
        <v>43.46656001858711</v>
      </c>
      <c r="E66" s="22">
        <v>1.2334399814128929</v>
      </c>
    </row>
    <row r="67" spans="2:5">
      <c r="B67" s="25">
        <v>26</v>
      </c>
      <c r="C67" s="22">
        <v>39.1</v>
      </c>
      <c r="D67" s="22">
        <v>44.20662400743484</v>
      </c>
      <c r="E67" s="22">
        <v>-5.1066240074348386</v>
      </c>
    </row>
    <row r="68" spans="2:5">
      <c r="B68" s="25">
        <v>27</v>
      </c>
      <c r="C68" s="22">
        <v>41.3</v>
      </c>
      <c r="D68" s="22">
        <v>41.142649602973933</v>
      </c>
      <c r="E68" s="22">
        <v>0.15735039702606457</v>
      </c>
    </row>
    <row r="69" spans="2:5">
      <c r="B69" s="25">
        <v>28</v>
      </c>
      <c r="C69" s="22">
        <v>40</v>
      </c>
      <c r="D69" s="22">
        <v>41.23705984118957</v>
      </c>
      <c r="E69" s="22">
        <v>-1.2370598411895699</v>
      </c>
    </row>
    <row r="70" spans="2:5">
      <c r="B70" s="25">
        <v>29</v>
      </c>
      <c r="C70" s="22">
        <v>44.9</v>
      </c>
      <c r="D70" s="22">
        <v>40.494823936475825</v>
      </c>
      <c r="E70" s="22">
        <v>4.4051760635241735</v>
      </c>
    </row>
    <row r="71" spans="2:5">
      <c r="B71" s="25">
        <v>30</v>
      </c>
      <c r="C71" s="22">
        <v>40.9</v>
      </c>
      <c r="D71" s="22">
        <v>43.137929574590331</v>
      </c>
      <c r="E71" s="22">
        <v>-2.237929574590332</v>
      </c>
    </row>
    <row r="72" spans="2:5">
      <c r="B72" s="25">
        <v>31</v>
      </c>
      <c r="C72" s="22">
        <v>44.3</v>
      </c>
      <c r="D72" s="22">
        <v>41.795171829836136</v>
      </c>
      <c r="E72" s="22">
        <v>2.5048281701638615</v>
      </c>
    </row>
    <row r="73" spans="2:5">
      <c r="B73" s="25">
        <v>32</v>
      </c>
      <c r="C73" s="22">
        <v>44.4</v>
      </c>
      <c r="D73" s="22">
        <v>43.29806873193445</v>
      </c>
      <c r="E73" s="22">
        <v>1.1019312680655489</v>
      </c>
    </row>
    <row r="74" spans="2:5">
      <c r="B74" s="25">
        <v>33</v>
      </c>
      <c r="C74" s="22">
        <v>40.700000000000003</v>
      </c>
      <c r="D74" s="22">
        <v>43.959227492773778</v>
      </c>
      <c r="E74" s="22">
        <v>-3.2592274927737748</v>
      </c>
    </row>
    <row r="75" spans="2:5">
      <c r="B75" s="25">
        <v>34</v>
      </c>
      <c r="C75" s="22">
        <v>41.9</v>
      </c>
      <c r="D75" s="22">
        <v>42.003690997109516</v>
      </c>
      <c r="E75" s="22">
        <v>-0.10369099710951701</v>
      </c>
    </row>
    <row r="76" spans="2:5">
      <c r="B76" s="25">
        <v>35</v>
      </c>
      <c r="C76" s="22">
        <v>41.7</v>
      </c>
      <c r="D76" s="22">
        <v>41.941476398843804</v>
      </c>
      <c r="E76" s="22">
        <v>-0.24147639884380112</v>
      </c>
    </row>
    <row r="77" spans="2:5">
      <c r="B77" s="25">
        <v>36</v>
      </c>
      <c r="C77" s="22">
        <v>37.700000000000003</v>
      </c>
      <c r="D77" s="22">
        <v>41.79659055953752</v>
      </c>
      <c r="E77" s="22">
        <v>-4.0965905595375176</v>
      </c>
    </row>
    <row r="78" spans="2:5">
      <c r="B78" s="25">
        <v>37</v>
      </c>
      <c r="C78" s="22">
        <v>39.700000000000003</v>
      </c>
      <c r="D78" s="22">
        <v>39.338636223815008</v>
      </c>
      <c r="E78" s="22">
        <v>0.36136377618499438</v>
      </c>
    </row>
    <row r="79" spans="2:5">
      <c r="B79" s="25">
        <v>38</v>
      </c>
      <c r="C79" s="22">
        <v>36.1</v>
      </c>
      <c r="D79" s="22">
        <v>39.555454489526007</v>
      </c>
      <c r="E79" s="22">
        <v>-3.4554544895260051</v>
      </c>
    </row>
    <row r="80" spans="2:5">
      <c r="B80" s="25">
        <v>39</v>
      </c>
      <c r="C80" s="22">
        <v>33.1</v>
      </c>
      <c r="D80" s="22">
        <v>37.482181795810405</v>
      </c>
      <c r="E80" s="22">
        <v>-4.3821817958104035</v>
      </c>
    </row>
    <row r="81" spans="2:5">
      <c r="B81" s="25">
        <v>40</v>
      </c>
      <c r="C81" s="22">
        <v>37.200000000000003</v>
      </c>
      <c r="D81" s="22">
        <v>34.852872718324164</v>
      </c>
      <c r="E81" s="22">
        <v>2.3471272816758386</v>
      </c>
    </row>
    <row r="82" spans="2:5">
      <c r="B82" s="25">
        <v>41</v>
      </c>
      <c r="C82" s="22">
        <v>36.9</v>
      </c>
      <c r="D82" s="22">
        <v>36.26114908732967</v>
      </c>
      <c r="E82" s="22">
        <v>0.63885091267032834</v>
      </c>
    </row>
    <row r="83" spans="2:5">
      <c r="B83" s="25">
        <v>42</v>
      </c>
      <c r="C83" s="22">
        <v>38.1</v>
      </c>
      <c r="D83" s="22">
        <v>36.644459634931863</v>
      </c>
      <c r="E83" s="22">
        <v>1.4555403650681384</v>
      </c>
    </row>
    <row r="84" spans="2:5">
      <c r="B84" s="25">
        <v>43</v>
      </c>
      <c r="C84" s="22">
        <v>37.6</v>
      </c>
      <c r="D84" s="22">
        <v>37.517783853972745</v>
      </c>
      <c r="E84" s="22">
        <v>8.2216146027256798E-2</v>
      </c>
    </row>
    <row r="85" spans="2:5">
      <c r="B85" s="25">
        <v>44</v>
      </c>
      <c r="C85" s="22">
        <v>38.4</v>
      </c>
      <c r="D85" s="22">
        <v>37.567113541589094</v>
      </c>
      <c r="E85" s="22">
        <v>0.83288645841090414</v>
      </c>
    </row>
    <row r="86" spans="2:5">
      <c r="B86" s="25">
        <v>45</v>
      </c>
      <c r="C86" s="22">
        <v>41.8</v>
      </c>
      <c r="D86" s="22">
        <v>38.066845416635637</v>
      </c>
      <c r="E86" s="22">
        <v>3.7331545833643602</v>
      </c>
    </row>
    <row r="87" spans="2:5">
      <c r="B87" s="25">
        <v>46</v>
      </c>
      <c r="C87" s="22">
        <v>44.7</v>
      </c>
      <c r="D87" s="22">
        <v>40.306738166654256</v>
      </c>
      <c r="E87" s="22">
        <v>4.3932618333457469</v>
      </c>
    </row>
    <row r="88" spans="2:5">
      <c r="B88" s="25">
        <v>47</v>
      </c>
      <c r="C88" s="22">
        <v>37.5</v>
      </c>
      <c r="D88" s="22">
        <v>42.942695266661701</v>
      </c>
      <c r="E88" s="22">
        <v>-5.4426952666617012</v>
      </c>
    </row>
    <row r="89" spans="2:5">
      <c r="B89" s="25">
        <v>48</v>
      </c>
      <c r="C89" s="22">
        <v>36.5</v>
      </c>
      <c r="D89" s="22">
        <v>39.67707810666468</v>
      </c>
      <c r="E89" s="22">
        <v>-3.1770781066646805</v>
      </c>
    </row>
    <row r="90" spans="2:5">
      <c r="B90" s="25">
        <v>49</v>
      </c>
      <c r="C90" s="22">
        <v>33.200000000000003</v>
      </c>
      <c r="D90" s="22">
        <v>37.770831242665871</v>
      </c>
      <c r="E90" s="22">
        <v>-4.5708312426658679</v>
      </c>
    </row>
    <row r="91" spans="2:5">
      <c r="B91" s="25">
        <v>50</v>
      </c>
      <c r="C91" s="22">
        <v>34</v>
      </c>
      <c r="D91" s="22">
        <v>35.028332497066351</v>
      </c>
      <c r="E91" s="22">
        <v>-1.0283324970663514</v>
      </c>
    </row>
    <row r="92" spans="2:5">
      <c r="B92" s="25">
        <v>51</v>
      </c>
      <c r="C92" s="22">
        <v>32.799999999999997</v>
      </c>
      <c r="D92" s="22">
        <v>34.411332998826538</v>
      </c>
      <c r="E92" s="22">
        <v>-1.6113329988265406</v>
      </c>
    </row>
    <row r="93" spans="2:5">
      <c r="B93" s="25">
        <v>52</v>
      </c>
      <c r="C93" s="22">
        <v>34.4</v>
      </c>
      <c r="D93" s="22">
        <v>33.444533199530611</v>
      </c>
      <c r="E93" s="22">
        <v>0.95546680046938803</v>
      </c>
    </row>
    <row r="94" spans="2:5">
      <c r="B94" s="25">
        <v>53</v>
      </c>
      <c r="C94" s="22">
        <v>34.700000000000003</v>
      </c>
      <c r="D94" s="22">
        <v>34.017813279812245</v>
      </c>
      <c r="E94" s="22">
        <v>0.68218672018775806</v>
      </c>
    </row>
    <row r="95" spans="2:5">
      <c r="B95" s="25">
        <v>54</v>
      </c>
      <c r="C95" s="22">
        <v>37</v>
      </c>
      <c r="D95" s="22">
        <v>34.427125311924897</v>
      </c>
      <c r="E95" s="22">
        <v>2.5728746880751032</v>
      </c>
    </row>
    <row r="96" spans="2:5">
      <c r="B96" s="25">
        <v>55</v>
      </c>
      <c r="C96" s="22">
        <v>35.6</v>
      </c>
      <c r="D96" s="22">
        <v>35.97085012476996</v>
      </c>
      <c r="E96" s="22">
        <v>-0.37085012476995871</v>
      </c>
    </row>
    <row r="97" spans="2:5">
      <c r="B97" s="25">
        <v>56</v>
      </c>
      <c r="C97" s="22">
        <v>35</v>
      </c>
      <c r="D97" s="22">
        <v>35.748340049907981</v>
      </c>
      <c r="E97" s="22">
        <v>-0.74834004990798064</v>
      </c>
    </row>
    <row r="98" spans="2:5">
      <c r="B98" s="25">
        <v>57</v>
      </c>
      <c r="C98" s="22">
        <v>35.4</v>
      </c>
      <c r="D98" s="22">
        <v>35.299336019963192</v>
      </c>
      <c r="E98" s="22">
        <v>0.10066398003680632</v>
      </c>
    </row>
    <row r="99" spans="2:5">
      <c r="B99" s="25">
        <v>58</v>
      </c>
      <c r="C99" s="22">
        <v>35.700000000000003</v>
      </c>
      <c r="D99" s="22">
        <v>35.359734407985272</v>
      </c>
      <c r="E99" s="22">
        <v>0.34026559201473106</v>
      </c>
    </row>
    <row r="100" spans="2:5">
      <c r="B100" s="25">
        <v>59</v>
      </c>
      <c r="C100" s="22">
        <v>32.799999999999997</v>
      </c>
      <c r="D100" s="22">
        <v>35.563893763194109</v>
      </c>
      <c r="E100" s="22">
        <v>-2.7638937631941118</v>
      </c>
    </row>
    <row r="101" spans="2:5">
      <c r="B101" s="25">
        <v>60</v>
      </c>
      <c r="C101" s="22">
        <v>33.5</v>
      </c>
      <c r="D101" s="22">
        <v>33.905557505277642</v>
      </c>
      <c r="E101" s="22">
        <v>-0.40555750527764189</v>
      </c>
    </row>
    <row r="102" spans="2:5">
      <c r="B102" s="25">
        <v>61</v>
      </c>
      <c r="C102" s="22">
        <v>30.9</v>
      </c>
      <c r="D102" s="22">
        <v>33.662223002111055</v>
      </c>
      <c r="E102" s="22">
        <v>-2.7622230021110568</v>
      </c>
    </row>
    <row r="103" spans="2:5">
      <c r="B103" s="25">
        <v>62</v>
      </c>
      <c r="C103" s="22">
        <v>31</v>
      </c>
      <c r="D103" s="22">
        <v>32.004889200844424</v>
      </c>
      <c r="E103" s="22">
        <v>-1.0048892008444241</v>
      </c>
    </row>
    <row r="104" spans="2:5">
      <c r="B104" s="25">
        <v>63</v>
      </c>
      <c r="C104" s="22">
        <v>33.200000000000003</v>
      </c>
      <c r="D104" s="22">
        <v>31.401955680337768</v>
      </c>
      <c r="E104" s="22">
        <v>1.7980443196622353</v>
      </c>
    </row>
    <row r="105" spans="2:5">
      <c r="B105" s="25">
        <v>64</v>
      </c>
      <c r="C105" s="22">
        <v>32.4</v>
      </c>
      <c r="D105" s="22">
        <v>32.480782272135109</v>
      </c>
      <c r="E105" s="22">
        <v>-8.0782272135110134E-2</v>
      </c>
    </row>
    <row r="106" spans="2:5">
      <c r="B106" s="25">
        <v>65</v>
      </c>
      <c r="C106" s="22">
        <v>32.1</v>
      </c>
      <c r="D106" s="22">
        <v>32.432312908854044</v>
      </c>
      <c r="E106" s="22">
        <v>-0.33231290885404263</v>
      </c>
    </row>
    <row r="107" spans="2:5">
      <c r="B107" s="25">
        <v>66</v>
      </c>
      <c r="C107" s="22">
        <v>34.799999999999997</v>
      </c>
      <c r="D107" s="22">
        <v>32.232925163541623</v>
      </c>
      <c r="E107" s="22">
        <v>2.5670748364583744</v>
      </c>
    </row>
    <row r="108" spans="2:5">
      <c r="B108" s="25">
        <v>67</v>
      </c>
      <c r="C108" s="22">
        <v>31.7</v>
      </c>
      <c r="D108" s="22">
        <v>33.77317006541665</v>
      </c>
      <c r="E108" s="22">
        <v>-2.0731700654166509</v>
      </c>
    </row>
    <row r="109" spans="2:5">
      <c r="B109" s="25">
        <v>68</v>
      </c>
      <c r="C109" s="22">
        <v>32.299999999999997</v>
      </c>
      <c r="D109" s="22">
        <v>32.529268026166662</v>
      </c>
      <c r="E109" s="22">
        <v>-0.22926802616666464</v>
      </c>
    </row>
    <row r="110" spans="2:5">
      <c r="B110" s="25">
        <v>69</v>
      </c>
      <c r="C110" s="22">
        <v>31.6</v>
      </c>
      <c r="D110" s="22">
        <v>32.391707210466663</v>
      </c>
      <c r="E110" s="22">
        <v>-0.79170721046666159</v>
      </c>
    </row>
    <row r="111" spans="2:5">
      <c r="B111" s="25">
        <v>70</v>
      </c>
      <c r="C111" s="22">
        <v>31.3</v>
      </c>
      <c r="D111" s="22">
        <v>31.916682884186667</v>
      </c>
      <c r="E111" s="22">
        <v>-0.61668288418666606</v>
      </c>
    </row>
    <row r="112" spans="2:5">
      <c r="B112" s="25">
        <v>71</v>
      </c>
      <c r="C112" s="22">
        <v>31.7</v>
      </c>
      <c r="D112" s="22">
        <v>31.546673153674668</v>
      </c>
      <c r="E112" s="22">
        <v>0.15332684632533145</v>
      </c>
    </row>
    <row r="113" spans="2:5">
      <c r="B113" s="25">
        <v>72</v>
      </c>
      <c r="C113" s="22">
        <v>31.8</v>
      </c>
      <c r="D113" s="22">
        <v>31.638669261469868</v>
      </c>
      <c r="E113" s="22">
        <v>0.16133073853013258</v>
      </c>
    </row>
    <row r="114" spans="2:5">
      <c r="B114" s="25">
        <v>73</v>
      </c>
      <c r="C114" s="22">
        <v>29.3</v>
      </c>
      <c r="D114" s="22">
        <v>31.735467704587947</v>
      </c>
      <c r="E114" s="22">
        <v>-2.4354677045879463</v>
      </c>
    </row>
    <row r="115" spans="2:5">
      <c r="B115" s="25">
        <v>74</v>
      </c>
      <c r="C115" s="22">
        <v>27.9</v>
      </c>
      <c r="D115" s="22">
        <v>30.27418708183518</v>
      </c>
      <c r="E115" s="22">
        <v>-2.3741870818351813</v>
      </c>
    </row>
    <row r="116" spans="2:5">
      <c r="B116" s="25">
        <v>75</v>
      </c>
      <c r="C116" s="22">
        <v>28</v>
      </c>
      <c r="D116" s="22">
        <v>28.84967483273407</v>
      </c>
      <c r="E116" s="22">
        <v>-0.84967483273407041</v>
      </c>
    </row>
    <row r="117" spans="2:5">
      <c r="B117" s="25">
        <v>76</v>
      </c>
      <c r="C117" s="22">
        <v>28.7</v>
      </c>
      <c r="D117" s="22">
        <v>28.339869933093631</v>
      </c>
      <c r="E117" s="22">
        <v>0.36013006690636828</v>
      </c>
    </row>
    <row r="118" spans="2:5">
      <c r="B118" s="25">
        <v>77</v>
      </c>
      <c r="C118" s="22">
        <v>30.5</v>
      </c>
      <c r="D118" s="22">
        <v>28.555947973237451</v>
      </c>
      <c r="E118" s="22">
        <v>1.9440520267625487</v>
      </c>
    </row>
    <row r="119" spans="2:5">
      <c r="B119" s="25">
        <v>78</v>
      </c>
      <c r="C119" s="22">
        <v>31.3</v>
      </c>
      <c r="D119" s="22">
        <v>29.722379189294983</v>
      </c>
      <c r="E119" s="22">
        <v>1.5776208107050174</v>
      </c>
    </row>
    <row r="120" spans="2:5">
      <c r="B120" s="25">
        <v>79</v>
      </c>
      <c r="C120" s="22">
        <v>29.2</v>
      </c>
      <c r="D120" s="22">
        <v>30.668951675717995</v>
      </c>
      <c r="E120" s="22">
        <v>-1.4689516757179959</v>
      </c>
    </row>
    <row r="121" spans="2:5">
      <c r="B121" s="25">
        <v>80</v>
      </c>
      <c r="C121" s="22">
        <v>30.9</v>
      </c>
      <c r="D121" s="22">
        <v>29.787580670287198</v>
      </c>
      <c r="E121" s="22">
        <v>1.1124193297128002</v>
      </c>
    </row>
    <row r="122" spans="2:5">
      <c r="B122" s="25">
        <v>81</v>
      </c>
      <c r="C122" s="22">
        <v>29.1</v>
      </c>
      <c r="D122" s="22">
        <v>30.455032268114877</v>
      </c>
      <c r="E122" s="22">
        <v>-1.3550322681148756</v>
      </c>
    </row>
    <row r="123" spans="2:5">
      <c r="B123" s="25">
        <v>82</v>
      </c>
      <c r="C123" s="22">
        <v>27.6</v>
      </c>
      <c r="D123" s="22">
        <v>29.642012907245952</v>
      </c>
      <c r="E123" s="22">
        <v>-2.042012907245951</v>
      </c>
    </row>
    <row r="124" spans="2:5">
      <c r="B124" s="25">
        <v>83</v>
      </c>
      <c r="C124" s="22">
        <v>28.3</v>
      </c>
      <c r="D124" s="22">
        <v>28.416805162898381</v>
      </c>
      <c r="E124" s="22">
        <v>-0.11680516289838039</v>
      </c>
    </row>
    <row r="125" spans="2:5">
      <c r="B125" s="25">
        <v>84</v>
      </c>
      <c r="C125" s="22">
        <v>25.8</v>
      </c>
      <c r="D125" s="22">
        <v>28.346722065159355</v>
      </c>
      <c r="E125" s="22">
        <v>-2.5467220651593543</v>
      </c>
    </row>
    <row r="126" spans="2:5">
      <c r="B126" s="25">
        <v>85</v>
      </c>
      <c r="C126" s="22">
        <v>25.3</v>
      </c>
      <c r="D126" s="22">
        <v>26.818688826063742</v>
      </c>
      <c r="E126" s="22">
        <v>-1.518688826063741</v>
      </c>
    </row>
    <row r="127" spans="2:5">
      <c r="B127" s="25">
        <v>86</v>
      </c>
      <c r="C127" s="22">
        <v>25.6</v>
      </c>
      <c r="D127" s="22">
        <v>25.907475530425497</v>
      </c>
      <c r="E127" s="22">
        <v>-0.30747553042549569</v>
      </c>
    </row>
    <row r="128" spans="2:5">
      <c r="B128" s="25">
        <v>87</v>
      </c>
      <c r="C128" s="22">
        <v>24.1</v>
      </c>
      <c r="D128" s="22">
        <v>25.722990212170199</v>
      </c>
      <c r="E128" s="22">
        <v>-1.6229902121701976</v>
      </c>
    </row>
    <row r="129" spans="2:5">
      <c r="B129" s="25">
        <v>88</v>
      </c>
      <c r="C129" s="22">
        <v>25.8</v>
      </c>
      <c r="D129" s="22">
        <v>24.749196084868082</v>
      </c>
      <c r="E129" s="22">
        <v>1.0508039151319188</v>
      </c>
    </row>
    <row r="130" spans="2:5">
      <c r="B130" s="25">
        <v>89</v>
      </c>
      <c r="C130" s="22">
        <v>26.2</v>
      </c>
      <c r="D130" s="22">
        <v>25.379678433947234</v>
      </c>
      <c r="E130" s="22">
        <v>0.82032156605276541</v>
      </c>
    </row>
    <row r="131" spans="2:5">
      <c r="B131" s="25">
        <v>90</v>
      </c>
      <c r="C131" s="22">
        <v>26.6</v>
      </c>
      <c r="D131" s="22">
        <v>25.871871373578891</v>
      </c>
      <c r="E131" s="22">
        <v>0.72812862642111043</v>
      </c>
    </row>
    <row r="132" spans="2:5">
      <c r="B132" s="25">
        <v>91</v>
      </c>
      <c r="C132" s="22">
        <v>26</v>
      </c>
      <c r="D132" s="22">
        <v>26.308748549431556</v>
      </c>
      <c r="E132" s="22">
        <v>-0.30874854943155583</v>
      </c>
    </row>
    <row r="133" spans="2:5">
      <c r="B133" s="25">
        <v>92</v>
      </c>
      <c r="C133" s="22">
        <v>26.6</v>
      </c>
      <c r="D133" s="22">
        <v>26.123499419772621</v>
      </c>
      <c r="E133" s="22">
        <v>0.47650058022738051</v>
      </c>
    </row>
    <row r="134" spans="2:5">
      <c r="B134" s="25">
        <v>93</v>
      </c>
      <c r="C134" s="22">
        <v>25.3</v>
      </c>
      <c r="D134" s="22">
        <v>26.409399767909051</v>
      </c>
      <c r="E134" s="22">
        <v>-1.1093997679090499</v>
      </c>
    </row>
    <row r="135" spans="2:5">
      <c r="B135" s="25">
        <v>94</v>
      </c>
      <c r="C135" s="22">
        <v>24.9</v>
      </c>
      <c r="D135" s="22">
        <v>25.743759907163621</v>
      </c>
      <c r="E135" s="22">
        <v>-0.84375990716362281</v>
      </c>
    </row>
    <row r="136" spans="2:5">
      <c r="B136" s="25">
        <v>95</v>
      </c>
      <c r="C136" s="22">
        <v>24.8</v>
      </c>
      <c r="D136" s="22">
        <v>25.237503962865446</v>
      </c>
      <c r="E136" s="22">
        <v>-0.43750396286544557</v>
      </c>
    </row>
    <row r="137" spans="2:5">
      <c r="B137" s="25">
        <v>96</v>
      </c>
      <c r="C137" s="22">
        <v>22.9</v>
      </c>
      <c r="D137" s="22">
        <v>24.975001585146178</v>
      </c>
      <c r="E137" s="22">
        <v>-2.0750015851461789</v>
      </c>
    </row>
    <row r="138" spans="2:5">
      <c r="B138" s="25">
        <v>97</v>
      </c>
      <c r="C138" s="22">
        <v>23.2</v>
      </c>
      <c r="D138" s="22">
        <v>23.73000063405847</v>
      </c>
      <c r="E138" s="22">
        <v>-0.53000063405847087</v>
      </c>
    </row>
    <row r="139" spans="2:5">
      <c r="B139" s="25">
        <v>98</v>
      </c>
      <c r="C139" s="22">
        <v>20.8</v>
      </c>
      <c r="D139" s="22">
        <v>23.41200025362339</v>
      </c>
      <c r="E139" s="22">
        <v>-2.6120002536233891</v>
      </c>
    </row>
    <row r="140" spans="2:5">
      <c r="B140" s="25">
        <v>99</v>
      </c>
      <c r="C140" s="22">
        <v>20.7</v>
      </c>
      <c r="D140" s="22">
        <v>21.844800101449358</v>
      </c>
      <c r="E140" s="22">
        <v>-1.1448001014493592</v>
      </c>
    </row>
    <row r="141" spans="2:5">
      <c r="B141" s="25">
        <v>100</v>
      </c>
      <c r="C141" s="22">
        <v>22.4</v>
      </c>
      <c r="D141" s="22">
        <v>21.157920040579743</v>
      </c>
      <c r="E141" s="22">
        <v>1.2420799594202556</v>
      </c>
    </row>
    <row r="142" spans="2:5">
      <c r="B142" s="25">
        <v>101</v>
      </c>
      <c r="C142" s="22">
        <v>23</v>
      </c>
      <c r="D142" s="22">
        <v>21.903168016231895</v>
      </c>
      <c r="E142" s="22">
        <v>1.0968319837681051</v>
      </c>
    </row>
    <row r="143" spans="2:5">
      <c r="B143" s="25">
        <v>102</v>
      </c>
      <c r="C143" s="22">
        <v>23.4</v>
      </c>
      <c r="D143" s="22">
        <v>22.561267206492758</v>
      </c>
      <c r="E143" s="22">
        <v>0.83873279350724061</v>
      </c>
    </row>
    <row r="144" spans="2:5">
      <c r="B144" s="25">
        <v>103</v>
      </c>
      <c r="C144" s="22">
        <v>23.1</v>
      </c>
      <c r="D144" s="22">
        <v>23.064506882597101</v>
      </c>
      <c r="E144" s="22">
        <v>3.5493117402900509E-2</v>
      </c>
    </row>
    <row r="145" spans="2:5">
      <c r="B145" s="25">
        <v>104</v>
      </c>
      <c r="C145" s="22">
        <v>22.6</v>
      </c>
      <c r="D145" s="22">
        <v>23.085802753038841</v>
      </c>
      <c r="E145" s="22">
        <v>-0.4858027530388398</v>
      </c>
    </row>
    <row r="146" spans="2:5">
      <c r="B146" s="25">
        <v>105</v>
      </c>
      <c r="C146" s="22">
        <v>21.6</v>
      </c>
      <c r="D146" s="22">
        <v>22.794321101215537</v>
      </c>
      <c r="E146" s="22">
        <v>-1.1943211012155359</v>
      </c>
    </row>
    <row r="147" spans="2:5">
      <c r="B147" s="25">
        <v>106</v>
      </c>
      <c r="C147" s="22">
        <v>21.1</v>
      </c>
      <c r="D147" s="22">
        <v>22.077728440486219</v>
      </c>
      <c r="E147" s="22">
        <v>-0.97772844048621721</v>
      </c>
    </row>
    <row r="148" spans="2:5">
      <c r="B148" s="25">
        <v>107</v>
      </c>
      <c r="C148" s="22">
        <v>21.3</v>
      </c>
      <c r="D148" s="22">
        <v>21.49109137619449</v>
      </c>
      <c r="E148" s="22">
        <v>-0.19109137619448902</v>
      </c>
    </row>
    <row r="149" spans="2:5">
      <c r="B149" s="25">
        <v>108</v>
      </c>
      <c r="C149" s="22">
        <v>20.3</v>
      </c>
      <c r="D149" s="22">
        <v>21.376436550477795</v>
      </c>
      <c r="E149" s="22">
        <v>-1.0764365504777942</v>
      </c>
    </row>
    <row r="150" spans="2:5">
      <c r="B150" s="25">
        <v>109</v>
      </c>
      <c r="C150" s="22">
        <v>19.7</v>
      </c>
      <c r="D150" s="22">
        <v>20.730574620191121</v>
      </c>
      <c r="E150" s="22">
        <v>-1.0305746201911212</v>
      </c>
    </row>
    <row r="151" spans="2:5">
      <c r="B151" s="25">
        <v>110</v>
      </c>
      <c r="C151" s="22">
        <v>18.5</v>
      </c>
      <c r="D151" s="22">
        <v>20.112229848076446</v>
      </c>
      <c r="E151" s="22">
        <v>-1.6122298480764456</v>
      </c>
    </row>
    <row r="152" spans="2:5">
      <c r="B152" s="25">
        <v>111</v>
      </c>
      <c r="C152" s="22">
        <v>17.899999999999999</v>
      </c>
      <c r="D152" s="22">
        <v>19.144891939230579</v>
      </c>
      <c r="E152" s="22">
        <v>-1.2448919392305804</v>
      </c>
    </row>
    <row r="153" spans="2:5">
      <c r="B153" s="25">
        <v>112</v>
      </c>
      <c r="C153" s="22">
        <v>19.899999999999999</v>
      </c>
      <c r="D153" s="22">
        <v>18.397956775692229</v>
      </c>
      <c r="E153" s="22">
        <v>1.5020432243077693</v>
      </c>
    </row>
    <row r="154" spans="2:5">
      <c r="B154" s="25">
        <v>113</v>
      </c>
      <c r="C154" s="22">
        <v>20.6</v>
      </c>
      <c r="D154" s="22">
        <v>19.299182710276892</v>
      </c>
      <c r="E154" s="22">
        <v>1.3008172897231098</v>
      </c>
    </row>
    <row r="155" spans="2:5">
      <c r="B155" s="25">
        <v>114</v>
      </c>
      <c r="C155" s="22">
        <v>20.9</v>
      </c>
      <c r="D155" s="22">
        <v>20.079673084110759</v>
      </c>
      <c r="E155" s="22">
        <v>0.82032691588923967</v>
      </c>
    </row>
    <row r="156" spans="2:5">
      <c r="B156" s="25">
        <v>115</v>
      </c>
      <c r="C156" s="22">
        <v>20.3</v>
      </c>
      <c r="D156" s="22">
        <v>20.571869233644303</v>
      </c>
      <c r="E156" s="22">
        <v>-0.27186923364430271</v>
      </c>
    </row>
    <row r="157" spans="2:5">
      <c r="B157" s="25">
        <v>116</v>
      </c>
      <c r="C157" s="22">
        <v>21.2</v>
      </c>
      <c r="D157" s="22">
        <v>20.40874769345772</v>
      </c>
      <c r="E157" s="22">
        <v>0.79125230654227963</v>
      </c>
    </row>
    <row r="158" spans="2:5">
      <c r="B158" s="25">
        <v>117</v>
      </c>
      <c r="C158" s="22">
        <v>19.8</v>
      </c>
      <c r="D158" s="22">
        <v>20.883499077383085</v>
      </c>
      <c r="E158" s="22">
        <v>-1.0834990773830846</v>
      </c>
    </row>
    <row r="159" spans="2:5">
      <c r="B159" s="25">
        <v>118</v>
      </c>
      <c r="C159" s="22">
        <v>19.8</v>
      </c>
      <c r="D159" s="22">
        <v>20.233399630953237</v>
      </c>
      <c r="E159" s="22">
        <v>-0.43339963095323597</v>
      </c>
    </row>
    <row r="160" spans="2:5">
      <c r="B160" s="25">
        <v>119</v>
      </c>
      <c r="C160" s="22">
        <v>19.7</v>
      </c>
      <c r="D160" s="22">
        <v>19.973359852381297</v>
      </c>
      <c r="E160" s="22">
        <v>-0.27335985238129723</v>
      </c>
    </row>
    <row r="161" spans="2:5">
      <c r="B161" s="25">
        <v>120</v>
      </c>
      <c r="C161" s="22">
        <v>19.399999999999999</v>
      </c>
      <c r="D161" s="22">
        <v>19.809343940952516</v>
      </c>
      <c r="E161" s="22">
        <v>-0.40934394095251747</v>
      </c>
    </row>
    <row r="162" spans="2:5">
      <c r="B162" s="25">
        <v>121</v>
      </c>
      <c r="C162" s="22">
        <v>23.2</v>
      </c>
      <c r="D162" s="22">
        <v>19.563737576381005</v>
      </c>
      <c r="E162" s="22">
        <v>3.6362624236189944</v>
      </c>
    </row>
    <row r="163" spans="2:5">
      <c r="B163" s="25">
        <v>122</v>
      </c>
      <c r="C163" s="22">
        <v>21.6</v>
      </c>
      <c r="D163" s="22">
        <v>21.745495030552402</v>
      </c>
      <c r="E163" s="22">
        <v>-0.1454950305524001</v>
      </c>
    </row>
    <row r="164" spans="2:5">
      <c r="B164" s="25">
        <v>123</v>
      </c>
      <c r="C164" s="22">
        <v>22.5</v>
      </c>
      <c r="D164" s="22">
        <v>21.658198012220964</v>
      </c>
      <c r="E164" s="22">
        <v>0.8418019877790357</v>
      </c>
    </row>
    <row r="165" spans="2:5">
      <c r="B165" s="25">
        <v>124</v>
      </c>
      <c r="C165" s="22">
        <v>23.2</v>
      </c>
      <c r="D165" s="22">
        <v>22.163279204888386</v>
      </c>
      <c r="E165" s="22">
        <v>1.0367207951116129</v>
      </c>
    </row>
    <row r="166" spans="2:5">
      <c r="B166" s="25">
        <v>125</v>
      </c>
      <c r="C166" s="22">
        <v>23.5</v>
      </c>
      <c r="D166" s="22">
        <v>22.785311681955356</v>
      </c>
      <c r="E166" s="22">
        <v>0.71468831804464372</v>
      </c>
    </row>
    <row r="167" spans="2:5">
      <c r="B167" s="25">
        <v>126</v>
      </c>
      <c r="C167" s="22">
        <v>24.3</v>
      </c>
      <c r="D167" s="22">
        <v>23.214124672782141</v>
      </c>
      <c r="E167" s="22">
        <v>1.0858753272178596</v>
      </c>
    </row>
    <row r="168" spans="2:5">
      <c r="B168" s="25">
        <v>127</v>
      </c>
      <c r="C168" s="22">
        <v>23.6</v>
      </c>
      <c r="D168" s="22">
        <v>23.865649869112858</v>
      </c>
      <c r="E168" s="22">
        <v>-0.26564986911285615</v>
      </c>
    </row>
    <row r="169" spans="2:5">
      <c r="B169" s="25">
        <v>128</v>
      </c>
      <c r="C169" s="22">
        <v>24.4</v>
      </c>
      <c r="D169" s="22">
        <v>23.706259947645144</v>
      </c>
      <c r="E169" s="22">
        <v>0.6937400523548547</v>
      </c>
    </row>
    <row r="170" spans="2:5">
      <c r="B170" s="25">
        <v>129</v>
      </c>
      <c r="C170" s="22">
        <v>23.5</v>
      </c>
      <c r="D170" s="22">
        <v>24.122503979058056</v>
      </c>
      <c r="E170" s="22">
        <v>-0.62250397905805599</v>
      </c>
    </row>
    <row r="171" spans="2:5">
      <c r="B171" s="25">
        <v>130</v>
      </c>
      <c r="C171" s="22">
        <v>23.4</v>
      </c>
      <c r="D171" s="22">
        <v>23.749001591623223</v>
      </c>
      <c r="E171" s="22">
        <v>-0.34900159162322453</v>
      </c>
    </row>
    <row r="172" spans="2:5">
      <c r="B172" s="25">
        <v>131</v>
      </c>
      <c r="C172" s="22">
        <v>22.9</v>
      </c>
      <c r="D172" s="22">
        <v>23.53960063664929</v>
      </c>
      <c r="E172" s="22">
        <v>-0.63960063664929123</v>
      </c>
    </row>
    <row r="173" spans="2:5">
      <c r="B173" s="25">
        <v>132</v>
      </c>
      <c r="C173" s="22">
        <v>22.9</v>
      </c>
      <c r="D173" s="22">
        <v>23.155840254659715</v>
      </c>
      <c r="E173" s="22">
        <v>-0.25584025465971649</v>
      </c>
    </row>
    <row r="174" spans="2:5">
      <c r="B174" s="25">
        <v>133</v>
      </c>
      <c r="C174" s="22">
        <v>23.4</v>
      </c>
      <c r="D174" s="22">
        <v>23.002336101863882</v>
      </c>
      <c r="E174" s="22">
        <v>0.39766389813611625</v>
      </c>
    </row>
    <row r="175" spans="2:5">
      <c r="B175" s="25">
        <v>134</v>
      </c>
      <c r="C175" s="22">
        <v>22.5</v>
      </c>
      <c r="D175" s="22">
        <v>23.240934440745555</v>
      </c>
      <c r="E175" s="22">
        <v>-0.74093444074555492</v>
      </c>
    </row>
    <row r="176" spans="2:5">
      <c r="B176" s="25">
        <v>135</v>
      </c>
      <c r="C176" s="22">
        <v>21.5</v>
      </c>
      <c r="D176" s="22">
        <v>22.796373776298225</v>
      </c>
      <c r="E176" s="22">
        <v>-1.2963737762982248</v>
      </c>
    </row>
    <row r="177" spans="2:5">
      <c r="B177" s="25">
        <v>136</v>
      </c>
      <c r="C177" s="22">
        <v>23</v>
      </c>
      <c r="D177" s="22">
        <v>22.018549510519293</v>
      </c>
      <c r="E177" s="22">
        <v>0.98145048948070723</v>
      </c>
    </row>
    <row r="178" spans="2:5">
      <c r="B178" s="25">
        <v>137</v>
      </c>
      <c r="C178" s="22">
        <v>24.1</v>
      </c>
      <c r="D178" s="22">
        <v>22.607419804207716</v>
      </c>
      <c r="E178" s="22">
        <v>1.4925801957922857</v>
      </c>
    </row>
    <row r="179" spans="2:5">
      <c r="B179" s="25">
        <v>138</v>
      </c>
      <c r="C179" s="22">
        <v>24.4</v>
      </c>
      <c r="D179" s="22">
        <v>23.502967921683087</v>
      </c>
      <c r="E179" s="22">
        <v>0.89703207831691145</v>
      </c>
    </row>
    <row r="180" spans="2:5">
      <c r="B180" s="25">
        <v>139</v>
      </c>
      <c r="C180" s="22">
        <v>23.2</v>
      </c>
      <c r="D180" s="22">
        <v>24.041187168673233</v>
      </c>
      <c r="E180" s="22">
        <v>-0.84118716867323329</v>
      </c>
    </row>
    <row r="181" spans="2:5">
      <c r="B181" s="25">
        <v>140</v>
      </c>
      <c r="C181" s="22">
        <v>25</v>
      </c>
      <c r="D181" s="22">
        <v>23.536474867469295</v>
      </c>
      <c r="E181" s="22">
        <v>1.4635251325307053</v>
      </c>
    </row>
    <row r="182" spans="2:5">
      <c r="B182" s="25">
        <v>141</v>
      </c>
      <c r="C182" s="22">
        <v>23</v>
      </c>
      <c r="D182" s="22">
        <v>24.414589946987718</v>
      </c>
      <c r="E182" s="22">
        <v>-1.4145899469877179</v>
      </c>
    </row>
    <row r="183" spans="2:5">
      <c r="B183" s="25">
        <v>142</v>
      </c>
      <c r="C183" s="22">
        <v>23.9</v>
      </c>
      <c r="D183" s="22">
        <v>23.565835978795086</v>
      </c>
      <c r="E183" s="22">
        <v>0.33416402120491284</v>
      </c>
    </row>
    <row r="184" spans="2:5">
      <c r="B184" s="25">
        <v>143</v>
      </c>
      <c r="C184" s="22">
        <v>23.6</v>
      </c>
      <c r="D184" s="22">
        <v>23.766334391518033</v>
      </c>
      <c r="E184" s="22">
        <v>-0.16633439151803131</v>
      </c>
    </row>
    <row r="185" spans="2:5">
      <c r="B185" s="25">
        <v>144</v>
      </c>
      <c r="C185" s="22">
        <v>22.4</v>
      </c>
      <c r="D185" s="22">
        <v>23.666533756607215</v>
      </c>
      <c r="E185" s="22">
        <v>-1.2665337566072168</v>
      </c>
    </row>
    <row r="186" spans="2:5">
      <c r="B186" s="25">
        <v>145</v>
      </c>
      <c r="C186" s="22">
        <v>22.5</v>
      </c>
      <c r="D186" s="22">
        <v>22.906613502642884</v>
      </c>
      <c r="E186" s="22">
        <v>-0.40661350264288387</v>
      </c>
    </row>
    <row r="187" spans="2:5">
      <c r="B187" s="25">
        <v>146</v>
      </c>
      <c r="C187" s="22">
        <v>22</v>
      </c>
      <c r="D187" s="22">
        <v>22.662645401057155</v>
      </c>
      <c r="E187" s="22">
        <v>-0.66264540105715497</v>
      </c>
    </row>
    <row r="188" spans="2:5">
      <c r="B188" s="25">
        <v>147</v>
      </c>
      <c r="C188" s="22">
        <v>22.8</v>
      </c>
      <c r="D188" s="22">
        <v>22.265058160422861</v>
      </c>
      <c r="E188" s="22">
        <v>0.53494183957714014</v>
      </c>
    </row>
    <row r="189" spans="2:5">
      <c r="B189" s="25">
        <v>148</v>
      </c>
      <c r="C189" s="22">
        <v>20.399999999999999</v>
      </c>
      <c r="D189" s="22">
        <v>22.586023264169143</v>
      </c>
      <c r="E189" s="22">
        <v>-2.1860232641691439</v>
      </c>
    </row>
    <row r="190" spans="2:5">
      <c r="B190" s="25">
        <v>149</v>
      </c>
      <c r="C190" s="22">
        <v>25.5</v>
      </c>
      <c r="D190" s="22">
        <v>21.274409305667653</v>
      </c>
      <c r="E190" s="22">
        <v>4.2255906943323467</v>
      </c>
    </row>
    <row r="191" spans="2:5">
      <c r="B191" s="25">
        <v>150</v>
      </c>
      <c r="C191" s="22">
        <v>21.5</v>
      </c>
      <c r="D191" s="22">
        <v>23.809763722267061</v>
      </c>
      <c r="E191" s="22">
        <v>-2.3097637222670606</v>
      </c>
    </row>
    <row r="192" spans="2:5">
      <c r="B192" s="25">
        <v>151</v>
      </c>
      <c r="C192" s="22">
        <v>24.7</v>
      </c>
      <c r="D192" s="22">
        <v>22.423905488906826</v>
      </c>
      <c r="E192" s="22">
        <v>2.2760945110931736</v>
      </c>
    </row>
    <row r="193" spans="2:8">
      <c r="B193" s="25">
        <v>152</v>
      </c>
      <c r="C193" s="22">
        <v>26.2</v>
      </c>
      <c r="D193" s="22">
        <v>23.789562195562731</v>
      </c>
      <c r="E193" s="22">
        <v>2.4104378044372687</v>
      </c>
    </row>
    <row r="194" spans="2:8">
      <c r="B194" s="25">
        <v>153</v>
      </c>
      <c r="C194" s="22">
        <v>21.2</v>
      </c>
      <c r="D194" s="22">
        <v>25.235824878225092</v>
      </c>
      <c r="E194" s="22">
        <v>-4.0358248782250925</v>
      </c>
    </row>
    <row r="195" spans="2:8">
      <c r="B195" s="25">
        <v>154</v>
      </c>
      <c r="C195" s="22">
        <v>23.7</v>
      </c>
      <c r="D195" s="22">
        <v>22.814329951290034</v>
      </c>
      <c r="E195" s="22">
        <v>0.88567004870996513</v>
      </c>
    </row>
    <row r="196" spans="2:8">
      <c r="B196" s="25">
        <v>155</v>
      </c>
      <c r="C196" s="22">
        <v>23.5</v>
      </c>
      <c r="D196" s="22">
        <v>23.345731980516014</v>
      </c>
      <c r="E196" s="22">
        <v>0.15426801948398605</v>
      </c>
    </row>
    <row r="197" spans="2:8" ht="16" thickBot="1">
      <c r="B197" s="26">
        <v>156</v>
      </c>
      <c r="C197" s="21">
        <v>22.4</v>
      </c>
      <c r="D197" s="21">
        <v>23.438292792206404</v>
      </c>
      <c r="E197" s="21">
        <v>-1.0382927922064056</v>
      </c>
      <c r="H197" s="35">
        <v>0</v>
      </c>
    </row>
    <row r="216" spans="7:7">
      <c r="G216" t="s">
        <v>219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D332518">
              <controlPr defaultSize="0" autoFill="0" autoPict="0" macro="[0]!GoToResultsNew101320185242654">
                <anchor moveWithCells="1">
                  <from>
                    <xdr:col>0</xdr:col>
                    <xdr:colOff>330200</xdr:colOff>
                    <xdr:row>8</xdr:row>
                    <xdr:rowOff>0</xdr:rowOff>
                  </from>
                  <to>
                    <xdr:col>4</xdr:col>
                    <xdr:colOff>596900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007800"/>
  </sheetPr>
  <dimension ref="B1:I219"/>
  <sheetViews>
    <sheetView topLeftCell="A13" zoomScaleNormal="100" workbookViewId="0">
      <selection activeCell="C26" sqref="C26"/>
    </sheetView>
  </sheetViews>
  <sheetFormatPr baseColWidth="10" defaultColWidth="8.83203125" defaultRowHeight="15"/>
  <cols>
    <col min="1" max="1" width="5" customWidth="1"/>
  </cols>
  <sheetData>
    <row r="1" spans="2:9">
      <c r="B1" t="s">
        <v>245</v>
      </c>
    </row>
    <row r="2" spans="2:9">
      <c r="B2" t="s">
        <v>227</v>
      </c>
    </row>
    <row r="3" spans="2:9">
      <c r="B3" t="s">
        <v>228</v>
      </c>
    </row>
    <row r="4" spans="2:9">
      <c r="B4" t="s">
        <v>229</v>
      </c>
    </row>
    <row r="5" spans="2:9">
      <c r="B5" t="s">
        <v>230</v>
      </c>
    </row>
    <row r="6" spans="2:9">
      <c r="B6" t="s">
        <v>231</v>
      </c>
    </row>
    <row r="7" spans="2:9">
      <c r="B7" t="s">
        <v>232</v>
      </c>
    </row>
    <row r="8" spans="2:9">
      <c r="B8" t="s">
        <v>175</v>
      </c>
    </row>
    <row r="9" spans="2:9" ht="34.25" customHeight="1"/>
    <row r="10" spans="2:9" ht="16.25" customHeight="1"/>
    <row r="13" spans="2:9">
      <c r="B13" s="27" t="s">
        <v>180</v>
      </c>
    </row>
    <row r="14" spans="2:9" ht="16" thickBot="1"/>
    <row r="15" spans="2:9">
      <c r="B15" s="11" t="s">
        <v>181</v>
      </c>
      <c r="C15" s="12" t="s">
        <v>182</v>
      </c>
      <c r="D15" s="12" t="s">
        <v>183</v>
      </c>
      <c r="E15" s="12" t="s">
        <v>184</v>
      </c>
      <c r="F15" s="12" t="s">
        <v>185</v>
      </c>
      <c r="G15" s="12" t="s">
        <v>186</v>
      </c>
      <c r="H15" s="12" t="s">
        <v>187</v>
      </c>
      <c r="I15" s="12" t="s">
        <v>188</v>
      </c>
    </row>
    <row r="16" spans="2:9" ht="16" thickBot="1">
      <c r="B16" s="29" t="s">
        <v>5</v>
      </c>
      <c r="C16" s="30">
        <v>156</v>
      </c>
      <c r="D16" s="30">
        <v>0</v>
      </c>
      <c r="E16" s="30">
        <v>156</v>
      </c>
      <c r="F16" s="31">
        <v>17.899999999999999</v>
      </c>
      <c r="G16" s="31">
        <v>54.2</v>
      </c>
      <c r="H16" s="31">
        <v>31.433974358974371</v>
      </c>
      <c r="I16" s="31">
        <v>9.8384990777335712</v>
      </c>
    </row>
    <row r="19" spans="2:3">
      <c r="B19" s="27" t="s">
        <v>233</v>
      </c>
    </row>
    <row r="20" spans="2:3" ht="16" thickBot="1"/>
    <row r="21" spans="2:3">
      <c r="B21" s="11" t="s">
        <v>234</v>
      </c>
      <c r="C21" s="12" t="s">
        <v>206</v>
      </c>
    </row>
    <row r="22" spans="2:3">
      <c r="B22" s="32" t="s">
        <v>182</v>
      </c>
      <c r="C22" s="24">
        <v>156</v>
      </c>
    </row>
    <row r="23" spans="2:3">
      <c r="B23" s="28" t="s">
        <v>192</v>
      </c>
      <c r="C23" s="25">
        <v>154</v>
      </c>
    </row>
    <row r="24" spans="2:3">
      <c r="B24" s="28" t="s">
        <v>193</v>
      </c>
      <c r="C24" s="22">
        <v>580.48183931480435</v>
      </c>
    </row>
    <row r="25" spans="2:3">
      <c r="B25" s="28" t="s">
        <v>194</v>
      </c>
      <c r="C25" s="22">
        <v>3.769362592953275</v>
      </c>
    </row>
    <row r="26" spans="2:3">
      <c r="B26" s="28" t="s">
        <v>167</v>
      </c>
      <c r="C26" s="22">
        <v>1.9414846362908142</v>
      </c>
    </row>
    <row r="27" spans="2:3">
      <c r="B27" s="28" t="s">
        <v>197</v>
      </c>
      <c r="C27" s="22">
        <v>4.7296846333731475</v>
      </c>
    </row>
    <row r="28" spans="2:3">
      <c r="B28" s="28" t="s">
        <v>235</v>
      </c>
      <c r="C28" s="22">
        <v>-1.1684221523015799</v>
      </c>
    </row>
    <row r="29" spans="2:3">
      <c r="B29" s="28" t="s">
        <v>236</v>
      </c>
      <c r="C29" s="22">
        <v>1.4700729672786981</v>
      </c>
    </row>
    <row r="30" spans="2:3">
      <c r="B30" s="28" t="s">
        <v>237</v>
      </c>
      <c r="C30" s="22">
        <v>0.96005202357208597</v>
      </c>
    </row>
    <row r="31" spans="2:3">
      <c r="B31" s="28" t="s">
        <v>203</v>
      </c>
      <c r="C31" s="25">
        <v>7</v>
      </c>
    </row>
    <row r="32" spans="2:3" ht="16" thickBot="1">
      <c r="B32" s="33" t="s">
        <v>238</v>
      </c>
      <c r="C32" s="34" t="s">
        <v>239</v>
      </c>
    </row>
    <row r="35" spans="2:5">
      <c r="B35" s="27" t="s">
        <v>240</v>
      </c>
    </row>
    <row r="36" spans="2:5" ht="16" thickBot="1"/>
    <row r="37" spans="2:5">
      <c r="B37" s="11" t="s">
        <v>234</v>
      </c>
      <c r="C37" s="12" t="s">
        <v>205</v>
      </c>
      <c r="D37" s="12" t="s">
        <v>218</v>
      </c>
    </row>
    <row r="38" spans="2:5">
      <c r="B38" s="32" t="s">
        <v>241</v>
      </c>
      <c r="C38" s="24">
        <v>0.59262741024244325</v>
      </c>
      <c r="D38" s="24">
        <v>2.5597147200470006E-2</v>
      </c>
    </row>
    <row r="39" spans="2:5" ht="16" thickBot="1">
      <c r="B39" s="33" t="s">
        <v>242</v>
      </c>
      <c r="C39" s="26">
        <v>53.1</v>
      </c>
      <c r="D39" s="26"/>
    </row>
    <row r="42" spans="2:5">
      <c r="B42" s="27" t="s">
        <v>243</v>
      </c>
    </row>
    <row r="43" spans="2:5" ht="16" thickBot="1"/>
    <row r="44" spans="2:5">
      <c r="B44" s="23"/>
      <c r="C44" s="12" t="s">
        <v>5</v>
      </c>
      <c r="D44" s="12" t="s">
        <v>244</v>
      </c>
      <c r="E44" s="12" t="s">
        <v>216</v>
      </c>
    </row>
    <row r="45" spans="2:5">
      <c r="B45" s="24">
        <v>1</v>
      </c>
      <c r="C45" s="20">
        <v>53.1</v>
      </c>
      <c r="D45" s="20"/>
      <c r="E45" s="20"/>
    </row>
    <row r="46" spans="2:5">
      <c r="B46" s="25">
        <v>2</v>
      </c>
      <c r="C46" s="22">
        <v>50.8</v>
      </c>
      <c r="D46" s="22">
        <v>53.1</v>
      </c>
      <c r="E46" s="22">
        <v>-2.3000000000000043</v>
      </c>
    </row>
    <row r="47" spans="2:5">
      <c r="B47" s="25">
        <v>3</v>
      </c>
      <c r="C47" s="22">
        <v>50.1</v>
      </c>
      <c r="D47" s="22">
        <v>51.736956956442384</v>
      </c>
      <c r="E47" s="22">
        <v>-1.6369569564423827</v>
      </c>
    </row>
    <row r="48" spans="2:5">
      <c r="B48" s="25">
        <v>4</v>
      </c>
      <c r="C48" s="22">
        <v>51.8</v>
      </c>
      <c r="D48" s="22">
        <v>50.766851394667583</v>
      </c>
      <c r="E48" s="22">
        <v>1.0331486053324141</v>
      </c>
    </row>
    <row r="49" spans="2:5">
      <c r="B49" s="25">
        <v>5</v>
      </c>
      <c r="C49" s="22">
        <v>53.9</v>
      </c>
      <c r="D49" s="22">
        <v>51.379123577041327</v>
      </c>
      <c r="E49" s="22">
        <v>2.520876422958672</v>
      </c>
    </row>
    <row r="50" spans="2:5">
      <c r="B50" s="25">
        <v>6</v>
      </c>
      <c r="C50" s="22">
        <v>54.2</v>
      </c>
      <c r="D50" s="22">
        <v>52.873064043120557</v>
      </c>
      <c r="E50" s="22">
        <v>1.3269359568794457</v>
      </c>
    </row>
    <row r="51" spans="2:5">
      <c r="B51" s="25">
        <v>7</v>
      </c>
      <c r="C51" s="22">
        <v>50.2</v>
      </c>
      <c r="D51" s="22">
        <v>53.659442662803606</v>
      </c>
      <c r="E51" s="22">
        <v>-3.4594426628036032</v>
      </c>
    </row>
    <row r="52" spans="2:5">
      <c r="B52" s="25">
        <v>8</v>
      </c>
      <c r="C52" s="22">
        <v>53.4</v>
      </c>
      <c r="D52" s="22">
        <v>51.60928211666409</v>
      </c>
      <c r="E52" s="22">
        <v>1.7907178833359083</v>
      </c>
    </row>
    <row r="53" spans="2:5">
      <c r="B53" s="25">
        <v>9</v>
      </c>
      <c r="C53" s="22">
        <v>50.7</v>
      </c>
      <c r="D53" s="22">
        <v>52.67051061834028</v>
      </c>
      <c r="E53" s="22">
        <v>-1.9705106183402776</v>
      </c>
    </row>
    <row r="54" spans="2:5">
      <c r="B54" s="25">
        <v>10</v>
      </c>
      <c r="C54" s="22">
        <v>48.4</v>
      </c>
      <c r="D54" s="22">
        <v>51.502732013738047</v>
      </c>
      <c r="E54" s="22">
        <v>-3.1027320137380485</v>
      </c>
    </row>
    <row r="55" spans="2:5">
      <c r="B55" s="25">
        <v>11</v>
      </c>
      <c r="C55" s="22">
        <v>50.9</v>
      </c>
      <c r="D55" s="22">
        <v>49.663967975760144</v>
      </c>
      <c r="E55" s="22">
        <v>1.2360320242398544</v>
      </c>
    </row>
    <row r="56" spans="2:5">
      <c r="B56" s="25">
        <v>12</v>
      </c>
      <c r="C56" s="22">
        <v>44.7</v>
      </c>
      <c r="D56" s="22">
        <v>50.396474433262135</v>
      </c>
      <c r="E56" s="22">
        <v>-5.6964744332621322</v>
      </c>
    </row>
    <row r="57" spans="2:5">
      <c r="B57" s="25">
        <v>13</v>
      </c>
      <c r="C57" s="22">
        <v>46</v>
      </c>
      <c r="D57" s="22">
        <v>47.020587542365703</v>
      </c>
      <c r="E57" s="22">
        <v>-1.0205875423657034</v>
      </c>
    </row>
    <row r="58" spans="2:5">
      <c r="B58" s="25">
        <v>14</v>
      </c>
      <c r="C58" s="22">
        <v>44.7</v>
      </c>
      <c r="D58" s="22">
        <v>46.41575939020781</v>
      </c>
      <c r="E58" s="22">
        <v>-1.7157593902078077</v>
      </c>
    </row>
    <row r="59" spans="2:5">
      <c r="B59" s="25">
        <v>15</v>
      </c>
      <c r="C59" s="22">
        <v>44.7</v>
      </c>
      <c r="D59" s="22">
        <v>45.398953346189799</v>
      </c>
      <c r="E59" s="22">
        <v>-0.69895334618979632</v>
      </c>
    </row>
    <row r="60" spans="2:5">
      <c r="B60" s="25">
        <v>16</v>
      </c>
      <c r="C60" s="22">
        <v>45.2</v>
      </c>
      <c r="D60" s="22">
        <v>44.984734434757044</v>
      </c>
      <c r="E60" s="22">
        <v>0.2152655652429587</v>
      </c>
    </row>
    <row r="61" spans="2:5">
      <c r="B61" s="25">
        <v>17</v>
      </c>
      <c r="C61" s="22">
        <v>47.7</v>
      </c>
      <c r="D61" s="22">
        <v>45.112306709201349</v>
      </c>
      <c r="E61" s="22">
        <v>2.5876932907986543</v>
      </c>
    </row>
    <row r="62" spans="2:5">
      <c r="B62" s="25">
        <v>18</v>
      </c>
      <c r="C62" s="22">
        <v>46.8</v>
      </c>
      <c r="D62" s="22">
        <v>46.645844682629104</v>
      </c>
      <c r="E62" s="22">
        <v>0.15415531737089339</v>
      </c>
    </row>
    <row r="63" spans="2:5">
      <c r="B63" s="25">
        <v>19</v>
      </c>
      <c r="C63" s="22">
        <v>43.3</v>
      </c>
      <c r="D63" s="22">
        <v>46.73720134913772</v>
      </c>
      <c r="E63" s="22">
        <v>-3.4372013491377231</v>
      </c>
    </row>
    <row r="64" spans="2:5">
      <c r="B64" s="25">
        <v>20</v>
      </c>
      <c r="C64" s="22">
        <v>49.1</v>
      </c>
      <c r="D64" s="22">
        <v>44.700221615116398</v>
      </c>
      <c r="E64" s="22">
        <v>4.3997783848836036</v>
      </c>
    </row>
    <row r="65" spans="2:5">
      <c r="B65" s="25">
        <v>21</v>
      </c>
      <c r="C65" s="22">
        <v>45.2</v>
      </c>
      <c r="D65" s="22">
        <v>47.30765088499065</v>
      </c>
      <c r="E65" s="22">
        <v>-2.1076508849906475</v>
      </c>
    </row>
    <row r="66" spans="2:5">
      <c r="B66" s="25">
        <v>22</v>
      </c>
      <c r="C66" s="22">
        <v>45.2</v>
      </c>
      <c r="D66" s="22">
        <v>46.058599199323453</v>
      </c>
      <c r="E66" s="22">
        <v>-0.85859919932345008</v>
      </c>
    </row>
    <row r="67" spans="2:5">
      <c r="B67" s="25">
        <v>23</v>
      </c>
      <c r="C67" s="22">
        <v>46.5</v>
      </c>
      <c r="D67" s="22">
        <v>45.549769779392165</v>
      </c>
      <c r="E67" s="22">
        <v>0.95023022060783546</v>
      </c>
    </row>
    <row r="68" spans="2:5">
      <c r="B68" s="25">
        <v>24</v>
      </c>
      <c r="C68" s="22">
        <v>41.7</v>
      </c>
      <c r="D68" s="22">
        <v>46.112902254165093</v>
      </c>
      <c r="E68" s="22">
        <v>-4.4129022541650897</v>
      </c>
    </row>
    <row r="69" spans="2:5">
      <c r="B69" s="25">
        <v>25</v>
      </c>
      <c r="C69" s="22">
        <v>44.7</v>
      </c>
      <c r="D69" s="22">
        <v>43.497695419626197</v>
      </c>
      <c r="E69" s="22">
        <v>1.2023045803738057</v>
      </c>
    </row>
    <row r="70" spans="2:5">
      <c r="B70" s="25">
        <v>26</v>
      </c>
      <c r="C70" s="22">
        <v>39.1</v>
      </c>
      <c r="D70" s="22">
        <v>44.210214069415755</v>
      </c>
      <c r="E70" s="22">
        <v>-5.1102140694157541</v>
      </c>
    </row>
    <row r="71" spans="2:5">
      <c r="B71" s="25">
        <v>27</v>
      </c>
      <c r="C71" s="22">
        <v>41.3</v>
      </c>
      <c r="D71" s="22">
        <v>41.181761139673398</v>
      </c>
      <c r="E71" s="22">
        <v>0.11823886032659914</v>
      </c>
    </row>
    <row r="72" spans="2:5">
      <c r="B72" s="25">
        <v>28</v>
      </c>
      <c r="C72" s="22">
        <v>40</v>
      </c>
      <c r="D72" s="22">
        <v>41.251832729258766</v>
      </c>
      <c r="E72" s="22">
        <v>-1.2518327292587657</v>
      </c>
    </row>
    <row r="73" spans="2:5">
      <c r="B73" s="25">
        <v>29</v>
      </c>
      <c r="C73" s="22">
        <v>44.9</v>
      </c>
      <c r="D73" s="22">
        <v>40.509962340861414</v>
      </c>
      <c r="E73" s="22">
        <v>4.390037659138585</v>
      </c>
    </row>
    <row r="74" spans="2:5">
      <c r="B74" s="25">
        <v>30</v>
      </c>
      <c r="C74" s="22">
        <v>40.9</v>
      </c>
      <c r="D74" s="22">
        <v>43.111618989663512</v>
      </c>
      <c r="E74" s="22">
        <v>-2.2116189896635134</v>
      </c>
    </row>
    <row r="75" spans="2:5">
      <c r="B75" s="25">
        <v>31</v>
      </c>
      <c r="C75" s="22">
        <v>44.3</v>
      </c>
      <c r="D75" s="22">
        <v>41.800952955376218</v>
      </c>
      <c r="E75" s="22">
        <v>2.4990470446237794</v>
      </c>
    </row>
    <row r="76" spans="2:5">
      <c r="B76" s="25">
        <v>32</v>
      </c>
      <c r="C76" s="22">
        <v>44.4</v>
      </c>
      <c r="D76" s="22">
        <v>43.281956733505638</v>
      </c>
      <c r="E76" s="22">
        <v>1.1180432664943609</v>
      </c>
    </row>
    <row r="77" spans="2:5">
      <c r="B77" s="25">
        <v>33</v>
      </c>
      <c r="C77" s="22">
        <v>40.700000000000003</v>
      </c>
      <c r="D77" s="22">
        <v>43.944539819067188</v>
      </c>
      <c r="E77" s="22">
        <v>-3.2445398190671852</v>
      </c>
    </row>
    <row r="78" spans="2:5">
      <c r="B78" s="25">
        <v>34</v>
      </c>
      <c r="C78" s="22">
        <v>41.9</v>
      </c>
      <c r="D78" s="22">
        <v>42.021736588664922</v>
      </c>
      <c r="E78" s="22">
        <v>-0.12173658866492332</v>
      </c>
    </row>
    <row r="79" spans="2:5">
      <c r="B79" s="25">
        <v>35</v>
      </c>
      <c r="C79" s="22">
        <v>41.7</v>
      </c>
      <c r="D79" s="22">
        <v>41.949592149392679</v>
      </c>
      <c r="E79" s="22">
        <v>-0.24959214939267582</v>
      </c>
    </row>
    <row r="80" spans="2:5">
      <c r="B80" s="25">
        <v>36</v>
      </c>
      <c r="C80" s="22">
        <v>37.700000000000003</v>
      </c>
      <c r="D80" s="22">
        <v>41.801677000281252</v>
      </c>
      <c r="E80" s="22">
        <v>-4.1016770002812493</v>
      </c>
    </row>
    <row r="81" spans="2:5">
      <c r="B81" s="25">
        <v>37</v>
      </c>
      <c r="C81" s="22">
        <v>39.700000000000003</v>
      </c>
      <c r="D81" s="22">
        <v>39.370910781953583</v>
      </c>
      <c r="E81" s="22">
        <v>0.32908921804641977</v>
      </c>
    </row>
    <row r="82" spans="2:5">
      <c r="B82" s="25">
        <v>38</v>
      </c>
      <c r="C82" s="22">
        <v>36.1</v>
      </c>
      <c r="D82" s="22">
        <v>39.565938072983144</v>
      </c>
      <c r="E82" s="22">
        <v>-3.4659380729831426</v>
      </c>
    </row>
    <row r="83" spans="2:5">
      <c r="B83" s="25">
        <v>39</v>
      </c>
      <c r="C83" s="22">
        <v>33.1</v>
      </c>
      <c r="D83" s="22">
        <v>37.511928168730464</v>
      </c>
      <c r="E83" s="22">
        <v>-4.4119281687304621</v>
      </c>
    </row>
    <row r="84" spans="2:5">
      <c r="B84" s="25">
        <v>40</v>
      </c>
      <c r="C84" s="22">
        <v>37.200000000000003</v>
      </c>
      <c r="D84" s="22">
        <v>34.897298603920042</v>
      </c>
      <c r="E84" s="22">
        <v>2.3027013960799607</v>
      </c>
    </row>
    <row r="85" spans="2:5">
      <c r="B85" s="25">
        <v>41</v>
      </c>
      <c r="C85" s="22">
        <v>36.9</v>
      </c>
      <c r="D85" s="22">
        <v>36.261942568840567</v>
      </c>
      <c r="E85" s="22">
        <v>0.63805743115943159</v>
      </c>
    </row>
    <row r="86" spans="2:5">
      <c r="B86" s="25">
        <v>42</v>
      </c>
      <c r="C86" s="22">
        <v>38.1</v>
      </c>
      <c r="D86" s="22">
        <v>36.64007289185453</v>
      </c>
      <c r="E86" s="22">
        <v>1.4599271081454717</v>
      </c>
    </row>
    <row r="87" spans="2:5">
      <c r="B87" s="25">
        <v>43</v>
      </c>
      <c r="C87" s="22">
        <v>37.6</v>
      </c>
      <c r="D87" s="22">
        <v>37.505265713097522</v>
      </c>
      <c r="E87" s="22">
        <v>9.4734286902479425E-2</v>
      </c>
    </row>
    <row r="88" spans="2:5">
      <c r="B88" s="25">
        <v>44</v>
      </c>
      <c r="C88" s="22">
        <v>38.4</v>
      </c>
      <c r="D88" s="22">
        <v>37.561407848205704</v>
      </c>
      <c r="E88" s="22">
        <v>0.83859215179429469</v>
      </c>
    </row>
    <row r="89" spans="2:5">
      <c r="B89" s="25">
        <v>45</v>
      </c>
      <c r="C89" s="22">
        <v>41.8</v>
      </c>
      <c r="D89" s="22">
        <v>38.058380543373197</v>
      </c>
      <c r="E89" s="22">
        <v>3.7416194566268004</v>
      </c>
    </row>
    <row r="90" spans="2:5">
      <c r="B90" s="25">
        <v>46</v>
      </c>
      <c r="C90" s="22">
        <v>44.7</v>
      </c>
      <c r="D90" s="22">
        <v>40.275766792066676</v>
      </c>
      <c r="E90" s="22">
        <v>4.4242332079333266</v>
      </c>
    </row>
    <row r="91" spans="2:5">
      <c r="B91" s="25">
        <v>47</v>
      </c>
      <c r="C91" s="22">
        <v>37.5</v>
      </c>
      <c r="D91" s="22">
        <v>42.897688660392816</v>
      </c>
      <c r="E91" s="22">
        <v>-5.3976886603928165</v>
      </c>
    </row>
    <row r="92" spans="2:5">
      <c r="B92" s="25">
        <v>48</v>
      </c>
      <c r="C92" s="22">
        <v>36.5</v>
      </c>
      <c r="D92" s="22">
        <v>39.698870408289224</v>
      </c>
      <c r="E92" s="22">
        <v>-3.1988704082892241</v>
      </c>
    </row>
    <row r="93" spans="2:5">
      <c r="B93" s="25">
        <v>49</v>
      </c>
      <c r="C93" s="22">
        <v>33.200000000000003</v>
      </c>
      <c r="D93" s="22">
        <v>37.803132122523593</v>
      </c>
      <c r="E93" s="22">
        <v>-4.6031321225235899</v>
      </c>
    </row>
    <row r="94" spans="2:5">
      <c r="B94" s="25">
        <v>50</v>
      </c>
      <c r="C94" s="22">
        <v>34</v>
      </c>
      <c r="D94" s="22">
        <v>35.07518985374864</v>
      </c>
      <c r="E94" s="22">
        <v>-1.0751898537486397</v>
      </c>
    </row>
    <row r="95" spans="2:5">
      <c r="B95" s="25">
        <v>51</v>
      </c>
      <c r="C95" s="22">
        <v>32.799999999999997</v>
      </c>
      <c r="D95" s="22">
        <v>34.438002875202628</v>
      </c>
      <c r="E95" s="22">
        <v>-1.6380028752026305</v>
      </c>
    </row>
    <row r="96" spans="2:5">
      <c r="B96" s="25">
        <v>52</v>
      </c>
      <c r="C96" s="22">
        <v>34.4</v>
      </c>
      <c r="D96" s="22">
        <v>33.467277473301621</v>
      </c>
      <c r="E96" s="22">
        <v>0.93272252669837741</v>
      </c>
    </row>
    <row r="97" spans="2:5">
      <c r="B97" s="25">
        <v>53</v>
      </c>
      <c r="C97" s="22">
        <v>34.700000000000003</v>
      </c>
      <c r="D97" s="22">
        <v>34.020034408773668</v>
      </c>
      <c r="E97" s="22">
        <v>0.67996559122633471</v>
      </c>
    </row>
    <row r="98" spans="2:5">
      <c r="B98" s="25">
        <v>54</v>
      </c>
      <c r="C98" s="22">
        <v>37</v>
      </c>
      <c r="D98" s="22">
        <v>34.423000656156105</v>
      </c>
      <c r="E98" s="22">
        <v>2.5769993438438945</v>
      </c>
    </row>
    <row r="99" spans="2:5">
      <c r="B99" s="25">
        <v>55</v>
      </c>
      <c r="C99" s="22">
        <v>35.6</v>
      </c>
      <c r="D99" s="22">
        <v>35.950201103494784</v>
      </c>
      <c r="E99" s="22">
        <v>-0.35020110349478273</v>
      </c>
    </row>
    <row r="100" spans="2:5">
      <c r="B100" s="25">
        <v>56</v>
      </c>
      <c r="C100" s="22">
        <v>35</v>
      </c>
      <c r="D100" s="22">
        <v>35.742662330466622</v>
      </c>
      <c r="E100" s="22">
        <v>-0.74266233046662222</v>
      </c>
    </row>
    <row r="101" spans="2:5">
      <c r="B101" s="25">
        <v>57</v>
      </c>
      <c r="C101" s="22">
        <v>35.4</v>
      </c>
      <c r="D101" s="22">
        <v>35.302540276877565</v>
      </c>
      <c r="E101" s="22">
        <v>9.7459723122433672E-2</v>
      </c>
    </row>
    <row r="102" spans="2:5">
      <c r="B102" s="25">
        <v>58</v>
      </c>
      <c r="C102" s="22">
        <v>35.700000000000003</v>
      </c>
      <c r="D102" s="22">
        <v>35.360297580194555</v>
      </c>
      <c r="E102" s="22">
        <v>0.33970241980544813</v>
      </c>
    </row>
    <row r="103" spans="2:5">
      <c r="B103" s="25">
        <v>59</v>
      </c>
      <c r="C103" s="22">
        <v>32.799999999999997</v>
      </c>
      <c r="D103" s="22">
        <v>35.561614545496951</v>
      </c>
      <c r="E103" s="22">
        <v>-2.7616145454969541</v>
      </c>
    </row>
    <row r="104" spans="2:5">
      <c r="B104" s="25">
        <v>60</v>
      </c>
      <c r="C104" s="22">
        <v>33.5</v>
      </c>
      <c r="D104" s="22">
        <v>33.92500606931123</v>
      </c>
      <c r="E104" s="22">
        <v>-0.42500606931123031</v>
      </c>
    </row>
    <row r="105" spans="2:5">
      <c r="B105" s="25">
        <v>61</v>
      </c>
      <c r="C105" s="22">
        <v>30.9</v>
      </c>
      <c r="D105" s="22">
        <v>33.673135823117995</v>
      </c>
      <c r="E105" s="22">
        <v>-2.7731358231179968</v>
      </c>
    </row>
    <row r="106" spans="2:5">
      <c r="B106" s="25">
        <v>62</v>
      </c>
      <c r="C106" s="22">
        <v>31</v>
      </c>
      <c r="D106" s="22">
        <v>32.029699522013033</v>
      </c>
      <c r="E106" s="22">
        <v>-1.0296995220130327</v>
      </c>
    </row>
    <row r="107" spans="2:5">
      <c r="B107" s="25">
        <v>63</v>
      </c>
      <c r="C107" s="22">
        <v>33.200000000000003</v>
      </c>
      <c r="D107" s="22">
        <v>31.419471360954567</v>
      </c>
      <c r="E107" s="22">
        <v>1.7805286390454356</v>
      </c>
    </row>
    <row r="108" spans="2:5">
      <c r="B108" s="25">
        <v>64</v>
      </c>
      <c r="C108" s="22">
        <v>32.4</v>
      </c>
      <c r="D108" s="22">
        <v>32.474661437174561</v>
      </c>
      <c r="E108" s="22">
        <v>-7.4661437174562195E-2</v>
      </c>
    </row>
    <row r="109" spans="2:5">
      <c r="B109" s="25">
        <v>65</v>
      </c>
      <c r="C109" s="22">
        <v>32.1</v>
      </c>
      <c r="D109" s="22">
        <v>32.43041502301682</v>
      </c>
      <c r="E109" s="22">
        <v>-0.33041502301681902</v>
      </c>
    </row>
    <row r="110" spans="2:5">
      <c r="B110" s="25">
        <v>66</v>
      </c>
      <c r="C110" s="22">
        <v>34.799999999999997</v>
      </c>
      <c r="D110" s="22">
        <v>32.234602023621164</v>
      </c>
      <c r="E110" s="22">
        <v>2.5653979763788328</v>
      </c>
    </row>
    <row r="111" spans="2:5">
      <c r="B111" s="25">
        <v>67</v>
      </c>
      <c r="C111" s="22">
        <v>31.7</v>
      </c>
      <c r="D111" s="22">
        <v>33.754927182603758</v>
      </c>
      <c r="E111" s="22">
        <v>-2.054927182603759</v>
      </c>
    </row>
    <row r="112" spans="2:5">
      <c r="B112" s="25">
        <v>68</v>
      </c>
      <c r="C112" s="22">
        <v>32.299999999999997</v>
      </c>
      <c r="D112" s="22">
        <v>32.537121008140488</v>
      </c>
      <c r="E112" s="22">
        <v>-0.23712100814049109</v>
      </c>
    </row>
    <row r="113" spans="2:5">
      <c r="B113" s="25">
        <v>69</v>
      </c>
      <c r="C113" s="22">
        <v>31.6</v>
      </c>
      <c r="D113" s="22">
        <v>32.396596599172113</v>
      </c>
      <c r="E113" s="22">
        <v>-0.79659659917211201</v>
      </c>
    </row>
    <row r="114" spans="2:5">
      <c r="B114" s="25">
        <v>70</v>
      </c>
      <c r="C114" s="22">
        <v>31.3</v>
      </c>
      <c r="D114" s="22">
        <v>31.924511619596807</v>
      </c>
      <c r="E114" s="22">
        <v>-0.6245116195968059</v>
      </c>
    </row>
    <row r="115" spans="2:5">
      <c r="B115" s="25">
        <v>71</v>
      </c>
      <c r="C115" s="22">
        <v>31.7</v>
      </c>
      <c r="D115" s="22">
        <v>31.554408915808835</v>
      </c>
      <c r="E115" s="22">
        <v>0.14559108419116384</v>
      </c>
    </row>
    <row r="116" spans="2:5">
      <c r="B116" s="25">
        <v>72</v>
      </c>
      <c r="C116" s="22">
        <v>31.8</v>
      </c>
      <c r="D116" s="22">
        <v>31.640690182987434</v>
      </c>
      <c r="E116" s="22">
        <v>0.15930981701256641</v>
      </c>
    </row>
    <row r="117" spans="2:5">
      <c r="B117" s="25">
        <v>73</v>
      </c>
      <c r="C117" s="22">
        <v>29.3</v>
      </c>
      <c r="D117" s="22">
        <v>31.735101547269785</v>
      </c>
      <c r="E117" s="22">
        <v>-2.4351015472697846</v>
      </c>
    </row>
    <row r="118" spans="2:5">
      <c r="B118" s="25">
        <v>74</v>
      </c>
      <c r="C118" s="22">
        <v>27.9</v>
      </c>
      <c r="D118" s="22">
        <v>30.291993623633925</v>
      </c>
      <c r="E118" s="22">
        <v>-2.3919936236339261</v>
      </c>
    </row>
    <row r="119" spans="2:5">
      <c r="B119" s="25">
        <v>75</v>
      </c>
      <c r="C119" s="22">
        <v>28</v>
      </c>
      <c r="D119" s="22">
        <v>28.874432637143315</v>
      </c>
      <c r="E119" s="22">
        <v>-0.87443263714331465</v>
      </c>
    </row>
    <row r="120" spans="2:5">
      <c r="B120" s="25">
        <v>76</v>
      </c>
      <c r="C120" s="22">
        <v>28.7</v>
      </c>
      <c r="D120" s="22">
        <v>28.356219887961604</v>
      </c>
      <c r="E120" s="22">
        <v>0.3437801120383952</v>
      </c>
    </row>
    <row r="121" spans="2:5">
      <c r="B121" s="25">
        <v>77</v>
      </c>
      <c r="C121" s="22">
        <v>30.5</v>
      </c>
      <c r="D121" s="22">
        <v>28.559953405451775</v>
      </c>
      <c r="E121" s="22">
        <v>1.9400465945482246</v>
      </c>
    </row>
    <row r="122" spans="2:5">
      <c r="B122" s="25">
        <v>78</v>
      </c>
      <c r="C122" s="22">
        <v>31.3</v>
      </c>
      <c r="D122" s="22">
        <v>29.709678194528564</v>
      </c>
      <c r="E122" s="22">
        <v>1.5903218054714365</v>
      </c>
    </row>
    <row r="123" spans="2:5">
      <c r="B123" s="25">
        <v>79</v>
      </c>
      <c r="C123" s="22">
        <v>29.2</v>
      </c>
      <c r="D123" s="22">
        <v>30.652146487557186</v>
      </c>
      <c r="E123" s="22">
        <v>-1.4521464875571866</v>
      </c>
    </row>
    <row r="124" spans="2:5">
      <c r="B124" s="25">
        <v>80</v>
      </c>
      <c r="C124" s="22">
        <v>30.9</v>
      </c>
      <c r="D124" s="22">
        <v>29.791564675343508</v>
      </c>
      <c r="E124" s="22">
        <v>1.1084353246564902</v>
      </c>
    </row>
    <row r="125" spans="2:5">
      <c r="B125" s="25">
        <v>81</v>
      </c>
      <c r="C125" s="22">
        <v>29.1</v>
      </c>
      <c r="D125" s="22">
        <v>30.448453831215929</v>
      </c>
      <c r="E125" s="22">
        <v>-1.3484538312159273</v>
      </c>
    </row>
    <row r="126" spans="2:5">
      <c r="B126" s="25">
        <v>82</v>
      </c>
      <c r="C126" s="22">
        <v>27.6</v>
      </c>
      <c r="D126" s="22">
        <v>29.649323129390936</v>
      </c>
      <c r="E126" s="22">
        <v>-2.0493231293909346</v>
      </c>
    </row>
    <row r="127" spans="2:5">
      <c r="B127" s="25">
        <v>83</v>
      </c>
      <c r="C127" s="22">
        <v>28.3</v>
      </c>
      <c r="D127" s="22">
        <v>28.43483807047005</v>
      </c>
      <c r="E127" s="22">
        <v>-0.13483807047004959</v>
      </c>
    </row>
    <row r="128" spans="2:5">
      <c r="B128" s="25">
        <v>84</v>
      </c>
      <c r="C128" s="22">
        <v>25.8</v>
      </c>
      <c r="D128" s="22">
        <v>28.354929333965295</v>
      </c>
      <c r="E128" s="22">
        <v>-2.5549293339652941</v>
      </c>
    </row>
    <row r="129" spans="2:5">
      <c r="B129" s="25">
        <v>85</v>
      </c>
      <c r="C129" s="22">
        <v>25.3</v>
      </c>
      <c r="D129" s="22">
        <v>26.840808179424993</v>
      </c>
      <c r="E129" s="22">
        <v>-1.5408081794249924</v>
      </c>
    </row>
    <row r="130" spans="2:5">
      <c r="B130" s="25">
        <v>86</v>
      </c>
      <c r="C130" s="22">
        <v>25.6</v>
      </c>
      <c r="D130" s="22">
        <v>25.927683018371987</v>
      </c>
      <c r="E130" s="22">
        <v>-0.32768301837198521</v>
      </c>
    </row>
    <row r="131" spans="2:5">
      <c r="B131" s="25">
        <v>87</v>
      </c>
      <c r="C131" s="22">
        <v>24.1</v>
      </c>
      <c r="D131" s="22">
        <v>25.733489079813772</v>
      </c>
      <c r="E131" s="22">
        <v>-1.6334890798137707</v>
      </c>
    </row>
    <row r="132" spans="2:5">
      <c r="B132" s="25">
        <v>88</v>
      </c>
      <c r="C132" s="22">
        <v>25.8</v>
      </c>
      <c r="D132" s="22">
        <v>24.765438676784427</v>
      </c>
      <c r="E132" s="22">
        <v>1.0345613232155735</v>
      </c>
    </row>
    <row r="133" spans="2:5">
      <c r="B133" s="25">
        <v>89</v>
      </c>
      <c r="C133" s="22">
        <v>26.2</v>
      </c>
      <c r="D133" s="22">
        <v>25.378548074498667</v>
      </c>
      <c r="E133" s="22">
        <v>0.82145192550133217</v>
      </c>
    </row>
    <row r="134" spans="2:5">
      <c r="B134" s="25">
        <v>90</v>
      </c>
      <c r="C134" s="22">
        <v>26.6</v>
      </c>
      <c r="D134" s="22">
        <v>25.865363001747191</v>
      </c>
      <c r="E134" s="22">
        <v>0.73463699825281026</v>
      </c>
    </row>
    <row r="135" spans="2:5">
      <c r="B135" s="25">
        <v>91</v>
      </c>
      <c r="C135" s="22">
        <v>26</v>
      </c>
      <c r="D135" s="22">
        <v>26.300729023490035</v>
      </c>
      <c r="E135" s="22">
        <v>-0.30072902349003527</v>
      </c>
    </row>
    <row r="136" spans="2:5">
      <c r="B136" s="25">
        <v>92</v>
      </c>
      <c r="C136" s="22">
        <v>26.6</v>
      </c>
      <c r="D136" s="22">
        <v>26.122508761114396</v>
      </c>
      <c r="E136" s="22">
        <v>0.47749123888560518</v>
      </c>
    </row>
    <row r="137" spans="2:5">
      <c r="B137" s="25">
        <v>93</v>
      </c>
      <c r="C137" s="22">
        <v>25.3</v>
      </c>
      <c r="D137" s="22">
        <v>26.405483157428627</v>
      </c>
      <c r="E137" s="22">
        <v>-1.1054831574286261</v>
      </c>
    </row>
    <row r="138" spans="2:5">
      <c r="B138" s="25">
        <v>94</v>
      </c>
      <c r="C138" s="22">
        <v>24.9</v>
      </c>
      <c r="D138" s="22">
        <v>25.750343536775063</v>
      </c>
      <c r="E138" s="22">
        <v>-0.85034353677506402</v>
      </c>
    </row>
    <row r="139" spans="2:5">
      <c r="B139" s="25">
        <v>95</v>
      </c>
      <c r="C139" s="22">
        <v>24.8</v>
      </c>
      <c r="D139" s="22">
        <v>25.24640664875966</v>
      </c>
      <c r="E139" s="22">
        <v>-0.44640664875965896</v>
      </c>
    </row>
    <row r="140" spans="2:5">
      <c r="B140" s="25">
        <v>96</v>
      </c>
      <c r="C140" s="22">
        <v>22.9</v>
      </c>
      <c r="D140" s="22">
        <v>24.981853832590218</v>
      </c>
      <c r="E140" s="22">
        <v>-2.0818538325902196</v>
      </c>
    </row>
    <row r="141" spans="2:5">
      <c r="B141" s="25">
        <v>97</v>
      </c>
      <c r="C141" s="22">
        <v>23.2</v>
      </c>
      <c r="D141" s="22">
        <v>23.748090187278969</v>
      </c>
      <c r="E141" s="22">
        <v>-0.54809018727896941</v>
      </c>
    </row>
    <row r="142" spans="2:5">
      <c r="B142" s="25">
        <v>98</v>
      </c>
      <c r="C142" s="22">
        <v>20.8</v>
      </c>
      <c r="D142" s="22">
        <v>23.423276919012537</v>
      </c>
      <c r="E142" s="22">
        <v>-2.623276919012536</v>
      </c>
    </row>
    <row r="143" spans="2:5">
      <c r="B143" s="25">
        <v>99</v>
      </c>
      <c r="C143" s="22">
        <v>20.7</v>
      </c>
      <c r="D143" s="22">
        <v>21.868651112149362</v>
      </c>
      <c r="E143" s="22">
        <v>-1.1686511121493623</v>
      </c>
    </row>
    <row r="144" spans="2:5">
      <c r="B144" s="25">
        <v>100</v>
      </c>
      <c r="C144" s="22">
        <v>22.4</v>
      </c>
      <c r="D144" s="22">
        <v>21.176076430079334</v>
      </c>
      <c r="E144" s="22">
        <v>1.2239235699206645</v>
      </c>
    </row>
    <row r="145" spans="2:5">
      <c r="B145" s="25">
        <v>101</v>
      </c>
      <c r="C145" s="22">
        <v>23</v>
      </c>
      <c r="D145" s="22">
        <v>21.901407085656103</v>
      </c>
      <c r="E145" s="22">
        <v>1.0985929143438966</v>
      </c>
    </row>
    <row r="146" spans="2:5">
      <c r="B146" s="25">
        <v>102</v>
      </c>
      <c r="C146" s="22">
        <v>23.4</v>
      </c>
      <c r="D146" s="22">
        <v>22.552463359394423</v>
      </c>
      <c r="E146" s="22">
        <v>0.84753664060557554</v>
      </c>
    </row>
    <row r="147" spans="2:5">
      <c r="B147" s="25">
        <v>103</v>
      </c>
      <c r="C147" s="22">
        <v>23.1</v>
      </c>
      <c r="D147" s="22">
        <v>23.054736803802086</v>
      </c>
      <c r="E147" s="22">
        <v>4.5263196197915079E-2</v>
      </c>
    </row>
    <row r="148" spans="2:5">
      <c r="B148" s="25">
        <v>104</v>
      </c>
      <c r="C148" s="22">
        <v>22.6</v>
      </c>
      <c r="D148" s="22">
        <v>23.08156101454415</v>
      </c>
      <c r="E148" s="22">
        <v>-0.48156101454414824</v>
      </c>
    </row>
    <row r="149" spans="2:5">
      <c r="B149" s="25">
        <v>105</v>
      </c>
      <c r="C149" s="22">
        <v>21.6</v>
      </c>
      <c r="D149" s="22">
        <v>22.796174757621127</v>
      </c>
      <c r="E149" s="22">
        <v>-1.1961747576211259</v>
      </c>
    </row>
    <row r="150" spans="2:5">
      <c r="B150" s="25">
        <v>106</v>
      </c>
      <c r="C150" s="22">
        <v>21.1</v>
      </c>
      <c r="D150" s="22">
        <v>22.087288808814737</v>
      </c>
      <c r="E150" s="22">
        <v>-0.98728880881473557</v>
      </c>
    </row>
    <row r="151" spans="2:5">
      <c r="B151" s="25">
        <v>107</v>
      </c>
      <c r="C151" s="22">
        <v>21.3</v>
      </c>
      <c r="D151" s="22">
        <v>21.502194398885514</v>
      </c>
      <c r="E151" s="22">
        <v>-0.20219439888551349</v>
      </c>
    </row>
    <row r="152" spans="2:5">
      <c r="B152" s="25">
        <v>108</v>
      </c>
      <c r="C152" s="22">
        <v>20.3</v>
      </c>
      <c r="D152" s="22">
        <v>21.382368455908463</v>
      </c>
      <c r="E152" s="22">
        <v>-1.0823684559084619</v>
      </c>
    </row>
    <row r="153" spans="2:5">
      <c r="B153" s="25">
        <v>109</v>
      </c>
      <c r="C153" s="22">
        <v>19.7</v>
      </c>
      <c r="D153" s="22">
        <v>20.740927240955319</v>
      </c>
      <c r="E153" s="22">
        <v>-1.0409272409553196</v>
      </c>
    </row>
    <row r="154" spans="2:5">
      <c r="B154" s="25">
        <v>110</v>
      </c>
      <c r="C154" s="22">
        <v>18.5</v>
      </c>
      <c r="D154" s="22">
        <v>20.124045225897156</v>
      </c>
      <c r="E154" s="22">
        <v>-1.6240452258971558</v>
      </c>
    </row>
    <row r="155" spans="2:5">
      <c r="B155" s="25">
        <v>111</v>
      </c>
      <c r="C155" s="22">
        <v>17.899999999999999</v>
      </c>
      <c r="D155" s="22">
        <v>19.16159150955712</v>
      </c>
      <c r="E155" s="22">
        <v>-1.2615915095571211</v>
      </c>
    </row>
    <row r="156" spans="2:5">
      <c r="B156" s="25">
        <v>112</v>
      </c>
      <c r="C156" s="22">
        <v>19.899999999999999</v>
      </c>
      <c r="D156" s="22">
        <v>18.413937800464428</v>
      </c>
      <c r="E156" s="22">
        <v>1.4860621995355707</v>
      </c>
    </row>
    <row r="157" spans="2:5">
      <c r="B157" s="25">
        <v>113</v>
      </c>
      <c r="C157" s="22">
        <v>20.6</v>
      </c>
      <c r="D157" s="22">
        <v>19.294618993234383</v>
      </c>
      <c r="E157" s="22">
        <v>1.305381006765618</v>
      </c>
    </row>
    <row r="158" spans="2:5">
      <c r="B158" s="25">
        <v>114</v>
      </c>
      <c r="C158" s="22">
        <v>20.9</v>
      </c>
      <c r="D158" s="22">
        <v>20.068223558653564</v>
      </c>
      <c r="E158" s="22">
        <v>0.83177644134643458</v>
      </c>
    </row>
    <row r="159" spans="2:5">
      <c r="B159" s="25">
        <v>115</v>
      </c>
      <c r="C159" s="22">
        <v>20.3</v>
      </c>
      <c r="D159" s="22">
        <v>20.561157076989378</v>
      </c>
      <c r="E159" s="22">
        <v>-0.2611570769893774</v>
      </c>
    </row>
    <row r="160" spans="2:5">
      <c r="B160" s="25">
        <v>116</v>
      </c>
      <c r="C160" s="22">
        <v>21.2</v>
      </c>
      <c r="D160" s="22">
        <v>20.406388234786675</v>
      </c>
      <c r="E160" s="22">
        <v>0.79361176521332411</v>
      </c>
    </row>
    <row r="161" spans="2:5">
      <c r="B161" s="25">
        <v>117</v>
      </c>
      <c r="C161" s="22">
        <v>19.8</v>
      </c>
      <c r="D161" s="22">
        <v>20.876704319942981</v>
      </c>
      <c r="E161" s="22">
        <v>-1.07670431994298</v>
      </c>
    </row>
    <row r="162" spans="2:5">
      <c r="B162" s="25">
        <v>118</v>
      </c>
      <c r="C162" s="22">
        <v>19.8</v>
      </c>
      <c r="D162" s="22">
        <v>20.238619827218322</v>
      </c>
      <c r="E162" s="22">
        <v>-0.43861982721832149</v>
      </c>
    </row>
    <row r="163" spans="2:5">
      <c r="B163" s="25">
        <v>119</v>
      </c>
      <c r="C163" s="22">
        <v>19.7</v>
      </c>
      <c r="D163" s="22">
        <v>19.978681694932941</v>
      </c>
      <c r="E163" s="22">
        <v>-0.27868169493294204</v>
      </c>
    </row>
    <row r="164" spans="2:5">
      <c r="B164" s="25">
        <v>120</v>
      </c>
      <c r="C164" s="22">
        <v>19.399999999999999</v>
      </c>
      <c r="D164" s="22">
        <v>19.813527283782857</v>
      </c>
      <c r="E164" s="22">
        <v>-0.41352728378285875</v>
      </c>
    </row>
    <row r="165" spans="2:5">
      <c r="B165" s="25">
        <v>121</v>
      </c>
      <c r="C165" s="22">
        <v>23.2</v>
      </c>
      <c r="D165" s="22">
        <v>19.568459680530033</v>
      </c>
      <c r="E165" s="22">
        <v>3.6315403194699662</v>
      </c>
    </row>
    <row r="166" spans="2:5">
      <c r="B166" s="25">
        <v>122</v>
      </c>
      <c r="C166" s="22">
        <v>21.6</v>
      </c>
      <c r="D166" s="22">
        <v>21.720610015248532</v>
      </c>
      <c r="E166" s="22">
        <v>-0.12061001524853054</v>
      </c>
    </row>
    <row r="167" spans="2:5">
      <c r="B167" s="25">
        <v>123</v>
      </c>
      <c r="C167" s="22">
        <v>22.5</v>
      </c>
      <c r="D167" s="22">
        <v>21.649133214262491</v>
      </c>
      <c r="E167" s="22">
        <v>0.85086678573750874</v>
      </c>
    </row>
    <row r="168" spans="2:5">
      <c r="B168" s="25">
        <v>124</v>
      </c>
      <c r="C168" s="22">
        <v>23.2</v>
      </c>
      <c r="D168" s="22">
        <v>22.153380193955421</v>
      </c>
      <c r="E168" s="22">
        <v>1.0466198060445784</v>
      </c>
    </row>
    <row r="169" spans="2:5">
      <c r="B169" s="25">
        <v>125</v>
      </c>
      <c r="C169" s="22">
        <v>23.5</v>
      </c>
      <c r="D169" s="22">
        <v>22.773635779120067</v>
      </c>
      <c r="E169" s="22">
        <v>0.72636422087993324</v>
      </c>
    </row>
    <row r="170" spans="2:5">
      <c r="B170" s="25">
        <v>126</v>
      </c>
      <c r="C170" s="22">
        <v>24.3</v>
      </c>
      <c r="D170" s="22">
        <v>23.204099126232911</v>
      </c>
      <c r="E170" s="22">
        <v>1.0959008737670892</v>
      </c>
    </row>
    <row r="171" spans="2:5">
      <c r="B171" s="25">
        <v>127</v>
      </c>
      <c r="C171" s="22">
        <v>23.6</v>
      </c>
      <c r="D171" s="22">
        <v>23.85356002293593</v>
      </c>
      <c r="E171" s="22">
        <v>-0.25356002293592894</v>
      </c>
    </row>
    <row r="172" spans="2:5">
      <c r="B172" s="25">
        <v>128</v>
      </c>
      <c r="C172" s="22">
        <v>24.4</v>
      </c>
      <c r="D172" s="22">
        <v>23.703293403202395</v>
      </c>
      <c r="E172" s="22">
        <v>0.69670659679760405</v>
      </c>
    </row>
    <row r="173" spans="2:5">
      <c r="B173" s="25">
        <v>129</v>
      </c>
      <c r="C173" s="22">
        <v>23.5</v>
      </c>
      <c r="D173" s="22">
        <v>24.116180829361383</v>
      </c>
      <c r="E173" s="22">
        <v>-0.61618082936138308</v>
      </c>
    </row>
    <row r="174" spans="2:5">
      <c r="B174" s="25">
        <v>130</v>
      </c>
      <c r="C174" s="22">
        <v>23.4</v>
      </c>
      <c r="D174" s="22">
        <v>23.751015180215905</v>
      </c>
      <c r="E174" s="22">
        <v>-0.3510151802159065</v>
      </c>
    </row>
    <row r="175" spans="2:5">
      <c r="B175" s="25">
        <v>131</v>
      </c>
      <c r="C175" s="22">
        <v>22.9</v>
      </c>
      <c r="D175" s="22">
        <v>23.542993963008769</v>
      </c>
      <c r="E175" s="22">
        <v>-0.64299396300877021</v>
      </c>
    </row>
    <row r="176" spans="2:5">
      <c r="B176" s="25">
        <v>132</v>
      </c>
      <c r="C176" s="22">
        <v>22.9</v>
      </c>
      <c r="D176" s="22">
        <v>23.161938115909358</v>
      </c>
      <c r="E176" s="22">
        <v>-0.26193811590935923</v>
      </c>
    </row>
    <row r="177" spans="2:5">
      <c r="B177" s="25">
        <v>133</v>
      </c>
      <c r="C177" s="22">
        <v>23.4</v>
      </c>
      <c r="D177" s="22">
        <v>23.006706408634209</v>
      </c>
      <c r="E177" s="22">
        <v>0.39329359136579001</v>
      </c>
    </row>
    <row r="178" spans="2:5">
      <c r="B178" s="25">
        <v>134</v>
      </c>
      <c r="C178" s="22">
        <v>22.5</v>
      </c>
      <c r="D178" s="22">
        <v>23.239782971150266</v>
      </c>
      <c r="E178" s="22">
        <v>-0.73978297115026592</v>
      </c>
    </row>
    <row r="179" spans="2:5">
      <c r="B179" s="25">
        <v>135</v>
      </c>
      <c r="C179" s="22">
        <v>21.5</v>
      </c>
      <c r="D179" s="22">
        <v>22.801367304816026</v>
      </c>
      <c r="E179" s="22">
        <v>-1.3013673048160257</v>
      </c>
    </row>
    <row r="180" spans="2:5">
      <c r="B180" s="25">
        <v>136</v>
      </c>
      <c r="C180" s="22">
        <v>23</v>
      </c>
      <c r="D180" s="22">
        <v>22.030141369188716</v>
      </c>
      <c r="E180" s="22">
        <v>0.96985863081128443</v>
      </c>
    </row>
    <row r="181" spans="2:5">
      <c r="B181" s="25">
        <v>137</v>
      </c>
      <c r="C181" s="22">
        <v>24.1</v>
      </c>
      <c r="D181" s="22">
        <v>22.60490617786769</v>
      </c>
      <c r="E181" s="22">
        <v>1.4950938221323113</v>
      </c>
    </row>
    <row r="182" spans="2:5">
      <c r="B182" s="25">
        <v>138</v>
      </c>
      <c r="C182" s="22">
        <v>24.4</v>
      </c>
      <c r="D182" s="22">
        <v>23.490939757747441</v>
      </c>
      <c r="E182" s="22">
        <v>0.90906024225255777</v>
      </c>
    </row>
    <row r="183" spans="2:5">
      <c r="B183" s="25">
        <v>139</v>
      </c>
      <c r="C183" s="22">
        <v>23.2</v>
      </c>
      <c r="D183" s="22">
        <v>24.029673774867945</v>
      </c>
      <c r="E183" s="22">
        <v>-0.82967377486794547</v>
      </c>
    </row>
    <row r="184" spans="2:5">
      <c r="B184" s="25">
        <v>140</v>
      </c>
      <c r="C184" s="22">
        <v>25</v>
      </c>
      <c r="D184" s="22">
        <v>23.53798635432188</v>
      </c>
      <c r="E184" s="22">
        <v>1.4620136456781196</v>
      </c>
    </row>
    <row r="185" spans="2:5">
      <c r="B185" s="25">
        <v>141</v>
      </c>
      <c r="C185" s="22">
        <v>23</v>
      </c>
      <c r="D185" s="22">
        <v>24.404415714899216</v>
      </c>
      <c r="E185" s="22">
        <v>-1.4044157148992156</v>
      </c>
    </row>
    <row r="186" spans="2:5">
      <c r="B186" s="25">
        <v>142</v>
      </c>
      <c r="C186" s="22">
        <v>23.9</v>
      </c>
      <c r="D186" s="22">
        <v>23.572120466874704</v>
      </c>
      <c r="E186" s="22">
        <v>0.32787953312529439</v>
      </c>
    </row>
    <row r="187" spans="2:5">
      <c r="B187" s="25">
        <v>143</v>
      </c>
      <c r="C187" s="22">
        <v>23.6</v>
      </c>
      <c r="D187" s="22">
        <v>23.766430865462247</v>
      </c>
      <c r="E187" s="22">
        <v>-0.16643086546224595</v>
      </c>
    </row>
    <row r="188" spans="2:5">
      <c r="B188" s="25">
        <v>144</v>
      </c>
      <c r="C188" s="22">
        <v>22.4</v>
      </c>
      <c r="D188" s="22">
        <v>23.66779937267895</v>
      </c>
      <c r="E188" s="22">
        <v>-1.2677993726789509</v>
      </c>
    </row>
    <row r="189" spans="2:5">
      <c r="B189" s="25">
        <v>145</v>
      </c>
      <c r="C189" s="22">
        <v>22.5</v>
      </c>
      <c r="D189" s="22">
        <v>22.916466713741229</v>
      </c>
      <c r="E189" s="22">
        <v>-0.41646671374122946</v>
      </c>
    </row>
    <row r="190" spans="2:5">
      <c r="B190" s="25">
        <v>146</v>
      </c>
      <c r="C190" s="22">
        <v>22</v>
      </c>
      <c r="D190" s="22">
        <v>22.669657123724583</v>
      </c>
      <c r="E190" s="22">
        <v>-0.66965712372458341</v>
      </c>
    </row>
    <row r="191" spans="2:5">
      <c r="B191" s="25">
        <v>147</v>
      </c>
      <c r="C191" s="22">
        <v>22.8</v>
      </c>
      <c r="D191" s="22">
        <v>22.272799956741281</v>
      </c>
      <c r="E191" s="22">
        <v>0.52720004325871983</v>
      </c>
    </row>
    <row r="192" spans="2:5">
      <c r="B192" s="25">
        <v>148</v>
      </c>
      <c r="C192" s="22">
        <v>20.399999999999999</v>
      </c>
      <c r="D192" s="22">
        <v>22.585233153057402</v>
      </c>
      <c r="E192" s="22">
        <v>-2.1852331530574034</v>
      </c>
    </row>
    <row r="193" spans="2:8">
      <c r="B193" s="25">
        <v>149</v>
      </c>
      <c r="C193" s="22">
        <v>25.5</v>
      </c>
      <c r="D193" s="22">
        <v>21.290204088785067</v>
      </c>
      <c r="E193" s="22">
        <v>4.2097959112149326</v>
      </c>
    </row>
    <row r="194" spans="2:8">
      <c r="B194" s="25">
        <v>150</v>
      </c>
      <c r="C194" s="22">
        <v>21.5</v>
      </c>
      <c r="D194" s="22">
        <v>23.785044537297601</v>
      </c>
      <c r="E194" s="22">
        <v>-2.2850445372976012</v>
      </c>
    </row>
    <row r="195" spans="2:8">
      <c r="B195" s="25">
        <v>151</v>
      </c>
      <c r="C195" s="22">
        <v>24.7</v>
      </c>
      <c r="D195" s="22">
        <v>22.430864510870279</v>
      </c>
      <c r="E195" s="22">
        <v>2.2691354891297202</v>
      </c>
    </row>
    <row r="196" spans="2:8">
      <c r="B196" s="25">
        <v>152</v>
      </c>
      <c r="C196" s="22">
        <v>26.2</v>
      </c>
      <c r="D196" s="22">
        <v>23.775616399282448</v>
      </c>
      <c r="E196" s="22">
        <v>2.424383600717551</v>
      </c>
    </row>
    <row r="197" spans="2:8">
      <c r="B197" s="25">
        <v>153</v>
      </c>
      <c r="C197" s="22">
        <v>21.2</v>
      </c>
      <c r="D197" s="22">
        <v>25.21237257400994</v>
      </c>
      <c r="E197" s="22">
        <v>-4.012372574009941</v>
      </c>
    </row>
    <row r="198" spans="2:8">
      <c r="B198" s="25">
        <v>154</v>
      </c>
      <c r="C198" s="22">
        <v>23.7</v>
      </c>
      <c r="D198" s="22">
        <v>22.834530606546622</v>
      </c>
      <c r="E198" s="22">
        <v>0.86546939345337748</v>
      </c>
    </row>
    <row r="199" spans="2:8">
      <c r="B199" s="25">
        <v>155</v>
      </c>
      <c r="C199" s="22">
        <v>23.5</v>
      </c>
      <c r="D199" s="22">
        <v>23.347431491832992</v>
      </c>
      <c r="E199" s="22">
        <v>0.15256850816700762</v>
      </c>
    </row>
    <row r="200" spans="2:8" ht="16" thickBot="1">
      <c r="B200" s="26">
        <v>156</v>
      </c>
      <c r="C200" s="21">
        <v>22.4</v>
      </c>
      <c r="D200" s="21">
        <v>23.437847771712558</v>
      </c>
      <c r="E200" s="21">
        <v>-1.0378477717125598</v>
      </c>
      <c r="H200" s="35">
        <v>0</v>
      </c>
    </row>
    <row r="219" spans="7:7">
      <c r="G219" t="s">
        <v>219</v>
      </c>
    </row>
  </sheetData>
  <pageMargins left="0.7" right="0.7" top="0.75" bottom="0.75" header="0.3" footer="0.3"/>
  <ignoredErrors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DD808371">
              <controlPr defaultSize="0" autoFill="0" autoPict="0" macro="[0]!GoToResultsNew101320185225421">
                <anchor moveWithCells="1">
                  <from>
                    <xdr:col>0</xdr:col>
                    <xdr:colOff>330200</xdr:colOff>
                    <xdr:row>9</xdr:row>
                    <xdr:rowOff>0</xdr:rowOff>
                  </from>
                  <to>
                    <xdr:col>4</xdr:col>
                    <xdr:colOff>596900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J157"/>
  <sheetViews>
    <sheetView workbookViewId="0">
      <selection activeCell="H4" sqref="H4"/>
    </sheetView>
  </sheetViews>
  <sheetFormatPr baseColWidth="10" defaultColWidth="8.83203125" defaultRowHeight="15"/>
  <cols>
    <col min="1" max="4" width="9.1640625" style="5"/>
    <col min="5" max="5" width="16.6640625" style="5" bestFit="1" customWidth="1"/>
    <col min="6" max="6" width="10.6640625" style="5" bestFit="1" customWidth="1"/>
    <col min="7" max="7" width="12.5" style="5" customWidth="1"/>
    <col min="10" max="10" width="22.1640625" customWidth="1"/>
  </cols>
  <sheetData>
    <row r="1" spans="1:10">
      <c r="A1" s="5" t="s">
        <v>163</v>
      </c>
      <c r="B1" s="5" t="s">
        <v>5</v>
      </c>
      <c r="C1" s="5" t="s">
        <v>168</v>
      </c>
      <c r="D1" s="5" t="s">
        <v>169</v>
      </c>
      <c r="E1" s="5" t="s">
        <v>170</v>
      </c>
      <c r="F1" s="5" t="s">
        <v>164</v>
      </c>
      <c r="G1" s="6" t="s">
        <v>165</v>
      </c>
    </row>
    <row r="2" spans="1:10">
      <c r="A2" s="5">
        <v>1</v>
      </c>
      <c r="B2" s="5">
        <v>53.1</v>
      </c>
      <c r="C2" s="5">
        <f>-0.2003*A2+47.16</f>
        <v>46.959699999999998</v>
      </c>
      <c r="D2" s="5">
        <f>B2/C2</f>
        <v>1.1307567978500714</v>
      </c>
      <c r="E2" s="5">
        <f>AVERAGE(D2,D6,D10,D14,D18,D22,D26,D30,D34,D38,D42,D46,D50,D54,D58,D62,D66,D70,D74,D78,D82,D86,D90,D94,D98,D102,D106,D110,D114,D118,D122,D126,D130,D134,D138,D142,D146,D150,D154)</f>
        <v>1.0135621687614387</v>
      </c>
      <c r="F2" s="5">
        <f>C2*$E$2</f>
        <v>47.596575376386532</v>
      </c>
      <c r="G2" s="6">
        <f>B2-F2</f>
        <v>5.5034246236134692</v>
      </c>
      <c r="I2" s="7" t="s">
        <v>167</v>
      </c>
      <c r="J2" s="7">
        <f>SQRT(SUMSQ(G2:G157)/COUNTA(G2:G157))</f>
        <v>3.8550178794339072</v>
      </c>
    </row>
    <row r="3" spans="1:10">
      <c r="A3" s="5">
        <f>A2+1</f>
        <v>2</v>
      </c>
      <c r="B3" s="5">
        <v>50.8</v>
      </c>
      <c r="C3" s="5">
        <f t="shared" ref="C3:C66" si="0">-0.2003*A3+47.16</f>
        <v>46.759399999999999</v>
      </c>
      <c r="D3" s="5">
        <f t="shared" ref="D3:D66" si="1">B3/C3</f>
        <v>1.0864125715898836</v>
      </c>
      <c r="E3" s="5">
        <f t="shared" ref="E3:E5" si="2">AVERAGE(D3,D7,D11,D15,D19,D23,D27,D31,D35,D39,D43,D47,D51,D55,D59,D63,D67,D71,D75,D79,D83,D87,D91,D95,D99,D103,D107,D111,D115,D119,D123,D127,D131,D135,D139,D143,D147,D151,D155)</f>
        <v>1.0086095928159931</v>
      </c>
      <c r="F3" s="5">
        <f>C3*$E$3</f>
        <v>47.161979394320142</v>
      </c>
      <c r="G3" s="6">
        <f t="shared" ref="G3:G66" si="3">B3-F3</f>
        <v>3.6380206056798556</v>
      </c>
      <c r="I3" s="7" t="s">
        <v>168</v>
      </c>
      <c r="J3" s="7" t="s">
        <v>172</v>
      </c>
    </row>
    <row r="4" spans="1:10">
      <c r="A4" s="5">
        <f t="shared" ref="A4:A67" si="4">A3+1</f>
        <v>3</v>
      </c>
      <c r="B4" s="5">
        <v>50.1</v>
      </c>
      <c r="C4" s="5">
        <f t="shared" si="0"/>
        <v>46.559099999999994</v>
      </c>
      <c r="D4" s="5">
        <f t="shared" si="1"/>
        <v>1.0760517278040169</v>
      </c>
      <c r="E4" s="5">
        <f t="shared" si="2"/>
        <v>1.0026504887120649</v>
      </c>
      <c r="F4" s="5">
        <f>C4*$E$4</f>
        <v>46.682504368993889</v>
      </c>
      <c r="G4" s="6">
        <f t="shared" si="3"/>
        <v>3.417495631006112</v>
      </c>
    </row>
    <row r="5" spans="1:10">
      <c r="A5" s="5">
        <f t="shared" si="4"/>
        <v>4</v>
      </c>
      <c r="B5" s="5">
        <v>51.8</v>
      </c>
      <c r="C5" s="5">
        <f t="shared" si="0"/>
        <v>46.358799999999995</v>
      </c>
      <c r="D5" s="5">
        <f t="shared" si="1"/>
        <v>1.1173714591404438</v>
      </c>
      <c r="E5" s="5">
        <f t="shared" si="2"/>
        <v>1.014691089594377</v>
      </c>
      <c r="F5" s="5">
        <f>C5*$E$5</f>
        <v>47.039861284287802</v>
      </c>
      <c r="G5" s="6">
        <f t="shared" si="3"/>
        <v>4.7601387157121948</v>
      </c>
    </row>
    <row r="6" spans="1:10">
      <c r="A6" s="5">
        <f t="shared" si="4"/>
        <v>5</v>
      </c>
      <c r="B6" s="5">
        <v>53.9</v>
      </c>
      <c r="C6" s="5">
        <f t="shared" si="0"/>
        <v>46.158499999999997</v>
      </c>
      <c r="D6" s="5">
        <f t="shared" si="1"/>
        <v>1.1677155886781416</v>
      </c>
      <c r="F6" s="5">
        <f>C6*$E$2</f>
        <v>46.784509366774863</v>
      </c>
      <c r="G6" s="6">
        <f t="shared" si="3"/>
        <v>7.1154906332251358</v>
      </c>
    </row>
    <row r="7" spans="1:10">
      <c r="A7" s="5">
        <f t="shared" si="4"/>
        <v>6</v>
      </c>
      <c r="B7" s="5">
        <v>54.2</v>
      </c>
      <c r="C7" s="5">
        <f t="shared" si="0"/>
        <v>45.958199999999998</v>
      </c>
      <c r="D7" s="5">
        <f t="shared" si="1"/>
        <v>1.1793325239021546</v>
      </c>
      <c r="F7" s="5">
        <f>C7*$E$3</f>
        <v>46.353881388555969</v>
      </c>
      <c r="G7" s="6">
        <f t="shared" si="3"/>
        <v>7.8461186114440338</v>
      </c>
    </row>
    <row r="8" spans="1:10">
      <c r="A8" s="5">
        <f t="shared" si="4"/>
        <v>7</v>
      </c>
      <c r="B8" s="5">
        <v>50.2</v>
      </c>
      <c r="C8" s="5">
        <f t="shared" si="0"/>
        <v>45.757899999999999</v>
      </c>
      <c r="D8" s="5">
        <f t="shared" si="1"/>
        <v>1.0970783187165496</v>
      </c>
      <c r="F8" s="5">
        <f>C8*$E$4</f>
        <v>45.87918079743779</v>
      </c>
      <c r="G8" s="6">
        <f t="shared" si="3"/>
        <v>4.3208192025622125</v>
      </c>
    </row>
    <row r="9" spans="1:10">
      <c r="A9" s="5">
        <f t="shared" si="4"/>
        <v>8</v>
      </c>
      <c r="B9" s="5">
        <v>53.4</v>
      </c>
      <c r="C9" s="5">
        <f t="shared" si="0"/>
        <v>45.557599999999994</v>
      </c>
      <c r="D9" s="5">
        <f t="shared" si="1"/>
        <v>1.1721425184820975</v>
      </c>
      <c r="F9" s="5">
        <f>C9*$E$5</f>
        <v>46.226890783304782</v>
      </c>
      <c r="G9" s="6">
        <f t="shared" si="3"/>
        <v>7.1731092166952166</v>
      </c>
    </row>
    <row r="10" spans="1:10">
      <c r="A10" s="5">
        <f t="shared" si="4"/>
        <v>9</v>
      </c>
      <c r="B10" s="5">
        <v>50.7</v>
      </c>
      <c r="C10" s="5">
        <f t="shared" si="0"/>
        <v>45.357299999999995</v>
      </c>
      <c r="D10" s="5">
        <f t="shared" si="1"/>
        <v>1.1177914029274232</v>
      </c>
      <c r="F10" s="5">
        <f>C10*$E$2</f>
        <v>45.972443357163201</v>
      </c>
      <c r="G10" s="6">
        <f t="shared" si="3"/>
        <v>4.7275566428368023</v>
      </c>
    </row>
    <row r="11" spans="1:10">
      <c r="A11" s="5">
        <f t="shared" si="4"/>
        <v>10</v>
      </c>
      <c r="B11" s="5">
        <v>48.4</v>
      </c>
      <c r="C11" s="5">
        <f t="shared" si="0"/>
        <v>45.156999999999996</v>
      </c>
      <c r="D11" s="5">
        <f t="shared" si="1"/>
        <v>1.071816108244569</v>
      </c>
      <c r="F11" s="5">
        <f>C11*$E$3</f>
        <v>45.545783382791797</v>
      </c>
      <c r="G11" s="6">
        <f t="shared" si="3"/>
        <v>2.854216617208202</v>
      </c>
    </row>
    <row r="12" spans="1:10">
      <c r="A12" s="5">
        <f t="shared" si="4"/>
        <v>11</v>
      </c>
      <c r="B12" s="5">
        <v>50.9</v>
      </c>
      <c r="C12" s="5">
        <f t="shared" si="0"/>
        <v>44.956699999999998</v>
      </c>
      <c r="D12" s="5">
        <f t="shared" si="1"/>
        <v>1.1322005396303554</v>
      </c>
      <c r="F12" s="5">
        <f>C12*$E$4</f>
        <v>45.075857225881684</v>
      </c>
      <c r="G12" s="6">
        <f t="shared" si="3"/>
        <v>5.8241427741183145</v>
      </c>
    </row>
    <row r="13" spans="1:10">
      <c r="A13" s="5">
        <f t="shared" si="4"/>
        <v>12</v>
      </c>
      <c r="B13" s="5">
        <v>44.7</v>
      </c>
      <c r="C13" s="5">
        <f t="shared" si="0"/>
        <v>44.756399999999999</v>
      </c>
      <c r="D13" s="5">
        <f t="shared" si="1"/>
        <v>0.99873984502775026</v>
      </c>
      <c r="F13" s="5">
        <f>C13*$E$5</f>
        <v>45.413920282321776</v>
      </c>
      <c r="G13" s="6">
        <f t="shared" si="3"/>
        <v>-0.71392028232177296</v>
      </c>
    </row>
    <row r="14" spans="1:10">
      <c r="A14" s="5">
        <f t="shared" si="4"/>
        <v>13</v>
      </c>
      <c r="B14" s="5">
        <v>46</v>
      </c>
      <c r="C14" s="5">
        <f t="shared" si="0"/>
        <v>44.556099999999994</v>
      </c>
      <c r="D14" s="5">
        <f t="shared" si="1"/>
        <v>1.0324063371794212</v>
      </c>
      <c r="F14" s="5">
        <f>C14*$E$2</f>
        <v>45.160377347551531</v>
      </c>
      <c r="G14" s="6">
        <f t="shared" si="3"/>
        <v>0.8396226524484689</v>
      </c>
    </row>
    <row r="15" spans="1:10">
      <c r="A15" s="5">
        <f t="shared" si="4"/>
        <v>14</v>
      </c>
      <c r="B15" s="5">
        <v>44.7</v>
      </c>
      <c r="C15" s="5">
        <f t="shared" si="0"/>
        <v>44.355799999999995</v>
      </c>
      <c r="D15" s="5">
        <f t="shared" si="1"/>
        <v>1.0077599772746746</v>
      </c>
      <c r="F15" s="5">
        <f>C15*$E$3</f>
        <v>44.737685377027617</v>
      </c>
      <c r="G15" s="6">
        <f t="shared" si="3"/>
        <v>-3.7685377027614209E-2</v>
      </c>
    </row>
    <row r="16" spans="1:10">
      <c r="A16" s="5">
        <f t="shared" si="4"/>
        <v>15</v>
      </c>
      <c r="B16" s="5">
        <v>44.7</v>
      </c>
      <c r="C16" s="5">
        <f t="shared" si="0"/>
        <v>44.155499999999996</v>
      </c>
      <c r="D16" s="5">
        <f t="shared" si="1"/>
        <v>1.0123314196419473</v>
      </c>
      <c r="F16" s="5">
        <f>C16*$E$4</f>
        <v>44.272533654325578</v>
      </c>
      <c r="G16" s="6">
        <f t="shared" si="3"/>
        <v>0.42746634567442499</v>
      </c>
    </row>
    <row r="17" spans="1:7">
      <c r="A17" s="5">
        <f t="shared" si="4"/>
        <v>16</v>
      </c>
      <c r="B17" s="5">
        <v>45.2</v>
      </c>
      <c r="C17" s="5">
        <f t="shared" si="0"/>
        <v>43.955199999999998</v>
      </c>
      <c r="D17" s="5">
        <f t="shared" si="1"/>
        <v>1.0283197437390799</v>
      </c>
      <c r="F17" s="5">
        <f>C17*$E$5</f>
        <v>44.600949781338763</v>
      </c>
      <c r="G17" s="6">
        <f t="shared" si="3"/>
        <v>0.59905021866124031</v>
      </c>
    </row>
    <row r="18" spans="1:7">
      <c r="A18" s="5">
        <f t="shared" si="4"/>
        <v>17</v>
      </c>
      <c r="B18" s="5">
        <v>47.7</v>
      </c>
      <c r="C18" s="5">
        <f t="shared" si="0"/>
        <v>43.754899999999999</v>
      </c>
      <c r="D18" s="5">
        <f t="shared" si="1"/>
        <v>1.0901636159607269</v>
      </c>
      <c r="F18" s="5">
        <f>C18*$E$2</f>
        <v>44.348311337939869</v>
      </c>
      <c r="G18" s="6">
        <f t="shared" si="3"/>
        <v>3.351688662060134</v>
      </c>
    </row>
    <row r="19" spans="1:7">
      <c r="A19" s="5">
        <f t="shared" si="4"/>
        <v>18</v>
      </c>
      <c r="B19" s="5">
        <v>46.8</v>
      </c>
      <c r="C19" s="5">
        <f t="shared" si="0"/>
        <v>43.554599999999994</v>
      </c>
      <c r="D19" s="5">
        <f t="shared" si="1"/>
        <v>1.0745133694259621</v>
      </c>
      <c r="F19" s="5">
        <f>C19*$E$3</f>
        <v>43.929587371263445</v>
      </c>
      <c r="G19" s="6">
        <f t="shared" si="3"/>
        <v>2.8704126287365526</v>
      </c>
    </row>
    <row r="20" spans="1:7">
      <c r="A20" s="5">
        <f t="shared" si="4"/>
        <v>19</v>
      </c>
      <c r="B20" s="5">
        <v>43.3</v>
      </c>
      <c r="C20" s="5">
        <f t="shared" si="0"/>
        <v>43.354299999999995</v>
      </c>
      <c r="D20" s="5">
        <f t="shared" si="1"/>
        <v>0.99874752908016051</v>
      </c>
      <c r="F20" s="5">
        <f>C20*$E$4</f>
        <v>43.469210082769472</v>
      </c>
      <c r="G20" s="6">
        <f t="shared" si="3"/>
        <v>-0.16921008276947447</v>
      </c>
    </row>
    <row r="21" spans="1:7">
      <c r="A21" s="5">
        <f t="shared" si="4"/>
        <v>20</v>
      </c>
      <c r="B21" s="5">
        <v>49.1</v>
      </c>
      <c r="C21" s="5">
        <f t="shared" si="0"/>
        <v>43.153999999999996</v>
      </c>
      <c r="D21" s="5">
        <f t="shared" si="1"/>
        <v>1.1377856050424064</v>
      </c>
      <c r="F21" s="5">
        <f>C21*$E$5</f>
        <v>43.787979280355742</v>
      </c>
      <c r="G21" s="6">
        <f t="shared" si="3"/>
        <v>5.3120207196442593</v>
      </c>
    </row>
    <row r="22" spans="1:7">
      <c r="A22" s="5">
        <f t="shared" si="4"/>
        <v>21</v>
      </c>
      <c r="B22" s="5">
        <v>45.2</v>
      </c>
      <c r="C22" s="5">
        <f t="shared" si="0"/>
        <v>42.953699999999998</v>
      </c>
      <c r="D22" s="5">
        <f t="shared" si="1"/>
        <v>1.0522958441298422</v>
      </c>
      <c r="F22" s="5">
        <f>C22*$E$2</f>
        <v>43.536245328328206</v>
      </c>
      <c r="G22" s="6">
        <f t="shared" si="3"/>
        <v>1.6637546716717964</v>
      </c>
    </row>
    <row r="23" spans="1:7">
      <c r="A23" s="5">
        <f t="shared" si="4"/>
        <v>22</v>
      </c>
      <c r="B23" s="5">
        <v>45.2</v>
      </c>
      <c r="C23" s="5">
        <f t="shared" si="0"/>
        <v>42.753399999999999</v>
      </c>
      <c r="D23" s="5">
        <f t="shared" si="1"/>
        <v>1.0572258580604117</v>
      </c>
      <c r="F23" s="5">
        <f>C23*$E$3</f>
        <v>43.121489365499279</v>
      </c>
      <c r="G23" s="6">
        <f t="shared" si="3"/>
        <v>2.0785106345007236</v>
      </c>
    </row>
    <row r="24" spans="1:7">
      <c r="A24" s="5">
        <f t="shared" si="4"/>
        <v>23</v>
      </c>
      <c r="B24" s="5">
        <v>46.5</v>
      </c>
      <c r="C24" s="5">
        <f t="shared" si="0"/>
        <v>42.553099999999993</v>
      </c>
      <c r="D24" s="5">
        <f t="shared" si="1"/>
        <v>1.0927523494175515</v>
      </c>
      <c r="F24" s="5">
        <f>C24*$E$4</f>
        <v>42.665886511213358</v>
      </c>
      <c r="G24" s="6">
        <f t="shared" si="3"/>
        <v>3.8341134887866417</v>
      </c>
    </row>
    <row r="25" spans="1:7">
      <c r="A25" s="5">
        <f t="shared" si="4"/>
        <v>24</v>
      </c>
      <c r="B25" s="5">
        <v>41.7</v>
      </c>
      <c r="C25" s="5">
        <f t="shared" si="0"/>
        <v>42.352799999999995</v>
      </c>
      <c r="D25" s="5">
        <f t="shared" si="1"/>
        <v>0.98458661528871783</v>
      </c>
      <c r="F25" s="5">
        <f>C25*$E$5</f>
        <v>42.975008779372729</v>
      </c>
      <c r="G25" s="6">
        <f t="shared" si="3"/>
        <v>-1.2750087793727261</v>
      </c>
    </row>
    <row r="26" spans="1:7">
      <c r="A26" s="5">
        <f t="shared" si="4"/>
        <v>25</v>
      </c>
      <c r="B26" s="5">
        <v>44.7</v>
      </c>
      <c r="C26" s="5">
        <f t="shared" si="0"/>
        <v>42.152499999999996</v>
      </c>
      <c r="D26" s="5">
        <f t="shared" si="1"/>
        <v>1.0604353241207523</v>
      </c>
      <c r="F26" s="5">
        <f>C26*$E$2</f>
        <v>42.724179318716537</v>
      </c>
      <c r="G26" s="6">
        <f t="shared" si="3"/>
        <v>1.9758206812834658</v>
      </c>
    </row>
    <row r="27" spans="1:7">
      <c r="A27" s="5">
        <f t="shared" si="4"/>
        <v>26</v>
      </c>
      <c r="B27" s="5">
        <v>39.1</v>
      </c>
      <c r="C27" s="5">
        <f t="shared" si="0"/>
        <v>41.952199999999998</v>
      </c>
      <c r="D27" s="5">
        <f t="shared" si="1"/>
        <v>0.93201310062404363</v>
      </c>
      <c r="F27" s="5">
        <f>C27*$E$3</f>
        <v>42.3133913597351</v>
      </c>
      <c r="G27" s="6">
        <f t="shared" si="3"/>
        <v>-3.2133913597350983</v>
      </c>
    </row>
    <row r="28" spans="1:7">
      <c r="A28" s="5">
        <f t="shared" si="4"/>
        <v>27</v>
      </c>
      <c r="B28" s="5">
        <v>41.3</v>
      </c>
      <c r="C28" s="5">
        <f t="shared" si="0"/>
        <v>41.751899999999999</v>
      </c>
      <c r="D28" s="5">
        <f t="shared" si="1"/>
        <v>0.98917654046881698</v>
      </c>
      <c r="F28" s="5">
        <f>C28*$E$4</f>
        <v>41.862562939657259</v>
      </c>
      <c r="G28" s="6">
        <f t="shared" si="3"/>
        <v>-0.56256293965726201</v>
      </c>
    </row>
    <row r="29" spans="1:7">
      <c r="A29" s="5">
        <f t="shared" si="4"/>
        <v>28</v>
      </c>
      <c r="B29" s="5">
        <v>40</v>
      </c>
      <c r="C29" s="5">
        <f t="shared" si="0"/>
        <v>41.551599999999993</v>
      </c>
      <c r="D29" s="5">
        <f t="shared" si="1"/>
        <v>0.96265847765188362</v>
      </c>
      <c r="F29" s="5">
        <f>C29*$E$5</f>
        <v>42.162038278389709</v>
      </c>
      <c r="G29" s="6">
        <f t="shared" si="3"/>
        <v>-2.1620382783897085</v>
      </c>
    </row>
    <row r="30" spans="1:7">
      <c r="A30" s="5">
        <f t="shared" si="4"/>
        <v>29</v>
      </c>
      <c r="B30" s="5">
        <v>44.9</v>
      </c>
      <c r="C30" s="5">
        <f t="shared" si="0"/>
        <v>41.351299999999995</v>
      </c>
      <c r="D30" s="5">
        <f t="shared" si="1"/>
        <v>1.0858183418659149</v>
      </c>
      <c r="F30" s="5">
        <f>C30*$E$2</f>
        <v>41.912113309104875</v>
      </c>
      <c r="G30" s="6">
        <f t="shared" si="3"/>
        <v>2.9878866908951238</v>
      </c>
    </row>
    <row r="31" spans="1:7">
      <c r="A31" s="5">
        <f t="shared" si="4"/>
        <v>30</v>
      </c>
      <c r="B31" s="5">
        <v>40.9</v>
      </c>
      <c r="C31" s="5">
        <f t="shared" si="0"/>
        <v>41.150999999999996</v>
      </c>
      <c r="D31" s="5">
        <f t="shared" si="1"/>
        <v>0.99390051274574132</v>
      </c>
      <c r="F31" s="5">
        <f>C31*$E$3</f>
        <v>41.505293353970927</v>
      </c>
      <c r="G31" s="6">
        <f t="shared" si="3"/>
        <v>-0.60529335397092865</v>
      </c>
    </row>
    <row r="32" spans="1:7">
      <c r="A32" s="5">
        <f t="shared" si="4"/>
        <v>31</v>
      </c>
      <c r="B32" s="5">
        <v>44.3</v>
      </c>
      <c r="C32" s="5">
        <f t="shared" si="0"/>
        <v>40.950699999999998</v>
      </c>
      <c r="D32" s="5">
        <f t="shared" si="1"/>
        <v>1.0817885896944375</v>
      </c>
      <c r="F32" s="5">
        <f>C32*$E$4</f>
        <v>41.059239368101153</v>
      </c>
      <c r="G32" s="6">
        <f t="shared" si="3"/>
        <v>3.2407606318988442</v>
      </c>
    </row>
    <row r="33" spans="1:7">
      <c r="A33" s="5">
        <f t="shared" si="4"/>
        <v>32</v>
      </c>
      <c r="B33" s="5">
        <v>44.4</v>
      </c>
      <c r="C33" s="5">
        <f t="shared" si="0"/>
        <v>40.750399999999999</v>
      </c>
      <c r="D33" s="5">
        <f t="shared" si="1"/>
        <v>1.0895598570811575</v>
      </c>
      <c r="F33" s="5">
        <f>C33*$E$5</f>
        <v>41.349067777406702</v>
      </c>
      <c r="G33" s="6">
        <f t="shared" si="3"/>
        <v>3.0509322225932962</v>
      </c>
    </row>
    <row r="34" spans="1:7">
      <c r="A34" s="5">
        <f t="shared" si="4"/>
        <v>33</v>
      </c>
      <c r="B34" s="5">
        <v>40.700000000000003</v>
      </c>
      <c r="C34" s="5">
        <f t="shared" si="0"/>
        <v>40.550099999999993</v>
      </c>
      <c r="D34" s="5">
        <f t="shared" si="1"/>
        <v>1.0036966616605141</v>
      </c>
      <c r="F34" s="5">
        <f>C34*$E$2</f>
        <v>41.100047299493205</v>
      </c>
      <c r="G34" s="6">
        <f t="shared" si="3"/>
        <v>-0.4000472994932025</v>
      </c>
    </row>
    <row r="35" spans="1:7">
      <c r="A35" s="5">
        <f t="shared" si="4"/>
        <v>34</v>
      </c>
      <c r="B35" s="5">
        <v>41.9</v>
      </c>
      <c r="C35" s="5">
        <f t="shared" si="0"/>
        <v>40.349799999999995</v>
      </c>
      <c r="D35" s="5">
        <f t="shared" si="1"/>
        <v>1.0384190256209449</v>
      </c>
      <c r="F35" s="5">
        <f>C35*$E$3</f>
        <v>40.697195348206748</v>
      </c>
      <c r="G35" s="6">
        <f t="shared" si="3"/>
        <v>1.2028046517932509</v>
      </c>
    </row>
    <row r="36" spans="1:7">
      <c r="A36" s="5">
        <f t="shared" si="4"/>
        <v>35</v>
      </c>
      <c r="B36" s="5">
        <v>41.7</v>
      </c>
      <c r="C36" s="5">
        <f t="shared" si="0"/>
        <v>40.149499999999996</v>
      </c>
      <c r="D36" s="5">
        <f t="shared" si="1"/>
        <v>1.0386181646097712</v>
      </c>
      <c r="F36" s="5">
        <f>C36*$E$4</f>
        <v>40.255915796545047</v>
      </c>
      <c r="G36" s="6">
        <f t="shared" si="3"/>
        <v>1.4440842034549561</v>
      </c>
    </row>
    <row r="37" spans="1:7">
      <c r="A37" s="5">
        <f t="shared" si="4"/>
        <v>36</v>
      </c>
      <c r="B37" s="5">
        <v>37.700000000000003</v>
      </c>
      <c r="C37" s="5">
        <f t="shared" si="0"/>
        <v>39.949199999999998</v>
      </c>
      <c r="D37" s="5">
        <f t="shared" si="1"/>
        <v>0.94369849709130604</v>
      </c>
      <c r="F37" s="5">
        <f>C37*$E$5</f>
        <v>40.536097276423682</v>
      </c>
      <c r="G37" s="6">
        <f t="shared" si="3"/>
        <v>-2.8360972764236791</v>
      </c>
    </row>
    <row r="38" spans="1:7">
      <c r="A38" s="5">
        <f t="shared" si="4"/>
        <v>37</v>
      </c>
      <c r="B38" s="5">
        <v>39.700000000000003</v>
      </c>
      <c r="C38" s="5">
        <f t="shared" si="0"/>
        <v>39.748899999999999</v>
      </c>
      <c r="D38" s="5">
        <f t="shared" si="1"/>
        <v>0.99876977727685556</v>
      </c>
      <c r="F38" s="5">
        <f>C38*$E$2</f>
        <v>40.28798128988155</v>
      </c>
      <c r="G38" s="6">
        <f t="shared" si="3"/>
        <v>-0.5879812898815473</v>
      </c>
    </row>
    <row r="39" spans="1:7">
      <c r="A39" s="5">
        <f t="shared" si="4"/>
        <v>38</v>
      </c>
      <c r="B39" s="5">
        <v>36.1</v>
      </c>
      <c r="C39" s="5">
        <f t="shared" si="0"/>
        <v>39.548599999999993</v>
      </c>
      <c r="D39" s="5">
        <f t="shared" si="1"/>
        <v>0.91280095882028711</v>
      </c>
      <c r="F39" s="5">
        <f>C39*$E$3</f>
        <v>39.889097342442575</v>
      </c>
      <c r="G39" s="6">
        <f t="shared" si="3"/>
        <v>-3.7890973424425738</v>
      </c>
    </row>
    <row r="40" spans="1:7">
      <c r="A40" s="5">
        <f t="shared" si="4"/>
        <v>39</v>
      </c>
      <c r="B40" s="5">
        <v>33.1</v>
      </c>
      <c r="C40" s="5">
        <f t="shared" si="0"/>
        <v>39.348299999999995</v>
      </c>
      <c r="D40" s="5">
        <f t="shared" si="1"/>
        <v>0.84120533796885777</v>
      </c>
      <c r="F40" s="5">
        <f>C40*$E$4</f>
        <v>39.452592224988933</v>
      </c>
      <c r="G40" s="6">
        <f t="shared" si="3"/>
        <v>-6.3525922249889319</v>
      </c>
    </row>
    <row r="41" spans="1:7">
      <c r="A41" s="5">
        <f t="shared" si="4"/>
        <v>40</v>
      </c>
      <c r="B41" s="5">
        <v>37.200000000000003</v>
      </c>
      <c r="C41" s="5">
        <f t="shared" si="0"/>
        <v>39.147999999999996</v>
      </c>
      <c r="D41" s="5">
        <f t="shared" si="1"/>
        <v>0.95024011443751932</v>
      </c>
      <c r="F41" s="5">
        <f>C41*$E$5</f>
        <v>39.723126775440669</v>
      </c>
      <c r="G41" s="6">
        <f t="shared" si="3"/>
        <v>-2.5231267754406659</v>
      </c>
    </row>
    <row r="42" spans="1:7">
      <c r="A42" s="5">
        <f t="shared" si="4"/>
        <v>41</v>
      </c>
      <c r="B42" s="5">
        <v>36.9</v>
      </c>
      <c r="C42" s="5">
        <f t="shared" si="0"/>
        <v>38.947699999999998</v>
      </c>
      <c r="D42" s="5">
        <f t="shared" si="1"/>
        <v>0.94742436652228501</v>
      </c>
      <c r="F42" s="5">
        <f>C42*$E$2</f>
        <v>39.475915280269881</v>
      </c>
      <c r="G42" s="6">
        <f t="shared" si="3"/>
        <v>-2.5759152802698821</v>
      </c>
    </row>
    <row r="43" spans="1:7">
      <c r="A43" s="5">
        <f t="shared" si="4"/>
        <v>42</v>
      </c>
      <c r="B43" s="5">
        <v>38.1</v>
      </c>
      <c r="C43" s="5">
        <f t="shared" si="0"/>
        <v>38.747399999999999</v>
      </c>
      <c r="D43" s="5">
        <f t="shared" si="1"/>
        <v>0.98329178215828683</v>
      </c>
      <c r="F43" s="5">
        <f>C43*$E$3</f>
        <v>39.08099933667841</v>
      </c>
      <c r="G43" s="6">
        <f t="shared" si="3"/>
        <v>-0.98099933667840844</v>
      </c>
    </row>
    <row r="44" spans="1:7">
      <c r="A44" s="5">
        <f t="shared" si="4"/>
        <v>43</v>
      </c>
      <c r="B44" s="5">
        <v>37.6</v>
      </c>
      <c r="C44" s="5">
        <f t="shared" si="0"/>
        <v>38.5471</v>
      </c>
      <c r="D44" s="5">
        <f t="shared" si="1"/>
        <v>0.97543005829232288</v>
      </c>
      <c r="F44" s="5">
        <f>C44*$E$4</f>
        <v>38.649268653432834</v>
      </c>
      <c r="G44" s="6">
        <f t="shared" si="3"/>
        <v>-1.0492686534328328</v>
      </c>
    </row>
    <row r="45" spans="1:7">
      <c r="A45" s="5">
        <f t="shared" si="4"/>
        <v>44</v>
      </c>
      <c r="B45" s="5">
        <v>38.4</v>
      </c>
      <c r="C45" s="5">
        <f t="shared" si="0"/>
        <v>38.346799999999995</v>
      </c>
      <c r="D45" s="5">
        <f t="shared" si="1"/>
        <v>1.0013873387088363</v>
      </c>
      <c r="F45" s="5">
        <f>C45*$E$5</f>
        <v>38.910156274457655</v>
      </c>
      <c r="G45" s="6">
        <f t="shared" si="3"/>
        <v>-0.51015627445765688</v>
      </c>
    </row>
    <row r="46" spans="1:7">
      <c r="A46" s="5">
        <f t="shared" si="4"/>
        <v>45</v>
      </c>
      <c r="B46" s="5">
        <v>41.8</v>
      </c>
      <c r="C46" s="5">
        <f t="shared" si="0"/>
        <v>38.146499999999996</v>
      </c>
      <c r="D46" s="5">
        <f t="shared" si="1"/>
        <v>1.0957754970967193</v>
      </c>
      <c r="F46" s="5">
        <f>C46*$E$2</f>
        <v>38.663849270658218</v>
      </c>
      <c r="G46" s="6">
        <f t="shared" si="3"/>
        <v>3.1361507293417787</v>
      </c>
    </row>
    <row r="47" spans="1:7">
      <c r="A47" s="5">
        <f t="shared" si="4"/>
        <v>46</v>
      </c>
      <c r="B47" s="5">
        <v>44.7</v>
      </c>
      <c r="C47" s="5">
        <f t="shared" si="0"/>
        <v>37.946199999999997</v>
      </c>
      <c r="D47" s="5">
        <f t="shared" si="1"/>
        <v>1.1779835662068932</v>
      </c>
      <c r="F47" s="5">
        <f>C47*$E$3</f>
        <v>38.27290133091423</v>
      </c>
      <c r="G47" s="6">
        <f t="shared" si="3"/>
        <v>6.4270986690857725</v>
      </c>
    </row>
    <row r="48" spans="1:7">
      <c r="A48" s="5">
        <f t="shared" si="4"/>
        <v>47</v>
      </c>
      <c r="B48" s="5">
        <v>37.5</v>
      </c>
      <c r="C48" s="5">
        <f t="shared" si="0"/>
        <v>37.745899999999999</v>
      </c>
      <c r="D48" s="5">
        <f t="shared" si="1"/>
        <v>0.99348538516766061</v>
      </c>
      <c r="F48" s="5">
        <f>C48*$E$4</f>
        <v>37.845945081876728</v>
      </c>
      <c r="G48" s="6">
        <f t="shared" si="3"/>
        <v>-0.34594508187672801</v>
      </c>
    </row>
    <row r="49" spans="1:7">
      <c r="A49" s="5">
        <f t="shared" si="4"/>
        <v>48</v>
      </c>
      <c r="B49" s="5">
        <v>36.5</v>
      </c>
      <c r="C49" s="5">
        <f t="shared" si="0"/>
        <v>37.545599999999993</v>
      </c>
      <c r="D49" s="5">
        <f t="shared" si="1"/>
        <v>0.97215119747720125</v>
      </c>
      <c r="F49" s="5">
        <f>C49*$E$5</f>
        <v>38.097185773474635</v>
      </c>
      <c r="G49" s="6">
        <f t="shared" si="3"/>
        <v>-1.5971857734746351</v>
      </c>
    </row>
    <row r="50" spans="1:7">
      <c r="A50" s="5">
        <f t="shared" si="4"/>
        <v>49</v>
      </c>
      <c r="B50" s="5">
        <v>33.200000000000003</v>
      </c>
      <c r="C50" s="5">
        <f t="shared" si="0"/>
        <v>37.345299999999995</v>
      </c>
      <c r="D50" s="5">
        <f t="shared" si="1"/>
        <v>0.88900075779281484</v>
      </c>
      <c r="F50" s="5">
        <f>C50*$E$2</f>
        <v>37.851783261046549</v>
      </c>
      <c r="G50" s="6">
        <f t="shared" si="3"/>
        <v>-4.6517832610465462</v>
      </c>
    </row>
    <row r="51" spans="1:7">
      <c r="A51" s="5">
        <f t="shared" si="4"/>
        <v>50</v>
      </c>
      <c r="B51" s="5">
        <v>34</v>
      </c>
      <c r="C51" s="5">
        <f t="shared" si="0"/>
        <v>37.144999999999996</v>
      </c>
      <c r="D51" s="5">
        <f t="shared" si="1"/>
        <v>0.91533180778032042</v>
      </c>
      <c r="F51" s="5">
        <f>C51*$E$3</f>
        <v>37.464803325150058</v>
      </c>
      <c r="G51" s="6">
        <f t="shared" si="3"/>
        <v>-3.4648033251500578</v>
      </c>
    </row>
    <row r="52" spans="1:7">
      <c r="A52" s="5">
        <f t="shared" si="4"/>
        <v>51</v>
      </c>
      <c r="B52" s="5">
        <v>32.799999999999997</v>
      </c>
      <c r="C52" s="5">
        <f t="shared" si="0"/>
        <v>36.944699999999997</v>
      </c>
      <c r="D52" s="5">
        <f t="shared" si="1"/>
        <v>0.88781340760650374</v>
      </c>
      <c r="F52" s="5">
        <f>C52*$E$4</f>
        <v>37.042621510320622</v>
      </c>
      <c r="G52" s="6">
        <f t="shared" si="3"/>
        <v>-4.2426215103206246</v>
      </c>
    </row>
    <row r="53" spans="1:7">
      <c r="A53" s="5">
        <f t="shared" si="4"/>
        <v>52</v>
      </c>
      <c r="B53" s="5">
        <v>34.4</v>
      </c>
      <c r="C53" s="5">
        <f t="shared" si="0"/>
        <v>36.744399999999999</v>
      </c>
      <c r="D53" s="5">
        <f t="shared" si="1"/>
        <v>0.93619708037143079</v>
      </c>
      <c r="F53" s="5">
        <f>C53*$E$5</f>
        <v>37.284215272491629</v>
      </c>
      <c r="G53" s="6">
        <f t="shared" si="3"/>
        <v>-2.8842152724916303</v>
      </c>
    </row>
    <row r="54" spans="1:7">
      <c r="A54" s="5">
        <f t="shared" si="4"/>
        <v>53</v>
      </c>
      <c r="B54" s="5">
        <v>34.700000000000003</v>
      </c>
      <c r="C54" s="5">
        <f t="shared" si="0"/>
        <v>36.5441</v>
      </c>
      <c r="D54" s="5">
        <f t="shared" si="1"/>
        <v>0.94953768186930321</v>
      </c>
      <c r="F54" s="5">
        <f>C54*$E$2</f>
        <v>37.039717251434894</v>
      </c>
      <c r="G54" s="6">
        <f t="shared" si="3"/>
        <v>-2.339717251434891</v>
      </c>
    </row>
    <row r="55" spans="1:7">
      <c r="A55" s="5">
        <f t="shared" si="4"/>
        <v>54</v>
      </c>
      <c r="B55" s="5">
        <v>37</v>
      </c>
      <c r="C55" s="5">
        <f t="shared" si="0"/>
        <v>36.343799999999995</v>
      </c>
      <c r="D55" s="5">
        <f t="shared" si="1"/>
        <v>1.0180553491929849</v>
      </c>
      <c r="F55" s="5">
        <f>C55*$E$3</f>
        <v>36.656705319385885</v>
      </c>
      <c r="G55" s="6">
        <f t="shared" si="3"/>
        <v>0.34329468061411461</v>
      </c>
    </row>
    <row r="56" spans="1:7">
      <c r="A56" s="5">
        <f t="shared" si="4"/>
        <v>55</v>
      </c>
      <c r="B56" s="5">
        <v>35.6</v>
      </c>
      <c r="C56" s="5">
        <f t="shared" si="0"/>
        <v>36.143499999999996</v>
      </c>
      <c r="D56" s="5">
        <f t="shared" si="1"/>
        <v>0.98496271805442215</v>
      </c>
      <c r="F56" s="5">
        <f>C56*$E$4</f>
        <v>36.239297938764516</v>
      </c>
      <c r="G56" s="6">
        <f t="shared" si="3"/>
        <v>-0.63929793876451413</v>
      </c>
    </row>
    <row r="57" spans="1:7">
      <c r="A57" s="5">
        <f t="shared" si="4"/>
        <v>56</v>
      </c>
      <c r="B57" s="5">
        <v>35</v>
      </c>
      <c r="C57" s="5">
        <f t="shared" si="0"/>
        <v>35.943199999999997</v>
      </c>
      <c r="D57" s="5">
        <f t="shared" si="1"/>
        <v>0.97375859689732691</v>
      </c>
      <c r="F57" s="5">
        <f>C57*$E$5</f>
        <v>36.471244771508609</v>
      </c>
      <c r="G57" s="6">
        <f t="shared" si="3"/>
        <v>-1.4712447715086086</v>
      </c>
    </row>
    <row r="58" spans="1:7">
      <c r="A58" s="5">
        <f t="shared" si="4"/>
        <v>57</v>
      </c>
      <c r="B58" s="5">
        <v>35.4</v>
      </c>
      <c r="C58" s="5">
        <f t="shared" si="0"/>
        <v>35.742899999999999</v>
      </c>
      <c r="D58" s="5">
        <f t="shared" si="1"/>
        <v>0.99040648632315786</v>
      </c>
      <c r="F58" s="5">
        <f>C58*$E$2</f>
        <v>36.227651241823224</v>
      </c>
      <c r="G58" s="6">
        <f t="shared" si="3"/>
        <v>-0.8276512418232258</v>
      </c>
    </row>
    <row r="59" spans="1:7">
      <c r="A59" s="5">
        <f t="shared" si="4"/>
        <v>58</v>
      </c>
      <c r="B59" s="5">
        <v>35.700000000000003</v>
      </c>
      <c r="C59" s="5">
        <f t="shared" si="0"/>
        <v>35.542599999999993</v>
      </c>
      <c r="D59" s="5">
        <f t="shared" si="1"/>
        <v>1.004428488630545</v>
      </c>
      <c r="F59" s="5">
        <f>C59*$E$3</f>
        <v>35.848607313621706</v>
      </c>
      <c r="G59" s="6">
        <f t="shared" si="3"/>
        <v>-0.14860731362170299</v>
      </c>
    </row>
    <row r="60" spans="1:7">
      <c r="A60" s="5">
        <f t="shared" si="4"/>
        <v>59</v>
      </c>
      <c r="B60" s="5">
        <v>32.799999999999997</v>
      </c>
      <c r="C60" s="5">
        <f t="shared" si="0"/>
        <v>35.342299999999994</v>
      </c>
      <c r="D60" s="5">
        <f t="shared" si="1"/>
        <v>0.92806636806319909</v>
      </c>
      <c r="F60" s="5">
        <f>C60*$E$4</f>
        <v>35.435974367208402</v>
      </c>
      <c r="G60" s="6">
        <f t="shared" si="3"/>
        <v>-2.6359743672084051</v>
      </c>
    </row>
    <row r="61" spans="1:7">
      <c r="A61" s="5">
        <f t="shared" si="4"/>
        <v>60</v>
      </c>
      <c r="B61" s="5">
        <v>33.5</v>
      </c>
      <c r="C61" s="5">
        <f t="shared" si="0"/>
        <v>35.141999999999996</v>
      </c>
      <c r="D61" s="5">
        <f t="shared" si="1"/>
        <v>0.95327528313698717</v>
      </c>
      <c r="F61" s="5">
        <f>C61*$E$5</f>
        <v>35.658274270525595</v>
      </c>
      <c r="G61" s="6">
        <f t="shared" si="3"/>
        <v>-2.1582742705255953</v>
      </c>
    </row>
    <row r="62" spans="1:7">
      <c r="A62" s="5">
        <f t="shared" si="4"/>
        <v>61</v>
      </c>
      <c r="B62" s="5">
        <v>30.9</v>
      </c>
      <c r="C62" s="5">
        <f t="shared" si="0"/>
        <v>34.941699999999997</v>
      </c>
      <c r="D62" s="5">
        <f t="shared" si="1"/>
        <v>0.88433018427838372</v>
      </c>
      <c r="F62" s="5">
        <f>C62*$E$2</f>
        <v>35.415585232211562</v>
      </c>
      <c r="G62" s="6">
        <f t="shared" si="3"/>
        <v>-4.5155852322115635</v>
      </c>
    </row>
    <row r="63" spans="1:7">
      <c r="A63" s="5">
        <f t="shared" si="4"/>
        <v>62</v>
      </c>
      <c r="B63" s="5">
        <v>31</v>
      </c>
      <c r="C63" s="5">
        <f t="shared" si="0"/>
        <v>34.741399999999999</v>
      </c>
      <c r="D63" s="5">
        <f t="shared" si="1"/>
        <v>0.89230716090888684</v>
      </c>
      <c r="F63" s="5">
        <f>C63*$E$3</f>
        <v>35.04050930785754</v>
      </c>
      <c r="G63" s="6">
        <f t="shared" si="3"/>
        <v>-4.0405093078575405</v>
      </c>
    </row>
    <row r="64" spans="1:7">
      <c r="A64" s="5">
        <f t="shared" si="4"/>
        <v>63</v>
      </c>
      <c r="B64" s="5">
        <v>33.200000000000003</v>
      </c>
      <c r="C64" s="5">
        <f t="shared" si="0"/>
        <v>34.5411</v>
      </c>
      <c r="D64" s="5">
        <f t="shared" si="1"/>
        <v>0.96117379006458981</v>
      </c>
      <c r="F64" s="5">
        <f>C64*$E$4</f>
        <v>34.632650795652303</v>
      </c>
      <c r="G64" s="6">
        <f t="shared" si="3"/>
        <v>-1.4326507956523002</v>
      </c>
    </row>
    <row r="65" spans="1:7">
      <c r="A65" s="5">
        <f t="shared" si="4"/>
        <v>64</v>
      </c>
      <c r="B65" s="5">
        <v>32.4</v>
      </c>
      <c r="C65" s="5">
        <f t="shared" si="0"/>
        <v>34.340799999999994</v>
      </c>
      <c r="D65" s="5">
        <f t="shared" si="1"/>
        <v>0.94348413548898113</v>
      </c>
      <c r="F65" s="5">
        <f>C65*$E$5</f>
        <v>34.845303769542575</v>
      </c>
      <c r="G65" s="6">
        <f t="shared" si="3"/>
        <v>-2.4453037695425763</v>
      </c>
    </row>
    <row r="66" spans="1:7">
      <c r="A66" s="5">
        <f t="shared" si="4"/>
        <v>65</v>
      </c>
      <c r="B66" s="5">
        <v>32.1</v>
      </c>
      <c r="C66" s="5">
        <f t="shared" si="0"/>
        <v>34.140499999999996</v>
      </c>
      <c r="D66" s="5">
        <f t="shared" si="1"/>
        <v>0.94023227544997889</v>
      </c>
      <c r="F66" s="5">
        <f>C66*$E$2</f>
        <v>34.603519222599893</v>
      </c>
      <c r="G66" s="6">
        <f t="shared" si="3"/>
        <v>-2.5035192225998912</v>
      </c>
    </row>
    <row r="67" spans="1:7">
      <c r="A67" s="5">
        <f t="shared" si="4"/>
        <v>66</v>
      </c>
      <c r="B67" s="5">
        <v>34.799999999999997</v>
      </c>
      <c r="C67" s="5">
        <f t="shared" ref="C67:C130" si="5">-0.2003*A67+47.16</f>
        <v>33.940199999999997</v>
      </c>
      <c r="D67" s="5">
        <f t="shared" ref="D67:D130" si="6">B67/C67</f>
        <v>1.0253327912033519</v>
      </c>
      <c r="F67" s="5">
        <f>C67*$E$3</f>
        <v>34.232411302093368</v>
      </c>
      <c r="G67" s="6">
        <f t="shared" ref="G67:G130" si="7">B67-F67</f>
        <v>0.56758869790662914</v>
      </c>
    </row>
    <row r="68" spans="1:7">
      <c r="A68" s="5">
        <f t="shared" ref="A68:A131" si="8">A67+1</f>
        <v>67</v>
      </c>
      <c r="B68" s="5">
        <v>31.7</v>
      </c>
      <c r="C68" s="5">
        <f t="shared" si="5"/>
        <v>33.739899999999999</v>
      </c>
      <c r="D68" s="5">
        <f t="shared" si="6"/>
        <v>0.9395404254310179</v>
      </c>
      <c r="F68" s="5">
        <f>C68*$E$4</f>
        <v>33.829327224096197</v>
      </c>
      <c r="G68" s="6">
        <f t="shared" si="7"/>
        <v>-2.1293272240961976</v>
      </c>
    </row>
    <row r="69" spans="1:7">
      <c r="A69" s="5">
        <f t="shared" si="8"/>
        <v>68</v>
      </c>
      <c r="B69" s="5">
        <v>32.299999999999997</v>
      </c>
      <c r="C69" s="5">
        <f t="shared" si="5"/>
        <v>33.539599999999993</v>
      </c>
      <c r="D69" s="5">
        <f t="shared" si="6"/>
        <v>0.96304070412288767</v>
      </c>
      <c r="F69" s="5">
        <f>C69*$E$5</f>
        <v>34.032333268559562</v>
      </c>
      <c r="G69" s="6">
        <f t="shared" si="7"/>
        <v>-1.7323332685595645</v>
      </c>
    </row>
    <row r="70" spans="1:7">
      <c r="A70" s="5">
        <f t="shared" si="8"/>
        <v>69</v>
      </c>
      <c r="B70" s="5">
        <v>31.6</v>
      </c>
      <c r="C70" s="5">
        <f t="shared" si="5"/>
        <v>33.339299999999994</v>
      </c>
      <c r="D70" s="5">
        <f t="shared" si="6"/>
        <v>0.94783033836943209</v>
      </c>
      <c r="F70" s="5">
        <f>C70*$E$2</f>
        <v>33.791453212988223</v>
      </c>
      <c r="G70" s="6">
        <f t="shared" si="7"/>
        <v>-2.1914532129882218</v>
      </c>
    </row>
    <row r="71" spans="1:7">
      <c r="A71" s="5">
        <f t="shared" si="8"/>
        <v>70</v>
      </c>
      <c r="B71" s="5">
        <v>31.3</v>
      </c>
      <c r="C71" s="5">
        <f t="shared" si="5"/>
        <v>33.138999999999996</v>
      </c>
      <c r="D71" s="5">
        <f t="shared" si="6"/>
        <v>0.94450647273605137</v>
      </c>
      <c r="F71" s="5">
        <f>C71*$E$3</f>
        <v>33.424313296329188</v>
      </c>
      <c r="G71" s="6">
        <f t="shared" si="7"/>
        <v>-2.1243132963291878</v>
      </c>
    </row>
    <row r="72" spans="1:7">
      <c r="A72" s="5">
        <f t="shared" si="8"/>
        <v>71</v>
      </c>
      <c r="B72" s="5">
        <v>31.7</v>
      </c>
      <c r="C72" s="5">
        <f t="shared" si="5"/>
        <v>32.938699999999997</v>
      </c>
      <c r="D72" s="5">
        <f t="shared" si="6"/>
        <v>0.96239377996095787</v>
      </c>
      <c r="F72" s="5">
        <f>C72*$E$4</f>
        <v>33.026003652540091</v>
      </c>
      <c r="G72" s="6">
        <f t="shared" si="7"/>
        <v>-1.3260036525400913</v>
      </c>
    </row>
    <row r="73" spans="1:7">
      <c r="A73" s="5">
        <f t="shared" si="8"/>
        <v>72</v>
      </c>
      <c r="B73" s="5">
        <v>31.8</v>
      </c>
      <c r="C73" s="5">
        <f t="shared" si="5"/>
        <v>32.738399999999999</v>
      </c>
      <c r="D73" s="5">
        <f t="shared" si="6"/>
        <v>0.97133641228648937</v>
      </c>
      <c r="F73" s="5">
        <f>C73*$E$5</f>
        <v>33.219362767576548</v>
      </c>
      <c r="G73" s="6">
        <f t="shared" si="7"/>
        <v>-1.4193627675765477</v>
      </c>
    </row>
    <row r="74" spans="1:7">
      <c r="A74" s="5">
        <f t="shared" si="8"/>
        <v>73</v>
      </c>
      <c r="B74" s="5">
        <v>29.3</v>
      </c>
      <c r="C74" s="5">
        <f t="shared" si="5"/>
        <v>32.5381</v>
      </c>
      <c r="D74" s="5">
        <f t="shared" si="6"/>
        <v>0.90048281860342183</v>
      </c>
      <c r="F74" s="5">
        <f>C74*$E$2</f>
        <v>32.979387203376568</v>
      </c>
      <c r="G74" s="6">
        <f t="shared" si="7"/>
        <v>-3.6793872033765673</v>
      </c>
    </row>
    <row r="75" spans="1:7">
      <c r="A75" s="5">
        <f t="shared" si="8"/>
        <v>74</v>
      </c>
      <c r="B75" s="5">
        <v>27.9</v>
      </c>
      <c r="C75" s="5">
        <f t="shared" si="5"/>
        <v>32.337799999999994</v>
      </c>
      <c r="D75" s="5">
        <f t="shared" si="6"/>
        <v>0.86276741151222425</v>
      </c>
      <c r="F75" s="5">
        <f>C75*$E$3</f>
        <v>32.616215290565016</v>
      </c>
      <c r="G75" s="6">
        <f t="shared" si="7"/>
        <v>-4.7162152905650174</v>
      </c>
    </row>
    <row r="76" spans="1:7">
      <c r="A76" s="5">
        <f t="shared" si="8"/>
        <v>75</v>
      </c>
      <c r="B76" s="5">
        <v>28</v>
      </c>
      <c r="C76" s="5">
        <f t="shared" si="5"/>
        <v>32.137499999999996</v>
      </c>
      <c r="D76" s="5">
        <f t="shared" si="6"/>
        <v>0.87125632049786084</v>
      </c>
      <c r="F76" s="5">
        <f>C76*$E$4</f>
        <v>32.222680080983977</v>
      </c>
      <c r="G76" s="6">
        <f t="shared" si="7"/>
        <v>-4.2226800809839773</v>
      </c>
    </row>
    <row r="77" spans="1:7">
      <c r="A77" s="5">
        <f t="shared" si="8"/>
        <v>76</v>
      </c>
      <c r="B77" s="5">
        <v>28.7</v>
      </c>
      <c r="C77" s="5">
        <f t="shared" si="5"/>
        <v>31.937199999999997</v>
      </c>
      <c r="D77" s="5">
        <f t="shared" si="6"/>
        <v>0.89863857820973669</v>
      </c>
      <c r="F77" s="5">
        <f>C77*$E$5</f>
        <v>32.406392266593535</v>
      </c>
      <c r="G77" s="6">
        <f t="shared" si="7"/>
        <v>-3.7063922665935358</v>
      </c>
    </row>
    <row r="78" spans="1:7">
      <c r="A78" s="5">
        <f t="shared" si="8"/>
        <v>77</v>
      </c>
      <c r="B78" s="5">
        <v>30.5</v>
      </c>
      <c r="C78" s="5">
        <f t="shared" si="5"/>
        <v>31.736899999999999</v>
      </c>
      <c r="D78" s="5">
        <f t="shared" si="6"/>
        <v>0.96102643925525177</v>
      </c>
      <c r="F78" s="5">
        <f>C78*$E$2</f>
        <v>32.167321193764899</v>
      </c>
      <c r="G78" s="6">
        <f t="shared" si="7"/>
        <v>-1.6673211937648986</v>
      </c>
    </row>
    <row r="79" spans="1:7">
      <c r="A79" s="5">
        <f t="shared" si="8"/>
        <v>78</v>
      </c>
      <c r="B79" s="5">
        <v>31.3</v>
      </c>
      <c r="C79" s="5">
        <f t="shared" si="5"/>
        <v>31.536599999999996</v>
      </c>
      <c r="D79" s="5">
        <f t="shared" si="6"/>
        <v>0.99249760595625414</v>
      </c>
      <c r="F79" s="5">
        <f>C79*$E$3</f>
        <v>31.808117284800844</v>
      </c>
      <c r="G79" s="6">
        <f t="shared" si="7"/>
        <v>-0.50811728480084284</v>
      </c>
    </row>
    <row r="80" spans="1:7">
      <c r="A80" s="5">
        <f t="shared" si="8"/>
        <v>79</v>
      </c>
      <c r="B80" s="5">
        <v>29.2</v>
      </c>
      <c r="C80" s="5">
        <f t="shared" si="5"/>
        <v>31.336299999999994</v>
      </c>
      <c r="D80" s="5">
        <f t="shared" si="6"/>
        <v>0.9318266674751009</v>
      </c>
      <c r="F80" s="5">
        <f>C80*$E$4</f>
        <v>31.419356509427871</v>
      </c>
      <c r="G80" s="6">
        <f t="shared" si="7"/>
        <v>-2.2193565094278718</v>
      </c>
    </row>
    <row r="81" spans="1:7">
      <c r="A81" s="5">
        <f t="shared" si="8"/>
        <v>80</v>
      </c>
      <c r="B81" s="5">
        <v>30.9</v>
      </c>
      <c r="C81" s="5">
        <f t="shared" si="5"/>
        <v>31.135999999999996</v>
      </c>
      <c r="D81" s="5">
        <f t="shared" si="6"/>
        <v>0.992420349434738</v>
      </c>
      <c r="F81" s="5">
        <f>C81*$E$5</f>
        <v>31.593421765610518</v>
      </c>
      <c r="G81" s="6">
        <f t="shared" si="7"/>
        <v>-0.69342176561051971</v>
      </c>
    </row>
    <row r="82" spans="1:7">
      <c r="A82" s="5">
        <f t="shared" si="8"/>
        <v>81</v>
      </c>
      <c r="B82" s="5">
        <v>29.1</v>
      </c>
      <c r="C82" s="5">
        <f t="shared" si="5"/>
        <v>30.935699999999997</v>
      </c>
      <c r="D82" s="5">
        <f t="shared" si="6"/>
        <v>0.94066078996111302</v>
      </c>
      <c r="F82" s="5">
        <f>C82*$E$2</f>
        <v>31.355255184153236</v>
      </c>
      <c r="G82" s="6">
        <f t="shared" si="7"/>
        <v>-2.2552551841532349</v>
      </c>
    </row>
    <row r="83" spans="1:7">
      <c r="A83" s="5">
        <f t="shared" si="8"/>
        <v>82</v>
      </c>
      <c r="B83" s="5">
        <v>27.6</v>
      </c>
      <c r="C83" s="5">
        <f t="shared" si="5"/>
        <v>30.735399999999995</v>
      </c>
      <c r="D83" s="5">
        <f t="shared" si="6"/>
        <v>0.89798733707711653</v>
      </c>
      <c r="F83" s="5">
        <f>C83*$E$3</f>
        <v>31.000019279036668</v>
      </c>
      <c r="G83" s="6">
        <f t="shared" si="7"/>
        <v>-3.4000192790366661</v>
      </c>
    </row>
    <row r="84" spans="1:7">
      <c r="A84" s="5">
        <f t="shared" si="8"/>
        <v>83</v>
      </c>
      <c r="B84" s="5">
        <v>28.3</v>
      </c>
      <c r="C84" s="5">
        <f t="shared" si="5"/>
        <v>30.535099999999996</v>
      </c>
      <c r="D84" s="5">
        <f t="shared" si="6"/>
        <v>0.92680227017432415</v>
      </c>
      <c r="F84" s="5">
        <f>C84*$E$4</f>
        <v>30.616032937871768</v>
      </c>
      <c r="G84" s="6">
        <f t="shared" si="7"/>
        <v>-2.3160329378717677</v>
      </c>
    </row>
    <row r="85" spans="1:7">
      <c r="A85" s="5">
        <f t="shared" si="8"/>
        <v>84</v>
      </c>
      <c r="B85" s="5">
        <v>25.8</v>
      </c>
      <c r="C85" s="5">
        <f t="shared" si="5"/>
        <v>30.334799999999998</v>
      </c>
      <c r="D85" s="5">
        <f t="shared" si="6"/>
        <v>0.85050832706989998</v>
      </c>
      <c r="F85" s="5">
        <f>C85*$E$5</f>
        <v>30.780451264627505</v>
      </c>
      <c r="G85" s="6">
        <f t="shared" si="7"/>
        <v>-4.9804512646275043</v>
      </c>
    </row>
    <row r="86" spans="1:7">
      <c r="A86" s="5">
        <f t="shared" si="8"/>
        <v>85</v>
      </c>
      <c r="B86" s="5">
        <v>25.3</v>
      </c>
      <c r="C86" s="5">
        <f t="shared" si="5"/>
        <v>30.134499999999996</v>
      </c>
      <c r="D86" s="5">
        <f t="shared" si="6"/>
        <v>0.83956926446431845</v>
      </c>
      <c r="F86" s="5">
        <f>C86*$E$2</f>
        <v>30.54318917454157</v>
      </c>
      <c r="G86" s="6">
        <f t="shared" si="7"/>
        <v>-5.2431891745415697</v>
      </c>
    </row>
    <row r="87" spans="1:7">
      <c r="A87" s="5">
        <f t="shared" si="8"/>
        <v>86</v>
      </c>
      <c r="B87" s="5">
        <v>25.6</v>
      </c>
      <c r="C87" s="5">
        <f t="shared" si="5"/>
        <v>29.934199999999997</v>
      </c>
      <c r="D87" s="5">
        <f t="shared" si="6"/>
        <v>0.85520909194165884</v>
      </c>
      <c r="F87" s="5">
        <f>C87*$E$3</f>
        <v>30.191921273272495</v>
      </c>
      <c r="G87" s="6">
        <f t="shared" si="7"/>
        <v>-4.5919212732724937</v>
      </c>
    </row>
    <row r="88" spans="1:7">
      <c r="A88" s="5">
        <f t="shared" si="8"/>
        <v>87</v>
      </c>
      <c r="B88" s="5">
        <v>24.1</v>
      </c>
      <c r="C88" s="5">
        <f t="shared" si="5"/>
        <v>29.733899999999995</v>
      </c>
      <c r="D88" s="5">
        <f t="shared" si="6"/>
        <v>0.81052266941100914</v>
      </c>
      <c r="F88" s="5">
        <f>C88*$E$4</f>
        <v>29.812709366315659</v>
      </c>
      <c r="G88" s="6">
        <f t="shared" si="7"/>
        <v>-5.7127093663156572</v>
      </c>
    </row>
    <row r="89" spans="1:7">
      <c r="A89" s="5">
        <f t="shared" si="8"/>
        <v>88</v>
      </c>
      <c r="B89" s="5">
        <v>25.8</v>
      </c>
      <c r="C89" s="5">
        <f t="shared" si="5"/>
        <v>29.533599999999996</v>
      </c>
      <c r="D89" s="5">
        <f t="shared" si="6"/>
        <v>0.87358127691849297</v>
      </c>
      <c r="F89" s="5">
        <f>C89*$E$5</f>
        <v>29.967480763644488</v>
      </c>
      <c r="G89" s="6">
        <f t="shared" si="7"/>
        <v>-4.1674807636444875</v>
      </c>
    </row>
    <row r="90" spans="1:7">
      <c r="A90" s="5">
        <f t="shared" si="8"/>
        <v>89</v>
      </c>
      <c r="B90" s="5">
        <v>26.2</v>
      </c>
      <c r="C90" s="5">
        <f t="shared" si="5"/>
        <v>29.333299999999998</v>
      </c>
      <c r="D90" s="5">
        <f t="shared" si="6"/>
        <v>0.89318283316231051</v>
      </c>
      <c r="F90" s="5">
        <f>C90*$E$2</f>
        <v>29.731123164929908</v>
      </c>
      <c r="G90" s="6">
        <f t="shared" si="7"/>
        <v>-3.5311231649299089</v>
      </c>
    </row>
    <row r="91" spans="1:7">
      <c r="A91" s="5">
        <f t="shared" si="8"/>
        <v>90</v>
      </c>
      <c r="B91" s="5">
        <v>26.6</v>
      </c>
      <c r="C91" s="5">
        <f t="shared" si="5"/>
        <v>29.132999999999996</v>
      </c>
      <c r="D91" s="5">
        <f t="shared" si="6"/>
        <v>0.91305392510211802</v>
      </c>
      <c r="F91" s="5">
        <f>C91*$E$3</f>
        <v>29.383823267508323</v>
      </c>
      <c r="G91" s="6">
        <f t="shared" si="7"/>
        <v>-2.7838232675083212</v>
      </c>
    </row>
    <row r="92" spans="1:7">
      <c r="A92" s="5">
        <f t="shared" si="8"/>
        <v>91</v>
      </c>
      <c r="B92" s="5">
        <v>26</v>
      </c>
      <c r="C92" s="5">
        <f t="shared" si="5"/>
        <v>28.932699999999997</v>
      </c>
      <c r="D92" s="5">
        <f t="shared" si="6"/>
        <v>0.89863718215030064</v>
      </c>
      <c r="F92" s="5">
        <f>C92*$E$4</f>
        <v>29.009385794759556</v>
      </c>
      <c r="G92" s="6">
        <f t="shared" si="7"/>
        <v>-3.0093857947595559</v>
      </c>
    </row>
    <row r="93" spans="1:7">
      <c r="A93" s="5">
        <f t="shared" si="8"/>
        <v>92</v>
      </c>
      <c r="B93" s="5">
        <v>26.6</v>
      </c>
      <c r="C93" s="5">
        <f t="shared" si="5"/>
        <v>28.732399999999995</v>
      </c>
      <c r="D93" s="5">
        <f t="shared" si="6"/>
        <v>0.92578413219918998</v>
      </c>
      <c r="F93" s="5">
        <f>C93*$E$5</f>
        <v>29.154510262661475</v>
      </c>
      <c r="G93" s="6">
        <f t="shared" si="7"/>
        <v>-2.5545102626614735</v>
      </c>
    </row>
    <row r="94" spans="1:7">
      <c r="A94" s="5">
        <f t="shared" si="8"/>
        <v>93</v>
      </c>
      <c r="B94" s="5">
        <v>25.3</v>
      </c>
      <c r="C94" s="5">
        <f t="shared" si="5"/>
        <v>28.532099999999996</v>
      </c>
      <c r="D94" s="5">
        <f t="shared" si="6"/>
        <v>0.88672057086579692</v>
      </c>
      <c r="F94" s="5">
        <f>C94*$E$2</f>
        <v>28.919057155318242</v>
      </c>
      <c r="G94" s="6">
        <f t="shared" si="7"/>
        <v>-3.6190571553182416</v>
      </c>
    </row>
    <row r="95" spans="1:7">
      <c r="A95" s="5">
        <f t="shared" si="8"/>
        <v>94</v>
      </c>
      <c r="B95" s="5">
        <v>24.9</v>
      </c>
      <c r="C95" s="5">
        <f t="shared" si="5"/>
        <v>28.331799999999998</v>
      </c>
      <c r="D95" s="5">
        <f t="shared" si="6"/>
        <v>0.87887109184732348</v>
      </c>
      <c r="F95" s="5">
        <f>C95*$E$3</f>
        <v>28.57572526174415</v>
      </c>
      <c r="G95" s="6">
        <f t="shared" si="7"/>
        <v>-3.6757252617441516</v>
      </c>
    </row>
    <row r="96" spans="1:7">
      <c r="A96" s="5">
        <f t="shared" si="8"/>
        <v>95</v>
      </c>
      <c r="B96" s="5">
        <v>24.8</v>
      </c>
      <c r="C96" s="5">
        <f t="shared" si="5"/>
        <v>28.131499999999996</v>
      </c>
      <c r="D96" s="5">
        <f t="shared" si="6"/>
        <v>0.88157403622273978</v>
      </c>
      <c r="F96" s="5">
        <f>C96*$E$4</f>
        <v>28.20606222320345</v>
      </c>
      <c r="G96" s="6">
        <f t="shared" si="7"/>
        <v>-3.406062223203449</v>
      </c>
    </row>
    <row r="97" spans="1:7">
      <c r="A97" s="5">
        <f t="shared" si="8"/>
        <v>96</v>
      </c>
      <c r="B97" s="5">
        <v>22.9</v>
      </c>
      <c r="C97" s="5">
        <f t="shared" si="5"/>
        <v>27.931199999999997</v>
      </c>
      <c r="D97" s="5">
        <f t="shared" si="6"/>
        <v>0.81987168471100424</v>
      </c>
      <c r="F97" s="5">
        <f>C97*$E$5</f>
        <v>28.341539761678462</v>
      </c>
      <c r="G97" s="6">
        <f t="shared" si="7"/>
        <v>-5.4415397616784631</v>
      </c>
    </row>
    <row r="98" spans="1:7">
      <c r="A98" s="5">
        <f t="shared" si="8"/>
        <v>97</v>
      </c>
      <c r="B98" s="5">
        <v>23.2</v>
      </c>
      <c r="C98" s="5">
        <f t="shared" si="5"/>
        <v>27.730899999999995</v>
      </c>
      <c r="D98" s="5">
        <f t="shared" si="6"/>
        <v>0.83661186618537453</v>
      </c>
      <c r="F98" s="5">
        <f>C98*$E$2</f>
        <v>28.106991145706573</v>
      </c>
      <c r="G98" s="6">
        <f t="shared" si="7"/>
        <v>-4.9069911457065736</v>
      </c>
    </row>
    <row r="99" spans="1:7">
      <c r="A99" s="5">
        <f t="shared" si="8"/>
        <v>98</v>
      </c>
      <c r="B99" s="5">
        <v>20.8</v>
      </c>
      <c r="C99" s="5">
        <f t="shared" si="5"/>
        <v>27.530599999999996</v>
      </c>
      <c r="D99" s="5">
        <f t="shared" si="6"/>
        <v>0.75552294537714415</v>
      </c>
      <c r="F99" s="5">
        <f>C99*$E$3</f>
        <v>27.767627255979974</v>
      </c>
      <c r="G99" s="6">
        <f t="shared" si="7"/>
        <v>-6.9676272559799735</v>
      </c>
    </row>
    <row r="100" spans="1:7">
      <c r="A100" s="5">
        <f t="shared" si="8"/>
        <v>99</v>
      </c>
      <c r="B100" s="5">
        <v>20.7</v>
      </c>
      <c r="C100" s="5">
        <f t="shared" si="5"/>
        <v>27.330299999999998</v>
      </c>
      <c r="D100" s="5">
        <f t="shared" si="6"/>
        <v>0.7574011262225443</v>
      </c>
      <c r="F100" s="5">
        <f>C100*$E$4</f>
        <v>27.402738651647343</v>
      </c>
      <c r="G100" s="6">
        <f t="shared" si="7"/>
        <v>-6.7027386516473442</v>
      </c>
    </row>
    <row r="101" spans="1:7">
      <c r="A101" s="5">
        <f t="shared" si="8"/>
        <v>100</v>
      </c>
      <c r="B101" s="5">
        <v>22.4</v>
      </c>
      <c r="C101" s="5">
        <f t="shared" si="5"/>
        <v>27.129999999999995</v>
      </c>
      <c r="D101" s="5">
        <f t="shared" si="6"/>
        <v>0.82565425727976416</v>
      </c>
      <c r="F101" s="5">
        <f>C101*$E$5</f>
        <v>27.528569260695445</v>
      </c>
      <c r="G101" s="6">
        <f t="shared" si="7"/>
        <v>-5.1285692606954463</v>
      </c>
    </row>
    <row r="102" spans="1:7">
      <c r="A102" s="5">
        <f t="shared" si="8"/>
        <v>101</v>
      </c>
      <c r="B102" s="5">
        <v>23</v>
      </c>
      <c r="C102" s="5">
        <f t="shared" si="5"/>
        <v>26.929699999999997</v>
      </c>
      <c r="D102" s="5">
        <f t="shared" si="6"/>
        <v>0.85407561168523982</v>
      </c>
      <c r="F102" s="5">
        <f>C102*$E$2</f>
        <v>27.294925136094911</v>
      </c>
      <c r="G102" s="6">
        <f t="shared" si="7"/>
        <v>-4.2949251360949106</v>
      </c>
    </row>
    <row r="103" spans="1:7">
      <c r="A103" s="5">
        <f t="shared" si="8"/>
        <v>102</v>
      </c>
      <c r="B103" s="5">
        <v>23.4</v>
      </c>
      <c r="C103" s="5">
        <f t="shared" si="5"/>
        <v>26.729399999999995</v>
      </c>
      <c r="D103" s="5">
        <f t="shared" si="6"/>
        <v>0.87544052616220358</v>
      </c>
      <c r="F103" s="5">
        <f>C103*$E$3</f>
        <v>26.959529250215798</v>
      </c>
      <c r="G103" s="6">
        <f t="shared" si="7"/>
        <v>-3.5595292502157996</v>
      </c>
    </row>
    <row r="104" spans="1:7">
      <c r="A104" s="5">
        <f t="shared" si="8"/>
        <v>103</v>
      </c>
      <c r="B104" s="5">
        <v>23.1</v>
      </c>
      <c r="C104" s="5">
        <f t="shared" si="5"/>
        <v>26.529099999999996</v>
      </c>
      <c r="D104" s="5">
        <f t="shared" si="6"/>
        <v>0.87074193998288685</v>
      </c>
      <c r="F104" s="5">
        <f>C104*$E$4</f>
        <v>26.599415080091237</v>
      </c>
      <c r="G104" s="6">
        <f t="shared" si="7"/>
        <v>-3.4994150800912358</v>
      </c>
    </row>
    <row r="105" spans="1:7">
      <c r="A105" s="5">
        <f t="shared" si="8"/>
        <v>104</v>
      </c>
      <c r="B105" s="5">
        <v>22.6</v>
      </c>
      <c r="C105" s="5">
        <f t="shared" si="5"/>
        <v>26.328799999999998</v>
      </c>
      <c r="D105" s="5">
        <f t="shared" si="6"/>
        <v>0.85837561909392013</v>
      </c>
      <c r="F105" s="5">
        <f>C105*$E$5</f>
        <v>26.715598759712432</v>
      </c>
      <c r="G105" s="6">
        <f t="shared" si="7"/>
        <v>-4.1155987597124302</v>
      </c>
    </row>
    <row r="106" spans="1:7">
      <c r="A106" s="5">
        <f t="shared" si="8"/>
        <v>105</v>
      </c>
      <c r="B106" s="5">
        <v>21.6</v>
      </c>
      <c r="C106" s="5">
        <f t="shared" si="5"/>
        <v>26.128499999999995</v>
      </c>
      <c r="D106" s="5">
        <f t="shared" si="6"/>
        <v>0.82668350651587363</v>
      </c>
      <c r="F106" s="5">
        <f>C106*$E$2</f>
        <v>26.482859126483245</v>
      </c>
      <c r="G106" s="6">
        <f t="shared" si="7"/>
        <v>-4.8828591264832433</v>
      </c>
    </row>
    <row r="107" spans="1:7">
      <c r="A107" s="5">
        <f t="shared" si="8"/>
        <v>106</v>
      </c>
      <c r="B107" s="5">
        <v>21.1</v>
      </c>
      <c r="C107" s="5">
        <f t="shared" si="5"/>
        <v>25.928199999999997</v>
      </c>
      <c r="D107" s="5">
        <f t="shared" si="6"/>
        <v>0.81378576222028542</v>
      </c>
      <c r="F107" s="5">
        <f>C107*$E$3</f>
        <v>26.151431244451629</v>
      </c>
      <c r="G107" s="6">
        <f t="shared" si="7"/>
        <v>-5.0514312444516278</v>
      </c>
    </row>
    <row r="108" spans="1:7">
      <c r="A108" s="5">
        <f t="shared" si="8"/>
        <v>107</v>
      </c>
      <c r="B108" s="5">
        <v>21.3</v>
      </c>
      <c r="C108" s="5">
        <f t="shared" si="5"/>
        <v>25.727899999999995</v>
      </c>
      <c r="D108" s="5">
        <f t="shared" si="6"/>
        <v>0.82789500892027745</v>
      </c>
      <c r="F108" s="5">
        <f>C108*$E$4</f>
        <v>25.796091508535127</v>
      </c>
      <c r="G108" s="6">
        <f t="shared" si="7"/>
        <v>-4.4960915085351267</v>
      </c>
    </row>
    <row r="109" spans="1:7">
      <c r="A109" s="5">
        <f t="shared" si="8"/>
        <v>108</v>
      </c>
      <c r="B109" s="5">
        <v>20.3</v>
      </c>
      <c r="C109" s="5">
        <f t="shared" si="5"/>
        <v>25.527599999999996</v>
      </c>
      <c r="D109" s="5">
        <f t="shared" si="6"/>
        <v>0.79521772512888023</v>
      </c>
      <c r="F109" s="5">
        <f>C109*$E$5</f>
        <v>25.902628258729415</v>
      </c>
      <c r="G109" s="6">
        <f t="shared" si="7"/>
        <v>-5.6026282587294141</v>
      </c>
    </row>
    <row r="110" spans="1:7">
      <c r="A110" s="5">
        <f t="shared" si="8"/>
        <v>109</v>
      </c>
      <c r="B110" s="5">
        <v>19.7</v>
      </c>
      <c r="C110" s="5">
        <f t="shared" si="5"/>
        <v>25.327299999999997</v>
      </c>
      <c r="D110" s="5">
        <f t="shared" si="6"/>
        <v>0.77781682216422598</v>
      </c>
      <c r="F110" s="5">
        <f>C110*$E$2</f>
        <v>25.670793116871582</v>
      </c>
      <c r="G110" s="6">
        <f t="shared" si="7"/>
        <v>-5.9707931168715831</v>
      </c>
    </row>
    <row r="111" spans="1:7">
      <c r="A111" s="5">
        <f t="shared" si="8"/>
        <v>110</v>
      </c>
      <c r="B111" s="5">
        <v>18.5</v>
      </c>
      <c r="C111" s="5">
        <f t="shared" si="5"/>
        <v>25.126999999999995</v>
      </c>
      <c r="D111" s="5">
        <f t="shared" si="6"/>
        <v>0.73625980021490844</v>
      </c>
      <c r="F111" s="5">
        <f>C111*$E$3</f>
        <v>25.343333238687453</v>
      </c>
      <c r="G111" s="6">
        <f t="shared" si="7"/>
        <v>-6.8433332386874532</v>
      </c>
    </row>
    <row r="112" spans="1:7">
      <c r="A112" s="5">
        <f t="shared" si="8"/>
        <v>111</v>
      </c>
      <c r="B112" s="5">
        <v>17.899999999999999</v>
      </c>
      <c r="C112" s="5">
        <f t="shared" si="5"/>
        <v>24.926699999999997</v>
      </c>
      <c r="D112" s="5">
        <f t="shared" si="6"/>
        <v>0.71810548528284934</v>
      </c>
      <c r="F112" s="5">
        <f>C112*$E$4</f>
        <v>24.992767936979025</v>
      </c>
      <c r="G112" s="6">
        <f t="shared" si="7"/>
        <v>-7.0927679369790262</v>
      </c>
    </row>
    <row r="113" spans="1:7">
      <c r="A113" s="5">
        <f t="shared" si="8"/>
        <v>112</v>
      </c>
      <c r="B113" s="5">
        <v>19.899999999999999</v>
      </c>
      <c r="C113" s="5">
        <f t="shared" si="5"/>
        <v>24.726399999999995</v>
      </c>
      <c r="D113" s="5">
        <f t="shared" si="6"/>
        <v>0.8048078167464735</v>
      </c>
      <c r="F113" s="5">
        <f>C113*$E$5</f>
        <v>25.089657757746398</v>
      </c>
      <c r="G113" s="6">
        <f t="shared" si="7"/>
        <v>-5.1896577577463994</v>
      </c>
    </row>
    <row r="114" spans="1:7">
      <c r="A114" s="5">
        <f t="shared" si="8"/>
        <v>113</v>
      </c>
      <c r="B114" s="5">
        <v>20.6</v>
      </c>
      <c r="C114" s="5">
        <f t="shared" si="5"/>
        <v>24.526099999999996</v>
      </c>
      <c r="D114" s="5">
        <f t="shared" si="6"/>
        <v>0.83992155295786952</v>
      </c>
      <c r="F114" s="5">
        <f>C114*$E$2</f>
        <v>24.858727107259917</v>
      </c>
      <c r="G114" s="6">
        <f t="shared" si="7"/>
        <v>-4.2587271072599151</v>
      </c>
    </row>
    <row r="115" spans="1:7">
      <c r="A115" s="5">
        <f t="shared" si="8"/>
        <v>114</v>
      </c>
      <c r="B115" s="5">
        <v>20.9</v>
      </c>
      <c r="C115" s="5">
        <f t="shared" si="5"/>
        <v>24.325799999999997</v>
      </c>
      <c r="D115" s="5">
        <f t="shared" si="6"/>
        <v>0.85917009923620191</v>
      </c>
      <c r="F115" s="5">
        <f>C115*$E$3</f>
        <v>24.535235232923281</v>
      </c>
      <c r="G115" s="6">
        <f t="shared" si="7"/>
        <v>-3.6352352329232822</v>
      </c>
    </row>
    <row r="116" spans="1:7">
      <c r="A116" s="5">
        <f t="shared" si="8"/>
        <v>115</v>
      </c>
      <c r="B116" s="5">
        <v>20.3</v>
      </c>
      <c r="C116" s="5">
        <f t="shared" si="5"/>
        <v>24.125499999999995</v>
      </c>
      <c r="D116" s="5">
        <f t="shared" si="6"/>
        <v>0.84143333816915733</v>
      </c>
      <c r="F116" s="5">
        <f>C116*$E$4</f>
        <v>24.189444365422915</v>
      </c>
      <c r="G116" s="6">
        <f t="shared" si="7"/>
        <v>-3.8894443654229143</v>
      </c>
    </row>
    <row r="117" spans="1:7">
      <c r="A117" s="5">
        <f t="shared" si="8"/>
        <v>116</v>
      </c>
      <c r="B117" s="5">
        <v>21.2</v>
      </c>
      <c r="C117" s="5">
        <f t="shared" si="5"/>
        <v>23.925199999999997</v>
      </c>
      <c r="D117" s="5">
        <f t="shared" si="6"/>
        <v>0.88609499607108833</v>
      </c>
      <c r="F117" s="5">
        <f>C117*$E$5</f>
        <v>24.276687256763385</v>
      </c>
      <c r="G117" s="6">
        <f t="shared" si="7"/>
        <v>-3.0766872567633854</v>
      </c>
    </row>
    <row r="118" spans="1:7">
      <c r="A118" s="5">
        <f t="shared" si="8"/>
        <v>117</v>
      </c>
      <c r="B118" s="5">
        <v>19.8</v>
      </c>
      <c r="C118" s="5">
        <f t="shared" si="5"/>
        <v>23.724899999999995</v>
      </c>
      <c r="D118" s="5">
        <f t="shared" si="6"/>
        <v>0.83456621524221408</v>
      </c>
      <c r="F118" s="5">
        <f>C118*$E$2</f>
        <v>24.046661097648251</v>
      </c>
      <c r="G118" s="6">
        <f t="shared" si="7"/>
        <v>-4.2466610976482499</v>
      </c>
    </row>
    <row r="119" spans="1:7">
      <c r="A119" s="5">
        <f t="shared" si="8"/>
        <v>118</v>
      </c>
      <c r="B119" s="5">
        <v>19.8</v>
      </c>
      <c r="C119" s="5">
        <f t="shared" si="5"/>
        <v>23.524599999999996</v>
      </c>
      <c r="D119" s="5">
        <f t="shared" si="6"/>
        <v>0.8416721219489387</v>
      </c>
      <c r="F119" s="5">
        <f>C119*$E$3</f>
        <v>23.727137227159105</v>
      </c>
      <c r="G119" s="6">
        <f t="shared" si="7"/>
        <v>-3.9271372271591041</v>
      </c>
    </row>
    <row r="120" spans="1:7">
      <c r="A120" s="5">
        <f t="shared" si="8"/>
        <v>119</v>
      </c>
      <c r="B120" s="5">
        <v>19.7</v>
      </c>
      <c r="C120" s="5">
        <f t="shared" si="5"/>
        <v>23.324299999999997</v>
      </c>
      <c r="D120" s="5">
        <f t="shared" si="6"/>
        <v>0.84461270005959455</v>
      </c>
      <c r="F120" s="5">
        <f>C120*$E$4</f>
        <v>23.386120793866812</v>
      </c>
      <c r="G120" s="6">
        <f t="shared" si="7"/>
        <v>-3.686120793866813</v>
      </c>
    </row>
    <row r="121" spans="1:7">
      <c r="A121" s="5">
        <f t="shared" si="8"/>
        <v>120</v>
      </c>
      <c r="B121" s="5">
        <v>19.399999999999999</v>
      </c>
      <c r="C121" s="5">
        <f t="shared" si="5"/>
        <v>23.123999999999995</v>
      </c>
      <c r="D121" s="5">
        <f t="shared" si="6"/>
        <v>0.83895519806261909</v>
      </c>
      <c r="F121" s="5">
        <f>C121*$E$5</f>
        <v>23.463716755780371</v>
      </c>
      <c r="G121" s="6">
        <f t="shared" si="7"/>
        <v>-4.0637167557803728</v>
      </c>
    </row>
    <row r="122" spans="1:7">
      <c r="A122" s="5">
        <f t="shared" si="8"/>
        <v>121</v>
      </c>
      <c r="B122" s="5">
        <v>23.2</v>
      </c>
      <c r="C122" s="5">
        <f t="shared" si="5"/>
        <v>22.923699999999997</v>
      </c>
      <c r="D122" s="5">
        <f t="shared" si="6"/>
        <v>1.012053028088834</v>
      </c>
      <c r="F122" s="5">
        <f>C122*$E$2</f>
        <v>23.234595088036588</v>
      </c>
      <c r="G122" s="6">
        <f t="shared" si="7"/>
        <v>-3.4595088036589061E-2</v>
      </c>
    </row>
    <row r="123" spans="1:7">
      <c r="A123" s="5">
        <f t="shared" si="8"/>
        <v>122</v>
      </c>
      <c r="B123" s="5">
        <v>21.6</v>
      </c>
      <c r="C123" s="5">
        <f t="shared" si="5"/>
        <v>22.723399999999994</v>
      </c>
      <c r="D123" s="5">
        <f t="shared" si="6"/>
        <v>0.95056197576066992</v>
      </c>
      <c r="F123" s="5">
        <f>C123*$E$3</f>
        <v>22.919039221394932</v>
      </c>
      <c r="G123" s="6">
        <f t="shared" si="7"/>
        <v>-1.3190392213949309</v>
      </c>
    </row>
    <row r="124" spans="1:7">
      <c r="A124" s="5">
        <f t="shared" si="8"/>
        <v>123</v>
      </c>
      <c r="B124" s="5">
        <v>22.5</v>
      </c>
      <c r="C124" s="5">
        <f t="shared" si="5"/>
        <v>22.523099999999996</v>
      </c>
      <c r="D124" s="5">
        <f t="shared" si="6"/>
        <v>0.99897438629673552</v>
      </c>
      <c r="F124" s="5">
        <f>C124*$E$4</f>
        <v>22.582797222310703</v>
      </c>
      <c r="G124" s="6">
        <f t="shared" si="7"/>
        <v>-8.2797222310702523E-2</v>
      </c>
    </row>
    <row r="125" spans="1:7">
      <c r="A125" s="5">
        <f t="shared" si="8"/>
        <v>124</v>
      </c>
      <c r="B125" s="5">
        <v>23.2</v>
      </c>
      <c r="C125" s="5">
        <f t="shared" si="5"/>
        <v>22.322799999999997</v>
      </c>
      <c r="D125" s="5">
        <f t="shared" si="6"/>
        <v>1.0392961456448118</v>
      </c>
      <c r="F125" s="5">
        <f>C125*$E$5</f>
        <v>22.650746254797358</v>
      </c>
      <c r="G125" s="6">
        <f t="shared" si="7"/>
        <v>0.54925374520264114</v>
      </c>
    </row>
    <row r="126" spans="1:7">
      <c r="A126" s="5">
        <f t="shared" si="8"/>
        <v>125</v>
      </c>
      <c r="B126" s="5">
        <v>23.5</v>
      </c>
      <c r="C126" s="5">
        <f t="shared" si="5"/>
        <v>22.122499999999995</v>
      </c>
      <c r="D126" s="5">
        <f t="shared" si="6"/>
        <v>1.0622669228161377</v>
      </c>
      <c r="F126" s="5">
        <f>C126*$E$2</f>
        <v>22.422529078424922</v>
      </c>
      <c r="G126" s="6">
        <f t="shared" si="7"/>
        <v>1.0774709215750775</v>
      </c>
    </row>
    <row r="127" spans="1:7">
      <c r="A127" s="5">
        <f t="shared" si="8"/>
        <v>126</v>
      </c>
      <c r="B127" s="5">
        <v>24.3</v>
      </c>
      <c r="C127" s="5">
        <f t="shared" si="5"/>
        <v>21.922199999999997</v>
      </c>
      <c r="D127" s="5">
        <f t="shared" si="6"/>
        <v>1.1084653912472291</v>
      </c>
      <c r="F127" s="5">
        <f>C127*$E$3</f>
        <v>22.11094121563076</v>
      </c>
      <c r="G127" s="6">
        <f t="shared" si="7"/>
        <v>2.1890587843692408</v>
      </c>
    </row>
    <row r="128" spans="1:7">
      <c r="A128" s="5">
        <f t="shared" si="8"/>
        <v>127</v>
      </c>
      <c r="B128" s="5">
        <v>23.6</v>
      </c>
      <c r="C128" s="5">
        <f t="shared" si="5"/>
        <v>21.721899999999994</v>
      </c>
      <c r="D128" s="5">
        <f t="shared" si="6"/>
        <v>1.0864611290909179</v>
      </c>
      <c r="F128" s="5">
        <f>C128*$E$4</f>
        <v>21.779473650754596</v>
      </c>
      <c r="G128" s="6">
        <f t="shared" si="7"/>
        <v>1.8205263492454051</v>
      </c>
    </row>
    <row r="129" spans="1:7">
      <c r="A129" s="5">
        <f t="shared" si="8"/>
        <v>128</v>
      </c>
      <c r="B129" s="5">
        <v>24.4</v>
      </c>
      <c r="C129" s="5">
        <f t="shared" si="5"/>
        <v>21.521599999999996</v>
      </c>
      <c r="D129" s="5">
        <f t="shared" si="6"/>
        <v>1.1337447029960599</v>
      </c>
      <c r="F129" s="5">
        <f>C129*$E$5</f>
        <v>21.837775753814341</v>
      </c>
      <c r="G129" s="6">
        <f t="shared" si="7"/>
        <v>2.5622242461856573</v>
      </c>
    </row>
    <row r="130" spans="1:7">
      <c r="A130" s="5">
        <f t="shared" si="8"/>
        <v>129</v>
      </c>
      <c r="B130" s="5">
        <v>23.5</v>
      </c>
      <c r="C130" s="5">
        <f t="shared" si="5"/>
        <v>21.321299999999997</v>
      </c>
      <c r="D130" s="5">
        <f t="shared" si="6"/>
        <v>1.1021842007757503</v>
      </c>
      <c r="F130" s="5">
        <f>C130*$E$2</f>
        <v>21.61046306881326</v>
      </c>
      <c r="G130" s="6">
        <f t="shared" si="7"/>
        <v>1.8895369311867398</v>
      </c>
    </row>
    <row r="131" spans="1:7">
      <c r="A131" s="5">
        <f t="shared" si="8"/>
        <v>130</v>
      </c>
      <c r="B131" s="5">
        <v>23.4</v>
      </c>
      <c r="C131" s="5">
        <f t="shared" ref="C131:C157" si="9">-0.2003*A131+47.16</f>
        <v>21.120999999999995</v>
      </c>
      <c r="D131" s="5">
        <f t="shared" ref="D131:D157" si="10">B131/C131</f>
        <v>1.1079020879693198</v>
      </c>
      <c r="F131" s="5">
        <f>C131*$E$3</f>
        <v>21.302843209866584</v>
      </c>
      <c r="G131" s="6">
        <f t="shared" ref="G131:G157" si="11">B131-F131</f>
        <v>2.0971567901334147</v>
      </c>
    </row>
    <row r="132" spans="1:7">
      <c r="A132" s="5">
        <f t="shared" ref="A132:A157" si="12">A131+1</f>
        <v>131</v>
      </c>
      <c r="B132" s="5">
        <v>22.9</v>
      </c>
      <c r="C132" s="5">
        <f t="shared" si="9"/>
        <v>20.920699999999997</v>
      </c>
      <c r="D132" s="5">
        <f t="shared" si="10"/>
        <v>1.0946096449927585</v>
      </c>
      <c r="F132" s="5">
        <f>C132*$E$4</f>
        <v>20.97615007919849</v>
      </c>
      <c r="G132" s="6">
        <f t="shared" si="11"/>
        <v>1.9238499208015085</v>
      </c>
    </row>
    <row r="133" spans="1:7">
      <c r="A133" s="5">
        <f t="shared" si="12"/>
        <v>132</v>
      </c>
      <c r="B133" s="5">
        <v>22.9</v>
      </c>
      <c r="C133" s="5">
        <f t="shared" si="9"/>
        <v>20.720399999999994</v>
      </c>
      <c r="D133" s="5">
        <f t="shared" si="10"/>
        <v>1.1051910194783887</v>
      </c>
      <c r="F133" s="5">
        <f>C133*$E$5</f>
        <v>21.024805252831325</v>
      </c>
      <c r="G133" s="6">
        <f t="shared" si="11"/>
        <v>1.8751947471686741</v>
      </c>
    </row>
    <row r="134" spans="1:7">
      <c r="A134" s="5">
        <f t="shared" si="12"/>
        <v>133</v>
      </c>
      <c r="B134" s="5">
        <v>23.4</v>
      </c>
      <c r="C134" s="5">
        <f t="shared" si="9"/>
        <v>20.520099999999996</v>
      </c>
      <c r="D134" s="5">
        <f t="shared" si="10"/>
        <v>1.1403453199545812</v>
      </c>
      <c r="F134" s="5">
        <f>C134*$E$2</f>
        <v>20.798397059201594</v>
      </c>
      <c r="G134" s="6">
        <f t="shared" si="11"/>
        <v>2.6016029407984043</v>
      </c>
    </row>
    <row r="135" spans="1:7">
      <c r="A135" s="5">
        <f t="shared" si="12"/>
        <v>134</v>
      </c>
      <c r="B135" s="5">
        <v>22.5</v>
      </c>
      <c r="C135" s="5">
        <f t="shared" si="9"/>
        <v>20.319799999999997</v>
      </c>
      <c r="D135" s="5">
        <f t="shared" si="10"/>
        <v>1.1072943631334955</v>
      </c>
      <c r="F135" s="5">
        <f>C135*$E$3</f>
        <v>20.494745204102411</v>
      </c>
      <c r="G135" s="6">
        <f t="shared" si="11"/>
        <v>2.0052547958975886</v>
      </c>
    </row>
    <row r="136" spans="1:7">
      <c r="A136" s="5">
        <f t="shared" si="12"/>
        <v>135</v>
      </c>
      <c r="B136" s="5">
        <v>21.5</v>
      </c>
      <c r="C136" s="5">
        <f t="shared" si="9"/>
        <v>20.119499999999995</v>
      </c>
      <c r="D136" s="5">
        <f t="shared" si="10"/>
        <v>1.0686150252242852</v>
      </c>
      <c r="F136" s="5">
        <f>C136*$E$4</f>
        <v>20.172826507642384</v>
      </c>
      <c r="G136" s="6">
        <f t="shared" si="11"/>
        <v>1.3271734923576162</v>
      </c>
    </row>
    <row r="137" spans="1:7">
      <c r="A137" s="5">
        <f t="shared" si="12"/>
        <v>136</v>
      </c>
      <c r="B137" s="5">
        <v>23</v>
      </c>
      <c r="C137" s="5">
        <f t="shared" si="9"/>
        <v>19.919199999999996</v>
      </c>
      <c r="D137" s="5">
        <f t="shared" si="10"/>
        <v>1.1546648459777502</v>
      </c>
      <c r="F137" s="5">
        <f>C137*$E$5</f>
        <v>20.211834751848311</v>
      </c>
      <c r="G137" s="6">
        <f t="shared" si="11"/>
        <v>2.7881652481516888</v>
      </c>
    </row>
    <row r="138" spans="1:7">
      <c r="A138" s="5">
        <f t="shared" si="12"/>
        <v>137</v>
      </c>
      <c r="B138" s="5">
        <v>24.1</v>
      </c>
      <c r="C138" s="5">
        <f t="shared" si="9"/>
        <v>19.718899999999994</v>
      </c>
      <c r="D138" s="5">
        <f t="shared" si="10"/>
        <v>1.2221777076814633</v>
      </c>
      <c r="F138" s="5">
        <f>C138*$E$2</f>
        <v>19.986331049589928</v>
      </c>
      <c r="G138" s="6">
        <f t="shared" si="11"/>
        <v>4.113668950410073</v>
      </c>
    </row>
    <row r="139" spans="1:7">
      <c r="A139" s="5">
        <f t="shared" si="12"/>
        <v>138</v>
      </c>
      <c r="B139" s="5">
        <v>24.4</v>
      </c>
      <c r="C139" s="5">
        <f t="shared" si="9"/>
        <v>19.518599999999996</v>
      </c>
      <c r="D139" s="5">
        <f t="shared" si="10"/>
        <v>1.2500896580697387</v>
      </c>
      <c r="F139" s="5">
        <f>C139*$E$3</f>
        <v>19.686647198338239</v>
      </c>
      <c r="G139" s="6">
        <f t="shared" si="11"/>
        <v>4.7133528016617596</v>
      </c>
    </row>
    <row r="140" spans="1:7">
      <c r="A140" s="5">
        <f t="shared" si="12"/>
        <v>139</v>
      </c>
      <c r="B140" s="5">
        <v>23.2</v>
      </c>
      <c r="C140" s="5">
        <f t="shared" si="9"/>
        <v>19.318299999999997</v>
      </c>
      <c r="D140" s="5">
        <f t="shared" si="10"/>
        <v>1.2009338295812779</v>
      </c>
      <c r="F140" s="5">
        <f>C140*$E$4</f>
        <v>19.369502936086281</v>
      </c>
      <c r="G140" s="6">
        <f t="shared" si="11"/>
        <v>3.8304970639137181</v>
      </c>
    </row>
    <row r="141" spans="1:7">
      <c r="A141" s="5">
        <f t="shared" si="12"/>
        <v>140</v>
      </c>
      <c r="B141" s="5">
        <v>25</v>
      </c>
      <c r="C141" s="5">
        <f t="shared" si="9"/>
        <v>19.117999999999995</v>
      </c>
      <c r="D141" s="5">
        <f t="shared" si="10"/>
        <v>1.3076681661261642</v>
      </c>
      <c r="F141" s="5">
        <f>C141*$E$5</f>
        <v>19.398864250865294</v>
      </c>
      <c r="G141" s="6">
        <f t="shared" si="11"/>
        <v>5.6011357491347056</v>
      </c>
    </row>
    <row r="142" spans="1:7">
      <c r="A142" s="5">
        <f t="shared" si="12"/>
        <v>141</v>
      </c>
      <c r="B142" s="5">
        <v>23</v>
      </c>
      <c r="C142" s="5">
        <f t="shared" si="9"/>
        <v>18.917699999999996</v>
      </c>
      <c r="D142" s="5">
        <f t="shared" si="10"/>
        <v>1.2157926174957847</v>
      </c>
      <c r="F142" s="5">
        <f>C142*$E$2</f>
        <v>19.174265039978266</v>
      </c>
      <c r="G142" s="6">
        <f t="shared" si="11"/>
        <v>3.8257349600217339</v>
      </c>
    </row>
    <row r="143" spans="1:7">
      <c r="A143" s="5">
        <f t="shared" si="12"/>
        <v>142</v>
      </c>
      <c r="B143" s="5">
        <v>23.9</v>
      </c>
      <c r="C143" s="5">
        <f t="shared" si="9"/>
        <v>18.717399999999994</v>
      </c>
      <c r="D143" s="5">
        <f t="shared" si="10"/>
        <v>1.2768867470909424</v>
      </c>
      <c r="F143" s="5">
        <f>C143*$E$3</f>
        <v>18.878549192574063</v>
      </c>
      <c r="G143" s="6">
        <f t="shared" si="11"/>
        <v>5.0214508074259356</v>
      </c>
    </row>
    <row r="144" spans="1:7">
      <c r="A144" s="5">
        <f t="shared" si="12"/>
        <v>143</v>
      </c>
      <c r="B144" s="5">
        <v>23.6</v>
      </c>
      <c r="C144" s="5">
        <f t="shared" si="9"/>
        <v>18.517099999999996</v>
      </c>
      <c r="D144" s="5">
        <f t="shared" si="10"/>
        <v>1.2744976265181918</v>
      </c>
      <c r="F144" s="5">
        <f>C144*$E$4</f>
        <v>18.566179364530171</v>
      </c>
      <c r="G144" s="6">
        <f t="shared" si="11"/>
        <v>5.0338206354698301</v>
      </c>
    </row>
    <row r="145" spans="1:7">
      <c r="A145" s="5">
        <f t="shared" si="12"/>
        <v>144</v>
      </c>
      <c r="B145" s="5">
        <v>22.4</v>
      </c>
      <c r="C145" s="5">
        <f t="shared" si="9"/>
        <v>18.316799999999997</v>
      </c>
      <c r="D145" s="5">
        <f t="shared" si="10"/>
        <v>1.2229210342417891</v>
      </c>
      <c r="F145" s="5">
        <f>C145*$E$5</f>
        <v>18.585893749882281</v>
      </c>
      <c r="G145" s="6">
        <f t="shared" si="11"/>
        <v>3.8141062501177174</v>
      </c>
    </row>
    <row r="146" spans="1:7">
      <c r="A146" s="5">
        <f t="shared" si="12"/>
        <v>145</v>
      </c>
      <c r="B146" s="5">
        <v>22.5</v>
      </c>
      <c r="C146" s="5">
        <f t="shared" si="9"/>
        <v>18.116499999999995</v>
      </c>
      <c r="D146" s="5">
        <f t="shared" si="10"/>
        <v>1.241961747578175</v>
      </c>
      <c r="F146" s="5">
        <f>C146*$E$2</f>
        <v>18.3621990303666</v>
      </c>
      <c r="G146" s="6">
        <f t="shared" si="11"/>
        <v>4.1378009696333997</v>
      </c>
    </row>
    <row r="147" spans="1:7">
      <c r="A147" s="5">
        <f t="shared" si="12"/>
        <v>146</v>
      </c>
      <c r="B147" s="5">
        <v>22</v>
      </c>
      <c r="C147" s="5">
        <f t="shared" si="9"/>
        <v>17.916199999999996</v>
      </c>
      <c r="D147" s="5">
        <f t="shared" si="10"/>
        <v>1.2279389602705932</v>
      </c>
      <c r="F147" s="5">
        <f>C147*$E$3</f>
        <v>18.07045118680989</v>
      </c>
      <c r="G147" s="6">
        <f t="shared" si="11"/>
        <v>3.9295488131901095</v>
      </c>
    </row>
    <row r="148" spans="1:7">
      <c r="A148" s="5">
        <f t="shared" si="12"/>
        <v>147</v>
      </c>
      <c r="B148" s="5">
        <v>22.8</v>
      </c>
      <c r="C148" s="5">
        <f t="shared" si="9"/>
        <v>17.715899999999994</v>
      </c>
      <c r="D148" s="5">
        <f t="shared" si="10"/>
        <v>1.286979492997816</v>
      </c>
      <c r="F148" s="5">
        <f>C148*$E$4</f>
        <v>17.762855792974065</v>
      </c>
      <c r="G148" s="6">
        <f t="shared" si="11"/>
        <v>5.0371442070259356</v>
      </c>
    </row>
    <row r="149" spans="1:7">
      <c r="A149" s="5">
        <f t="shared" si="12"/>
        <v>148</v>
      </c>
      <c r="B149" s="5">
        <v>20.399999999999999</v>
      </c>
      <c r="C149" s="5">
        <f t="shared" si="9"/>
        <v>17.515599999999996</v>
      </c>
      <c r="D149" s="5">
        <f t="shared" si="10"/>
        <v>1.1646760601977668</v>
      </c>
      <c r="F149" s="5">
        <f>C149*$E$5</f>
        <v>17.772923248899264</v>
      </c>
      <c r="G149" s="6">
        <f t="shared" si="11"/>
        <v>2.6270767511007342</v>
      </c>
    </row>
    <row r="150" spans="1:7">
      <c r="A150" s="5">
        <f t="shared" si="12"/>
        <v>149</v>
      </c>
      <c r="B150" s="5">
        <v>25.5</v>
      </c>
      <c r="C150" s="5">
        <f t="shared" si="9"/>
        <v>17.315299999999997</v>
      </c>
      <c r="D150" s="5">
        <f t="shared" si="10"/>
        <v>1.4726860060177995</v>
      </c>
      <c r="F150" s="5">
        <f>C150*$E$2</f>
        <v>17.550133020754934</v>
      </c>
      <c r="G150" s="6">
        <f t="shared" si="11"/>
        <v>7.9498669792450656</v>
      </c>
    </row>
    <row r="151" spans="1:7">
      <c r="A151" s="5">
        <f t="shared" si="12"/>
        <v>150</v>
      </c>
      <c r="B151" s="5">
        <v>21.5</v>
      </c>
      <c r="C151" s="5">
        <f t="shared" si="9"/>
        <v>17.114999999999995</v>
      </c>
      <c r="D151" s="5">
        <f t="shared" si="10"/>
        <v>1.2562080046742627</v>
      </c>
      <c r="F151" s="5">
        <f>C151*$E$3</f>
        <v>17.262353181045714</v>
      </c>
      <c r="G151" s="6">
        <f t="shared" si="11"/>
        <v>4.2376468189542855</v>
      </c>
    </row>
    <row r="152" spans="1:7">
      <c r="A152" s="5">
        <f t="shared" si="12"/>
        <v>151</v>
      </c>
      <c r="B152" s="5">
        <v>24.7</v>
      </c>
      <c r="C152" s="5">
        <f t="shared" si="9"/>
        <v>16.914699999999996</v>
      </c>
      <c r="D152" s="5">
        <f t="shared" si="10"/>
        <v>1.460268287347692</v>
      </c>
      <c r="F152" s="5">
        <f>C152*$E$4</f>
        <v>16.959532221417959</v>
      </c>
      <c r="G152" s="6">
        <f t="shared" si="11"/>
        <v>7.7404677785820404</v>
      </c>
    </row>
    <row r="153" spans="1:7">
      <c r="A153" s="5">
        <f t="shared" si="12"/>
        <v>152</v>
      </c>
      <c r="B153" s="5">
        <v>26.2</v>
      </c>
      <c r="C153" s="5">
        <f t="shared" si="9"/>
        <v>16.714399999999994</v>
      </c>
      <c r="D153" s="5">
        <f t="shared" si="10"/>
        <v>1.567510649499833</v>
      </c>
      <c r="F153" s="5">
        <f>C153*$E$5</f>
        <v>16.959952747916251</v>
      </c>
      <c r="G153" s="6">
        <f t="shared" si="11"/>
        <v>9.2400472520837482</v>
      </c>
    </row>
    <row r="154" spans="1:7">
      <c r="A154" s="5">
        <f t="shared" si="12"/>
        <v>153</v>
      </c>
      <c r="B154" s="5">
        <v>21.2</v>
      </c>
      <c r="C154" s="5">
        <f t="shared" si="9"/>
        <v>16.514099999999996</v>
      </c>
      <c r="D154" s="5">
        <f t="shared" si="10"/>
        <v>1.2837514608728302</v>
      </c>
      <c r="F154" s="5">
        <f>C154*$E$2</f>
        <v>16.738067011143269</v>
      </c>
      <c r="G154" s="6">
        <f t="shared" si="11"/>
        <v>4.4619329888567307</v>
      </c>
    </row>
    <row r="155" spans="1:7">
      <c r="A155" s="5">
        <f t="shared" si="12"/>
        <v>154</v>
      </c>
      <c r="B155" s="5">
        <v>23.7</v>
      </c>
      <c r="C155" s="5">
        <f t="shared" si="9"/>
        <v>16.313799999999997</v>
      </c>
      <c r="D155" s="5">
        <f t="shared" si="10"/>
        <v>1.4527577878851037</v>
      </c>
      <c r="F155" s="5">
        <f>C155*$E$3</f>
        <v>16.454255175281546</v>
      </c>
      <c r="G155" s="6">
        <f t="shared" si="11"/>
        <v>7.2457448247184537</v>
      </c>
    </row>
    <row r="156" spans="1:7">
      <c r="A156" s="5">
        <f t="shared" si="12"/>
        <v>155</v>
      </c>
      <c r="B156" s="5">
        <v>23.5</v>
      </c>
      <c r="C156" s="5">
        <f t="shared" si="9"/>
        <v>16.113499999999995</v>
      </c>
      <c r="D156" s="5">
        <f t="shared" si="10"/>
        <v>1.4584044434790708</v>
      </c>
      <c r="F156" s="5">
        <f>C156*$E$4</f>
        <v>16.156208649861853</v>
      </c>
      <c r="G156" s="6">
        <f t="shared" si="11"/>
        <v>7.3437913501381473</v>
      </c>
    </row>
    <row r="157" spans="1:7">
      <c r="A157" s="5">
        <f t="shared" si="12"/>
        <v>156</v>
      </c>
      <c r="B157" s="5">
        <v>22.4</v>
      </c>
      <c r="C157" s="5">
        <f t="shared" si="9"/>
        <v>15.913199999999996</v>
      </c>
      <c r="D157" s="5">
        <f t="shared" si="10"/>
        <v>1.4076364276198379</v>
      </c>
      <c r="F157" s="5">
        <f>C157*$E$5</f>
        <v>16.146982246933238</v>
      </c>
      <c r="G157" s="6">
        <f t="shared" si="11"/>
        <v>6.2530177530667608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9"/>
  <dimension ref="A1"/>
  <sheetViews>
    <sheetView workbookViewId="0">
      <selection activeCell="O23" sqref="O23"/>
    </sheetView>
  </sheetViews>
  <sheetFormatPr baseColWidth="10" defaultColWidth="8.83203125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Total Data</vt:lpstr>
      <vt:lpstr>Final</vt:lpstr>
      <vt:lpstr>Household data</vt:lpstr>
      <vt:lpstr>Exponential Smoothing</vt:lpstr>
      <vt:lpstr>Decomposition</vt:lpstr>
      <vt:lpstr>ARIMA</vt:lpstr>
      <vt:lpstr>Time series transformation3</vt:lpstr>
      <vt:lpstr>Time series transformation2</vt:lpstr>
      <vt:lpstr>Time series transformation</vt:lpstr>
      <vt:lpstr>ARIMA1</vt:lpstr>
      <vt:lpstr>Dickey-Fuller_HID</vt:lpstr>
      <vt:lpstr>Time series transformation1</vt:lpstr>
      <vt:lpstr>Time series_HID</vt:lpstr>
      <vt:lpstr>Time series</vt:lpstr>
      <vt:lpstr>Dickey-Fuller</vt:lpstr>
      <vt:lpstr>Exponential Smoothing(Others)</vt:lpstr>
      <vt:lpstr>Exponential1</vt:lpstr>
      <vt:lpstr>Exponential</vt:lpstr>
      <vt:lpstr>Decomposition(Others)</vt:lpstr>
      <vt:lpstr>ARIMA(Others)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2018-10-15T14:30:40Z</dcterms:modified>
</cp:coreProperties>
</file>