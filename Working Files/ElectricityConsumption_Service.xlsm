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/>
  <workbookPr filterPrivacy="1"/>
  <xr:revisionPtr revIDLastSave="0" documentId="13_ncr:1_{01ACD521-CCBF-3C44-81CE-003FEF3137E3}" xr6:coauthVersionLast="37" xr6:coauthVersionMax="37" xr10:uidLastSave="{00000000-0000-0000-0000-000000000000}"/>
  <bookViews>
    <workbookView xWindow="2980" yWindow="1720" windowWidth="22260" windowHeight="12640" activeTab="1" xr2:uid="{00000000-000D-0000-FFFF-FFFF00000000}"/>
  </bookViews>
  <sheets>
    <sheet name="Data" sheetId="1" r:id="rId1"/>
    <sheet name="Exponential smoothing" sheetId="2" r:id="rId2"/>
    <sheet name="Holt' Winters " sheetId="4" r:id="rId3"/>
    <sheet name="Decomposition" sheetId="3" r:id="rId4"/>
    <sheet name="Dickey-Fuller_HID" sheetId="7" state="hidden" r:id="rId5"/>
    <sheet name="ARIMA" sheetId="13" r:id="rId6"/>
    <sheet name="Dickey-Fuller" sheetId="6" r:id="rId7"/>
  </sheets>
  <externalReferences>
    <externalReference r:id="rId8"/>
  </externalReferences>
  <definedNames>
    <definedName name="solver_adj" localSheetId="1" hidden="1">'Exponential smoothing'!$H$3</definedName>
    <definedName name="solver_adj" localSheetId="2" hidden="1">'Holt'' Winters '!$B$3:$B$5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2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lhs1" localSheetId="1" hidden="1">'Exponential smoothing'!$H$3</definedName>
    <definedName name="solver_lhs1" localSheetId="2" hidden="1">'Holt'' Winters '!$B$3:$B$5</definedName>
    <definedName name="solver_lhs2" localSheetId="1" hidden="1">'Exponential smoothing'!$H$3</definedName>
    <definedName name="solver_lhs2" localSheetId="2" hidden="1">'Holt'' Winters '!$B$3:$B$5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2</definedName>
    <definedName name="solver_num" localSheetId="2" hidden="1">2</definedName>
    <definedName name="solver_nwt" localSheetId="1" hidden="1">1</definedName>
    <definedName name="solver_nwt" localSheetId="2" hidden="1">1</definedName>
    <definedName name="solver_opt" localSheetId="1" hidden="1">'Exponential smoothing'!$H$5</definedName>
    <definedName name="solver_opt" localSheetId="2" hidden="1">'Holt'' Winters '!$B$6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2</definedName>
    <definedName name="solver_rel1" localSheetId="1" hidden="1">1</definedName>
    <definedName name="solver_rel1" localSheetId="2" hidden="1">1</definedName>
    <definedName name="solver_rel2" localSheetId="1" hidden="1">3</definedName>
    <definedName name="solver_rel2" localSheetId="2" hidden="1">3</definedName>
    <definedName name="solver_rhs1" localSheetId="1" hidden="1">1</definedName>
    <definedName name="solver_rhs1" localSheetId="2" hidden="1">1</definedName>
    <definedName name="solver_rhs2" localSheetId="1" hidden="1">0</definedName>
    <definedName name="solver_rhs2" localSheetId="2" hidden="1">0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3" l="1"/>
  <c r="J9" i="3"/>
  <c r="J10" i="3"/>
  <c r="J11" i="3"/>
  <c r="J12" i="3"/>
  <c r="J13" i="3"/>
  <c r="J14" i="3"/>
  <c r="J15" i="3"/>
  <c r="J16" i="3"/>
  <c r="J17" i="3"/>
  <c r="J18" i="3"/>
  <c r="J7" i="3"/>
  <c r="J3" i="3"/>
  <c r="J2" i="3"/>
  <c r="E9" i="3" l="1"/>
  <c r="E157" i="3"/>
  <c r="E149" i="3"/>
  <c r="F149" i="3" s="1"/>
  <c r="G149" i="3" s="1"/>
  <c r="E141" i="3"/>
  <c r="F141" i="3" s="1"/>
  <c r="G141" i="3" s="1"/>
  <c r="E133" i="3"/>
  <c r="F133" i="3" s="1"/>
  <c r="G133" i="3" s="1"/>
  <c r="E125" i="3"/>
  <c r="F125" i="3" s="1"/>
  <c r="G125" i="3" s="1"/>
  <c r="E117" i="3"/>
  <c r="F117" i="3" s="1"/>
  <c r="G117" i="3" s="1"/>
  <c r="E109" i="3"/>
  <c r="F109" i="3" s="1"/>
  <c r="G109" i="3" s="1"/>
  <c r="E101" i="3"/>
  <c r="F101" i="3" s="1"/>
  <c r="G101" i="3" s="1"/>
  <c r="E93" i="3"/>
  <c r="F93" i="3" s="1"/>
  <c r="G93" i="3" s="1"/>
  <c r="E85" i="3"/>
  <c r="F85" i="3" s="1"/>
  <c r="G85" i="3" s="1"/>
  <c r="E69" i="3"/>
  <c r="F69" i="3" s="1"/>
  <c r="G69" i="3" s="1"/>
  <c r="E28" i="3"/>
  <c r="F28" i="3" s="1"/>
  <c r="G28" i="3" s="1"/>
  <c r="E156" i="3"/>
  <c r="F156" i="3" s="1"/>
  <c r="G156" i="3" s="1"/>
  <c r="E152" i="3"/>
  <c r="F152" i="3" s="1"/>
  <c r="G152" i="3" s="1"/>
  <c r="E148" i="3"/>
  <c r="F148" i="3" s="1"/>
  <c r="G148" i="3" s="1"/>
  <c r="E144" i="3"/>
  <c r="E140" i="3"/>
  <c r="F140" i="3" s="1"/>
  <c r="G140" i="3" s="1"/>
  <c r="E136" i="3"/>
  <c r="F136" i="3" s="1"/>
  <c r="G136" i="3" s="1"/>
  <c r="E132" i="3"/>
  <c r="F132" i="3" s="1"/>
  <c r="G132" i="3" s="1"/>
  <c r="E128" i="3"/>
  <c r="E124" i="3"/>
  <c r="F124" i="3" s="1"/>
  <c r="G124" i="3" s="1"/>
  <c r="E120" i="3"/>
  <c r="F120" i="3" s="1"/>
  <c r="G120" i="3" s="1"/>
  <c r="E116" i="3"/>
  <c r="F116" i="3" s="1"/>
  <c r="G116" i="3" s="1"/>
  <c r="E112" i="3"/>
  <c r="E108" i="3"/>
  <c r="F108" i="3" s="1"/>
  <c r="G108" i="3" s="1"/>
  <c r="E104" i="3"/>
  <c r="F104" i="3" s="1"/>
  <c r="G104" i="3" s="1"/>
  <c r="E100" i="3"/>
  <c r="F100" i="3" s="1"/>
  <c r="G100" i="3" s="1"/>
  <c r="E96" i="3"/>
  <c r="E92" i="3"/>
  <c r="F92" i="3" s="1"/>
  <c r="G92" i="3" s="1"/>
  <c r="E88" i="3"/>
  <c r="F88" i="3" s="1"/>
  <c r="G88" i="3" s="1"/>
  <c r="E84" i="3"/>
  <c r="F84" i="3" s="1"/>
  <c r="G84" i="3" s="1"/>
  <c r="E80" i="3"/>
  <c r="E76" i="3"/>
  <c r="F76" i="3" s="1"/>
  <c r="G76" i="3" s="1"/>
  <c r="E72" i="3"/>
  <c r="F72" i="3" s="1"/>
  <c r="G72" i="3" s="1"/>
  <c r="E68" i="3"/>
  <c r="F68" i="3" s="1"/>
  <c r="G68" i="3" s="1"/>
  <c r="E64" i="3"/>
  <c r="E60" i="3"/>
  <c r="F60" i="3" s="1"/>
  <c r="G60" i="3" s="1"/>
  <c r="E56" i="3"/>
  <c r="F56" i="3" s="1"/>
  <c r="G56" i="3" s="1"/>
  <c r="E52" i="3"/>
  <c r="F52" i="3" s="1"/>
  <c r="G52" i="3" s="1"/>
  <c r="E48" i="3"/>
  <c r="F48" i="3" s="1"/>
  <c r="G48" i="3" s="1"/>
  <c r="E44" i="3"/>
  <c r="E40" i="3"/>
  <c r="F40" i="3" s="1"/>
  <c r="G40" i="3" s="1"/>
  <c r="E36" i="3"/>
  <c r="F36" i="3" s="1"/>
  <c r="G36" i="3" s="1"/>
  <c r="E32" i="3"/>
  <c r="F32" i="3" s="1"/>
  <c r="G32" i="3" s="1"/>
  <c r="E26" i="3"/>
  <c r="F26" i="3" s="1"/>
  <c r="G26" i="3" s="1"/>
  <c r="E18" i="3"/>
  <c r="F18" i="3" s="1"/>
  <c r="G18" i="3" s="1"/>
  <c r="E10" i="3"/>
  <c r="F10" i="3" s="1"/>
  <c r="G10" i="3" s="1"/>
  <c r="E153" i="3"/>
  <c r="F153" i="3" s="1"/>
  <c r="G153" i="3" s="1"/>
  <c r="E145" i="3"/>
  <c r="F145" i="3" s="1"/>
  <c r="G145" i="3" s="1"/>
  <c r="E137" i="3"/>
  <c r="F137" i="3" s="1"/>
  <c r="G137" i="3" s="1"/>
  <c r="E129" i="3"/>
  <c r="F129" i="3" s="1"/>
  <c r="G129" i="3" s="1"/>
  <c r="E121" i="3"/>
  <c r="E113" i="3"/>
  <c r="F113" i="3" s="1"/>
  <c r="G113" i="3" s="1"/>
  <c r="E105" i="3"/>
  <c r="F105" i="3" s="1"/>
  <c r="G105" i="3" s="1"/>
  <c r="E97" i="3"/>
  <c r="F97" i="3" s="1"/>
  <c r="G97" i="3" s="1"/>
  <c r="E89" i="3"/>
  <c r="E81" i="3"/>
  <c r="F81" i="3" s="1"/>
  <c r="G81" i="3" s="1"/>
  <c r="E77" i="3"/>
  <c r="F77" i="3" s="1"/>
  <c r="G77" i="3" s="1"/>
  <c r="E73" i="3"/>
  <c r="F73" i="3" s="1"/>
  <c r="G73" i="3" s="1"/>
  <c r="E65" i="3"/>
  <c r="F65" i="3" s="1"/>
  <c r="G65" i="3" s="1"/>
  <c r="E61" i="3"/>
  <c r="F61" i="3" s="1"/>
  <c r="G61" i="3" s="1"/>
  <c r="E57" i="3"/>
  <c r="F57" i="3" s="1"/>
  <c r="G57" i="3" s="1"/>
  <c r="E53" i="3"/>
  <c r="F53" i="3" s="1"/>
  <c r="G53" i="3" s="1"/>
  <c r="E49" i="3"/>
  <c r="F49" i="3" s="1"/>
  <c r="G49" i="3" s="1"/>
  <c r="E45" i="3"/>
  <c r="F45" i="3" s="1"/>
  <c r="G45" i="3" s="1"/>
  <c r="E41" i="3"/>
  <c r="F41" i="3" s="1"/>
  <c r="G41" i="3" s="1"/>
  <c r="E37" i="3"/>
  <c r="F37" i="3" s="1"/>
  <c r="G37" i="3" s="1"/>
  <c r="E33" i="3"/>
  <c r="F33" i="3" s="1"/>
  <c r="G33" i="3" s="1"/>
  <c r="E21" i="3"/>
  <c r="F21" i="3" s="1"/>
  <c r="G21" i="3" s="1"/>
  <c r="E13" i="3"/>
  <c r="F13" i="3" s="1"/>
  <c r="G13" i="3" s="1"/>
  <c r="E5" i="3"/>
  <c r="F5" i="3" s="1"/>
  <c r="G5" i="3" s="1"/>
  <c r="F44" i="3"/>
  <c r="G44" i="3" s="1"/>
  <c r="E3" i="3"/>
  <c r="F3" i="3" s="1"/>
  <c r="G3" i="3" s="1"/>
  <c r="E155" i="3"/>
  <c r="F155" i="3" s="1"/>
  <c r="G155" i="3" s="1"/>
  <c r="E151" i="3"/>
  <c r="F151" i="3" s="1"/>
  <c r="G151" i="3" s="1"/>
  <c r="E147" i="3"/>
  <c r="F147" i="3" s="1"/>
  <c r="G147" i="3" s="1"/>
  <c r="E143" i="3"/>
  <c r="F143" i="3" s="1"/>
  <c r="G143" i="3" s="1"/>
  <c r="E139" i="3"/>
  <c r="F139" i="3" s="1"/>
  <c r="G139" i="3" s="1"/>
  <c r="E135" i="3"/>
  <c r="F135" i="3" s="1"/>
  <c r="G135" i="3" s="1"/>
  <c r="E131" i="3"/>
  <c r="F131" i="3" s="1"/>
  <c r="G131" i="3" s="1"/>
  <c r="E127" i="3"/>
  <c r="F127" i="3" s="1"/>
  <c r="G127" i="3" s="1"/>
  <c r="E123" i="3"/>
  <c r="F123" i="3" s="1"/>
  <c r="G123" i="3" s="1"/>
  <c r="E119" i="3"/>
  <c r="F119" i="3" s="1"/>
  <c r="G119" i="3" s="1"/>
  <c r="E115" i="3"/>
  <c r="F115" i="3" s="1"/>
  <c r="G115" i="3" s="1"/>
  <c r="E111" i="3"/>
  <c r="F111" i="3" s="1"/>
  <c r="G111" i="3" s="1"/>
  <c r="E107" i="3"/>
  <c r="F107" i="3" s="1"/>
  <c r="G107" i="3" s="1"/>
  <c r="E103" i="3"/>
  <c r="F103" i="3" s="1"/>
  <c r="G103" i="3" s="1"/>
  <c r="E99" i="3"/>
  <c r="F99" i="3" s="1"/>
  <c r="G99" i="3" s="1"/>
  <c r="E95" i="3"/>
  <c r="F95" i="3" s="1"/>
  <c r="G95" i="3" s="1"/>
  <c r="E91" i="3"/>
  <c r="F91" i="3" s="1"/>
  <c r="G91" i="3" s="1"/>
  <c r="E87" i="3"/>
  <c r="F87" i="3" s="1"/>
  <c r="G87" i="3" s="1"/>
  <c r="E83" i="3"/>
  <c r="F83" i="3" s="1"/>
  <c r="G83" i="3" s="1"/>
  <c r="E79" i="3"/>
  <c r="F79" i="3" s="1"/>
  <c r="G79" i="3" s="1"/>
  <c r="E75" i="3"/>
  <c r="F75" i="3" s="1"/>
  <c r="G75" i="3" s="1"/>
  <c r="E71" i="3"/>
  <c r="F71" i="3" s="1"/>
  <c r="G71" i="3" s="1"/>
  <c r="E67" i="3"/>
  <c r="F67" i="3" s="1"/>
  <c r="G67" i="3" s="1"/>
  <c r="E63" i="3"/>
  <c r="F63" i="3" s="1"/>
  <c r="G63" i="3" s="1"/>
  <c r="E59" i="3"/>
  <c r="F59" i="3" s="1"/>
  <c r="G59" i="3" s="1"/>
  <c r="E55" i="3"/>
  <c r="F55" i="3" s="1"/>
  <c r="G55" i="3" s="1"/>
  <c r="E51" i="3"/>
  <c r="F51" i="3" s="1"/>
  <c r="G51" i="3" s="1"/>
  <c r="E47" i="3"/>
  <c r="F47" i="3" s="1"/>
  <c r="G47" i="3" s="1"/>
  <c r="E43" i="3"/>
  <c r="F43" i="3" s="1"/>
  <c r="G43" i="3" s="1"/>
  <c r="E39" i="3"/>
  <c r="F39" i="3" s="1"/>
  <c r="G39" i="3" s="1"/>
  <c r="E35" i="3"/>
  <c r="F35" i="3" s="1"/>
  <c r="G35" i="3" s="1"/>
  <c r="E30" i="3"/>
  <c r="F30" i="3" s="1"/>
  <c r="G30" i="3" s="1"/>
  <c r="E25" i="3"/>
  <c r="F25" i="3" s="1"/>
  <c r="G25" i="3" s="1"/>
  <c r="E17" i="3"/>
  <c r="F17" i="3" s="1"/>
  <c r="G17" i="3" s="1"/>
  <c r="F144" i="3"/>
  <c r="G144" i="3" s="1"/>
  <c r="F128" i="3"/>
  <c r="G128" i="3" s="1"/>
  <c r="F112" i="3"/>
  <c r="G112" i="3" s="1"/>
  <c r="E7" i="3"/>
  <c r="F7" i="3" s="1"/>
  <c r="G7" i="3" s="1"/>
  <c r="E11" i="3"/>
  <c r="F11" i="3" s="1"/>
  <c r="G11" i="3" s="1"/>
  <c r="E15" i="3"/>
  <c r="F15" i="3" s="1"/>
  <c r="G15" i="3" s="1"/>
  <c r="E19" i="3"/>
  <c r="F19" i="3" s="1"/>
  <c r="G19" i="3" s="1"/>
  <c r="E23" i="3"/>
  <c r="F23" i="3" s="1"/>
  <c r="G23" i="3" s="1"/>
  <c r="E27" i="3"/>
  <c r="E31" i="3"/>
  <c r="F31" i="3" s="1"/>
  <c r="G31" i="3" s="1"/>
  <c r="E4" i="3"/>
  <c r="F4" i="3" s="1"/>
  <c r="G4" i="3" s="1"/>
  <c r="E8" i="3"/>
  <c r="F8" i="3" s="1"/>
  <c r="G8" i="3" s="1"/>
  <c r="E12" i="3"/>
  <c r="F12" i="3" s="1"/>
  <c r="G12" i="3" s="1"/>
  <c r="E16" i="3"/>
  <c r="F16" i="3" s="1"/>
  <c r="G16" i="3" s="1"/>
  <c r="E20" i="3"/>
  <c r="F20" i="3" s="1"/>
  <c r="G20" i="3" s="1"/>
  <c r="E24" i="3"/>
  <c r="F24" i="3" s="1"/>
  <c r="G24" i="3" s="1"/>
  <c r="F27" i="3"/>
  <c r="G27" i="3" s="1"/>
  <c r="F121" i="3"/>
  <c r="G121" i="3" s="1"/>
  <c r="F157" i="3"/>
  <c r="G157" i="3" s="1"/>
  <c r="F9" i="3"/>
  <c r="G9" i="3" s="1"/>
  <c r="F89" i="3"/>
  <c r="G89" i="3" s="1"/>
  <c r="E158" i="3"/>
  <c r="F158" i="3" s="1"/>
  <c r="G158" i="3" s="1"/>
  <c r="E154" i="3"/>
  <c r="F154" i="3" s="1"/>
  <c r="G154" i="3" s="1"/>
  <c r="E150" i="3"/>
  <c r="F150" i="3" s="1"/>
  <c r="G150" i="3" s="1"/>
  <c r="E146" i="3"/>
  <c r="F146" i="3" s="1"/>
  <c r="G146" i="3" s="1"/>
  <c r="E142" i="3"/>
  <c r="F142" i="3" s="1"/>
  <c r="G142" i="3" s="1"/>
  <c r="E138" i="3"/>
  <c r="F138" i="3" s="1"/>
  <c r="G138" i="3" s="1"/>
  <c r="E134" i="3"/>
  <c r="F134" i="3" s="1"/>
  <c r="G134" i="3" s="1"/>
  <c r="E130" i="3"/>
  <c r="F130" i="3" s="1"/>
  <c r="G130" i="3" s="1"/>
  <c r="E126" i="3"/>
  <c r="F126" i="3" s="1"/>
  <c r="G126" i="3" s="1"/>
  <c r="E122" i="3"/>
  <c r="F122" i="3" s="1"/>
  <c r="G122" i="3" s="1"/>
  <c r="E118" i="3"/>
  <c r="F118" i="3" s="1"/>
  <c r="G118" i="3" s="1"/>
  <c r="E114" i="3"/>
  <c r="F114" i="3" s="1"/>
  <c r="G114" i="3" s="1"/>
  <c r="E110" i="3"/>
  <c r="F110" i="3" s="1"/>
  <c r="G110" i="3" s="1"/>
  <c r="E106" i="3"/>
  <c r="F106" i="3" s="1"/>
  <c r="G106" i="3" s="1"/>
  <c r="E102" i="3"/>
  <c r="F102" i="3" s="1"/>
  <c r="G102" i="3" s="1"/>
  <c r="E98" i="3"/>
  <c r="F98" i="3" s="1"/>
  <c r="G98" i="3" s="1"/>
  <c r="E94" i="3"/>
  <c r="F94" i="3" s="1"/>
  <c r="G94" i="3" s="1"/>
  <c r="E90" i="3"/>
  <c r="F90" i="3" s="1"/>
  <c r="G90" i="3" s="1"/>
  <c r="E86" i="3"/>
  <c r="F86" i="3" s="1"/>
  <c r="G86" i="3" s="1"/>
  <c r="E82" i="3"/>
  <c r="F82" i="3" s="1"/>
  <c r="G82" i="3" s="1"/>
  <c r="E78" i="3"/>
  <c r="F78" i="3" s="1"/>
  <c r="G78" i="3" s="1"/>
  <c r="E74" i="3"/>
  <c r="F74" i="3" s="1"/>
  <c r="G74" i="3" s="1"/>
  <c r="E70" i="3"/>
  <c r="F70" i="3" s="1"/>
  <c r="G70" i="3" s="1"/>
  <c r="E66" i="3"/>
  <c r="F66" i="3" s="1"/>
  <c r="G66" i="3" s="1"/>
  <c r="E62" i="3"/>
  <c r="F62" i="3" s="1"/>
  <c r="G62" i="3" s="1"/>
  <c r="E58" i="3"/>
  <c r="F58" i="3" s="1"/>
  <c r="G58" i="3" s="1"/>
  <c r="E54" i="3"/>
  <c r="F54" i="3" s="1"/>
  <c r="G54" i="3" s="1"/>
  <c r="E50" i="3"/>
  <c r="F50" i="3" s="1"/>
  <c r="G50" i="3" s="1"/>
  <c r="E46" i="3"/>
  <c r="F46" i="3" s="1"/>
  <c r="G46" i="3" s="1"/>
  <c r="E42" i="3"/>
  <c r="F42" i="3" s="1"/>
  <c r="G42" i="3" s="1"/>
  <c r="E38" i="3"/>
  <c r="F38" i="3" s="1"/>
  <c r="G38" i="3" s="1"/>
  <c r="E34" i="3"/>
  <c r="F34" i="3" s="1"/>
  <c r="G34" i="3" s="1"/>
  <c r="E29" i="3"/>
  <c r="F29" i="3" s="1"/>
  <c r="G29" i="3" s="1"/>
  <c r="E22" i="3"/>
  <c r="F22" i="3" s="1"/>
  <c r="G22" i="3" s="1"/>
  <c r="E14" i="3"/>
  <c r="F14" i="3" s="1"/>
  <c r="G14" i="3" s="1"/>
  <c r="E6" i="3"/>
  <c r="F6" i="3" s="1"/>
  <c r="G6" i="3" s="1"/>
  <c r="F96" i="3"/>
  <c r="G96" i="3" s="1"/>
  <c r="F80" i="3"/>
  <c r="G80" i="3" s="1"/>
  <c r="F64" i="3"/>
  <c r="G64" i="3" s="1"/>
  <c r="M7" i="3" l="1"/>
  <c r="E10" i="4" l="1"/>
  <c r="E11" i="4"/>
  <c r="E12" i="4"/>
  <c r="E13" i="4"/>
  <c r="E14" i="4"/>
  <c r="E15" i="4"/>
  <c r="E16" i="4"/>
  <c r="E17" i="4"/>
  <c r="E18" i="4"/>
  <c r="E19" i="4"/>
  <c r="E20" i="4"/>
  <c r="E9" i="4"/>
  <c r="C21" i="4" s="1"/>
  <c r="E21" i="4" l="1"/>
  <c r="D21" i="4"/>
  <c r="C22" i="4" s="1"/>
  <c r="E22" i="4" l="1"/>
  <c r="D22" i="4"/>
  <c r="F23" i="4" s="1"/>
  <c r="G23" i="4" s="1"/>
  <c r="F22" i="4"/>
  <c r="G22" i="4" s="1"/>
  <c r="C23" i="4" l="1"/>
  <c r="D23" i="4" s="1"/>
  <c r="C24" i="4" s="1"/>
  <c r="E24" i="4" s="1"/>
  <c r="E23" i="4" l="1"/>
  <c r="F24" i="4"/>
  <c r="G24" i="4" s="1"/>
  <c r="D24" i="4"/>
  <c r="C25" i="4" s="1"/>
  <c r="E25" i="4" s="1"/>
  <c r="D25" i="4" l="1"/>
  <c r="C26" i="4" s="1"/>
  <c r="F25" i="4"/>
  <c r="G25" i="4" s="1"/>
  <c r="E26" i="4"/>
  <c r="D26" i="4"/>
  <c r="C27" i="4" s="1"/>
  <c r="F26" i="4"/>
  <c r="G26" i="4" s="1"/>
  <c r="E27" i="4" l="1"/>
  <c r="D27" i="4"/>
  <c r="C28" i="4" s="1"/>
  <c r="F27" i="4"/>
  <c r="G27" i="4" s="1"/>
  <c r="E28" i="4" l="1"/>
  <c r="D28" i="4"/>
  <c r="C29" i="4" s="1"/>
  <c r="F28" i="4"/>
  <c r="G28" i="4" s="1"/>
  <c r="E29" i="4" l="1"/>
  <c r="D29" i="4"/>
  <c r="C30" i="4" s="1"/>
  <c r="F29" i="4"/>
  <c r="G29" i="4" s="1"/>
  <c r="E30" i="4" l="1"/>
  <c r="D30" i="4"/>
  <c r="C31" i="4" s="1"/>
  <c r="F30" i="4"/>
  <c r="G30" i="4" s="1"/>
  <c r="E31" i="4" l="1"/>
  <c r="D31" i="4"/>
  <c r="C32" i="4" s="1"/>
  <c r="F31" i="4"/>
  <c r="G31" i="4" s="1"/>
  <c r="E32" i="4" l="1"/>
  <c r="D32" i="4"/>
  <c r="C33" i="4" s="1"/>
  <c r="F32" i="4"/>
  <c r="G32" i="4" s="1"/>
  <c r="E33" i="4" l="1"/>
  <c r="D33" i="4"/>
  <c r="C34" i="4" s="1"/>
  <c r="F33" i="4"/>
  <c r="G33" i="4" s="1"/>
  <c r="E34" i="4" l="1"/>
  <c r="D34" i="4"/>
  <c r="C35" i="4" s="1"/>
  <c r="F34" i="4"/>
  <c r="G34" i="4" s="1"/>
  <c r="E35" i="4" l="1"/>
  <c r="D35" i="4"/>
  <c r="C36" i="4" s="1"/>
  <c r="F35" i="4"/>
  <c r="G35" i="4" s="1"/>
  <c r="E36" i="4" l="1"/>
  <c r="D36" i="4"/>
  <c r="C37" i="4" s="1"/>
  <c r="F36" i="4"/>
  <c r="G36" i="4" s="1"/>
  <c r="E37" i="4" l="1"/>
  <c r="D37" i="4"/>
  <c r="C38" i="4" s="1"/>
  <c r="F37" i="4"/>
  <c r="G37" i="4" s="1"/>
  <c r="E38" i="4" l="1"/>
  <c r="D38" i="4"/>
  <c r="C39" i="4" s="1"/>
  <c r="F38" i="4"/>
  <c r="G38" i="4" s="1"/>
  <c r="E39" i="4" l="1"/>
  <c r="D39" i="4"/>
  <c r="C40" i="4" s="1"/>
  <c r="F39" i="4"/>
  <c r="G39" i="4" s="1"/>
  <c r="E40" i="4" l="1"/>
  <c r="D40" i="4"/>
  <c r="C41" i="4" s="1"/>
  <c r="F40" i="4"/>
  <c r="G40" i="4" s="1"/>
  <c r="E41" i="4" l="1"/>
  <c r="D41" i="4"/>
  <c r="C42" i="4" s="1"/>
  <c r="F41" i="4"/>
  <c r="G41" i="4" s="1"/>
  <c r="E42" i="4" l="1"/>
  <c r="D42" i="4"/>
  <c r="C43" i="4" s="1"/>
  <c r="F42" i="4"/>
  <c r="G42" i="4" s="1"/>
  <c r="E43" i="4" l="1"/>
  <c r="D43" i="4"/>
  <c r="C44" i="4" s="1"/>
  <c r="F43" i="4"/>
  <c r="G43" i="4" s="1"/>
  <c r="E44" i="4" l="1"/>
  <c r="D44" i="4"/>
  <c r="C45" i="4" s="1"/>
  <c r="F44" i="4"/>
  <c r="G44" i="4" s="1"/>
  <c r="E45" i="4" l="1"/>
  <c r="D45" i="4"/>
  <c r="C46" i="4" s="1"/>
  <c r="F45" i="4"/>
  <c r="G45" i="4" s="1"/>
  <c r="E46" i="4" l="1"/>
  <c r="D46" i="4"/>
  <c r="C47" i="4" s="1"/>
  <c r="F46" i="4"/>
  <c r="G46" i="4" s="1"/>
  <c r="E47" i="4" l="1"/>
  <c r="D47" i="4"/>
  <c r="C48" i="4" s="1"/>
  <c r="F47" i="4"/>
  <c r="G47" i="4" s="1"/>
  <c r="E48" i="4" l="1"/>
  <c r="D48" i="4"/>
  <c r="C49" i="4" s="1"/>
  <c r="F48" i="4"/>
  <c r="G48" i="4" s="1"/>
  <c r="E49" i="4" l="1"/>
  <c r="D49" i="4"/>
  <c r="C50" i="4" s="1"/>
  <c r="F49" i="4"/>
  <c r="G49" i="4" s="1"/>
  <c r="E50" i="4" l="1"/>
  <c r="D50" i="4"/>
  <c r="C51" i="4" s="1"/>
  <c r="F50" i="4"/>
  <c r="G50" i="4" s="1"/>
  <c r="E51" i="4" l="1"/>
  <c r="D51" i="4"/>
  <c r="C52" i="4" s="1"/>
  <c r="F51" i="4"/>
  <c r="G51" i="4" s="1"/>
  <c r="E52" i="4" l="1"/>
  <c r="D52" i="4"/>
  <c r="C53" i="4" s="1"/>
  <c r="F52" i="4"/>
  <c r="G52" i="4" s="1"/>
  <c r="E53" i="4" l="1"/>
  <c r="D53" i="4"/>
  <c r="C54" i="4" s="1"/>
  <c r="F53" i="4"/>
  <c r="G53" i="4" s="1"/>
  <c r="E54" i="4" l="1"/>
  <c r="D54" i="4"/>
  <c r="C55" i="4" s="1"/>
  <c r="F54" i="4"/>
  <c r="G54" i="4" s="1"/>
  <c r="E55" i="4" l="1"/>
  <c r="D55" i="4"/>
  <c r="C56" i="4" s="1"/>
  <c r="F55" i="4"/>
  <c r="G55" i="4" s="1"/>
  <c r="E56" i="4" l="1"/>
  <c r="D56" i="4"/>
  <c r="C57" i="4" s="1"/>
  <c r="F56" i="4"/>
  <c r="G56" i="4" s="1"/>
  <c r="E57" i="4" l="1"/>
  <c r="D57" i="4"/>
  <c r="C58" i="4" s="1"/>
  <c r="F57" i="4"/>
  <c r="G57" i="4" s="1"/>
  <c r="E58" i="4" l="1"/>
  <c r="D58" i="4"/>
  <c r="C59" i="4" s="1"/>
  <c r="F58" i="4"/>
  <c r="G58" i="4" s="1"/>
  <c r="E59" i="4" l="1"/>
  <c r="D59" i="4"/>
  <c r="C60" i="4" s="1"/>
  <c r="F59" i="4"/>
  <c r="G59" i="4" s="1"/>
  <c r="E60" i="4" l="1"/>
  <c r="D60" i="4"/>
  <c r="C61" i="4" s="1"/>
  <c r="F60" i="4"/>
  <c r="G60" i="4" s="1"/>
  <c r="E61" i="4" l="1"/>
  <c r="D61" i="4"/>
  <c r="C62" i="4" s="1"/>
  <c r="F61" i="4"/>
  <c r="G61" i="4" s="1"/>
  <c r="E62" i="4" l="1"/>
  <c r="D62" i="4"/>
  <c r="C63" i="4" s="1"/>
  <c r="F62" i="4"/>
  <c r="G62" i="4" s="1"/>
  <c r="E63" i="4" l="1"/>
  <c r="D63" i="4"/>
  <c r="C64" i="4" s="1"/>
  <c r="F63" i="4"/>
  <c r="G63" i="4" s="1"/>
  <c r="E64" i="4" l="1"/>
  <c r="D64" i="4"/>
  <c r="C65" i="4" s="1"/>
  <c r="F64" i="4"/>
  <c r="G64" i="4" s="1"/>
  <c r="E65" i="4" l="1"/>
  <c r="D65" i="4"/>
  <c r="C66" i="4" s="1"/>
  <c r="F65" i="4"/>
  <c r="G65" i="4" s="1"/>
  <c r="E66" i="4" l="1"/>
  <c r="D66" i="4"/>
  <c r="C67" i="4" s="1"/>
  <c r="F66" i="4"/>
  <c r="G66" i="4" s="1"/>
  <c r="E67" i="4" l="1"/>
  <c r="D67" i="4"/>
  <c r="C68" i="4" s="1"/>
  <c r="F67" i="4"/>
  <c r="G67" i="4" s="1"/>
  <c r="E68" i="4" l="1"/>
  <c r="D68" i="4"/>
  <c r="C69" i="4" s="1"/>
  <c r="F68" i="4"/>
  <c r="G68" i="4" s="1"/>
  <c r="E69" i="4" l="1"/>
  <c r="D69" i="4"/>
  <c r="C70" i="4" s="1"/>
  <c r="F69" i="4"/>
  <c r="G69" i="4" s="1"/>
  <c r="E70" i="4" l="1"/>
  <c r="D70" i="4"/>
  <c r="C71" i="4" s="1"/>
  <c r="F70" i="4"/>
  <c r="G70" i="4" s="1"/>
  <c r="E71" i="4" l="1"/>
  <c r="D71" i="4"/>
  <c r="C72" i="4" s="1"/>
  <c r="F71" i="4"/>
  <c r="G71" i="4" s="1"/>
  <c r="E72" i="4" l="1"/>
  <c r="D72" i="4"/>
  <c r="C73" i="4" s="1"/>
  <c r="F72" i="4"/>
  <c r="G72" i="4" s="1"/>
  <c r="E73" i="4" l="1"/>
  <c r="D73" i="4"/>
  <c r="C74" i="4" s="1"/>
  <c r="F73" i="4"/>
  <c r="G73" i="4" s="1"/>
  <c r="E74" i="4" l="1"/>
  <c r="D74" i="4"/>
  <c r="C75" i="4" s="1"/>
  <c r="F74" i="4"/>
  <c r="G74" i="4" s="1"/>
  <c r="E75" i="4" l="1"/>
  <c r="D75" i="4"/>
  <c r="C76" i="4" s="1"/>
  <c r="F75" i="4"/>
  <c r="G75" i="4" s="1"/>
  <c r="E76" i="4" l="1"/>
  <c r="D76" i="4"/>
  <c r="C77" i="4" s="1"/>
  <c r="F76" i="4"/>
  <c r="G76" i="4" s="1"/>
  <c r="E77" i="4" l="1"/>
  <c r="D77" i="4"/>
  <c r="C78" i="4" s="1"/>
  <c r="F77" i="4"/>
  <c r="G77" i="4" s="1"/>
  <c r="E78" i="4" l="1"/>
  <c r="D78" i="4"/>
  <c r="C79" i="4" s="1"/>
  <c r="F78" i="4"/>
  <c r="G78" i="4" s="1"/>
  <c r="E79" i="4" l="1"/>
  <c r="D79" i="4"/>
  <c r="C80" i="4" s="1"/>
  <c r="F79" i="4"/>
  <c r="G79" i="4" s="1"/>
  <c r="E80" i="4" l="1"/>
  <c r="D80" i="4"/>
  <c r="C81" i="4" s="1"/>
  <c r="F80" i="4"/>
  <c r="G80" i="4" s="1"/>
  <c r="E81" i="4" l="1"/>
  <c r="D81" i="4"/>
  <c r="C82" i="4" s="1"/>
  <c r="F81" i="4"/>
  <c r="G81" i="4" s="1"/>
  <c r="E82" i="4" l="1"/>
  <c r="D82" i="4"/>
  <c r="C83" i="4" s="1"/>
  <c r="F82" i="4"/>
  <c r="G82" i="4" s="1"/>
  <c r="E83" i="4" l="1"/>
  <c r="D83" i="4"/>
  <c r="C84" i="4" s="1"/>
  <c r="F83" i="4"/>
  <c r="G83" i="4" s="1"/>
  <c r="E84" i="4" l="1"/>
  <c r="D84" i="4"/>
  <c r="C85" i="4" s="1"/>
  <c r="F84" i="4"/>
  <c r="G84" i="4" s="1"/>
  <c r="E85" i="4" l="1"/>
  <c r="D85" i="4"/>
  <c r="C86" i="4" s="1"/>
  <c r="F85" i="4"/>
  <c r="G85" i="4" s="1"/>
  <c r="E86" i="4" l="1"/>
  <c r="D86" i="4"/>
  <c r="C87" i="4" s="1"/>
  <c r="F86" i="4"/>
  <c r="G86" i="4" s="1"/>
  <c r="E87" i="4" l="1"/>
  <c r="D87" i="4"/>
  <c r="C88" i="4" s="1"/>
  <c r="F87" i="4"/>
  <c r="G87" i="4" s="1"/>
  <c r="E88" i="4" l="1"/>
  <c r="D88" i="4"/>
  <c r="C89" i="4" s="1"/>
  <c r="F88" i="4"/>
  <c r="G88" i="4" s="1"/>
  <c r="E89" i="4" l="1"/>
  <c r="D89" i="4"/>
  <c r="C90" i="4" s="1"/>
  <c r="F89" i="4"/>
  <c r="G89" i="4" s="1"/>
  <c r="E90" i="4" l="1"/>
  <c r="D90" i="4"/>
  <c r="C91" i="4" s="1"/>
  <c r="F90" i="4"/>
  <c r="G90" i="4" s="1"/>
  <c r="E91" i="4" l="1"/>
  <c r="D91" i="4"/>
  <c r="C92" i="4" s="1"/>
  <c r="F91" i="4"/>
  <c r="G91" i="4" s="1"/>
  <c r="E92" i="4" l="1"/>
  <c r="D92" i="4"/>
  <c r="C93" i="4" s="1"/>
  <c r="F92" i="4"/>
  <c r="G92" i="4" s="1"/>
  <c r="E93" i="4" l="1"/>
  <c r="D93" i="4"/>
  <c r="C94" i="4" s="1"/>
  <c r="F93" i="4"/>
  <c r="G93" i="4" s="1"/>
  <c r="E94" i="4" l="1"/>
  <c r="D94" i="4"/>
  <c r="C95" i="4" s="1"/>
  <c r="F94" i="4"/>
  <c r="G94" i="4" s="1"/>
  <c r="E95" i="4" l="1"/>
  <c r="D95" i="4"/>
  <c r="C96" i="4" s="1"/>
  <c r="F95" i="4"/>
  <c r="G95" i="4" s="1"/>
  <c r="E96" i="4" l="1"/>
  <c r="D96" i="4"/>
  <c r="C97" i="4" s="1"/>
  <c r="F96" i="4"/>
  <c r="G96" i="4" s="1"/>
  <c r="E97" i="4" l="1"/>
  <c r="D97" i="4"/>
  <c r="C98" i="4" s="1"/>
  <c r="F97" i="4"/>
  <c r="G97" i="4" s="1"/>
  <c r="E98" i="4" l="1"/>
  <c r="D98" i="4"/>
  <c r="C99" i="4" s="1"/>
  <c r="F98" i="4"/>
  <c r="G98" i="4" s="1"/>
  <c r="E99" i="4" l="1"/>
  <c r="D99" i="4"/>
  <c r="C100" i="4" s="1"/>
  <c r="F99" i="4"/>
  <c r="G99" i="4" s="1"/>
  <c r="E100" i="4" l="1"/>
  <c r="D100" i="4"/>
  <c r="C101" i="4" s="1"/>
  <c r="F100" i="4"/>
  <c r="G100" i="4" s="1"/>
  <c r="E101" i="4" l="1"/>
  <c r="D101" i="4"/>
  <c r="C102" i="4" s="1"/>
  <c r="F101" i="4"/>
  <c r="G101" i="4" s="1"/>
  <c r="E102" i="4" l="1"/>
  <c r="D102" i="4"/>
  <c r="C103" i="4" s="1"/>
  <c r="F102" i="4"/>
  <c r="G102" i="4" s="1"/>
  <c r="E103" i="4" l="1"/>
  <c r="D103" i="4"/>
  <c r="C104" i="4" s="1"/>
  <c r="F103" i="4"/>
  <c r="G103" i="4" s="1"/>
  <c r="E104" i="4" l="1"/>
  <c r="D104" i="4"/>
  <c r="C105" i="4" s="1"/>
  <c r="F104" i="4"/>
  <c r="G104" i="4" s="1"/>
  <c r="E105" i="4" l="1"/>
  <c r="D105" i="4"/>
  <c r="C106" i="4" s="1"/>
  <c r="F105" i="4"/>
  <c r="G105" i="4" s="1"/>
  <c r="E106" i="4" l="1"/>
  <c r="D106" i="4"/>
  <c r="C107" i="4" s="1"/>
  <c r="F106" i="4"/>
  <c r="G106" i="4" s="1"/>
  <c r="E107" i="4" l="1"/>
  <c r="D107" i="4"/>
  <c r="C108" i="4" s="1"/>
  <c r="F107" i="4"/>
  <c r="G107" i="4" s="1"/>
  <c r="E108" i="4" l="1"/>
  <c r="D108" i="4"/>
  <c r="C109" i="4" s="1"/>
  <c r="F108" i="4"/>
  <c r="G108" i="4" s="1"/>
  <c r="E109" i="4" l="1"/>
  <c r="D109" i="4"/>
  <c r="C110" i="4" s="1"/>
  <c r="F109" i="4"/>
  <c r="G109" i="4" s="1"/>
  <c r="E110" i="4" l="1"/>
  <c r="D110" i="4"/>
  <c r="C111" i="4" s="1"/>
  <c r="F110" i="4"/>
  <c r="G110" i="4" s="1"/>
  <c r="E111" i="4" l="1"/>
  <c r="D111" i="4"/>
  <c r="C112" i="4" s="1"/>
  <c r="F111" i="4"/>
  <c r="G111" i="4" s="1"/>
  <c r="E112" i="4" l="1"/>
  <c r="D112" i="4"/>
  <c r="C113" i="4" s="1"/>
  <c r="F112" i="4"/>
  <c r="G112" i="4" s="1"/>
  <c r="E113" i="4" l="1"/>
  <c r="D113" i="4"/>
  <c r="C114" i="4" s="1"/>
  <c r="F113" i="4"/>
  <c r="G113" i="4" s="1"/>
  <c r="E114" i="4" l="1"/>
  <c r="D114" i="4"/>
  <c r="C115" i="4" s="1"/>
  <c r="F114" i="4"/>
  <c r="G114" i="4" s="1"/>
  <c r="E115" i="4" l="1"/>
  <c r="D115" i="4"/>
  <c r="C116" i="4" s="1"/>
  <c r="F115" i="4"/>
  <c r="G115" i="4" s="1"/>
  <c r="E116" i="4" l="1"/>
  <c r="D116" i="4"/>
  <c r="C117" i="4" s="1"/>
  <c r="F116" i="4"/>
  <c r="G116" i="4" s="1"/>
  <c r="E117" i="4" l="1"/>
  <c r="D117" i="4"/>
  <c r="C118" i="4" s="1"/>
  <c r="F117" i="4"/>
  <c r="G117" i="4" s="1"/>
  <c r="E118" i="4" l="1"/>
  <c r="D118" i="4"/>
  <c r="C119" i="4" s="1"/>
  <c r="F118" i="4"/>
  <c r="G118" i="4" s="1"/>
  <c r="E119" i="4" l="1"/>
  <c r="D119" i="4"/>
  <c r="C120" i="4" s="1"/>
  <c r="F119" i="4"/>
  <c r="G119" i="4" s="1"/>
  <c r="E120" i="4" l="1"/>
  <c r="D120" i="4"/>
  <c r="C121" i="4" s="1"/>
  <c r="F120" i="4"/>
  <c r="G120" i="4" s="1"/>
  <c r="E121" i="4" l="1"/>
  <c r="D121" i="4"/>
  <c r="C122" i="4" s="1"/>
  <c r="F121" i="4"/>
  <c r="G121" i="4" s="1"/>
  <c r="E122" i="4" l="1"/>
  <c r="D122" i="4"/>
  <c r="C123" i="4" s="1"/>
  <c r="F122" i="4"/>
  <c r="G122" i="4" s="1"/>
  <c r="E123" i="4" l="1"/>
  <c r="D123" i="4"/>
  <c r="C124" i="4" s="1"/>
  <c r="F123" i="4"/>
  <c r="G123" i="4" s="1"/>
  <c r="E124" i="4" l="1"/>
  <c r="D124" i="4"/>
  <c r="C125" i="4" s="1"/>
  <c r="F124" i="4"/>
  <c r="G124" i="4" s="1"/>
  <c r="E125" i="4" l="1"/>
  <c r="D125" i="4"/>
  <c r="C126" i="4" s="1"/>
  <c r="F125" i="4"/>
  <c r="G125" i="4" s="1"/>
  <c r="E126" i="4" l="1"/>
  <c r="D126" i="4"/>
  <c r="C127" i="4" s="1"/>
  <c r="F126" i="4"/>
  <c r="G126" i="4" s="1"/>
  <c r="E127" i="4" l="1"/>
  <c r="D127" i="4"/>
  <c r="C128" i="4" s="1"/>
  <c r="F127" i="4"/>
  <c r="G127" i="4" s="1"/>
  <c r="E128" i="4" l="1"/>
  <c r="D128" i="4"/>
  <c r="C129" i="4" s="1"/>
  <c r="F128" i="4"/>
  <c r="G128" i="4" s="1"/>
  <c r="E129" i="4" l="1"/>
  <c r="D129" i="4"/>
  <c r="C130" i="4" s="1"/>
  <c r="F129" i="4"/>
  <c r="G129" i="4" s="1"/>
  <c r="E130" i="4" l="1"/>
  <c r="D130" i="4"/>
  <c r="C131" i="4" s="1"/>
  <c r="F130" i="4"/>
  <c r="G130" i="4" s="1"/>
  <c r="E131" i="4" l="1"/>
  <c r="D131" i="4"/>
  <c r="C132" i="4" s="1"/>
  <c r="F131" i="4"/>
  <c r="G131" i="4" s="1"/>
  <c r="E132" i="4" l="1"/>
  <c r="D132" i="4"/>
  <c r="C133" i="4" s="1"/>
  <c r="F132" i="4"/>
  <c r="G132" i="4" s="1"/>
  <c r="E133" i="4" l="1"/>
  <c r="D133" i="4"/>
  <c r="C134" i="4" s="1"/>
  <c r="F133" i="4"/>
  <c r="G133" i="4" s="1"/>
  <c r="E134" i="4" l="1"/>
  <c r="D134" i="4"/>
  <c r="C135" i="4" s="1"/>
  <c r="F134" i="4"/>
  <c r="G134" i="4" s="1"/>
  <c r="E135" i="4" l="1"/>
  <c r="D135" i="4"/>
  <c r="C136" i="4" s="1"/>
  <c r="F135" i="4"/>
  <c r="G135" i="4" s="1"/>
  <c r="E136" i="4" l="1"/>
  <c r="D136" i="4"/>
  <c r="C137" i="4" s="1"/>
  <c r="F136" i="4"/>
  <c r="G136" i="4" s="1"/>
  <c r="E137" i="4" l="1"/>
  <c r="D137" i="4"/>
  <c r="C138" i="4" s="1"/>
  <c r="F137" i="4"/>
  <c r="G137" i="4" s="1"/>
  <c r="E138" i="4" l="1"/>
  <c r="D138" i="4"/>
  <c r="C139" i="4" s="1"/>
  <c r="F138" i="4"/>
  <c r="G138" i="4" s="1"/>
  <c r="E139" i="4" l="1"/>
  <c r="D139" i="4"/>
  <c r="C140" i="4" s="1"/>
  <c r="F139" i="4"/>
  <c r="G139" i="4" s="1"/>
  <c r="E140" i="4" l="1"/>
  <c r="D140" i="4"/>
  <c r="C141" i="4" s="1"/>
  <c r="F140" i="4"/>
  <c r="G140" i="4" s="1"/>
  <c r="E141" i="4" l="1"/>
  <c r="D141" i="4"/>
  <c r="C142" i="4" s="1"/>
  <c r="F141" i="4"/>
  <c r="G141" i="4" s="1"/>
  <c r="E142" i="4" l="1"/>
  <c r="D142" i="4"/>
  <c r="C143" i="4" s="1"/>
  <c r="F142" i="4"/>
  <c r="G142" i="4" s="1"/>
  <c r="E143" i="4" l="1"/>
  <c r="D143" i="4"/>
  <c r="C144" i="4" s="1"/>
  <c r="F143" i="4"/>
  <c r="G143" i="4" s="1"/>
  <c r="E144" i="4" l="1"/>
  <c r="D144" i="4"/>
  <c r="C145" i="4" s="1"/>
  <c r="F144" i="4"/>
  <c r="G144" i="4" s="1"/>
  <c r="E145" i="4" l="1"/>
  <c r="D145" i="4"/>
  <c r="C146" i="4" s="1"/>
  <c r="F145" i="4"/>
  <c r="G145" i="4" s="1"/>
  <c r="E146" i="4" l="1"/>
  <c r="D146" i="4"/>
  <c r="C147" i="4" s="1"/>
  <c r="F146" i="4"/>
  <c r="G146" i="4" s="1"/>
  <c r="E147" i="4" l="1"/>
  <c r="D147" i="4"/>
  <c r="C148" i="4" s="1"/>
  <c r="F147" i="4"/>
  <c r="G147" i="4" s="1"/>
  <c r="E148" i="4" l="1"/>
  <c r="D148" i="4"/>
  <c r="C149" i="4" s="1"/>
  <c r="F148" i="4"/>
  <c r="G148" i="4" s="1"/>
  <c r="E149" i="4" l="1"/>
  <c r="D149" i="4"/>
  <c r="C150" i="4" s="1"/>
  <c r="F149" i="4"/>
  <c r="G149" i="4" s="1"/>
  <c r="E150" i="4" l="1"/>
  <c r="D150" i="4"/>
  <c r="C151" i="4" s="1"/>
  <c r="F150" i="4"/>
  <c r="G150" i="4" s="1"/>
  <c r="E151" i="4" l="1"/>
  <c r="D151" i="4"/>
  <c r="C152" i="4" s="1"/>
  <c r="F151" i="4"/>
  <c r="G151" i="4" s="1"/>
  <c r="E152" i="4" l="1"/>
  <c r="D152" i="4"/>
  <c r="C153" i="4" s="1"/>
  <c r="F152" i="4"/>
  <c r="G152" i="4" s="1"/>
  <c r="E153" i="4" l="1"/>
  <c r="D153" i="4"/>
  <c r="C154" i="4" s="1"/>
  <c r="F153" i="4"/>
  <c r="G153" i="4" s="1"/>
  <c r="E154" i="4" l="1"/>
  <c r="D154" i="4"/>
  <c r="C155" i="4" s="1"/>
  <c r="F154" i="4"/>
  <c r="G154" i="4" s="1"/>
  <c r="E155" i="4" l="1"/>
  <c r="D155" i="4"/>
  <c r="C156" i="4" s="1"/>
  <c r="F155" i="4"/>
  <c r="G155" i="4" s="1"/>
  <c r="E156" i="4" l="1"/>
  <c r="D156" i="4"/>
  <c r="C157" i="4" s="1"/>
  <c r="F156" i="4"/>
  <c r="G156" i="4" s="1"/>
  <c r="E2" i="2"/>
  <c r="C3" i="2"/>
  <c r="E3" i="2" s="1"/>
  <c r="E157" i="4" l="1"/>
  <c r="D157" i="4"/>
  <c r="C158" i="4" s="1"/>
  <c r="F157" i="4"/>
  <c r="G157" i="4" s="1"/>
  <c r="C4" i="2"/>
  <c r="E158" i="4" l="1"/>
  <c r="D158" i="4"/>
  <c r="C159" i="4" s="1"/>
  <c r="F158" i="4"/>
  <c r="G158" i="4" s="1"/>
  <c r="C5" i="2"/>
  <c r="E4" i="2"/>
  <c r="E159" i="4" l="1"/>
  <c r="D159" i="4"/>
  <c r="C160" i="4" s="1"/>
  <c r="F159" i="4"/>
  <c r="G159" i="4" s="1"/>
  <c r="C6" i="2"/>
  <c r="E5" i="2"/>
  <c r="E160" i="4" l="1"/>
  <c r="D160" i="4"/>
  <c r="C161" i="4" s="1"/>
  <c r="F160" i="4"/>
  <c r="G160" i="4" s="1"/>
  <c r="C7" i="2"/>
  <c r="E6" i="2"/>
  <c r="E161" i="4" l="1"/>
  <c r="D161" i="4"/>
  <c r="C162" i="4" s="1"/>
  <c r="F161" i="4"/>
  <c r="G161" i="4" s="1"/>
  <c r="C8" i="2"/>
  <c r="E7" i="2"/>
  <c r="E162" i="4" l="1"/>
  <c r="D162" i="4"/>
  <c r="C163" i="4" s="1"/>
  <c r="F162" i="4"/>
  <c r="G162" i="4" s="1"/>
  <c r="C9" i="2"/>
  <c r="E8" i="2"/>
  <c r="E163" i="4" l="1"/>
  <c r="D163" i="4"/>
  <c r="C164" i="4" s="1"/>
  <c r="F163" i="4"/>
  <c r="G163" i="4" s="1"/>
  <c r="C10" i="2"/>
  <c r="E9" i="2"/>
  <c r="D164" i="4" l="1"/>
  <c r="F169" i="4" s="1"/>
  <c r="E164" i="4"/>
  <c r="F164" i="4"/>
  <c r="G164" i="4" s="1"/>
  <c r="B6" i="4" s="1"/>
  <c r="C11" i="2"/>
  <c r="E10" i="2"/>
  <c r="F176" i="4" l="1"/>
  <c r="F172" i="4"/>
  <c r="F166" i="4"/>
  <c r="F175" i="4"/>
  <c r="F168" i="4"/>
  <c r="F165" i="4"/>
  <c r="F171" i="4"/>
  <c r="F174" i="4"/>
  <c r="F173" i="4"/>
  <c r="F167" i="4"/>
  <c r="F170" i="4"/>
  <c r="C12" i="2"/>
  <c r="E11" i="2"/>
  <c r="C13" i="2" l="1"/>
  <c r="E12" i="2"/>
  <c r="C14" i="2" l="1"/>
  <c r="E13" i="2"/>
  <c r="C15" i="2" l="1"/>
  <c r="E14" i="2"/>
  <c r="C16" i="2" l="1"/>
  <c r="E15" i="2"/>
  <c r="C17" i="2" l="1"/>
  <c r="E16" i="2"/>
  <c r="C18" i="2" l="1"/>
  <c r="E17" i="2"/>
  <c r="C19" i="2" l="1"/>
  <c r="E18" i="2"/>
  <c r="C20" i="2" l="1"/>
  <c r="E19" i="2"/>
  <c r="C21" i="2" l="1"/>
  <c r="E20" i="2"/>
  <c r="C22" i="2" l="1"/>
  <c r="E21" i="2"/>
  <c r="C23" i="2" l="1"/>
  <c r="E22" i="2"/>
  <c r="C24" i="2" l="1"/>
  <c r="E23" i="2"/>
  <c r="C25" i="2" l="1"/>
  <c r="E24" i="2"/>
  <c r="C26" i="2" l="1"/>
  <c r="E25" i="2"/>
  <c r="C27" i="2" l="1"/>
  <c r="E26" i="2"/>
  <c r="C28" i="2" l="1"/>
  <c r="E27" i="2"/>
  <c r="C29" i="2" l="1"/>
  <c r="E28" i="2"/>
  <c r="C30" i="2" l="1"/>
  <c r="E29" i="2"/>
  <c r="C31" i="2" l="1"/>
  <c r="E30" i="2"/>
  <c r="C32" i="2" l="1"/>
  <c r="E31" i="2"/>
  <c r="C33" i="2" l="1"/>
  <c r="E32" i="2"/>
  <c r="C34" i="2" l="1"/>
  <c r="E33" i="2"/>
  <c r="C35" i="2" l="1"/>
  <c r="E34" i="2"/>
  <c r="C36" i="2" l="1"/>
  <c r="E35" i="2"/>
  <c r="C37" i="2" l="1"/>
  <c r="E36" i="2"/>
  <c r="C38" i="2" l="1"/>
  <c r="E37" i="2"/>
  <c r="C39" i="2" l="1"/>
  <c r="E38" i="2"/>
  <c r="C40" i="2" l="1"/>
  <c r="E39" i="2"/>
  <c r="C41" i="2" l="1"/>
  <c r="E40" i="2"/>
  <c r="C42" i="2" l="1"/>
  <c r="E41" i="2"/>
  <c r="C43" i="2" l="1"/>
  <c r="E42" i="2"/>
  <c r="C44" i="2" l="1"/>
  <c r="E43" i="2"/>
  <c r="C45" i="2" l="1"/>
  <c r="E44" i="2"/>
  <c r="C46" i="2" l="1"/>
  <c r="E45" i="2"/>
  <c r="C47" i="2" l="1"/>
  <c r="E46" i="2"/>
  <c r="C48" i="2" l="1"/>
  <c r="E47" i="2"/>
  <c r="C49" i="2" l="1"/>
  <c r="E48" i="2"/>
  <c r="C50" i="2" l="1"/>
  <c r="E49" i="2"/>
  <c r="C51" i="2" l="1"/>
  <c r="E50" i="2"/>
  <c r="C52" i="2" l="1"/>
  <c r="E51" i="2"/>
  <c r="C53" i="2" l="1"/>
  <c r="E52" i="2"/>
  <c r="C54" i="2" l="1"/>
  <c r="E53" i="2"/>
  <c r="C55" i="2" l="1"/>
  <c r="E54" i="2"/>
  <c r="C56" i="2" l="1"/>
  <c r="E55" i="2"/>
  <c r="C57" i="2" l="1"/>
  <c r="E56" i="2"/>
  <c r="C58" i="2" l="1"/>
  <c r="E57" i="2"/>
  <c r="C59" i="2" l="1"/>
  <c r="E58" i="2"/>
  <c r="C60" i="2" l="1"/>
  <c r="E59" i="2"/>
  <c r="C61" i="2" l="1"/>
  <c r="E60" i="2"/>
  <c r="C62" i="2" l="1"/>
  <c r="E61" i="2"/>
  <c r="C63" i="2" l="1"/>
  <c r="E62" i="2"/>
  <c r="C64" i="2" l="1"/>
  <c r="E63" i="2"/>
  <c r="C65" i="2" l="1"/>
  <c r="E64" i="2"/>
  <c r="C66" i="2" l="1"/>
  <c r="E65" i="2"/>
  <c r="C67" i="2" l="1"/>
  <c r="E66" i="2"/>
  <c r="C68" i="2" l="1"/>
  <c r="E67" i="2"/>
  <c r="C69" i="2" l="1"/>
  <c r="E68" i="2"/>
  <c r="C70" i="2" l="1"/>
  <c r="E69" i="2"/>
  <c r="C71" i="2" l="1"/>
  <c r="E70" i="2"/>
  <c r="C72" i="2" l="1"/>
  <c r="E71" i="2"/>
  <c r="C73" i="2" l="1"/>
  <c r="E72" i="2"/>
  <c r="C74" i="2" l="1"/>
  <c r="E73" i="2"/>
  <c r="C75" i="2" l="1"/>
  <c r="E74" i="2"/>
  <c r="C76" i="2" l="1"/>
  <c r="E75" i="2"/>
  <c r="C77" i="2" l="1"/>
  <c r="E76" i="2"/>
  <c r="C78" i="2" l="1"/>
  <c r="E77" i="2"/>
  <c r="C79" i="2" l="1"/>
  <c r="E78" i="2"/>
  <c r="C80" i="2" l="1"/>
  <c r="E79" i="2"/>
  <c r="C81" i="2" l="1"/>
  <c r="E80" i="2"/>
  <c r="C82" i="2" l="1"/>
  <c r="E81" i="2"/>
  <c r="C83" i="2" l="1"/>
  <c r="E82" i="2"/>
  <c r="C84" i="2" l="1"/>
  <c r="E83" i="2"/>
  <c r="C85" i="2" l="1"/>
  <c r="E84" i="2"/>
  <c r="C86" i="2" l="1"/>
  <c r="E85" i="2"/>
  <c r="C87" i="2" l="1"/>
  <c r="E86" i="2"/>
  <c r="C88" i="2" l="1"/>
  <c r="E87" i="2"/>
  <c r="C89" i="2" l="1"/>
  <c r="E88" i="2"/>
  <c r="C90" i="2" l="1"/>
  <c r="E89" i="2"/>
  <c r="C91" i="2" l="1"/>
  <c r="E90" i="2"/>
  <c r="C92" i="2" l="1"/>
  <c r="E91" i="2"/>
  <c r="C93" i="2" l="1"/>
  <c r="E92" i="2"/>
  <c r="C94" i="2" l="1"/>
  <c r="E93" i="2"/>
  <c r="C95" i="2" l="1"/>
  <c r="E94" i="2"/>
  <c r="C96" i="2" l="1"/>
  <c r="E95" i="2"/>
  <c r="C97" i="2" l="1"/>
  <c r="E96" i="2"/>
  <c r="C98" i="2" l="1"/>
  <c r="E97" i="2"/>
  <c r="C99" i="2" l="1"/>
  <c r="E98" i="2"/>
  <c r="C100" i="2" l="1"/>
  <c r="E99" i="2"/>
  <c r="C101" i="2" l="1"/>
  <c r="E100" i="2"/>
  <c r="C102" i="2" l="1"/>
  <c r="E101" i="2"/>
  <c r="C103" i="2" l="1"/>
  <c r="E102" i="2"/>
  <c r="C104" i="2" l="1"/>
  <c r="E103" i="2"/>
  <c r="C105" i="2" l="1"/>
  <c r="E104" i="2"/>
  <c r="C106" i="2" l="1"/>
  <c r="E105" i="2"/>
  <c r="C107" i="2" l="1"/>
  <c r="E106" i="2"/>
  <c r="C108" i="2" l="1"/>
  <c r="E107" i="2"/>
  <c r="C109" i="2" l="1"/>
  <c r="E108" i="2"/>
  <c r="C110" i="2" l="1"/>
  <c r="E109" i="2"/>
  <c r="C111" i="2" l="1"/>
  <c r="E110" i="2"/>
  <c r="C112" i="2" l="1"/>
  <c r="E111" i="2"/>
  <c r="C113" i="2" l="1"/>
  <c r="E112" i="2"/>
  <c r="C114" i="2" l="1"/>
  <c r="E113" i="2"/>
  <c r="C115" i="2" l="1"/>
  <c r="E114" i="2"/>
  <c r="C116" i="2" l="1"/>
  <c r="E115" i="2"/>
  <c r="C117" i="2" l="1"/>
  <c r="E116" i="2"/>
  <c r="C118" i="2" l="1"/>
  <c r="E117" i="2"/>
  <c r="C119" i="2" l="1"/>
  <c r="E118" i="2"/>
  <c r="C120" i="2" l="1"/>
  <c r="E119" i="2"/>
  <c r="C121" i="2" l="1"/>
  <c r="E120" i="2"/>
  <c r="C122" i="2" l="1"/>
  <c r="E121" i="2"/>
  <c r="C123" i="2" l="1"/>
  <c r="E122" i="2"/>
  <c r="C124" i="2" l="1"/>
  <c r="E123" i="2"/>
  <c r="C125" i="2" l="1"/>
  <c r="E124" i="2"/>
  <c r="C126" i="2" l="1"/>
  <c r="E125" i="2"/>
  <c r="C127" i="2" l="1"/>
  <c r="E126" i="2"/>
  <c r="C128" i="2" l="1"/>
  <c r="E127" i="2"/>
  <c r="C129" i="2" l="1"/>
  <c r="E128" i="2"/>
  <c r="C130" i="2" l="1"/>
  <c r="E129" i="2"/>
  <c r="C131" i="2" l="1"/>
  <c r="E130" i="2"/>
  <c r="C132" i="2" l="1"/>
  <c r="E131" i="2"/>
  <c r="C133" i="2" l="1"/>
  <c r="E132" i="2"/>
  <c r="C134" i="2" l="1"/>
  <c r="E133" i="2"/>
  <c r="C135" i="2" l="1"/>
  <c r="E134" i="2"/>
  <c r="C136" i="2" l="1"/>
  <c r="E135" i="2"/>
  <c r="C137" i="2" l="1"/>
  <c r="E136" i="2"/>
  <c r="C138" i="2" l="1"/>
  <c r="E137" i="2"/>
  <c r="C139" i="2" l="1"/>
  <c r="E138" i="2"/>
  <c r="C140" i="2" l="1"/>
  <c r="E139" i="2"/>
  <c r="C141" i="2" l="1"/>
  <c r="E140" i="2"/>
  <c r="C142" i="2" l="1"/>
  <c r="E141" i="2"/>
  <c r="C143" i="2" l="1"/>
  <c r="E142" i="2"/>
  <c r="C144" i="2" l="1"/>
  <c r="E143" i="2"/>
  <c r="C145" i="2" l="1"/>
  <c r="E144" i="2"/>
  <c r="C146" i="2" l="1"/>
  <c r="E145" i="2"/>
  <c r="C147" i="2" l="1"/>
  <c r="E146" i="2"/>
  <c r="C148" i="2" l="1"/>
  <c r="E147" i="2"/>
  <c r="C149" i="2" l="1"/>
  <c r="E148" i="2"/>
  <c r="C150" i="2" l="1"/>
  <c r="E149" i="2"/>
  <c r="C151" i="2" l="1"/>
  <c r="E150" i="2"/>
  <c r="C152" i="2" l="1"/>
  <c r="E151" i="2"/>
  <c r="C153" i="2" l="1"/>
  <c r="E152" i="2"/>
  <c r="C154" i="2" l="1"/>
  <c r="E153" i="2"/>
  <c r="C155" i="2" l="1"/>
  <c r="E154" i="2"/>
  <c r="C156" i="2" l="1"/>
  <c r="E155" i="2"/>
  <c r="C157" i="2" l="1"/>
  <c r="E157" i="2" s="1"/>
  <c r="H5" i="2" s="1"/>
  <c r="E156" i="2"/>
</calcChain>
</file>

<file path=xl/sharedStrings.xml><?xml version="1.0" encoding="utf-8"?>
<sst xmlns="http://schemas.openxmlformats.org/spreadsheetml/2006/main" count="800" uniqueCount="280">
  <si>
    <t>Total Consumption</t>
  </si>
  <si>
    <t>Industry related</t>
  </si>
  <si>
    <t>Service related</t>
  </si>
  <si>
    <t>Transport related</t>
  </si>
  <si>
    <t>Households</t>
  </si>
  <si>
    <t>Others</t>
  </si>
  <si>
    <t>Date</t>
  </si>
  <si>
    <t>2005 Jan</t>
  </si>
  <si>
    <t>2005 Feb</t>
  </si>
  <si>
    <t>2005 Mar</t>
  </si>
  <si>
    <t>2005 Apr</t>
  </si>
  <si>
    <t>2005 May</t>
  </si>
  <si>
    <t>2005 Jun</t>
  </si>
  <si>
    <t>2005 Jul</t>
  </si>
  <si>
    <t>2005 Aug</t>
  </si>
  <si>
    <t>2005 Sep</t>
  </si>
  <si>
    <t>2005 Oct</t>
  </si>
  <si>
    <t>2005 Nov</t>
  </si>
  <si>
    <t>2005 Dec</t>
  </si>
  <si>
    <t>2006 Jan</t>
  </si>
  <si>
    <t>2006 Feb</t>
  </si>
  <si>
    <t>2006 Mar</t>
  </si>
  <si>
    <t>2006 Apr</t>
  </si>
  <si>
    <t>2006 May</t>
  </si>
  <si>
    <t>2006 Jun</t>
  </si>
  <si>
    <t>2006 Jul</t>
  </si>
  <si>
    <t>2006 Aug</t>
  </si>
  <si>
    <t>2006 Sep</t>
  </si>
  <si>
    <t>2006 Oct</t>
  </si>
  <si>
    <t>2006 Nov</t>
  </si>
  <si>
    <t>2006 Dec</t>
  </si>
  <si>
    <t>2007 Jan</t>
  </si>
  <si>
    <t>2007 Feb</t>
  </si>
  <si>
    <t>2007 Mar</t>
  </si>
  <si>
    <t>2007 Apr</t>
  </si>
  <si>
    <t>2007 May</t>
  </si>
  <si>
    <t>2007 Jun</t>
  </si>
  <si>
    <t>2007 Jul</t>
  </si>
  <si>
    <t>2007 Aug</t>
  </si>
  <si>
    <t>2007 Sep</t>
  </si>
  <si>
    <t>2007 Oct</t>
  </si>
  <si>
    <t>2007 Nov</t>
  </si>
  <si>
    <t>2007 Dec</t>
  </si>
  <si>
    <t>2008 Jan</t>
  </si>
  <si>
    <t>2008 Feb</t>
  </si>
  <si>
    <t>2008 Mar</t>
  </si>
  <si>
    <t>2008 Apr</t>
  </si>
  <si>
    <t>2008 May</t>
  </si>
  <si>
    <t>2008 Jun</t>
  </si>
  <si>
    <t>2008 Jul</t>
  </si>
  <si>
    <t>2008 Aug</t>
  </si>
  <si>
    <t>2008 Sep</t>
  </si>
  <si>
    <t>2008 Oct</t>
  </si>
  <si>
    <t>2008 Nov</t>
  </si>
  <si>
    <t>2008 Dec</t>
  </si>
  <si>
    <t>2009 Jan</t>
  </si>
  <si>
    <t>2009 Feb</t>
  </si>
  <si>
    <t>2009 Mar</t>
  </si>
  <si>
    <t>2009 Apr</t>
  </si>
  <si>
    <t>2009 May</t>
  </si>
  <si>
    <t>2009 Jun</t>
  </si>
  <si>
    <t>2009 Jul</t>
  </si>
  <si>
    <t>2009 Aug</t>
  </si>
  <si>
    <t>2009 Sep</t>
  </si>
  <si>
    <t>2009 Oct</t>
  </si>
  <si>
    <t>2009 Nov</t>
  </si>
  <si>
    <t>2009 Dec</t>
  </si>
  <si>
    <t>2010 Jan</t>
  </si>
  <si>
    <t>2010 Feb</t>
  </si>
  <si>
    <t>2010 Mar</t>
  </si>
  <si>
    <t>2010 Apr</t>
  </si>
  <si>
    <t>2010 May</t>
  </si>
  <si>
    <t>2010 Jun</t>
  </si>
  <si>
    <t>2010 Jul</t>
  </si>
  <si>
    <t>2010 Aug</t>
  </si>
  <si>
    <t>2010 Sep</t>
  </si>
  <si>
    <t>2010 Oct</t>
  </si>
  <si>
    <t>2010 Nov</t>
  </si>
  <si>
    <t>2010 Dec</t>
  </si>
  <si>
    <t>2011 Jan</t>
  </si>
  <si>
    <t>2011 Feb</t>
  </si>
  <si>
    <t>2011 Mar</t>
  </si>
  <si>
    <t>2011 Apr</t>
  </si>
  <si>
    <t>2011 May</t>
  </si>
  <si>
    <t>2011 Jun</t>
  </si>
  <si>
    <t>2011 Jul</t>
  </si>
  <si>
    <t>2011 Aug</t>
  </si>
  <si>
    <t>2011 Sep</t>
  </si>
  <si>
    <t>2011 Oct</t>
  </si>
  <si>
    <t>2011 Nov</t>
  </si>
  <si>
    <t>2011 Dec</t>
  </si>
  <si>
    <t>2012 Jan</t>
  </si>
  <si>
    <t>2012 Feb</t>
  </si>
  <si>
    <t>2012 Mar</t>
  </si>
  <si>
    <t>2012 Apr</t>
  </si>
  <si>
    <t>2012 May</t>
  </si>
  <si>
    <t>2012 Jun</t>
  </si>
  <si>
    <t>2012 Jul</t>
  </si>
  <si>
    <t>2012 Aug</t>
  </si>
  <si>
    <t>2012 Sep</t>
  </si>
  <si>
    <t>2012 Oct</t>
  </si>
  <si>
    <t>2012 Nov</t>
  </si>
  <si>
    <t>2012 Dec</t>
  </si>
  <si>
    <t>2013 Jan</t>
  </si>
  <si>
    <t>2013 Feb</t>
  </si>
  <si>
    <t>2013 Mar</t>
  </si>
  <si>
    <t>2013 Apr</t>
  </si>
  <si>
    <t>2013 May</t>
  </si>
  <si>
    <t>2013 Jun</t>
  </si>
  <si>
    <t>2013 Jul</t>
  </si>
  <si>
    <t>2013 Aug</t>
  </si>
  <si>
    <t>2013 Sep</t>
  </si>
  <si>
    <t>2013 Oct</t>
  </si>
  <si>
    <t>2013 Nov</t>
  </si>
  <si>
    <t>2013 Dec</t>
  </si>
  <si>
    <t>2014 Jan</t>
  </si>
  <si>
    <t>2014 Feb</t>
  </si>
  <si>
    <t>2014 Mar</t>
  </si>
  <si>
    <t>2014 Apr</t>
  </si>
  <si>
    <t>2014 May</t>
  </si>
  <si>
    <t>2014 Jun</t>
  </si>
  <si>
    <t>2014 Jul</t>
  </si>
  <si>
    <t>2014 Aug</t>
  </si>
  <si>
    <t>2014 Sep</t>
  </si>
  <si>
    <t>2014 Oct</t>
  </si>
  <si>
    <t>2014 Nov</t>
  </si>
  <si>
    <t>2014 Dec</t>
  </si>
  <si>
    <t>2015 Jan</t>
  </si>
  <si>
    <t>2015 Feb</t>
  </si>
  <si>
    <t>2015 Mar</t>
  </si>
  <si>
    <t>2015 Apr</t>
  </si>
  <si>
    <t>2015 May</t>
  </si>
  <si>
    <t>2015 Jun</t>
  </si>
  <si>
    <t>2015 Jul</t>
  </si>
  <si>
    <t>2015 Aug</t>
  </si>
  <si>
    <t>2015 Sep</t>
  </si>
  <si>
    <t>2015 Oct</t>
  </si>
  <si>
    <t>2015 Nov</t>
  </si>
  <si>
    <t>2015 Dec</t>
  </si>
  <si>
    <t>2016 Jan</t>
  </si>
  <si>
    <t>2016 Feb</t>
  </si>
  <si>
    <t>2016 Mar</t>
  </si>
  <si>
    <t>2016 Apr</t>
  </si>
  <si>
    <t>2016 May</t>
  </si>
  <si>
    <t>2016 Jun</t>
  </si>
  <si>
    <t>2016 Jul</t>
  </si>
  <si>
    <t>2016 Aug</t>
  </si>
  <si>
    <t>2016 Sep</t>
  </si>
  <si>
    <t>2016 Oct</t>
  </si>
  <si>
    <t>2016 Nov</t>
  </si>
  <si>
    <t>2016 Dec</t>
  </si>
  <si>
    <t>2017 Jan</t>
  </si>
  <si>
    <t>2017 Feb</t>
  </si>
  <si>
    <t>2017 Mar</t>
  </si>
  <si>
    <t>2017 Apr</t>
  </si>
  <si>
    <t>2017 May</t>
  </si>
  <si>
    <t>2017 Jun</t>
  </si>
  <si>
    <t>2017 Jul</t>
  </si>
  <si>
    <t>2017 Aug</t>
  </si>
  <si>
    <t>2017 Sep</t>
  </si>
  <si>
    <t>2017 Oct</t>
  </si>
  <si>
    <t>2017 Nov</t>
  </si>
  <si>
    <t>2017 Dec</t>
  </si>
  <si>
    <t>Forecast demand</t>
  </si>
  <si>
    <t xml:space="preserve">Alpha </t>
  </si>
  <si>
    <t>Difference</t>
  </si>
  <si>
    <t>RMSE</t>
  </si>
  <si>
    <t>Beta</t>
  </si>
  <si>
    <t>gamma</t>
  </si>
  <si>
    <t>Level</t>
  </si>
  <si>
    <t xml:space="preserve"> Trend</t>
  </si>
  <si>
    <t>Seasonal</t>
  </si>
  <si>
    <t>Forecast</t>
  </si>
  <si>
    <t>Error</t>
  </si>
  <si>
    <t>k=</t>
  </si>
  <si>
    <t>2018 Dec</t>
  </si>
  <si>
    <t>2018 Jan</t>
  </si>
  <si>
    <t>2018 Feb</t>
  </si>
  <si>
    <t>2018 Mar</t>
  </si>
  <si>
    <t>2018 Apr</t>
  </si>
  <si>
    <t>2018 May</t>
  </si>
  <si>
    <t>2018 Jun</t>
  </si>
  <si>
    <t>2018 Jul</t>
  </si>
  <si>
    <t>2018 Aug</t>
  </si>
  <si>
    <t>2018 Sep</t>
  </si>
  <si>
    <t>2018 Oct</t>
  </si>
  <si>
    <t>2018 Nov</t>
  </si>
  <si>
    <t>Periods</t>
  </si>
  <si>
    <t>Year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</si>
  <si>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</si>
  <si>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</si>
  <si>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</si>
  <si>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</si>
  <si>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</si>
  <si>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</si>
  <si>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</si>
  <si>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</si>
  <si>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</si>
  <si>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</si>
  <si>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</si>
  <si>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</si>
  <si>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</si>
  <si>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LT Forecast</t>
  </si>
  <si>
    <t>Seasonal Forecast with Trend</t>
  </si>
  <si>
    <t>Intercept</t>
  </si>
  <si>
    <t>Slope</t>
  </si>
  <si>
    <t>Seasonality Index</t>
  </si>
  <si>
    <t>Time series: Workbook = Electricity Consumption.xlsx / Sheet = Sheet2 / Range = Sheet2!$B$1:$B$157 / 156 rows and 1 column</t>
  </si>
  <si>
    <t>Significance level (%): 5</t>
  </si>
  <si>
    <t>Dickey-Fuller test: ADF(stationary)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</si>
  <si>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</si>
  <si>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</si>
  <si>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</si>
  <si>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</si>
  <si>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</si>
  <si>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</si>
  <si>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</si>
  <si>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</si>
  <si>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</si>
  <si>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Dickey-Fuller test (ADF(stationary) / k: 5 / Service related):</t>
  </si>
  <si>
    <t>Tau (Observed value)</t>
  </si>
  <si>
    <t>Tau (Critical value)</t>
  </si>
  <si>
    <t>p-value (one-tailed)</t>
  </si>
  <si>
    <t>alpha</t>
  </si>
  <si>
    <t>&lt; 0.0001</t>
  </si>
  <si>
    <t>Test interpretation:</t>
  </si>
  <si>
    <t>H0: There is a unit root for the series.</t>
  </si>
  <si>
    <t>Ha: There is no unit root for the series. The series is stationary.</t>
  </si>
  <si>
    <t>As the computed p-value is lower than the significance level alpha=0.05, one should reject the null hypothesis H0, and accept the alternative hypothesis Ha.</t>
  </si>
  <si>
    <t xml:space="preserve"> </t>
  </si>
  <si>
    <r>
      <t>XLSTAT 2018.6.53749  - Unit root and stationarity tests - Start time: 13-10-2018 at 19:14:13 / End time: 13-10-2018 at 19:14:22</t>
    </r>
    <r>
      <rPr>
        <sz val="11"/>
        <color rgb="FFFFFFFF"/>
        <rFont val="Calibri"/>
        <family val="2"/>
        <scheme val="minor"/>
      </rPr>
      <t xml:space="preserve"> / Microsoft Excel 16.09126</t>
    </r>
  </si>
  <si>
    <t>Confidence intervals (%): 95</t>
  </si>
  <si>
    <t>Center: No</t>
  </si>
  <si>
    <t>Optimize: Likelihood (Convergence = 0.00001 / Iterations = 500)</t>
  </si>
  <si>
    <t>Results of ARIMA modeling of the Service related series:</t>
  </si>
  <si>
    <t>Results after optimization (Service related):</t>
  </si>
  <si>
    <t>Goodness of fit statistics:</t>
  </si>
  <si>
    <t>DF</t>
  </si>
  <si>
    <t>SSE</t>
  </si>
  <si>
    <t>MSE</t>
  </si>
  <si>
    <t>WN Variance</t>
  </si>
  <si>
    <t>MAPE(Diff)</t>
  </si>
  <si>
    <t>MAPE</t>
  </si>
  <si>
    <t>-2Log(Like.)</t>
  </si>
  <si>
    <t>FPE</t>
  </si>
  <si>
    <t>AIC</t>
  </si>
  <si>
    <t>AICC</t>
  </si>
  <si>
    <t>SBC</t>
  </si>
  <si>
    <t>Iterations</t>
  </si>
  <si>
    <t>Model parameters:</t>
  </si>
  <si>
    <t>Parameter</t>
  </si>
  <si>
    <t>Value</t>
  </si>
  <si>
    <t>Hessian standard error</t>
  </si>
  <si>
    <t>Lower bound (95%)</t>
  </si>
  <si>
    <t>Upper bound (95%)</t>
  </si>
  <si>
    <t>Constant</t>
  </si>
  <si>
    <t>Asympt. standard error</t>
  </si>
  <si>
    <t>AR(1)</t>
  </si>
  <si>
    <t>AR(2)</t>
  </si>
  <si>
    <t>SAR(1)</t>
  </si>
  <si>
    <t>SAR(2)</t>
  </si>
  <si>
    <t>Predictions and residuals:</t>
  </si>
  <si>
    <t>ARIMA(Service related)</t>
  </si>
  <si>
    <t>Residuals</t>
  </si>
  <si>
    <t>Standardized residuals</t>
  </si>
  <si>
    <t>Descriptive analysis (Service related):</t>
  </si>
  <si>
    <t>Lag</t>
  </si>
  <si>
    <t>Autocorrelation</t>
  </si>
  <si>
    <t>Standard error</t>
  </si>
  <si>
    <t>Partial autocorrelation</t>
  </si>
  <si>
    <t>Descriptive analysis (Residuals):</t>
  </si>
  <si>
    <t>Time series: Workbook = Electricity Consumption.xlsx / Sheet = Sheet2 / Range = 'Sheet2'!$B$1:$B$157 / 156 rows and 1 column</t>
  </si>
  <si>
    <t>Date data: Workbook = Electricity Consumption.xlsx / Sheet = Sheet2 / Range = 'Sheet2'!$A$1:$A$157 / 156 rows and 1 column</t>
  </si>
  <si>
    <t>AR(3)</t>
  </si>
  <si>
    <t>SAR(3)</t>
  </si>
  <si>
    <t>Model parameters: p = 3 / d = 1 / q = 1 / P = 3 / D = 1 / Q = 1 / s = 12</t>
  </si>
  <si>
    <t>MA(1)</t>
  </si>
  <si>
    <t>SMA(1)</t>
  </si>
  <si>
    <t>Seed (random numbers): 834330159</t>
  </si>
  <si>
    <r>
      <t>XLSTAT 2018.6.53749  - ARIMA - Start time: 13-10-2018 at 19:29:53 / End time: 13-10-2018 at 19:29:57</t>
    </r>
    <r>
      <rPr>
        <sz val="11"/>
        <color rgb="FFFFFFFF"/>
        <rFont val="Calibri"/>
        <family val="2"/>
        <scheme val="minor"/>
      </rPr>
      <t xml:space="preserve"> / Microsoft Excel 16.09126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</si>
</sst>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0" borderId="0" xfId="0" applyBorder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Fill="1" applyBorder="1"/>
    <xf numFmtId="0" fontId="2" fillId="0" borderId="1" xfId="0" applyFont="1" applyFill="1" applyBorder="1"/>
    <xf numFmtId="2" fontId="0" fillId="0" borderId="0" xfId="0" applyNumberFormat="1"/>
    <xf numFmtId="49" fontId="0" fillId="0" borderId="0" xfId="0" applyNumberFormat="1"/>
    <xf numFmtId="1" fontId="0" fillId="0" borderId="0" xfId="0" applyNumberFormat="1"/>
    <xf numFmtId="0" fontId="0" fillId="0" borderId="0" xfId="0" applyAlignment="1"/>
    <xf numFmtId="0" fontId="0" fillId="0" borderId="6" xfId="0" applyFont="1" applyBorder="1" applyAlignment="1">
      <alignment horizontal="center"/>
    </xf>
    <xf numFmtId="49" fontId="0" fillId="0" borderId="6" xfId="0" applyNumberFormat="1" applyFont="1" applyBorder="1" applyAlignment="1">
      <alignment horizontal="center"/>
    </xf>
    <xf numFmtId="0" fontId="0" fillId="0" borderId="7" xfId="0" applyBorder="1" applyAlignment="1"/>
    <xf numFmtId="0" fontId="0" fillId="0" borderId="8" xfId="0" applyBorder="1" applyAlignment="1"/>
    <xf numFmtId="0" fontId="0" fillId="0" borderId="8" xfId="0" applyNumberFormat="1" applyBorder="1" applyAlignment="1"/>
    <xf numFmtId="164" fontId="0" fillId="0" borderId="8" xfId="0" applyNumberFormat="1" applyBorder="1" applyAlignment="1"/>
    <xf numFmtId="0" fontId="0" fillId="0" borderId="6" xfId="0" applyBorder="1" applyAlignment="1"/>
    <xf numFmtId="0" fontId="0" fillId="0" borderId="9" xfId="0" applyBorder="1" applyAlignment="1"/>
    <xf numFmtId="164" fontId="0" fillId="0" borderId="6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9" xfId="0" applyNumberFormat="1" applyBorder="1" applyAlignment="1">
      <alignment horizontal="right"/>
    </xf>
    <xf numFmtId="0" fontId="0" fillId="0" borderId="0" xfId="0" applyFont="1"/>
    <xf numFmtId="0" fontId="1" fillId="0" borderId="0" xfId="0" applyFont="1"/>
    <xf numFmtId="164" fontId="0" fillId="0" borderId="7" xfId="0" applyNumberFormat="1" applyBorder="1" applyAlignment="1"/>
    <xf numFmtId="164" fontId="0" fillId="0" borderId="0" xfId="0" applyNumberFormat="1" applyAlignment="1"/>
    <xf numFmtId="164" fontId="0" fillId="0" borderId="9" xfId="0" applyNumberFormat="1" applyBorder="1" applyAlignment="1"/>
    <xf numFmtId="0" fontId="0" fillId="0" borderId="6" xfId="0" applyNumberFormat="1" applyFont="1" applyBorder="1" applyAlignment="1">
      <alignment horizontal="center"/>
    </xf>
    <xf numFmtId="0" fontId="0" fillId="0" borderId="7" xfId="0" applyNumberFormat="1" applyBorder="1" applyAlignment="1"/>
    <xf numFmtId="0" fontId="0" fillId="0" borderId="0" xfId="0" applyNumberFormat="1" applyAlignment="1"/>
    <xf numFmtId="0" fontId="0" fillId="0" borderId="9" xfId="0" applyNumberFormat="1" applyBorder="1" applyAlignment="1"/>
    <xf numFmtId="0" fontId="0" fillId="0" borderId="0" xfId="0" applyFont="1" applyAlignment="1">
      <alignment vertical="center" wrapText="1"/>
    </xf>
    <xf numFmtId="0" fontId="0" fillId="4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'Exponential smoothing'!$B$1</c:f>
              <c:strCache>
                <c:ptCount val="1"/>
                <c:pt idx="0">
                  <c:v>Service related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'Exponential smoothing'!$A$2:$A$157</c:f>
              <c:strCache>
                <c:ptCount val="156"/>
                <c:pt idx="0">
                  <c:v>2005 Jan</c:v>
                </c:pt>
                <c:pt idx="1">
                  <c:v>2005 Feb</c:v>
                </c:pt>
                <c:pt idx="2">
                  <c:v>2005 Mar</c:v>
                </c:pt>
                <c:pt idx="3">
                  <c:v>2005 Apr</c:v>
                </c:pt>
                <c:pt idx="4">
                  <c:v>2005 May</c:v>
                </c:pt>
                <c:pt idx="5">
                  <c:v>2005 Jun</c:v>
                </c:pt>
                <c:pt idx="6">
                  <c:v>2005 Jul</c:v>
                </c:pt>
                <c:pt idx="7">
                  <c:v>2005 Aug</c:v>
                </c:pt>
                <c:pt idx="8">
                  <c:v>2005 Sep</c:v>
                </c:pt>
                <c:pt idx="9">
                  <c:v>2005 Oct</c:v>
                </c:pt>
                <c:pt idx="10">
                  <c:v>2005 Nov</c:v>
                </c:pt>
                <c:pt idx="11">
                  <c:v>2005 Dec</c:v>
                </c:pt>
                <c:pt idx="12">
                  <c:v>2006 Jan</c:v>
                </c:pt>
                <c:pt idx="13">
                  <c:v>2006 Feb</c:v>
                </c:pt>
                <c:pt idx="14">
                  <c:v>2006 Mar</c:v>
                </c:pt>
                <c:pt idx="15">
                  <c:v>2006 Apr</c:v>
                </c:pt>
                <c:pt idx="16">
                  <c:v>2006 May</c:v>
                </c:pt>
                <c:pt idx="17">
                  <c:v>2006 Jun</c:v>
                </c:pt>
                <c:pt idx="18">
                  <c:v>2006 Jul</c:v>
                </c:pt>
                <c:pt idx="19">
                  <c:v>2006 Aug</c:v>
                </c:pt>
                <c:pt idx="20">
                  <c:v>2006 Sep</c:v>
                </c:pt>
                <c:pt idx="21">
                  <c:v>2006 Oct</c:v>
                </c:pt>
                <c:pt idx="22">
                  <c:v>2006 Nov</c:v>
                </c:pt>
                <c:pt idx="23">
                  <c:v>2006 Dec</c:v>
                </c:pt>
                <c:pt idx="24">
                  <c:v>2007 Jan</c:v>
                </c:pt>
                <c:pt idx="25">
                  <c:v>2007 Feb</c:v>
                </c:pt>
                <c:pt idx="26">
                  <c:v>2007 Mar</c:v>
                </c:pt>
                <c:pt idx="27">
                  <c:v>2007 Apr</c:v>
                </c:pt>
                <c:pt idx="28">
                  <c:v>2007 May</c:v>
                </c:pt>
                <c:pt idx="29">
                  <c:v>2007 Jun</c:v>
                </c:pt>
                <c:pt idx="30">
                  <c:v>2007 Jul</c:v>
                </c:pt>
                <c:pt idx="31">
                  <c:v>2007 Aug</c:v>
                </c:pt>
                <c:pt idx="32">
                  <c:v>2007 Sep</c:v>
                </c:pt>
                <c:pt idx="33">
                  <c:v>2007 Oct</c:v>
                </c:pt>
                <c:pt idx="34">
                  <c:v>2007 Nov</c:v>
                </c:pt>
                <c:pt idx="35">
                  <c:v>2007 Dec</c:v>
                </c:pt>
                <c:pt idx="36">
                  <c:v>2008 Jan</c:v>
                </c:pt>
                <c:pt idx="37">
                  <c:v>2008 Feb</c:v>
                </c:pt>
                <c:pt idx="38">
                  <c:v>2008 Mar</c:v>
                </c:pt>
                <c:pt idx="39">
                  <c:v>2008 Apr</c:v>
                </c:pt>
                <c:pt idx="40">
                  <c:v>2008 May</c:v>
                </c:pt>
                <c:pt idx="41">
                  <c:v>2008 Jun</c:v>
                </c:pt>
                <c:pt idx="42">
                  <c:v>2008 Jul</c:v>
                </c:pt>
                <c:pt idx="43">
                  <c:v>2008 Aug</c:v>
                </c:pt>
                <c:pt idx="44">
                  <c:v>2008 Sep</c:v>
                </c:pt>
                <c:pt idx="45">
                  <c:v>2008 Oct</c:v>
                </c:pt>
                <c:pt idx="46">
                  <c:v>2008 Nov</c:v>
                </c:pt>
                <c:pt idx="47">
                  <c:v>2008 Dec</c:v>
                </c:pt>
                <c:pt idx="48">
                  <c:v>2009 Jan</c:v>
                </c:pt>
                <c:pt idx="49">
                  <c:v>2009 Feb</c:v>
                </c:pt>
                <c:pt idx="50">
                  <c:v>2009 Mar</c:v>
                </c:pt>
                <c:pt idx="51">
                  <c:v>2009 Apr</c:v>
                </c:pt>
                <c:pt idx="52">
                  <c:v>2009 May</c:v>
                </c:pt>
                <c:pt idx="53">
                  <c:v>2009 Jun</c:v>
                </c:pt>
                <c:pt idx="54">
                  <c:v>2009 Jul</c:v>
                </c:pt>
                <c:pt idx="55">
                  <c:v>2009 Aug</c:v>
                </c:pt>
                <c:pt idx="56">
                  <c:v>2009 Sep</c:v>
                </c:pt>
                <c:pt idx="57">
                  <c:v>2009 Oct</c:v>
                </c:pt>
                <c:pt idx="58">
                  <c:v>2009 Nov</c:v>
                </c:pt>
                <c:pt idx="59">
                  <c:v>2009 Dec</c:v>
                </c:pt>
                <c:pt idx="60">
                  <c:v>2010 Jan</c:v>
                </c:pt>
                <c:pt idx="61">
                  <c:v>2010 Feb</c:v>
                </c:pt>
                <c:pt idx="62">
                  <c:v>2010 Mar</c:v>
                </c:pt>
                <c:pt idx="63">
                  <c:v>2010 Apr</c:v>
                </c:pt>
                <c:pt idx="64">
                  <c:v>2010 May</c:v>
                </c:pt>
                <c:pt idx="65">
                  <c:v>2010 Jun</c:v>
                </c:pt>
                <c:pt idx="66">
                  <c:v>2010 Jul</c:v>
                </c:pt>
                <c:pt idx="67">
                  <c:v>2010 Aug</c:v>
                </c:pt>
                <c:pt idx="68">
                  <c:v>2010 Sep</c:v>
                </c:pt>
                <c:pt idx="69">
                  <c:v>2010 Oct</c:v>
                </c:pt>
                <c:pt idx="70">
                  <c:v>2010 Nov</c:v>
                </c:pt>
                <c:pt idx="71">
                  <c:v>2010 Dec</c:v>
                </c:pt>
                <c:pt idx="72">
                  <c:v>2011 Jan</c:v>
                </c:pt>
                <c:pt idx="73">
                  <c:v>2011 Feb</c:v>
                </c:pt>
                <c:pt idx="74">
                  <c:v>2011 Mar</c:v>
                </c:pt>
                <c:pt idx="75">
                  <c:v>2011 Apr</c:v>
                </c:pt>
                <c:pt idx="76">
                  <c:v>2011 May</c:v>
                </c:pt>
                <c:pt idx="77">
                  <c:v>2011 Jun</c:v>
                </c:pt>
                <c:pt idx="78">
                  <c:v>2011 Jul</c:v>
                </c:pt>
                <c:pt idx="79">
                  <c:v>2011 Aug</c:v>
                </c:pt>
                <c:pt idx="80">
                  <c:v>2011 Sep</c:v>
                </c:pt>
                <c:pt idx="81">
                  <c:v>2011 Oct</c:v>
                </c:pt>
                <c:pt idx="82">
                  <c:v>2011 Nov</c:v>
                </c:pt>
                <c:pt idx="83">
                  <c:v>2011 Dec</c:v>
                </c:pt>
                <c:pt idx="84">
                  <c:v>2012 Jan</c:v>
                </c:pt>
                <c:pt idx="85">
                  <c:v>2012 Feb</c:v>
                </c:pt>
                <c:pt idx="86">
                  <c:v>2012 Mar</c:v>
                </c:pt>
                <c:pt idx="87">
                  <c:v>2012 Apr</c:v>
                </c:pt>
                <c:pt idx="88">
                  <c:v>2012 May</c:v>
                </c:pt>
                <c:pt idx="89">
                  <c:v>2012 Jun</c:v>
                </c:pt>
                <c:pt idx="90">
                  <c:v>2012 Jul</c:v>
                </c:pt>
                <c:pt idx="91">
                  <c:v>2012 Aug</c:v>
                </c:pt>
                <c:pt idx="92">
                  <c:v>2012 Sep</c:v>
                </c:pt>
                <c:pt idx="93">
                  <c:v>2012 Oct</c:v>
                </c:pt>
                <c:pt idx="94">
                  <c:v>2012 Nov</c:v>
                </c:pt>
                <c:pt idx="95">
                  <c:v>2012 Dec</c:v>
                </c:pt>
                <c:pt idx="96">
                  <c:v>2013 Jan</c:v>
                </c:pt>
                <c:pt idx="97">
                  <c:v>2013 Feb</c:v>
                </c:pt>
                <c:pt idx="98">
                  <c:v>2013 Mar</c:v>
                </c:pt>
                <c:pt idx="99">
                  <c:v>2013 Apr</c:v>
                </c:pt>
                <c:pt idx="100">
                  <c:v>2013 May</c:v>
                </c:pt>
                <c:pt idx="101">
                  <c:v>2013 Jun</c:v>
                </c:pt>
                <c:pt idx="102">
                  <c:v>2013 Jul</c:v>
                </c:pt>
                <c:pt idx="103">
                  <c:v>2013 Aug</c:v>
                </c:pt>
                <c:pt idx="104">
                  <c:v>2013 Sep</c:v>
                </c:pt>
                <c:pt idx="105">
                  <c:v>2013 Oct</c:v>
                </c:pt>
                <c:pt idx="106">
                  <c:v>2013 Nov</c:v>
                </c:pt>
                <c:pt idx="107">
                  <c:v>2013 Dec</c:v>
                </c:pt>
                <c:pt idx="108">
                  <c:v>2014 Jan</c:v>
                </c:pt>
                <c:pt idx="109">
                  <c:v>2014 Feb</c:v>
                </c:pt>
                <c:pt idx="110">
                  <c:v>2014 Mar</c:v>
                </c:pt>
                <c:pt idx="111">
                  <c:v>2014 Apr</c:v>
                </c:pt>
                <c:pt idx="112">
                  <c:v>2014 May</c:v>
                </c:pt>
                <c:pt idx="113">
                  <c:v>2014 Jun</c:v>
                </c:pt>
                <c:pt idx="114">
                  <c:v>2014 Jul</c:v>
                </c:pt>
                <c:pt idx="115">
                  <c:v>2014 Aug</c:v>
                </c:pt>
                <c:pt idx="116">
                  <c:v>2014 Sep</c:v>
                </c:pt>
                <c:pt idx="117">
                  <c:v>2014 Oct</c:v>
                </c:pt>
                <c:pt idx="118">
                  <c:v>2014 Nov</c:v>
                </c:pt>
                <c:pt idx="119">
                  <c:v>2014 Dec</c:v>
                </c:pt>
                <c:pt idx="120">
                  <c:v>2015 Jan</c:v>
                </c:pt>
                <c:pt idx="121">
                  <c:v>2015 Feb</c:v>
                </c:pt>
                <c:pt idx="122">
                  <c:v>2015 Mar</c:v>
                </c:pt>
                <c:pt idx="123">
                  <c:v>2015 Apr</c:v>
                </c:pt>
                <c:pt idx="124">
                  <c:v>2015 May</c:v>
                </c:pt>
                <c:pt idx="125">
                  <c:v>2015 Jun</c:v>
                </c:pt>
                <c:pt idx="126">
                  <c:v>2015 Jul</c:v>
                </c:pt>
                <c:pt idx="127">
                  <c:v>2015 Aug</c:v>
                </c:pt>
                <c:pt idx="128">
                  <c:v>2015 Sep</c:v>
                </c:pt>
                <c:pt idx="129">
                  <c:v>2015 Oct</c:v>
                </c:pt>
                <c:pt idx="130">
                  <c:v>2015 Nov</c:v>
                </c:pt>
                <c:pt idx="131">
                  <c:v>2015 Dec</c:v>
                </c:pt>
                <c:pt idx="132">
                  <c:v>2016 Jan</c:v>
                </c:pt>
                <c:pt idx="133">
                  <c:v>2016 Feb</c:v>
                </c:pt>
                <c:pt idx="134">
                  <c:v>2016 Mar</c:v>
                </c:pt>
                <c:pt idx="135">
                  <c:v>2016 Apr</c:v>
                </c:pt>
                <c:pt idx="136">
                  <c:v>2016 May</c:v>
                </c:pt>
                <c:pt idx="137">
                  <c:v>2016 Jun</c:v>
                </c:pt>
                <c:pt idx="138">
                  <c:v>2016 Jul</c:v>
                </c:pt>
                <c:pt idx="139">
                  <c:v>2016 Aug</c:v>
                </c:pt>
                <c:pt idx="140">
                  <c:v>2016 Sep</c:v>
                </c:pt>
                <c:pt idx="141">
                  <c:v>2016 Oct</c:v>
                </c:pt>
                <c:pt idx="142">
                  <c:v>2016 Nov</c:v>
                </c:pt>
                <c:pt idx="143">
                  <c:v>2016 Dec</c:v>
                </c:pt>
                <c:pt idx="144">
                  <c:v>2017 Jan</c:v>
                </c:pt>
                <c:pt idx="145">
                  <c:v>2017 Feb</c:v>
                </c:pt>
                <c:pt idx="146">
                  <c:v>2017 Mar</c:v>
                </c:pt>
                <c:pt idx="147">
                  <c:v>2017 Apr</c:v>
                </c:pt>
                <c:pt idx="148">
                  <c:v>2017 May</c:v>
                </c:pt>
                <c:pt idx="149">
                  <c:v>2017 Jun</c:v>
                </c:pt>
                <c:pt idx="150">
                  <c:v>2017 Jul</c:v>
                </c:pt>
                <c:pt idx="151">
                  <c:v>2017 Aug</c:v>
                </c:pt>
                <c:pt idx="152">
                  <c:v>2017 Sep</c:v>
                </c:pt>
                <c:pt idx="153">
                  <c:v>2017 Oct</c:v>
                </c:pt>
                <c:pt idx="154">
                  <c:v>2017 Nov</c:v>
                </c:pt>
                <c:pt idx="155">
                  <c:v>2017 Dec</c:v>
                </c:pt>
              </c:strCache>
            </c:strRef>
          </c:xVal>
          <c:yVal>
            <c:numRef>
              <c:f>'Exponential smoothing'!$B$2:$B$157</c:f>
              <c:numCache>
                <c:formatCode>General</c:formatCode>
                <c:ptCount val="156"/>
                <c:pt idx="0">
                  <c:v>1023.2</c:v>
                </c:pt>
                <c:pt idx="1">
                  <c:v>1036.2</c:v>
                </c:pt>
                <c:pt idx="2">
                  <c:v>1022.1</c:v>
                </c:pt>
                <c:pt idx="3">
                  <c:v>1050.0999999999999</c:v>
                </c:pt>
                <c:pt idx="4">
                  <c:v>1105.3</c:v>
                </c:pt>
                <c:pt idx="5">
                  <c:v>1157.3</c:v>
                </c:pt>
                <c:pt idx="6">
                  <c:v>1064.9000000000001</c:v>
                </c:pt>
                <c:pt idx="7">
                  <c:v>1155.9000000000001</c:v>
                </c:pt>
                <c:pt idx="8">
                  <c:v>1140.3</c:v>
                </c:pt>
                <c:pt idx="9">
                  <c:v>1098.8</c:v>
                </c:pt>
                <c:pt idx="10">
                  <c:v>1163.2</c:v>
                </c:pt>
                <c:pt idx="11">
                  <c:v>1058.3</c:v>
                </c:pt>
                <c:pt idx="12">
                  <c:v>1096</c:v>
                </c:pt>
                <c:pt idx="13">
                  <c:v>1079.8</c:v>
                </c:pt>
                <c:pt idx="14">
                  <c:v>1098.9000000000001</c:v>
                </c:pt>
                <c:pt idx="15">
                  <c:v>1102.0999999999999</c:v>
                </c:pt>
                <c:pt idx="16">
                  <c:v>1174</c:v>
                </c:pt>
                <c:pt idx="17">
                  <c:v>1171</c:v>
                </c:pt>
                <c:pt idx="18">
                  <c:v>1118.0999999999999</c:v>
                </c:pt>
                <c:pt idx="19">
                  <c:v>1239.0999999999999</c:v>
                </c:pt>
                <c:pt idx="20">
                  <c:v>1164.4000000000001</c:v>
                </c:pt>
                <c:pt idx="21">
                  <c:v>1180.2</c:v>
                </c:pt>
                <c:pt idx="22">
                  <c:v>1231.5999999999999</c:v>
                </c:pt>
                <c:pt idx="23">
                  <c:v>1130.5</c:v>
                </c:pt>
                <c:pt idx="24">
                  <c:v>1202.5999999999999</c:v>
                </c:pt>
                <c:pt idx="25">
                  <c:v>1098.3</c:v>
                </c:pt>
                <c:pt idx="26">
                  <c:v>1182.4000000000001</c:v>
                </c:pt>
                <c:pt idx="27">
                  <c:v>1180.9000000000001</c:v>
                </c:pt>
                <c:pt idx="28">
                  <c:v>1251.2</c:v>
                </c:pt>
                <c:pt idx="29">
                  <c:v>1212.5999999999999</c:v>
                </c:pt>
                <c:pt idx="30">
                  <c:v>1225.2</c:v>
                </c:pt>
                <c:pt idx="31">
                  <c:v>1268.2</c:v>
                </c:pt>
                <c:pt idx="32">
                  <c:v>1182.2</c:v>
                </c:pt>
                <c:pt idx="33">
                  <c:v>1253.5</c:v>
                </c:pt>
                <c:pt idx="34">
                  <c:v>1271.4000000000001</c:v>
                </c:pt>
                <c:pt idx="35">
                  <c:v>1192.0999999999999</c:v>
                </c:pt>
                <c:pt idx="36">
                  <c:v>1248.7</c:v>
                </c:pt>
                <c:pt idx="37">
                  <c:v>1217.0999999999999</c:v>
                </c:pt>
                <c:pt idx="38">
                  <c:v>1163.0999999999999</c:v>
                </c:pt>
                <c:pt idx="39">
                  <c:v>1281.4000000000001</c:v>
                </c:pt>
                <c:pt idx="40">
                  <c:v>1249.0999999999999</c:v>
                </c:pt>
                <c:pt idx="41">
                  <c:v>1311.2</c:v>
                </c:pt>
                <c:pt idx="42">
                  <c:v>1298.7</c:v>
                </c:pt>
                <c:pt idx="43">
                  <c:v>1190.2</c:v>
                </c:pt>
                <c:pt idx="44">
                  <c:v>1298.5999999999999</c:v>
                </c:pt>
                <c:pt idx="45">
                  <c:v>1282.5999999999999</c:v>
                </c:pt>
                <c:pt idx="46">
                  <c:v>1218.4000000000001</c:v>
                </c:pt>
                <c:pt idx="47">
                  <c:v>1245.8</c:v>
                </c:pt>
                <c:pt idx="48">
                  <c:v>1169.5</c:v>
                </c:pt>
                <c:pt idx="49">
                  <c:v>1190.2</c:v>
                </c:pt>
                <c:pt idx="50">
                  <c:v>1188.3</c:v>
                </c:pt>
                <c:pt idx="51">
                  <c:v>1211.7</c:v>
                </c:pt>
                <c:pt idx="52">
                  <c:v>1207.2</c:v>
                </c:pt>
                <c:pt idx="53">
                  <c:v>1315.3</c:v>
                </c:pt>
                <c:pt idx="54">
                  <c:v>1304.7</c:v>
                </c:pt>
                <c:pt idx="55">
                  <c:v>1241.4000000000001</c:v>
                </c:pt>
                <c:pt idx="56">
                  <c:v>1241.8</c:v>
                </c:pt>
                <c:pt idx="57">
                  <c:v>1277.5</c:v>
                </c:pt>
                <c:pt idx="58">
                  <c:v>1222.7</c:v>
                </c:pt>
                <c:pt idx="59">
                  <c:v>1229.7</c:v>
                </c:pt>
                <c:pt idx="60">
                  <c:v>1161.7</c:v>
                </c:pt>
                <c:pt idx="61">
                  <c:v>1180</c:v>
                </c:pt>
                <c:pt idx="62">
                  <c:v>1345.4</c:v>
                </c:pt>
                <c:pt idx="63">
                  <c:v>1308.8</c:v>
                </c:pt>
                <c:pt idx="64">
                  <c:v>1235</c:v>
                </c:pt>
                <c:pt idx="65">
                  <c:v>1373.2</c:v>
                </c:pt>
                <c:pt idx="66">
                  <c:v>1317.3</c:v>
                </c:pt>
                <c:pt idx="67">
                  <c:v>1308.3</c:v>
                </c:pt>
                <c:pt idx="68">
                  <c:v>1287.3</c:v>
                </c:pt>
                <c:pt idx="69">
                  <c:v>1278.3</c:v>
                </c:pt>
                <c:pt idx="70">
                  <c:v>1299.2</c:v>
                </c:pt>
                <c:pt idx="71">
                  <c:v>1375.3</c:v>
                </c:pt>
                <c:pt idx="72">
                  <c:v>1266.4000000000001</c:v>
                </c:pt>
                <c:pt idx="73">
                  <c:v>1253.8</c:v>
                </c:pt>
                <c:pt idx="74">
                  <c:v>1261.5</c:v>
                </c:pt>
                <c:pt idx="75">
                  <c:v>1283.4000000000001</c:v>
                </c:pt>
                <c:pt idx="76">
                  <c:v>1314.3</c:v>
                </c:pt>
                <c:pt idx="77">
                  <c:v>1405.6</c:v>
                </c:pt>
                <c:pt idx="78">
                  <c:v>1300.5999999999999</c:v>
                </c:pt>
                <c:pt idx="79">
                  <c:v>1440.5</c:v>
                </c:pt>
                <c:pt idx="80">
                  <c:v>1361.9</c:v>
                </c:pt>
                <c:pt idx="81">
                  <c:v>1299.7</c:v>
                </c:pt>
                <c:pt idx="82">
                  <c:v>1386.2</c:v>
                </c:pt>
                <c:pt idx="83">
                  <c:v>1302.5</c:v>
                </c:pt>
                <c:pt idx="84">
                  <c:v>1202.5999999999999</c:v>
                </c:pt>
                <c:pt idx="85">
                  <c:v>1344.4</c:v>
                </c:pt>
                <c:pt idx="86">
                  <c:v>1291.5</c:v>
                </c:pt>
                <c:pt idx="87">
                  <c:v>1391.3</c:v>
                </c:pt>
                <c:pt idx="88">
                  <c:v>1388.1</c:v>
                </c:pt>
                <c:pt idx="89">
                  <c:v>1391.2</c:v>
                </c:pt>
                <c:pt idx="90">
                  <c:v>1375.8</c:v>
                </c:pt>
                <c:pt idx="91">
                  <c:v>1443.2</c:v>
                </c:pt>
                <c:pt idx="92">
                  <c:v>1401.3</c:v>
                </c:pt>
                <c:pt idx="93">
                  <c:v>1378.7</c:v>
                </c:pt>
                <c:pt idx="94">
                  <c:v>1378.8</c:v>
                </c:pt>
                <c:pt idx="95">
                  <c:v>1378.9</c:v>
                </c:pt>
                <c:pt idx="96">
                  <c:v>1383.3</c:v>
                </c:pt>
                <c:pt idx="97">
                  <c:v>1283.3</c:v>
                </c:pt>
                <c:pt idx="98">
                  <c:v>1291.0999999999999</c:v>
                </c:pt>
                <c:pt idx="99">
                  <c:v>1406.5</c:v>
                </c:pt>
                <c:pt idx="100">
                  <c:v>1400.9</c:v>
                </c:pt>
                <c:pt idx="101">
                  <c:v>1412.7</c:v>
                </c:pt>
                <c:pt idx="102">
                  <c:v>1466.6</c:v>
                </c:pt>
                <c:pt idx="103">
                  <c:v>1423.7</c:v>
                </c:pt>
                <c:pt idx="104">
                  <c:v>1411.2</c:v>
                </c:pt>
                <c:pt idx="105">
                  <c:v>1411</c:v>
                </c:pt>
                <c:pt idx="106">
                  <c:v>1447.4</c:v>
                </c:pt>
                <c:pt idx="107">
                  <c:v>1381.1</c:v>
                </c:pt>
                <c:pt idx="108">
                  <c:v>1354</c:v>
                </c:pt>
                <c:pt idx="109">
                  <c:v>1370.3</c:v>
                </c:pt>
                <c:pt idx="110">
                  <c:v>1316.5</c:v>
                </c:pt>
                <c:pt idx="111">
                  <c:v>1416.3</c:v>
                </c:pt>
                <c:pt idx="112">
                  <c:v>1416.9</c:v>
                </c:pt>
                <c:pt idx="113">
                  <c:v>1447.2</c:v>
                </c:pt>
                <c:pt idx="114">
                  <c:v>1451.6</c:v>
                </c:pt>
                <c:pt idx="115">
                  <c:v>1486.1</c:v>
                </c:pt>
                <c:pt idx="116">
                  <c:v>1447.1</c:v>
                </c:pt>
                <c:pt idx="117">
                  <c:v>1458</c:v>
                </c:pt>
                <c:pt idx="118">
                  <c:v>1457.4</c:v>
                </c:pt>
                <c:pt idx="119">
                  <c:v>1425.1</c:v>
                </c:pt>
                <c:pt idx="120">
                  <c:v>1412.2</c:v>
                </c:pt>
                <c:pt idx="121">
                  <c:v>1335.3</c:v>
                </c:pt>
                <c:pt idx="122">
                  <c:v>1386.4</c:v>
                </c:pt>
                <c:pt idx="123">
                  <c:v>1455.8</c:v>
                </c:pt>
                <c:pt idx="124">
                  <c:v>1467.5</c:v>
                </c:pt>
                <c:pt idx="125">
                  <c:v>1491.5</c:v>
                </c:pt>
                <c:pt idx="126">
                  <c:v>1475.4</c:v>
                </c:pt>
                <c:pt idx="127">
                  <c:v>1520.4</c:v>
                </c:pt>
                <c:pt idx="128">
                  <c:v>1486</c:v>
                </c:pt>
                <c:pt idx="129">
                  <c:v>1499.6</c:v>
                </c:pt>
                <c:pt idx="130">
                  <c:v>1506.2</c:v>
                </c:pt>
                <c:pt idx="131">
                  <c:v>1444.7</c:v>
                </c:pt>
                <c:pt idx="132">
                  <c:v>1419.1</c:v>
                </c:pt>
                <c:pt idx="133">
                  <c:v>1449</c:v>
                </c:pt>
                <c:pt idx="134">
                  <c:v>1383.4</c:v>
                </c:pt>
                <c:pt idx="135">
                  <c:v>1504.2</c:v>
                </c:pt>
                <c:pt idx="136">
                  <c:v>1490.3</c:v>
                </c:pt>
                <c:pt idx="137">
                  <c:v>1536.4</c:v>
                </c:pt>
                <c:pt idx="138">
                  <c:v>1449.7</c:v>
                </c:pt>
                <c:pt idx="139">
                  <c:v>1533.2</c:v>
                </c:pt>
                <c:pt idx="140">
                  <c:v>1464.3</c:v>
                </c:pt>
                <c:pt idx="141">
                  <c:v>1493.2</c:v>
                </c:pt>
                <c:pt idx="142">
                  <c:v>1504.4</c:v>
                </c:pt>
                <c:pt idx="143">
                  <c:v>1471</c:v>
                </c:pt>
                <c:pt idx="144">
                  <c:v>1459</c:v>
                </c:pt>
                <c:pt idx="145">
                  <c:v>1454.4</c:v>
                </c:pt>
                <c:pt idx="146">
                  <c:v>1441.8</c:v>
                </c:pt>
                <c:pt idx="147">
                  <c:v>1442.2</c:v>
                </c:pt>
                <c:pt idx="148">
                  <c:v>1523.6</c:v>
                </c:pt>
                <c:pt idx="149">
                  <c:v>1464.2</c:v>
                </c:pt>
                <c:pt idx="150">
                  <c:v>1507.1</c:v>
                </c:pt>
                <c:pt idx="151">
                  <c:v>1644.4</c:v>
                </c:pt>
                <c:pt idx="152">
                  <c:v>1527.1</c:v>
                </c:pt>
                <c:pt idx="153">
                  <c:v>1524</c:v>
                </c:pt>
                <c:pt idx="154">
                  <c:v>1561.6</c:v>
                </c:pt>
                <c:pt idx="155">
                  <c:v>1513.7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26-467E-A383-744EB483E70E}"/>
            </c:ext>
          </c:extLst>
        </c:ser>
        <c:ser>
          <c:idx val="1"/>
          <c:order val="1"/>
          <c:tx>
            <c:strRef>
              <c:f>'Exponential smoothing'!$C$1</c:f>
              <c:strCache>
                <c:ptCount val="1"/>
                <c:pt idx="0">
                  <c:v>Forecast demand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'Exponential smoothing'!$A$2:$A$157</c:f>
              <c:strCache>
                <c:ptCount val="156"/>
                <c:pt idx="0">
                  <c:v>2005 Jan</c:v>
                </c:pt>
                <c:pt idx="1">
                  <c:v>2005 Feb</c:v>
                </c:pt>
                <c:pt idx="2">
                  <c:v>2005 Mar</c:v>
                </c:pt>
                <c:pt idx="3">
                  <c:v>2005 Apr</c:v>
                </c:pt>
                <c:pt idx="4">
                  <c:v>2005 May</c:v>
                </c:pt>
                <c:pt idx="5">
                  <c:v>2005 Jun</c:v>
                </c:pt>
                <c:pt idx="6">
                  <c:v>2005 Jul</c:v>
                </c:pt>
                <c:pt idx="7">
                  <c:v>2005 Aug</c:v>
                </c:pt>
                <c:pt idx="8">
                  <c:v>2005 Sep</c:v>
                </c:pt>
                <c:pt idx="9">
                  <c:v>2005 Oct</c:v>
                </c:pt>
                <c:pt idx="10">
                  <c:v>2005 Nov</c:v>
                </c:pt>
                <c:pt idx="11">
                  <c:v>2005 Dec</c:v>
                </c:pt>
                <c:pt idx="12">
                  <c:v>2006 Jan</c:v>
                </c:pt>
                <c:pt idx="13">
                  <c:v>2006 Feb</c:v>
                </c:pt>
                <c:pt idx="14">
                  <c:v>2006 Mar</c:v>
                </c:pt>
                <c:pt idx="15">
                  <c:v>2006 Apr</c:v>
                </c:pt>
                <c:pt idx="16">
                  <c:v>2006 May</c:v>
                </c:pt>
                <c:pt idx="17">
                  <c:v>2006 Jun</c:v>
                </c:pt>
                <c:pt idx="18">
                  <c:v>2006 Jul</c:v>
                </c:pt>
                <c:pt idx="19">
                  <c:v>2006 Aug</c:v>
                </c:pt>
                <c:pt idx="20">
                  <c:v>2006 Sep</c:v>
                </c:pt>
                <c:pt idx="21">
                  <c:v>2006 Oct</c:v>
                </c:pt>
                <c:pt idx="22">
                  <c:v>2006 Nov</c:v>
                </c:pt>
                <c:pt idx="23">
                  <c:v>2006 Dec</c:v>
                </c:pt>
                <c:pt idx="24">
                  <c:v>2007 Jan</c:v>
                </c:pt>
                <c:pt idx="25">
                  <c:v>2007 Feb</c:v>
                </c:pt>
                <c:pt idx="26">
                  <c:v>2007 Mar</c:v>
                </c:pt>
                <c:pt idx="27">
                  <c:v>2007 Apr</c:v>
                </c:pt>
                <c:pt idx="28">
                  <c:v>2007 May</c:v>
                </c:pt>
                <c:pt idx="29">
                  <c:v>2007 Jun</c:v>
                </c:pt>
                <c:pt idx="30">
                  <c:v>2007 Jul</c:v>
                </c:pt>
                <c:pt idx="31">
                  <c:v>2007 Aug</c:v>
                </c:pt>
                <c:pt idx="32">
                  <c:v>2007 Sep</c:v>
                </c:pt>
                <c:pt idx="33">
                  <c:v>2007 Oct</c:v>
                </c:pt>
                <c:pt idx="34">
                  <c:v>2007 Nov</c:v>
                </c:pt>
                <c:pt idx="35">
                  <c:v>2007 Dec</c:v>
                </c:pt>
                <c:pt idx="36">
                  <c:v>2008 Jan</c:v>
                </c:pt>
                <c:pt idx="37">
                  <c:v>2008 Feb</c:v>
                </c:pt>
                <c:pt idx="38">
                  <c:v>2008 Mar</c:v>
                </c:pt>
                <c:pt idx="39">
                  <c:v>2008 Apr</c:v>
                </c:pt>
                <c:pt idx="40">
                  <c:v>2008 May</c:v>
                </c:pt>
                <c:pt idx="41">
                  <c:v>2008 Jun</c:v>
                </c:pt>
                <c:pt idx="42">
                  <c:v>2008 Jul</c:v>
                </c:pt>
                <c:pt idx="43">
                  <c:v>2008 Aug</c:v>
                </c:pt>
                <c:pt idx="44">
                  <c:v>2008 Sep</c:v>
                </c:pt>
                <c:pt idx="45">
                  <c:v>2008 Oct</c:v>
                </c:pt>
                <c:pt idx="46">
                  <c:v>2008 Nov</c:v>
                </c:pt>
                <c:pt idx="47">
                  <c:v>2008 Dec</c:v>
                </c:pt>
                <c:pt idx="48">
                  <c:v>2009 Jan</c:v>
                </c:pt>
                <c:pt idx="49">
                  <c:v>2009 Feb</c:v>
                </c:pt>
                <c:pt idx="50">
                  <c:v>2009 Mar</c:v>
                </c:pt>
                <c:pt idx="51">
                  <c:v>2009 Apr</c:v>
                </c:pt>
                <c:pt idx="52">
                  <c:v>2009 May</c:v>
                </c:pt>
                <c:pt idx="53">
                  <c:v>2009 Jun</c:v>
                </c:pt>
                <c:pt idx="54">
                  <c:v>2009 Jul</c:v>
                </c:pt>
                <c:pt idx="55">
                  <c:v>2009 Aug</c:v>
                </c:pt>
                <c:pt idx="56">
                  <c:v>2009 Sep</c:v>
                </c:pt>
                <c:pt idx="57">
                  <c:v>2009 Oct</c:v>
                </c:pt>
                <c:pt idx="58">
                  <c:v>2009 Nov</c:v>
                </c:pt>
                <c:pt idx="59">
                  <c:v>2009 Dec</c:v>
                </c:pt>
                <c:pt idx="60">
                  <c:v>2010 Jan</c:v>
                </c:pt>
                <c:pt idx="61">
                  <c:v>2010 Feb</c:v>
                </c:pt>
                <c:pt idx="62">
                  <c:v>2010 Mar</c:v>
                </c:pt>
                <c:pt idx="63">
                  <c:v>2010 Apr</c:v>
                </c:pt>
                <c:pt idx="64">
                  <c:v>2010 May</c:v>
                </c:pt>
                <c:pt idx="65">
                  <c:v>2010 Jun</c:v>
                </c:pt>
                <c:pt idx="66">
                  <c:v>2010 Jul</c:v>
                </c:pt>
                <c:pt idx="67">
                  <c:v>2010 Aug</c:v>
                </c:pt>
                <c:pt idx="68">
                  <c:v>2010 Sep</c:v>
                </c:pt>
                <c:pt idx="69">
                  <c:v>2010 Oct</c:v>
                </c:pt>
                <c:pt idx="70">
                  <c:v>2010 Nov</c:v>
                </c:pt>
                <c:pt idx="71">
                  <c:v>2010 Dec</c:v>
                </c:pt>
                <c:pt idx="72">
                  <c:v>2011 Jan</c:v>
                </c:pt>
                <c:pt idx="73">
                  <c:v>2011 Feb</c:v>
                </c:pt>
                <c:pt idx="74">
                  <c:v>2011 Mar</c:v>
                </c:pt>
                <c:pt idx="75">
                  <c:v>2011 Apr</c:v>
                </c:pt>
                <c:pt idx="76">
                  <c:v>2011 May</c:v>
                </c:pt>
                <c:pt idx="77">
                  <c:v>2011 Jun</c:v>
                </c:pt>
                <c:pt idx="78">
                  <c:v>2011 Jul</c:v>
                </c:pt>
                <c:pt idx="79">
                  <c:v>2011 Aug</c:v>
                </c:pt>
                <c:pt idx="80">
                  <c:v>2011 Sep</c:v>
                </c:pt>
                <c:pt idx="81">
                  <c:v>2011 Oct</c:v>
                </c:pt>
                <c:pt idx="82">
                  <c:v>2011 Nov</c:v>
                </c:pt>
                <c:pt idx="83">
                  <c:v>2011 Dec</c:v>
                </c:pt>
                <c:pt idx="84">
                  <c:v>2012 Jan</c:v>
                </c:pt>
                <c:pt idx="85">
                  <c:v>2012 Feb</c:v>
                </c:pt>
                <c:pt idx="86">
                  <c:v>2012 Mar</c:v>
                </c:pt>
                <c:pt idx="87">
                  <c:v>2012 Apr</c:v>
                </c:pt>
                <c:pt idx="88">
                  <c:v>2012 May</c:v>
                </c:pt>
                <c:pt idx="89">
                  <c:v>2012 Jun</c:v>
                </c:pt>
                <c:pt idx="90">
                  <c:v>2012 Jul</c:v>
                </c:pt>
                <c:pt idx="91">
                  <c:v>2012 Aug</c:v>
                </c:pt>
                <c:pt idx="92">
                  <c:v>2012 Sep</c:v>
                </c:pt>
                <c:pt idx="93">
                  <c:v>2012 Oct</c:v>
                </c:pt>
                <c:pt idx="94">
                  <c:v>2012 Nov</c:v>
                </c:pt>
                <c:pt idx="95">
                  <c:v>2012 Dec</c:v>
                </c:pt>
                <c:pt idx="96">
                  <c:v>2013 Jan</c:v>
                </c:pt>
                <c:pt idx="97">
                  <c:v>2013 Feb</c:v>
                </c:pt>
                <c:pt idx="98">
                  <c:v>2013 Mar</c:v>
                </c:pt>
                <c:pt idx="99">
                  <c:v>2013 Apr</c:v>
                </c:pt>
                <c:pt idx="100">
                  <c:v>2013 May</c:v>
                </c:pt>
                <c:pt idx="101">
                  <c:v>2013 Jun</c:v>
                </c:pt>
                <c:pt idx="102">
                  <c:v>2013 Jul</c:v>
                </c:pt>
                <c:pt idx="103">
                  <c:v>2013 Aug</c:v>
                </c:pt>
                <c:pt idx="104">
                  <c:v>2013 Sep</c:v>
                </c:pt>
                <c:pt idx="105">
                  <c:v>2013 Oct</c:v>
                </c:pt>
                <c:pt idx="106">
                  <c:v>2013 Nov</c:v>
                </c:pt>
                <c:pt idx="107">
                  <c:v>2013 Dec</c:v>
                </c:pt>
                <c:pt idx="108">
                  <c:v>2014 Jan</c:v>
                </c:pt>
                <c:pt idx="109">
                  <c:v>2014 Feb</c:v>
                </c:pt>
                <c:pt idx="110">
                  <c:v>2014 Mar</c:v>
                </c:pt>
                <c:pt idx="111">
                  <c:v>2014 Apr</c:v>
                </c:pt>
                <c:pt idx="112">
                  <c:v>2014 May</c:v>
                </c:pt>
                <c:pt idx="113">
                  <c:v>2014 Jun</c:v>
                </c:pt>
                <c:pt idx="114">
                  <c:v>2014 Jul</c:v>
                </c:pt>
                <c:pt idx="115">
                  <c:v>2014 Aug</c:v>
                </c:pt>
                <c:pt idx="116">
                  <c:v>2014 Sep</c:v>
                </c:pt>
                <c:pt idx="117">
                  <c:v>2014 Oct</c:v>
                </c:pt>
                <c:pt idx="118">
                  <c:v>2014 Nov</c:v>
                </c:pt>
                <c:pt idx="119">
                  <c:v>2014 Dec</c:v>
                </c:pt>
                <c:pt idx="120">
                  <c:v>2015 Jan</c:v>
                </c:pt>
                <c:pt idx="121">
                  <c:v>2015 Feb</c:v>
                </c:pt>
                <c:pt idx="122">
                  <c:v>2015 Mar</c:v>
                </c:pt>
                <c:pt idx="123">
                  <c:v>2015 Apr</c:v>
                </c:pt>
                <c:pt idx="124">
                  <c:v>2015 May</c:v>
                </c:pt>
                <c:pt idx="125">
                  <c:v>2015 Jun</c:v>
                </c:pt>
                <c:pt idx="126">
                  <c:v>2015 Jul</c:v>
                </c:pt>
                <c:pt idx="127">
                  <c:v>2015 Aug</c:v>
                </c:pt>
                <c:pt idx="128">
                  <c:v>2015 Sep</c:v>
                </c:pt>
                <c:pt idx="129">
                  <c:v>2015 Oct</c:v>
                </c:pt>
                <c:pt idx="130">
                  <c:v>2015 Nov</c:v>
                </c:pt>
                <c:pt idx="131">
                  <c:v>2015 Dec</c:v>
                </c:pt>
                <c:pt idx="132">
                  <c:v>2016 Jan</c:v>
                </c:pt>
                <c:pt idx="133">
                  <c:v>2016 Feb</c:v>
                </c:pt>
                <c:pt idx="134">
                  <c:v>2016 Mar</c:v>
                </c:pt>
                <c:pt idx="135">
                  <c:v>2016 Apr</c:v>
                </c:pt>
                <c:pt idx="136">
                  <c:v>2016 May</c:v>
                </c:pt>
                <c:pt idx="137">
                  <c:v>2016 Jun</c:v>
                </c:pt>
                <c:pt idx="138">
                  <c:v>2016 Jul</c:v>
                </c:pt>
                <c:pt idx="139">
                  <c:v>2016 Aug</c:v>
                </c:pt>
                <c:pt idx="140">
                  <c:v>2016 Sep</c:v>
                </c:pt>
                <c:pt idx="141">
                  <c:v>2016 Oct</c:v>
                </c:pt>
                <c:pt idx="142">
                  <c:v>2016 Nov</c:v>
                </c:pt>
                <c:pt idx="143">
                  <c:v>2016 Dec</c:v>
                </c:pt>
                <c:pt idx="144">
                  <c:v>2017 Jan</c:v>
                </c:pt>
                <c:pt idx="145">
                  <c:v>2017 Feb</c:v>
                </c:pt>
                <c:pt idx="146">
                  <c:v>2017 Mar</c:v>
                </c:pt>
                <c:pt idx="147">
                  <c:v>2017 Apr</c:v>
                </c:pt>
                <c:pt idx="148">
                  <c:v>2017 May</c:v>
                </c:pt>
                <c:pt idx="149">
                  <c:v>2017 Jun</c:v>
                </c:pt>
                <c:pt idx="150">
                  <c:v>2017 Jul</c:v>
                </c:pt>
                <c:pt idx="151">
                  <c:v>2017 Aug</c:v>
                </c:pt>
                <c:pt idx="152">
                  <c:v>2017 Sep</c:v>
                </c:pt>
                <c:pt idx="153">
                  <c:v>2017 Oct</c:v>
                </c:pt>
                <c:pt idx="154">
                  <c:v>2017 Nov</c:v>
                </c:pt>
                <c:pt idx="155">
                  <c:v>2017 Dec</c:v>
                </c:pt>
              </c:strCache>
            </c:strRef>
          </c:xVal>
          <c:yVal>
            <c:numRef>
              <c:f>'Exponential smoothing'!$C$2:$C$157</c:f>
              <c:numCache>
                <c:formatCode>General</c:formatCode>
                <c:ptCount val="156"/>
                <c:pt idx="0">
                  <c:v>1023.2</c:v>
                </c:pt>
                <c:pt idx="1">
                  <c:v>1173.1013899483974</c:v>
                </c:pt>
                <c:pt idx="2">
                  <c:v>1153.0449897928734</c:v>
                </c:pt>
                <c:pt idx="3">
                  <c:v>1133.8612173371166</c:v>
                </c:pt>
                <c:pt idx="4">
                  <c:v>1121.5899869788254</c:v>
                </c:pt>
                <c:pt idx="5">
                  <c:v>1119.2034626528216</c:v>
                </c:pt>
                <c:pt idx="6">
                  <c:v>1124.7847018050529</c:v>
                </c:pt>
                <c:pt idx="7">
                  <c:v>1116.0114414090183</c:v>
                </c:pt>
                <c:pt idx="8">
                  <c:v>1121.8552162094741</c:v>
                </c:pt>
                <c:pt idx="9">
                  <c:v>1124.5574237226656</c:v>
                </c:pt>
                <c:pt idx="10">
                  <c:v>1120.7838959494861</c:v>
                </c:pt>
                <c:pt idx="11">
                  <c:v>1126.997962557547</c:v>
                </c:pt>
                <c:pt idx="12">
                  <c:v>1116.9335371529348</c:v>
                </c:pt>
                <c:pt idx="13">
                  <c:v>1113.8667209725581</c:v>
                </c:pt>
                <c:pt idx="14">
                  <c:v>1108.8758601195766</c:v>
                </c:pt>
                <c:pt idx="15">
                  <c:v>1107.4143713609221</c:v>
                </c:pt>
                <c:pt idx="16">
                  <c:v>1106.6358025046827</c:v>
                </c:pt>
                <c:pt idx="17">
                  <c:v>1116.5048279516202</c:v>
                </c:pt>
                <c:pt idx="18">
                  <c:v>1124.4885085961953</c:v>
                </c:pt>
                <c:pt idx="19">
                  <c:v>1123.5525759161064</c:v>
                </c:pt>
                <c:pt idx="20">
                  <c:v>1140.4805660208099</c:v>
                </c:pt>
                <c:pt idx="21">
                  <c:v>1143.9848236442067</c:v>
                </c:pt>
                <c:pt idx="22">
                  <c:v>1149.2904386490541</c:v>
                </c:pt>
                <c:pt idx="23">
                  <c:v>1161.3489977309048</c:v>
                </c:pt>
                <c:pt idx="24">
                  <c:v>1156.8295414776039</c:v>
                </c:pt>
                <c:pt idx="25">
                  <c:v>1163.5350295064181</c:v>
                </c:pt>
                <c:pt idx="26">
                  <c:v>1153.9779325592556</c:v>
                </c:pt>
                <c:pt idx="27">
                  <c:v>1158.141837381944</c:v>
                </c:pt>
                <c:pt idx="28">
                  <c:v>1161.4759658114967</c:v>
                </c:pt>
                <c:pt idx="29">
                  <c:v>1174.6207639317413</c:v>
                </c:pt>
                <c:pt idx="30">
                  <c:v>1180.184818149695</c:v>
                </c:pt>
                <c:pt idx="31">
                  <c:v>1186.7796562342735</c:v>
                </c:pt>
                <c:pt idx="32">
                  <c:v>1198.7079426890807</c:v>
                </c:pt>
                <c:pt idx="33">
                  <c:v>1196.2894872998297</c:v>
                </c:pt>
                <c:pt idx="34">
                  <c:v>1204.6709722230275</c:v>
                </c:pt>
                <c:pt idx="35">
                  <c:v>1214.4469436984709</c:v>
                </c:pt>
                <c:pt idx="36">
                  <c:v>1211.1730598815248</c:v>
                </c:pt>
                <c:pt idx="37">
                  <c:v>1216.6708515979731</c:v>
                </c:pt>
                <c:pt idx="38">
                  <c:v>1216.7337229251409</c:v>
                </c:pt>
                <c:pt idx="39">
                  <c:v>1208.8762467576412</c:v>
                </c:pt>
                <c:pt idx="40">
                  <c:v>1219.5011601815118</c:v>
                </c:pt>
                <c:pt idx="41">
                  <c:v>1223.8374651362142</c:v>
                </c:pt>
                <c:pt idx="42">
                  <c:v>1236.636297627904</c:v>
                </c:pt>
                <c:pt idx="43">
                  <c:v>1245.7287871225492</c:v>
                </c:pt>
                <c:pt idx="44">
                  <c:v>1237.5936792532971</c:v>
                </c:pt>
                <c:pt idx="45">
                  <c:v>1246.5312596633523</c:v>
                </c:pt>
                <c:pt idx="46">
                  <c:v>1251.8154214207325</c:v>
                </c:pt>
                <c:pt idx="47">
                  <c:v>1246.9199776006787</c:v>
                </c:pt>
                <c:pt idx="48">
                  <c:v>1246.7558980472652</c:v>
                </c:pt>
                <c:pt idx="49">
                  <c:v>1235.4377134313577</c:v>
                </c:pt>
                <c:pt idx="50">
                  <c:v>1228.8102739068779</c:v>
                </c:pt>
                <c:pt idx="51">
                  <c:v>1222.8754162389428</c:v>
                </c:pt>
                <c:pt idx="52">
                  <c:v>1221.238189472456</c:v>
                </c:pt>
                <c:pt idx="53">
                  <c:v>1219.1815591809391</c:v>
                </c:pt>
                <c:pt idx="54">
                  <c:v>1233.2631540582358</c:v>
                </c:pt>
                <c:pt idx="55">
                  <c:v>1243.7288328113632</c:v>
                </c:pt>
                <c:pt idx="56">
                  <c:v>1243.387652909701</c:v>
                </c:pt>
                <c:pt idx="57">
                  <c:v>1243.1550577397247</c:v>
                </c:pt>
                <c:pt idx="58">
                  <c:v>1248.1866787155973</c:v>
                </c:pt>
                <c:pt idx="59">
                  <c:v>1244.4528157712693</c:v>
                </c:pt>
                <c:pt idx="60">
                  <c:v>1242.2914909180972</c:v>
                </c:pt>
                <c:pt idx="61">
                  <c:v>1230.4846335034802</c:v>
                </c:pt>
                <c:pt idx="62">
                  <c:v>1223.0885069073045</c:v>
                </c:pt>
                <c:pt idx="63">
                  <c:v>1241.0074502431712</c:v>
                </c:pt>
                <c:pt idx="64">
                  <c:v>1250.9392303806758</c:v>
                </c:pt>
                <c:pt idx="65">
                  <c:v>1248.6040927841443</c:v>
                </c:pt>
                <c:pt idx="66">
                  <c:v>1266.8577085714178</c:v>
                </c:pt>
                <c:pt idx="67">
                  <c:v>1274.2476319464438</c:v>
                </c:pt>
                <c:pt idx="68">
                  <c:v>1279.2363900604612</c:v>
                </c:pt>
                <c:pt idx="69">
                  <c:v>1280.4177293274067</c:v>
                </c:pt>
                <c:pt idx="70">
                  <c:v>1280.1074766204945</c:v>
                </c:pt>
                <c:pt idx="71">
                  <c:v>1282.9045796230455</c:v>
                </c:pt>
                <c:pt idx="72">
                  <c:v>1296.4407425817749</c:v>
                </c:pt>
                <c:pt idx="73">
                  <c:v>1292.0396977536961</c:v>
                </c:pt>
                <c:pt idx="74">
                  <c:v>1286.437485239539</c:v>
                </c:pt>
                <c:pt idx="75">
                  <c:v>1282.7840805295855</c:v>
                </c:pt>
                <c:pt idx="76">
                  <c:v>1282.8743142910314</c:v>
                </c:pt>
                <c:pt idx="77">
                  <c:v>1287.4782567928451</c:v>
                </c:pt>
                <c:pt idx="78">
                  <c:v>1304.7833911652847</c:v>
                </c:pt>
                <c:pt idx="79">
                  <c:v>1304.1705137704705</c:v>
                </c:pt>
                <c:pt idx="80">
                  <c:v>1324.1431285835642</c:v>
                </c:pt>
                <c:pt idx="81">
                  <c:v>1329.6746058171711</c:v>
                </c:pt>
                <c:pt idx="82">
                  <c:v>1325.2832501925141</c:v>
                </c:pt>
                <c:pt idx="83">
                  <c:v>1334.2077082332498</c:v>
                </c:pt>
                <c:pt idx="84">
                  <c:v>1329.5624487177665</c:v>
                </c:pt>
                <c:pt idx="85">
                  <c:v>1310.9621286102165</c:v>
                </c:pt>
                <c:pt idx="86">
                  <c:v>1315.8608614075624</c:v>
                </c:pt>
                <c:pt idx="87">
                  <c:v>1312.2919335485576</c:v>
                </c:pt>
                <c:pt idx="88">
                  <c:v>1323.866815270808</c:v>
                </c:pt>
                <c:pt idx="89">
                  <c:v>1333.2771394222136</c:v>
                </c:pt>
                <c:pt idx="90">
                  <c:v>1341.7629851125944</c:v>
                </c:pt>
                <c:pt idx="91">
                  <c:v>1346.7494939489084</c:v>
                </c:pt>
                <c:pt idx="92">
                  <c:v>1360.8797372232293</c:v>
                </c:pt>
                <c:pt idx="93">
                  <c:v>1366.8014080327655</c:v>
                </c:pt>
                <c:pt idx="94">
                  <c:v>1368.544581873967</c:v>
                </c:pt>
                <c:pt idx="95">
                  <c:v>1370.0470265881913</c:v>
                </c:pt>
                <c:pt idx="96">
                  <c:v>1371.3440096018803</c:v>
                </c:pt>
                <c:pt idx="97">
                  <c:v>1373.0955924584948</c:v>
                </c:pt>
                <c:pt idx="98">
                  <c:v>1359.9403108705667</c:v>
                </c:pt>
                <c:pt idx="99">
                  <c:v>1349.8550310777819</c:v>
                </c:pt>
                <c:pt idx="100">
                  <c:v>1358.1536624059918</c:v>
                </c:pt>
                <c:pt idx="101">
                  <c:v>1364.4161090640696</c:v>
                </c:pt>
                <c:pt idx="102">
                  <c:v>1371.4898213035269</c:v>
                </c:pt>
                <c:pt idx="103">
                  <c:v>1385.4237032277274</c:v>
                </c:pt>
                <c:pt idx="104">
                  <c:v>1391.0312775907464</c:v>
                </c:pt>
                <c:pt idx="105">
                  <c:v>1393.9860464752564</c:v>
                </c:pt>
                <c:pt idx="106">
                  <c:v>1396.4786337327589</c:v>
                </c:pt>
                <c:pt idx="107">
                  <c:v>1403.9387427842944</c:v>
                </c:pt>
                <c:pt idx="108">
                  <c:v>1400.5928091564213</c:v>
                </c:pt>
                <c:pt idx="109">
                  <c:v>1393.7668446781688</c:v>
                </c:pt>
                <c:pt idx="110">
                  <c:v>1390.3288925329766</c:v>
                </c:pt>
                <c:pt idx="111">
                  <c:v>1379.512772899431</c:v>
                </c:pt>
                <c:pt idx="112">
                  <c:v>1384.9021947863766</c:v>
                </c:pt>
                <c:pt idx="113">
                  <c:v>1389.5899542437851</c:v>
                </c:pt>
                <c:pt idx="114">
                  <c:v>1398.0299717710011</c:v>
                </c:pt>
                <c:pt idx="115">
                  <c:v>1405.8781165042908</c:v>
                </c:pt>
                <c:pt idx="116">
                  <c:v>1417.630825495969</c:v>
                </c:pt>
                <c:pt idx="117">
                  <c:v>1421.9481341538913</c:v>
                </c:pt>
                <c:pt idx="118">
                  <c:v>1427.2298237556943</c:v>
                </c:pt>
                <c:pt idx="119">
                  <c:v>1431.6498309429594</c:v>
                </c:pt>
                <c:pt idx="120">
                  <c:v>1430.6902641307267</c:v>
                </c:pt>
                <c:pt idx="121">
                  <c:v>1427.981393632575</c:v>
                </c:pt>
                <c:pt idx="122">
                  <c:v>1414.403334868035</c:v>
                </c:pt>
                <c:pt idx="123">
                  <c:v>1410.3007754271546</c:v>
                </c:pt>
                <c:pt idx="124">
                  <c:v>1416.9665269958059</c:v>
                </c:pt>
                <c:pt idx="125">
                  <c:v>1424.3698087024602</c:v>
                </c:pt>
                <c:pt idx="126">
                  <c:v>1434.2045516491012</c:v>
                </c:pt>
                <c:pt idx="127">
                  <c:v>1440.2397891074154</c:v>
                </c:pt>
                <c:pt idx="128">
                  <c:v>1451.9834629066288</c:v>
                </c:pt>
                <c:pt idx="129">
                  <c:v>1456.9669716942828</c:v>
                </c:pt>
                <c:pt idx="130">
                  <c:v>1463.2128182548149</c:v>
                </c:pt>
                <c:pt idx="131">
                  <c:v>1469.5105491906709</c:v>
                </c:pt>
                <c:pt idx="132">
                  <c:v>1465.8757409331802</c:v>
                </c:pt>
                <c:pt idx="133">
                  <c:v>1459.0229764865912</c:v>
                </c:pt>
                <c:pt idx="134">
                  <c:v>1457.5545850609071</c:v>
                </c:pt>
                <c:pt idx="135">
                  <c:v>1446.6907506476189</c:v>
                </c:pt>
                <c:pt idx="136">
                  <c:v>1455.116001246535</c:v>
                </c:pt>
                <c:pt idx="137">
                  <c:v>1460.2705461224998</c:v>
                </c:pt>
                <c:pt idx="138">
                  <c:v>1471.4237038162544</c:v>
                </c:pt>
                <c:pt idx="139">
                  <c:v>1468.2411262196126</c:v>
                </c:pt>
                <c:pt idx="140">
                  <c:v>1477.7577656538999</c:v>
                </c:pt>
                <c:pt idx="141">
                  <c:v>1475.7861689209844</c:v>
                </c:pt>
                <c:pt idx="142">
                  <c:v>1478.3373392523674</c:v>
                </c:pt>
                <c:pt idx="143">
                  <c:v>1482.1555850223281</c:v>
                </c:pt>
                <c:pt idx="144">
                  <c:v>1480.5212635792727</c:v>
                </c:pt>
                <c:pt idx="145">
                  <c:v>1477.3683439897704</c:v>
                </c:pt>
                <c:pt idx="146">
                  <c:v>1474.0034234572456</c:v>
                </c:pt>
                <c:pt idx="147">
                  <c:v>1469.2855404066809</c:v>
                </c:pt>
                <c:pt idx="148">
                  <c:v>1465.3174401775323</c:v>
                </c:pt>
                <c:pt idx="149">
                  <c:v>1473.855982717738</c:v>
                </c:pt>
                <c:pt idx="150">
                  <c:v>1472.4413568081343</c:v>
                </c:pt>
                <c:pt idx="151">
                  <c:v>1477.5189357645322</c:v>
                </c:pt>
                <c:pt idx="152">
                  <c:v>1501.9674340883835</c:v>
                </c:pt>
                <c:pt idx="153">
                  <c:v>1505.6494186105895</c:v>
                </c:pt>
                <c:pt idx="154">
                  <c:v>1508.3378252335701</c:v>
                </c:pt>
                <c:pt idx="155">
                  <c:v>1516.1408686553473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26-467E-A383-744EB483E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925024"/>
        <c:axId val="372921744"/>
      </c:scatterChart>
      <c:valAx>
        <c:axId val="37292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21744"/>
        <c:crosses val="autoZero"/>
        <c:crossBetween val="midCat"/>
      </c:valAx>
      <c:valAx>
        <c:axId val="37292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25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Actual &amp; Forecasted consumption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'Holt'' Winters '!$B$8</c:f>
              <c:strCache>
                <c:ptCount val="1"/>
                <c:pt idx="0">
                  <c:v>Service related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strRef>
              <c:f>'Holt'' Winters '!$A$9:$A$176</c:f>
              <c:strCache>
                <c:ptCount val="168"/>
                <c:pt idx="0">
                  <c:v>2005 Jan</c:v>
                </c:pt>
                <c:pt idx="1">
                  <c:v>2005 Feb</c:v>
                </c:pt>
                <c:pt idx="2">
                  <c:v>2005 Mar</c:v>
                </c:pt>
                <c:pt idx="3">
                  <c:v>2005 Apr</c:v>
                </c:pt>
                <c:pt idx="4">
                  <c:v>2005 May</c:v>
                </c:pt>
                <c:pt idx="5">
                  <c:v>2005 Jun</c:v>
                </c:pt>
                <c:pt idx="6">
                  <c:v>2005 Jul</c:v>
                </c:pt>
                <c:pt idx="7">
                  <c:v>2005 Aug</c:v>
                </c:pt>
                <c:pt idx="8">
                  <c:v>2005 Sep</c:v>
                </c:pt>
                <c:pt idx="9">
                  <c:v>2005 Oct</c:v>
                </c:pt>
                <c:pt idx="10">
                  <c:v>2005 Nov</c:v>
                </c:pt>
                <c:pt idx="11">
                  <c:v>2005 Dec</c:v>
                </c:pt>
                <c:pt idx="12">
                  <c:v>2006 Jan</c:v>
                </c:pt>
                <c:pt idx="13">
                  <c:v>2006 Feb</c:v>
                </c:pt>
                <c:pt idx="14">
                  <c:v>2006 Mar</c:v>
                </c:pt>
                <c:pt idx="15">
                  <c:v>2006 Apr</c:v>
                </c:pt>
                <c:pt idx="16">
                  <c:v>2006 May</c:v>
                </c:pt>
                <c:pt idx="17">
                  <c:v>2006 Jun</c:v>
                </c:pt>
                <c:pt idx="18">
                  <c:v>2006 Jul</c:v>
                </c:pt>
                <c:pt idx="19">
                  <c:v>2006 Aug</c:v>
                </c:pt>
                <c:pt idx="20">
                  <c:v>2006 Sep</c:v>
                </c:pt>
                <c:pt idx="21">
                  <c:v>2006 Oct</c:v>
                </c:pt>
                <c:pt idx="22">
                  <c:v>2006 Nov</c:v>
                </c:pt>
                <c:pt idx="23">
                  <c:v>2006 Dec</c:v>
                </c:pt>
                <c:pt idx="24">
                  <c:v>2007 Jan</c:v>
                </c:pt>
                <c:pt idx="25">
                  <c:v>2007 Feb</c:v>
                </c:pt>
                <c:pt idx="26">
                  <c:v>2007 Mar</c:v>
                </c:pt>
                <c:pt idx="27">
                  <c:v>2007 Apr</c:v>
                </c:pt>
                <c:pt idx="28">
                  <c:v>2007 May</c:v>
                </c:pt>
                <c:pt idx="29">
                  <c:v>2007 Jun</c:v>
                </c:pt>
                <c:pt idx="30">
                  <c:v>2007 Jul</c:v>
                </c:pt>
                <c:pt idx="31">
                  <c:v>2007 Aug</c:v>
                </c:pt>
                <c:pt idx="32">
                  <c:v>2007 Sep</c:v>
                </c:pt>
                <c:pt idx="33">
                  <c:v>2007 Oct</c:v>
                </c:pt>
                <c:pt idx="34">
                  <c:v>2007 Nov</c:v>
                </c:pt>
                <c:pt idx="35">
                  <c:v>2007 Dec</c:v>
                </c:pt>
                <c:pt idx="36">
                  <c:v>2008 Jan</c:v>
                </c:pt>
                <c:pt idx="37">
                  <c:v>2008 Feb</c:v>
                </c:pt>
                <c:pt idx="38">
                  <c:v>2008 Mar</c:v>
                </c:pt>
                <c:pt idx="39">
                  <c:v>2008 Apr</c:v>
                </c:pt>
                <c:pt idx="40">
                  <c:v>2008 May</c:v>
                </c:pt>
                <c:pt idx="41">
                  <c:v>2008 Jun</c:v>
                </c:pt>
                <c:pt idx="42">
                  <c:v>2008 Jul</c:v>
                </c:pt>
                <c:pt idx="43">
                  <c:v>2008 Aug</c:v>
                </c:pt>
                <c:pt idx="44">
                  <c:v>2008 Sep</c:v>
                </c:pt>
                <c:pt idx="45">
                  <c:v>2008 Oct</c:v>
                </c:pt>
                <c:pt idx="46">
                  <c:v>2008 Nov</c:v>
                </c:pt>
                <c:pt idx="47">
                  <c:v>2008 Dec</c:v>
                </c:pt>
                <c:pt idx="48">
                  <c:v>2009 Jan</c:v>
                </c:pt>
                <c:pt idx="49">
                  <c:v>2009 Feb</c:v>
                </c:pt>
                <c:pt idx="50">
                  <c:v>2009 Mar</c:v>
                </c:pt>
                <c:pt idx="51">
                  <c:v>2009 Apr</c:v>
                </c:pt>
                <c:pt idx="52">
                  <c:v>2009 May</c:v>
                </c:pt>
                <c:pt idx="53">
                  <c:v>2009 Jun</c:v>
                </c:pt>
                <c:pt idx="54">
                  <c:v>2009 Jul</c:v>
                </c:pt>
                <c:pt idx="55">
                  <c:v>2009 Aug</c:v>
                </c:pt>
                <c:pt idx="56">
                  <c:v>2009 Sep</c:v>
                </c:pt>
                <c:pt idx="57">
                  <c:v>2009 Oct</c:v>
                </c:pt>
                <c:pt idx="58">
                  <c:v>2009 Nov</c:v>
                </c:pt>
                <c:pt idx="59">
                  <c:v>2009 Dec</c:v>
                </c:pt>
                <c:pt idx="60">
                  <c:v>2010 Jan</c:v>
                </c:pt>
                <c:pt idx="61">
                  <c:v>2010 Feb</c:v>
                </c:pt>
                <c:pt idx="62">
                  <c:v>2010 Mar</c:v>
                </c:pt>
                <c:pt idx="63">
                  <c:v>2010 Apr</c:v>
                </c:pt>
                <c:pt idx="64">
                  <c:v>2010 May</c:v>
                </c:pt>
                <c:pt idx="65">
                  <c:v>2010 Jun</c:v>
                </c:pt>
                <c:pt idx="66">
                  <c:v>2010 Jul</c:v>
                </c:pt>
                <c:pt idx="67">
                  <c:v>2010 Aug</c:v>
                </c:pt>
                <c:pt idx="68">
                  <c:v>2010 Sep</c:v>
                </c:pt>
                <c:pt idx="69">
                  <c:v>2010 Oct</c:v>
                </c:pt>
                <c:pt idx="70">
                  <c:v>2010 Nov</c:v>
                </c:pt>
                <c:pt idx="71">
                  <c:v>2010 Dec</c:v>
                </c:pt>
                <c:pt idx="72">
                  <c:v>2011 Jan</c:v>
                </c:pt>
                <c:pt idx="73">
                  <c:v>2011 Feb</c:v>
                </c:pt>
                <c:pt idx="74">
                  <c:v>2011 Mar</c:v>
                </c:pt>
                <c:pt idx="75">
                  <c:v>2011 Apr</c:v>
                </c:pt>
                <c:pt idx="76">
                  <c:v>2011 May</c:v>
                </c:pt>
                <c:pt idx="77">
                  <c:v>2011 Jun</c:v>
                </c:pt>
                <c:pt idx="78">
                  <c:v>2011 Jul</c:v>
                </c:pt>
                <c:pt idx="79">
                  <c:v>2011 Aug</c:v>
                </c:pt>
                <c:pt idx="80">
                  <c:v>2011 Sep</c:v>
                </c:pt>
                <c:pt idx="81">
                  <c:v>2011 Oct</c:v>
                </c:pt>
                <c:pt idx="82">
                  <c:v>2011 Nov</c:v>
                </c:pt>
                <c:pt idx="83">
                  <c:v>2011 Dec</c:v>
                </c:pt>
                <c:pt idx="84">
                  <c:v>2012 Jan</c:v>
                </c:pt>
                <c:pt idx="85">
                  <c:v>2012 Feb</c:v>
                </c:pt>
                <c:pt idx="86">
                  <c:v>2012 Mar</c:v>
                </c:pt>
                <c:pt idx="87">
                  <c:v>2012 Apr</c:v>
                </c:pt>
                <c:pt idx="88">
                  <c:v>2012 May</c:v>
                </c:pt>
                <c:pt idx="89">
                  <c:v>2012 Jun</c:v>
                </c:pt>
                <c:pt idx="90">
                  <c:v>2012 Jul</c:v>
                </c:pt>
                <c:pt idx="91">
                  <c:v>2012 Aug</c:v>
                </c:pt>
                <c:pt idx="92">
                  <c:v>2012 Sep</c:v>
                </c:pt>
                <c:pt idx="93">
                  <c:v>2012 Oct</c:v>
                </c:pt>
                <c:pt idx="94">
                  <c:v>2012 Nov</c:v>
                </c:pt>
                <c:pt idx="95">
                  <c:v>2012 Dec</c:v>
                </c:pt>
                <c:pt idx="96">
                  <c:v>2013 Jan</c:v>
                </c:pt>
                <c:pt idx="97">
                  <c:v>2013 Feb</c:v>
                </c:pt>
                <c:pt idx="98">
                  <c:v>2013 Mar</c:v>
                </c:pt>
                <c:pt idx="99">
                  <c:v>2013 Apr</c:v>
                </c:pt>
                <c:pt idx="100">
                  <c:v>2013 May</c:v>
                </c:pt>
                <c:pt idx="101">
                  <c:v>2013 Jun</c:v>
                </c:pt>
                <c:pt idx="102">
                  <c:v>2013 Jul</c:v>
                </c:pt>
                <c:pt idx="103">
                  <c:v>2013 Aug</c:v>
                </c:pt>
                <c:pt idx="104">
                  <c:v>2013 Sep</c:v>
                </c:pt>
                <c:pt idx="105">
                  <c:v>2013 Oct</c:v>
                </c:pt>
                <c:pt idx="106">
                  <c:v>2013 Nov</c:v>
                </c:pt>
                <c:pt idx="107">
                  <c:v>2013 Dec</c:v>
                </c:pt>
                <c:pt idx="108">
                  <c:v>2014 Jan</c:v>
                </c:pt>
                <c:pt idx="109">
                  <c:v>2014 Feb</c:v>
                </c:pt>
                <c:pt idx="110">
                  <c:v>2014 Mar</c:v>
                </c:pt>
                <c:pt idx="111">
                  <c:v>2014 Apr</c:v>
                </c:pt>
                <c:pt idx="112">
                  <c:v>2014 May</c:v>
                </c:pt>
                <c:pt idx="113">
                  <c:v>2014 Jun</c:v>
                </c:pt>
                <c:pt idx="114">
                  <c:v>2014 Jul</c:v>
                </c:pt>
                <c:pt idx="115">
                  <c:v>2014 Aug</c:v>
                </c:pt>
                <c:pt idx="116">
                  <c:v>2014 Sep</c:v>
                </c:pt>
                <c:pt idx="117">
                  <c:v>2014 Oct</c:v>
                </c:pt>
                <c:pt idx="118">
                  <c:v>2014 Nov</c:v>
                </c:pt>
                <c:pt idx="119">
                  <c:v>2014 Dec</c:v>
                </c:pt>
                <c:pt idx="120">
                  <c:v>2015 Jan</c:v>
                </c:pt>
                <c:pt idx="121">
                  <c:v>2015 Feb</c:v>
                </c:pt>
                <c:pt idx="122">
                  <c:v>2015 Mar</c:v>
                </c:pt>
                <c:pt idx="123">
                  <c:v>2015 Apr</c:v>
                </c:pt>
                <c:pt idx="124">
                  <c:v>2015 May</c:v>
                </c:pt>
                <c:pt idx="125">
                  <c:v>2015 Jun</c:v>
                </c:pt>
                <c:pt idx="126">
                  <c:v>2015 Jul</c:v>
                </c:pt>
                <c:pt idx="127">
                  <c:v>2015 Aug</c:v>
                </c:pt>
                <c:pt idx="128">
                  <c:v>2015 Sep</c:v>
                </c:pt>
                <c:pt idx="129">
                  <c:v>2015 Oct</c:v>
                </c:pt>
                <c:pt idx="130">
                  <c:v>2015 Nov</c:v>
                </c:pt>
                <c:pt idx="131">
                  <c:v>2015 Dec</c:v>
                </c:pt>
                <c:pt idx="132">
                  <c:v>2016 Jan</c:v>
                </c:pt>
                <c:pt idx="133">
                  <c:v>2016 Feb</c:v>
                </c:pt>
                <c:pt idx="134">
                  <c:v>2016 Mar</c:v>
                </c:pt>
                <c:pt idx="135">
                  <c:v>2016 Apr</c:v>
                </c:pt>
                <c:pt idx="136">
                  <c:v>2016 May</c:v>
                </c:pt>
                <c:pt idx="137">
                  <c:v>2016 Jun</c:v>
                </c:pt>
                <c:pt idx="138">
                  <c:v>2016 Jul</c:v>
                </c:pt>
                <c:pt idx="139">
                  <c:v>2016 Aug</c:v>
                </c:pt>
                <c:pt idx="140">
                  <c:v>2016 Sep</c:v>
                </c:pt>
                <c:pt idx="141">
                  <c:v>2016 Oct</c:v>
                </c:pt>
                <c:pt idx="142">
                  <c:v>2016 Nov</c:v>
                </c:pt>
                <c:pt idx="143">
                  <c:v>2016 Dec</c:v>
                </c:pt>
                <c:pt idx="144">
                  <c:v>2017 Jan</c:v>
                </c:pt>
                <c:pt idx="145">
                  <c:v>2017 Feb</c:v>
                </c:pt>
                <c:pt idx="146">
                  <c:v>2017 Mar</c:v>
                </c:pt>
                <c:pt idx="147">
                  <c:v>2017 Apr</c:v>
                </c:pt>
                <c:pt idx="148">
                  <c:v>2017 May</c:v>
                </c:pt>
                <c:pt idx="149">
                  <c:v>2017 Jun</c:v>
                </c:pt>
                <c:pt idx="150">
                  <c:v>2017 Jul</c:v>
                </c:pt>
                <c:pt idx="151">
                  <c:v>2017 Aug</c:v>
                </c:pt>
                <c:pt idx="152">
                  <c:v>2017 Sep</c:v>
                </c:pt>
                <c:pt idx="153">
                  <c:v>2017 Oct</c:v>
                </c:pt>
                <c:pt idx="154">
                  <c:v>2017 Nov</c:v>
                </c:pt>
                <c:pt idx="155">
                  <c:v>2017 Dec</c:v>
                </c:pt>
                <c:pt idx="156">
                  <c:v>2018 Jan</c:v>
                </c:pt>
                <c:pt idx="157">
                  <c:v>2018 Feb</c:v>
                </c:pt>
                <c:pt idx="158">
                  <c:v>2018 Mar</c:v>
                </c:pt>
                <c:pt idx="159">
                  <c:v>2018 Apr</c:v>
                </c:pt>
                <c:pt idx="160">
                  <c:v>2018 May</c:v>
                </c:pt>
                <c:pt idx="161">
                  <c:v>2018 Jun</c:v>
                </c:pt>
                <c:pt idx="162">
                  <c:v>2018 Jul</c:v>
                </c:pt>
                <c:pt idx="163">
                  <c:v>2018 Aug</c:v>
                </c:pt>
                <c:pt idx="164">
                  <c:v>2018 Sep</c:v>
                </c:pt>
                <c:pt idx="165">
                  <c:v>2018 Oct</c:v>
                </c:pt>
                <c:pt idx="166">
                  <c:v>2018 Nov</c:v>
                </c:pt>
                <c:pt idx="167">
                  <c:v>2018 Dec</c:v>
                </c:pt>
              </c:strCache>
            </c:strRef>
          </c:xVal>
          <c:yVal>
            <c:numRef>
              <c:f>'Holt'' Winters '!$B$9:$B$176</c:f>
              <c:numCache>
                <c:formatCode>General</c:formatCode>
                <c:ptCount val="168"/>
                <c:pt idx="0">
                  <c:v>1023.2</c:v>
                </c:pt>
                <c:pt idx="1">
                  <c:v>1036.2</c:v>
                </c:pt>
                <c:pt idx="2">
                  <c:v>1022.1</c:v>
                </c:pt>
                <c:pt idx="3">
                  <c:v>1050.0999999999999</c:v>
                </c:pt>
                <c:pt idx="4">
                  <c:v>1105.3</c:v>
                </c:pt>
                <c:pt idx="5">
                  <c:v>1157.3</c:v>
                </c:pt>
                <c:pt idx="6">
                  <c:v>1064.9000000000001</c:v>
                </c:pt>
                <c:pt idx="7">
                  <c:v>1155.9000000000001</c:v>
                </c:pt>
                <c:pt idx="8">
                  <c:v>1140.3</c:v>
                </c:pt>
                <c:pt idx="9">
                  <c:v>1098.8</c:v>
                </c:pt>
                <c:pt idx="10">
                  <c:v>1163.2</c:v>
                </c:pt>
                <c:pt idx="11">
                  <c:v>1058.3</c:v>
                </c:pt>
                <c:pt idx="12">
                  <c:v>1096</c:v>
                </c:pt>
                <c:pt idx="13">
                  <c:v>1079.8</c:v>
                </c:pt>
                <c:pt idx="14">
                  <c:v>1098.9000000000001</c:v>
                </c:pt>
                <c:pt idx="15">
                  <c:v>1102.0999999999999</c:v>
                </c:pt>
                <c:pt idx="16">
                  <c:v>1174</c:v>
                </c:pt>
                <c:pt idx="17">
                  <c:v>1171</c:v>
                </c:pt>
                <c:pt idx="18">
                  <c:v>1118.0999999999999</c:v>
                </c:pt>
                <c:pt idx="19">
                  <c:v>1239.0999999999999</c:v>
                </c:pt>
                <c:pt idx="20">
                  <c:v>1164.4000000000001</c:v>
                </c:pt>
                <c:pt idx="21">
                  <c:v>1180.2</c:v>
                </c:pt>
                <c:pt idx="22">
                  <c:v>1231.5999999999999</c:v>
                </c:pt>
                <c:pt idx="23">
                  <c:v>1130.5</c:v>
                </c:pt>
                <c:pt idx="24">
                  <c:v>1202.5999999999999</c:v>
                </c:pt>
                <c:pt idx="25">
                  <c:v>1098.3</c:v>
                </c:pt>
                <c:pt idx="26">
                  <c:v>1182.4000000000001</c:v>
                </c:pt>
                <c:pt idx="27">
                  <c:v>1180.9000000000001</c:v>
                </c:pt>
                <c:pt idx="28">
                  <c:v>1251.2</c:v>
                </c:pt>
                <c:pt idx="29">
                  <c:v>1212.5999999999999</c:v>
                </c:pt>
                <c:pt idx="30">
                  <c:v>1225.2</c:v>
                </c:pt>
                <c:pt idx="31">
                  <c:v>1268.2</c:v>
                </c:pt>
                <c:pt idx="32">
                  <c:v>1182.2</c:v>
                </c:pt>
                <c:pt idx="33">
                  <c:v>1253.5</c:v>
                </c:pt>
                <c:pt idx="34">
                  <c:v>1271.4000000000001</c:v>
                </c:pt>
                <c:pt idx="35">
                  <c:v>1192.0999999999999</c:v>
                </c:pt>
                <c:pt idx="36">
                  <c:v>1248.7</c:v>
                </c:pt>
                <c:pt idx="37">
                  <c:v>1217.0999999999999</c:v>
                </c:pt>
                <c:pt idx="38">
                  <c:v>1163.0999999999999</c:v>
                </c:pt>
                <c:pt idx="39">
                  <c:v>1281.4000000000001</c:v>
                </c:pt>
                <c:pt idx="40">
                  <c:v>1249.0999999999999</c:v>
                </c:pt>
                <c:pt idx="41">
                  <c:v>1311.2</c:v>
                </c:pt>
                <c:pt idx="42">
                  <c:v>1298.7</c:v>
                </c:pt>
                <c:pt idx="43">
                  <c:v>1190.2</c:v>
                </c:pt>
                <c:pt idx="44">
                  <c:v>1298.5999999999999</c:v>
                </c:pt>
                <c:pt idx="45">
                  <c:v>1282.5999999999999</c:v>
                </c:pt>
                <c:pt idx="46">
                  <c:v>1218.4000000000001</c:v>
                </c:pt>
                <c:pt idx="47">
                  <c:v>1245.8</c:v>
                </c:pt>
                <c:pt idx="48">
                  <c:v>1169.5</c:v>
                </c:pt>
                <c:pt idx="49">
                  <c:v>1190.2</c:v>
                </c:pt>
                <c:pt idx="50">
                  <c:v>1188.3</c:v>
                </c:pt>
                <c:pt idx="51">
                  <c:v>1211.7</c:v>
                </c:pt>
                <c:pt idx="52">
                  <c:v>1207.2</c:v>
                </c:pt>
                <c:pt idx="53">
                  <c:v>1315.3</c:v>
                </c:pt>
                <c:pt idx="54">
                  <c:v>1304.7</c:v>
                </c:pt>
                <c:pt idx="55">
                  <c:v>1241.4000000000001</c:v>
                </c:pt>
                <c:pt idx="56">
                  <c:v>1241.8</c:v>
                </c:pt>
                <c:pt idx="57">
                  <c:v>1277.5</c:v>
                </c:pt>
                <c:pt idx="58">
                  <c:v>1222.7</c:v>
                </c:pt>
                <c:pt idx="59">
                  <c:v>1229.7</c:v>
                </c:pt>
                <c:pt idx="60">
                  <c:v>1161.7</c:v>
                </c:pt>
                <c:pt idx="61">
                  <c:v>1180</c:v>
                </c:pt>
                <c:pt idx="62">
                  <c:v>1345.4</c:v>
                </c:pt>
                <c:pt idx="63">
                  <c:v>1308.8</c:v>
                </c:pt>
                <c:pt idx="64">
                  <c:v>1235</c:v>
                </c:pt>
                <c:pt idx="65">
                  <c:v>1373.2</c:v>
                </c:pt>
                <c:pt idx="66">
                  <c:v>1317.3</c:v>
                </c:pt>
                <c:pt idx="67">
                  <c:v>1308.3</c:v>
                </c:pt>
                <c:pt idx="68">
                  <c:v>1287.3</c:v>
                </c:pt>
                <c:pt idx="69">
                  <c:v>1278.3</c:v>
                </c:pt>
                <c:pt idx="70">
                  <c:v>1299.2</c:v>
                </c:pt>
                <c:pt idx="71">
                  <c:v>1375.3</c:v>
                </c:pt>
                <c:pt idx="72">
                  <c:v>1266.4000000000001</c:v>
                </c:pt>
                <c:pt idx="73">
                  <c:v>1253.8</c:v>
                </c:pt>
                <c:pt idx="74">
                  <c:v>1261.5</c:v>
                </c:pt>
                <c:pt idx="75">
                  <c:v>1283.4000000000001</c:v>
                </c:pt>
                <c:pt idx="76">
                  <c:v>1314.3</c:v>
                </c:pt>
                <c:pt idx="77">
                  <c:v>1405.6</c:v>
                </c:pt>
                <c:pt idx="78">
                  <c:v>1300.5999999999999</c:v>
                </c:pt>
                <c:pt idx="79">
                  <c:v>1440.5</c:v>
                </c:pt>
                <c:pt idx="80">
                  <c:v>1361.9</c:v>
                </c:pt>
                <c:pt idx="81">
                  <c:v>1299.7</c:v>
                </c:pt>
                <c:pt idx="82">
                  <c:v>1386.2</c:v>
                </c:pt>
                <c:pt idx="83">
                  <c:v>1302.5</c:v>
                </c:pt>
                <c:pt idx="84">
                  <c:v>1202.5999999999999</c:v>
                </c:pt>
                <c:pt idx="85">
                  <c:v>1344.4</c:v>
                </c:pt>
                <c:pt idx="86">
                  <c:v>1291.5</c:v>
                </c:pt>
                <c:pt idx="87">
                  <c:v>1391.3</c:v>
                </c:pt>
                <c:pt idx="88">
                  <c:v>1388.1</c:v>
                </c:pt>
                <c:pt idx="89">
                  <c:v>1391.2</c:v>
                </c:pt>
                <c:pt idx="90">
                  <c:v>1375.8</c:v>
                </c:pt>
                <c:pt idx="91">
                  <c:v>1443.2</c:v>
                </c:pt>
                <c:pt idx="92">
                  <c:v>1401.3</c:v>
                </c:pt>
                <c:pt idx="93">
                  <c:v>1378.7</c:v>
                </c:pt>
                <c:pt idx="94">
                  <c:v>1378.8</c:v>
                </c:pt>
                <c:pt idx="95">
                  <c:v>1378.9</c:v>
                </c:pt>
                <c:pt idx="96">
                  <c:v>1383.3</c:v>
                </c:pt>
                <c:pt idx="97">
                  <c:v>1283.3</c:v>
                </c:pt>
                <c:pt idx="98">
                  <c:v>1291.0999999999999</c:v>
                </c:pt>
                <c:pt idx="99">
                  <c:v>1406.5</c:v>
                </c:pt>
                <c:pt idx="100">
                  <c:v>1400.9</c:v>
                </c:pt>
                <c:pt idx="101">
                  <c:v>1412.7</c:v>
                </c:pt>
                <c:pt idx="102">
                  <c:v>1466.6</c:v>
                </c:pt>
                <c:pt idx="103">
                  <c:v>1423.7</c:v>
                </c:pt>
                <c:pt idx="104">
                  <c:v>1411.2</c:v>
                </c:pt>
                <c:pt idx="105">
                  <c:v>1411</c:v>
                </c:pt>
                <c:pt idx="106">
                  <c:v>1447.4</c:v>
                </c:pt>
                <c:pt idx="107">
                  <c:v>1381.1</c:v>
                </c:pt>
                <c:pt idx="108">
                  <c:v>1354</c:v>
                </c:pt>
                <c:pt idx="109">
                  <c:v>1370.3</c:v>
                </c:pt>
                <c:pt idx="110">
                  <c:v>1316.5</c:v>
                </c:pt>
                <c:pt idx="111">
                  <c:v>1416.3</c:v>
                </c:pt>
                <c:pt idx="112">
                  <c:v>1416.9</c:v>
                </c:pt>
                <c:pt idx="113">
                  <c:v>1447.2</c:v>
                </c:pt>
                <c:pt idx="114">
                  <c:v>1451.6</c:v>
                </c:pt>
                <c:pt idx="115">
                  <c:v>1486.1</c:v>
                </c:pt>
                <c:pt idx="116">
                  <c:v>1447.1</c:v>
                </c:pt>
                <c:pt idx="117">
                  <c:v>1458</c:v>
                </c:pt>
                <c:pt idx="118">
                  <c:v>1457.4</c:v>
                </c:pt>
                <c:pt idx="119">
                  <c:v>1425.1</c:v>
                </c:pt>
                <c:pt idx="120">
                  <c:v>1412.2</c:v>
                </c:pt>
                <c:pt idx="121">
                  <c:v>1335.3</c:v>
                </c:pt>
                <c:pt idx="122">
                  <c:v>1386.4</c:v>
                </c:pt>
                <c:pt idx="123">
                  <c:v>1455.8</c:v>
                </c:pt>
                <c:pt idx="124">
                  <c:v>1467.5</c:v>
                </c:pt>
                <c:pt idx="125">
                  <c:v>1491.5</c:v>
                </c:pt>
                <c:pt idx="126">
                  <c:v>1475.4</c:v>
                </c:pt>
                <c:pt idx="127">
                  <c:v>1520.4</c:v>
                </c:pt>
                <c:pt idx="128">
                  <c:v>1486</c:v>
                </c:pt>
                <c:pt idx="129">
                  <c:v>1499.6</c:v>
                </c:pt>
                <c:pt idx="130">
                  <c:v>1506.2</c:v>
                </c:pt>
                <c:pt idx="131">
                  <c:v>1444.7</c:v>
                </c:pt>
                <c:pt idx="132">
                  <c:v>1419.1</c:v>
                </c:pt>
                <c:pt idx="133">
                  <c:v>1449</c:v>
                </c:pt>
                <c:pt idx="134">
                  <c:v>1383.4</c:v>
                </c:pt>
                <c:pt idx="135">
                  <c:v>1504.2</c:v>
                </c:pt>
                <c:pt idx="136">
                  <c:v>1490.3</c:v>
                </c:pt>
                <c:pt idx="137">
                  <c:v>1536.4</c:v>
                </c:pt>
                <c:pt idx="138">
                  <c:v>1449.7</c:v>
                </c:pt>
                <c:pt idx="139">
                  <c:v>1533.2</c:v>
                </c:pt>
                <c:pt idx="140">
                  <c:v>1464.3</c:v>
                </c:pt>
                <c:pt idx="141">
                  <c:v>1493.2</c:v>
                </c:pt>
                <c:pt idx="142">
                  <c:v>1504.4</c:v>
                </c:pt>
                <c:pt idx="143">
                  <c:v>1471</c:v>
                </c:pt>
                <c:pt idx="144">
                  <c:v>1459</c:v>
                </c:pt>
                <c:pt idx="145">
                  <c:v>1454.4</c:v>
                </c:pt>
                <c:pt idx="146">
                  <c:v>1441.8</c:v>
                </c:pt>
                <c:pt idx="147">
                  <c:v>1442.2</c:v>
                </c:pt>
                <c:pt idx="148">
                  <c:v>1523.6</c:v>
                </c:pt>
                <c:pt idx="149">
                  <c:v>1464.2</c:v>
                </c:pt>
                <c:pt idx="150">
                  <c:v>1507.1</c:v>
                </c:pt>
                <c:pt idx="151">
                  <c:v>1644.4</c:v>
                </c:pt>
                <c:pt idx="152">
                  <c:v>1527.1</c:v>
                </c:pt>
                <c:pt idx="153">
                  <c:v>1524</c:v>
                </c:pt>
                <c:pt idx="154">
                  <c:v>1561.6</c:v>
                </c:pt>
                <c:pt idx="155">
                  <c:v>1513.7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2F-4B13-97D2-DFB73746BF5F}"/>
            </c:ext>
          </c:extLst>
        </c:ser>
        <c:ser>
          <c:idx val="1"/>
          <c:order val="1"/>
          <c:tx>
            <c:strRef>
              <c:f>'Holt'' Winters '!$F$8</c:f>
              <c:strCache>
                <c:ptCount val="1"/>
                <c:pt idx="0">
                  <c:v>Forecast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strRef>
              <c:f>'Holt'' Winters '!$A$9:$A$176</c:f>
              <c:strCache>
                <c:ptCount val="168"/>
                <c:pt idx="0">
                  <c:v>2005 Jan</c:v>
                </c:pt>
                <c:pt idx="1">
                  <c:v>2005 Feb</c:v>
                </c:pt>
                <c:pt idx="2">
                  <c:v>2005 Mar</c:v>
                </c:pt>
                <c:pt idx="3">
                  <c:v>2005 Apr</c:v>
                </c:pt>
                <c:pt idx="4">
                  <c:v>2005 May</c:v>
                </c:pt>
                <c:pt idx="5">
                  <c:v>2005 Jun</c:v>
                </c:pt>
                <c:pt idx="6">
                  <c:v>2005 Jul</c:v>
                </c:pt>
                <c:pt idx="7">
                  <c:v>2005 Aug</c:v>
                </c:pt>
                <c:pt idx="8">
                  <c:v>2005 Sep</c:v>
                </c:pt>
                <c:pt idx="9">
                  <c:v>2005 Oct</c:v>
                </c:pt>
                <c:pt idx="10">
                  <c:v>2005 Nov</c:v>
                </c:pt>
                <c:pt idx="11">
                  <c:v>2005 Dec</c:v>
                </c:pt>
                <c:pt idx="12">
                  <c:v>2006 Jan</c:v>
                </c:pt>
                <c:pt idx="13">
                  <c:v>2006 Feb</c:v>
                </c:pt>
                <c:pt idx="14">
                  <c:v>2006 Mar</c:v>
                </c:pt>
                <c:pt idx="15">
                  <c:v>2006 Apr</c:v>
                </c:pt>
                <c:pt idx="16">
                  <c:v>2006 May</c:v>
                </c:pt>
                <c:pt idx="17">
                  <c:v>2006 Jun</c:v>
                </c:pt>
                <c:pt idx="18">
                  <c:v>2006 Jul</c:v>
                </c:pt>
                <c:pt idx="19">
                  <c:v>2006 Aug</c:v>
                </c:pt>
                <c:pt idx="20">
                  <c:v>2006 Sep</c:v>
                </c:pt>
                <c:pt idx="21">
                  <c:v>2006 Oct</c:v>
                </c:pt>
                <c:pt idx="22">
                  <c:v>2006 Nov</c:v>
                </c:pt>
                <c:pt idx="23">
                  <c:v>2006 Dec</c:v>
                </c:pt>
                <c:pt idx="24">
                  <c:v>2007 Jan</c:v>
                </c:pt>
                <c:pt idx="25">
                  <c:v>2007 Feb</c:v>
                </c:pt>
                <c:pt idx="26">
                  <c:v>2007 Mar</c:v>
                </c:pt>
                <c:pt idx="27">
                  <c:v>2007 Apr</c:v>
                </c:pt>
                <c:pt idx="28">
                  <c:v>2007 May</c:v>
                </c:pt>
                <c:pt idx="29">
                  <c:v>2007 Jun</c:v>
                </c:pt>
                <c:pt idx="30">
                  <c:v>2007 Jul</c:v>
                </c:pt>
                <c:pt idx="31">
                  <c:v>2007 Aug</c:v>
                </c:pt>
                <c:pt idx="32">
                  <c:v>2007 Sep</c:v>
                </c:pt>
                <c:pt idx="33">
                  <c:v>2007 Oct</c:v>
                </c:pt>
                <c:pt idx="34">
                  <c:v>2007 Nov</c:v>
                </c:pt>
                <c:pt idx="35">
                  <c:v>2007 Dec</c:v>
                </c:pt>
                <c:pt idx="36">
                  <c:v>2008 Jan</c:v>
                </c:pt>
                <c:pt idx="37">
                  <c:v>2008 Feb</c:v>
                </c:pt>
                <c:pt idx="38">
                  <c:v>2008 Mar</c:v>
                </c:pt>
                <c:pt idx="39">
                  <c:v>2008 Apr</c:v>
                </c:pt>
                <c:pt idx="40">
                  <c:v>2008 May</c:v>
                </c:pt>
                <c:pt idx="41">
                  <c:v>2008 Jun</c:v>
                </c:pt>
                <c:pt idx="42">
                  <c:v>2008 Jul</c:v>
                </c:pt>
                <c:pt idx="43">
                  <c:v>2008 Aug</c:v>
                </c:pt>
                <c:pt idx="44">
                  <c:v>2008 Sep</c:v>
                </c:pt>
                <c:pt idx="45">
                  <c:v>2008 Oct</c:v>
                </c:pt>
                <c:pt idx="46">
                  <c:v>2008 Nov</c:v>
                </c:pt>
                <c:pt idx="47">
                  <c:v>2008 Dec</c:v>
                </c:pt>
                <c:pt idx="48">
                  <c:v>2009 Jan</c:v>
                </c:pt>
                <c:pt idx="49">
                  <c:v>2009 Feb</c:v>
                </c:pt>
                <c:pt idx="50">
                  <c:v>2009 Mar</c:v>
                </c:pt>
                <c:pt idx="51">
                  <c:v>2009 Apr</c:v>
                </c:pt>
                <c:pt idx="52">
                  <c:v>2009 May</c:v>
                </c:pt>
                <c:pt idx="53">
                  <c:v>2009 Jun</c:v>
                </c:pt>
                <c:pt idx="54">
                  <c:v>2009 Jul</c:v>
                </c:pt>
                <c:pt idx="55">
                  <c:v>2009 Aug</c:v>
                </c:pt>
                <c:pt idx="56">
                  <c:v>2009 Sep</c:v>
                </c:pt>
                <c:pt idx="57">
                  <c:v>2009 Oct</c:v>
                </c:pt>
                <c:pt idx="58">
                  <c:v>2009 Nov</c:v>
                </c:pt>
                <c:pt idx="59">
                  <c:v>2009 Dec</c:v>
                </c:pt>
                <c:pt idx="60">
                  <c:v>2010 Jan</c:v>
                </c:pt>
                <c:pt idx="61">
                  <c:v>2010 Feb</c:v>
                </c:pt>
                <c:pt idx="62">
                  <c:v>2010 Mar</c:v>
                </c:pt>
                <c:pt idx="63">
                  <c:v>2010 Apr</c:v>
                </c:pt>
                <c:pt idx="64">
                  <c:v>2010 May</c:v>
                </c:pt>
                <c:pt idx="65">
                  <c:v>2010 Jun</c:v>
                </c:pt>
                <c:pt idx="66">
                  <c:v>2010 Jul</c:v>
                </c:pt>
                <c:pt idx="67">
                  <c:v>2010 Aug</c:v>
                </c:pt>
                <c:pt idx="68">
                  <c:v>2010 Sep</c:v>
                </c:pt>
                <c:pt idx="69">
                  <c:v>2010 Oct</c:v>
                </c:pt>
                <c:pt idx="70">
                  <c:v>2010 Nov</c:v>
                </c:pt>
                <c:pt idx="71">
                  <c:v>2010 Dec</c:v>
                </c:pt>
                <c:pt idx="72">
                  <c:v>2011 Jan</c:v>
                </c:pt>
                <c:pt idx="73">
                  <c:v>2011 Feb</c:v>
                </c:pt>
                <c:pt idx="74">
                  <c:v>2011 Mar</c:v>
                </c:pt>
                <c:pt idx="75">
                  <c:v>2011 Apr</c:v>
                </c:pt>
                <c:pt idx="76">
                  <c:v>2011 May</c:v>
                </c:pt>
                <c:pt idx="77">
                  <c:v>2011 Jun</c:v>
                </c:pt>
                <c:pt idx="78">
                  <c:v>2011 Jul</c:v>
                </c:pt>
                <c:pt idx="79">
                  <c:v>2011 Aug</c:v>
                </c:pt>
                <c:pt idx="80">
                  <c:v>2011 Sep</c:v>
                </c:pt>
                <c:pt idx="81">
                  <c:v>2011 Oct</c:v>
                </c:pt>
                <c:pt idx="82">
                  <c:v>2011 Nov</c:v>
                </c:pt>
                <c:pt idx="83">
                  <c:v>2011 Dec</c:v>
                </c:pt>
                <c:pt idx="84">
                  <c:v>2012 Jan</c:v>
                </c:pt>
                <c:pt idx="85">
                  <c:v>2012 Feb</c:v>
                </c:pt>
                <c:pt idx="86">
                  <c:v>2012 Mar</c:v>
                </c:pt>
                <c:pt idx="87">
                  <c:v>2012 Apr</c:v>
                </c:pt>
                <c:pt idx="88">
                  <c:v>2012 May</c:v>
                </c:pt>
                <c:pt idx="89">
                  <c:v>2012 Jun</c:v>
                </c:pt>
                <c:pt idx="90">
                  <c:v>2012 Jul</c:v>
                </c:pt>
                <c:pt idx="91">
                  <c:v>2012 Aug</c:v>
                </c:pt>
                <c:pt idx="92">
                  <c:v>2012 Sep</c:v>
                </c:pt>
                <c:pt idx="93">
                  <c:v>2012 Oct</c:v>
                </c:pt>
                <c:pt idx="94">
                  <c:v>2012 Nov</c:v>
                </c:pt>
                <c:pt idx="95">
                  <c:v>2012 Dec</c:v>
                </c:pt>
                <c:pt idx="96">
                  <c:v>2013 Jan</c:v>
                </c:pt>
                <c:pt idx="97">
                  <c:v>2013 Feb</c:v>
                </c:pt>
                <c:pt idx="98">
                  <c:v>2013 Mar</c:v>
                </c:pt>
                <c:pt idx="99">
                  <c:v>2013 Apr</c:v>
                </c:pt>
                <c:pt idx="100">
                  <c:v>2013 May</c:v>
                </c:pt>
                <c:pt idx="101">
                  <c:v>2013 Jun</c:v>
                </c:pt>
                <c:pt idx="102">
                  <c:v>2013 Jul</c:v>
                </c:pt>
                <c:pt idx="103">
                  <c:v>2013 Aug</c:v>
                </c:pt>
                <c:pt idx="104">
                  <c:v>2013 Sep</c:v>
                </c:pt>
                <c:pt idx="105">
                  <c:v>2013 Oct</c:v>
                </c:pt>
                <c:pt idx="106">
                  <c:v>2013 Nov</c:v>
                </c:pt>
                <c:pt idx="107">
                  <c:v>2013 Dec</c:v>
                </c:pt>
                <c:pt idx="108">
                  <c:v>2014 Jan</c:v>
                </c:pt>
                <c:pt idx="109">
                  <c:v>2014 Feb</c:v>
                </c:pt>
                <c:pt idx="110">
                  <c:v>2014 Mar</c:v>
                </c:pt>
                <c:pt idx="111">
                  <c:v>2014 Apr</c:v>
                </c:pt>
                <c:pt idx="112">
                  <c:v>2014 May</c:v>
                </c:pt>
                <c:pt idx="113">
                  <c:v>2014 Jun</c:v>
                </c:pt>
                <c:pt idx="114">
                  <c:v>2014 Jul</c:v>
                </c:pt>
                <c:pt idx="115">
                  <c:v>2014 Aug</c:v>
                </c:pt>
                <c:pt idx="116">
                  <c:v>2014 Sep</c:v>
                </c:pt>
                <c:pt idx="117">
                  <c:v>2014 Oct</c:v>
                </c:pt>
                <c:pt idx="118">
                  <c:v>2014 Nov</c:v>
                </c:pt>
                <c:pt idx="119">
                  <c:v>2014 Dec</c:v>
                </c:pt>
                <c:pt idx="120">
                  <c:v>2015 Jan</c:v>
                </c:pt>
                <c:pt idx="121">
                  <c:v>2015 Feb</c:v>
                </c:pt>
                <c:pt idx="122">
                  <c:v>2015 Mar</c:v>
                </c:pt>
                <c:pt idx="123">
                  <c:v>2015 Apr</c:v>
                </c:pt>
                <c:pt idx="124">
                  <c:v>2015 May</c:v>
                </c:pt>
                <c:pt idx="125">
                  <c:v>2015 Jun</c:v>
                </c:pt>
                <c:pt idx="126">
                  <c:v>2015 Jul</c:v>
                </c:pt>
                <c:pt idx="127">
                  <c:v>2015 Aug</c:v>
                </c:pt>
                <c:pt idx="128">
                  <c:v>2015 Sep</c:v>
                </c:pt>
                <c:pt idx="129">
                  <c:v>2015 Oct</c:v>
                </c:pt>
                <c:pt idx="130">
                  <c:v>2015 Nov</c:v>
                </c:pt>
                <c:pt idx="131">
                  <c:v>2015 Dec</c:v>
                </c:pt>
                <c:pt idx="132">
                  <c:v>2016 Jan</c:v>
                </c:pt>
                <c:pt idx="133">
                  <c:v>2016 Feb</c:v>
                </c:pt>
                <c:pt idx="134">
                  <c:v>2016 Mar</c:v>
                </c:pt>
                <c:pt idx="135">
                  <c:v>2016 Apr</c:v>
                </c:pt>
                <c:pt idx="136">
                  <c:v>2016 May</c:v>
                </c:pt>
                <c:pt idx="137">
                  <c:v>2016 Jun</c:v>
                </c:pt>
                <c:pt idx="138">
                  <c:v>2016 Jul</c:v>
                </c:pt>
                <c:pt idx="139">
                  <c:v>2016 Aug</c:v>
                </c:pt>
                <c:pt idx="140">
                  <c:v>2016 Sep</c:v>
                </c:pt>
                <c:pt idx="141">
                  <c:v>2016 Oct</c:v>
                </c:pt>
                <c:pt idx="142">
                  <c:v>2016 Nov</c:v>
                </c:pt>
                <c:pt idx="143">
                  <c:v>2016 Dec</c:v>
                </c:pt>
                <c:pt idx="144">
                  <c:v>2017 Jan</c:v>
                </c:pt>
                <c:pt idx="145">
                  <c:v>2017 Feb</c:v>
                </c:pt>
                <c:pt idx="146">
                  <c:v>2017 Mar</c:v>
                </c:pt>
                <c:pt idx="147">
                  <c:v>2017 Apr</c:v>
                </c:pt>
                <c:pt idx="148">
                  <c:v>2017 May</c:v>
                </c:pt>
                <c:pt idx="149">
                  <c:v>2017 Jun</c:v>
                </c:pt>
                <c:pt idx="150">
                  <c:v>2017 Jul</c:v>
                </c:pt>
                <c:pt idx="151">
                  <c:v>2017 Aug</c:v>
                </c:pt>
                <c:pt idx="152">
                  <c:v>2017 Sep</c:v>
                </c:pt>
                <c:pt idx="153">
                  <c:v>2017 Oct</c:v>
                </c:pt>
                <c:pt idx="154">
                  <c:v>2017 Nov</c:v>
                </c:pt>
                <c:pt idx="155">
                  <c:v>2017 Dec</c:v>
                </c:pt>
                <c:pt idx="156">
                  <c:v>2018 Jan</c:v>
                </c:pt>
                <c:pt idx="157">
                  <c:v>2018 Feb</c:v>
                </c:pt>
                <c:pt idx="158">
                  <c:v>2018 Mar</c:v>
                </c:pt>
                <c:pt idx="159">
                  <c:v>2018 Apr</c:v>
                </c:pt>
                <c:pt idx="160">
                  <c:v>2018 May</c:v>
                </c:pt>
                <c:pt idx="161">
                  <c:v>2018 Jun</c:v>
                </c:pt>
                <c:pt idx="162">
                  <c:v>2018 Jul</c:v>
                </c:pt>
                <c:pt idx="163">
                  <c:v>2018 Aug</c:v>
                </c:pt>
                <c:pt idx="164">
                  <c:v>2018 Sep</c:v>
                </c:pt>
                <c:pt idx="165">
                  <c:v>2018 Oct</c:v>
                </c:pt>
                <c:pt idx="166">
                  <c:v>2018 Nov</c:v>
                </c:pt>
                <c:pt idx="167">
                  <c:v>2018 Dec</c:v>
                </c:pt>
              </c:strCache>
            </c:strRef>
          </c:xVal>
          <c:yVal>
            <c:numRef>
              <c:f>'Holt'' Winters '!$F$9:$F$176</c:f>
              <c:numCache>
                <c:formatCode>General</c:formatCode>
                <c:ptCount val="168"/>
                <c:pt idx="13">
                  <c:v>1126.8245890378359</c:v>
                </c:pt>
                <c:pt idx="14">
                  <c:v>1120.8338221139297</c:v>
                </c:pt>
                <c:pt idx="15">
                  <c:v>1161.4142045201118</c:v>
                </c:pt>
                <c:pt idx="16">
                  <c:v>1226.0062246609693</c:v>
                </c:pt>
                <c:pt idx="17">
                  <c:v>1285.322288708777</c:v>
                </c:pt>
                <c:pt idx="18">
                  <c:v>1175.4871351795662</c:v>
                </c:pt>
                <c:pt idx="19">
                  <c:v>1270.5118552209556</c:v>
                </c:pt>
                <c:pt idx="20">
                  <c:v>1249.0667472377781</c:v>
                </c:pt>
                <c:pt idx="21">
                  <c:v>1192.7279489662822</c:v>
                </c:pt>
                <c:pt idx="22">
                  <c:v>1257.5213770884236</c:v>
                </c:pt>
                <c:pt idx="23">
                  <c:v>1137.7076566311437</c:v>
                </c:pt>
                <c:pt idx="24">
                  <c:v>1155.3914223959432</c:v>
                </c:pt>
                <c:pt idx="25">
                  <c:v>1166.339890728771</c:v>
                </c:pt>
                <c:pt idx="26">
                  <c:v>1142.8203328982645</c:v>
                </c:pt>
                <c:pt idx="27">
                  <c:v>1170.148575746653</c:v>
                </c:pt>
                <c:pt idx="28">
                  <c:v>1235.4036257997807</c:v>
                </c:pt>
                <c:pt idx="29">
                  <c:v>1282.1416704358642</c:v>
                </c:pt>
                <c:pt idx="30">
                  <c:v>1180.1075036447157</c:v>
                </c:pt>
                <c:pt idx="31">
                  <c:v>1294.9708371645436</c:v>
                </c:pt>
                <c:pt idx="32">
                  <c:v>1257.0178191002267</c:v>
                </c:pt>
                <c:pt idx="33">
                  <c:v>1211.6952295480178</c:v>
                </c:pt>
                <c:pt idx="34">
                  <c:v>1281.702529366682</c:v>
                </c:pt>
                <c:pt idx="35">
                  <c:v>1163.5587808457021</c:v>
                </c:pt>
                <c:pt idx="36">
                  <c:v>1198.76692734114</c:v>
                </c:pt>
                <c:pt idx="37">
                  <c:v>1185.3025127689107</c:v>
                </c:pt>
                <c:pt idx="38">
                  <c:v>1204.7354662925113</c:v>
                </c:pt>
                <c:pt idx="39">
                  <c:v>1213.3572331055509</c:v>
                </c:pt>
                <c:pt idx="40">
                  <c:v>1294.7809801768105</c:v>
                </c:pt>
                <c:pt idx="41">
                  <c:v>1314.7532545209656</c:v>
                </c:pt>
                <c:pt idx="42">
                  <c:v>1247.0410875100551</c:v>
                </c:pt>
                <c:pt idx="43">
                  <c:v>1355.9545279050531</c:v>
                </c:pt>
                <c:pt idx="44">
                  <c:v>1280.913381524191</c:v>
                </c:pt>
                <c:pt idx="45">
                  <c:v>1276.1818729826837</c:v>
                </c:pt>
                <c:pt idx="46">
                  <c:v>1331.6814332857211</c:v>
                </c:pt>
                <c:pt idx="47">
                  <c:v>1197.4815204203321</c:v>
                </c:pt>
                <c:pt idx="48">
                  <c:v>1238.1526141014419</c:v>
                </c:pt>
                <c:pt idx="49">
                  <c:v>1193.1121650055213</c:v>
                </c:pt>
                <c:pt idx="50">
                  <c:v>1182.5220530004422</c:v>
                </c:pt>
                <c:pt idx="51">
                  <c:v>1213.9993221755135</c:v>
                </c:pt>
                <c:pt idx="52">
                  <c:v>1248.8021855364493</c:v>
                </c:pt>
                <c:pt idx="53">
                  <c:v>1266.5733155893472</c:v>
                </c:pt>
                <c:pt idx="54">
                  <c:v>1212.5530001066509</c:v>
                </c:pt>
                <c:pt idx="55">
                  <c:v>1274.6441706745677</c:v>
                </c:pt>
                <c:pt idx="56">
                  <c:v>1258.2337181402438</c:v>
                </c:pt>
                <c:pt idx="57">
                  <c:v>1242.8798005131182</c:v>
                </c:pt>
                <c:pt idx="58">
                  <c:v>1275.7533978338649</c:v>
                </c:pt>
                <c:pt idx="59">
                  <c:v>1186.7899407355817</c:v>
                </c:pt>
                <c:pt idx="60">
                  <c:v>1202.5580352929578</c:v>
                </c:pt>
                <c:pt idx="61">
                  <c:v>1177.3602917153423</c:v>
                </c:pt>
                <c:pt idx="62">
                  <c:v>1171.1970448670377</c:v>
                </c:pt>
                <c:pt idx="63">
                  <c:v>1238.4366554600019</c:v>
                </c:pt>
                <c:pt idx="64">
                  <c:v>1290.2419239390608</c:v>
                </c:pt>
                <c:pt idx="65">
                  <c:v>1338.0131043523047</c:v>
                </c:pt>
                <c:pt idx="66">
                  <c:v>1298.9776848204415</c:v>
                </c:pt>
                <c:pt idx="67">
                  <c:v>1331.6981049771157</c:v>
                </c:pt>
                <c:pt idx="68">
                  <c:v>1328.3202421563274</c:v>
                </c:pt>
                <c:pt idx="69">
                  <c:v>1326.5343562715923</c:v>
                </c:pt>
                <c:pt idx="70">
                  <c:v>1331.7554631627388</c:v>
                </c:pt>
                <c:pt idx="71">
                  <c:v>1267.1379036381484</c:v>
                </c:pt>
                <c:pt idx="72">
                  <c:v>1283.0892658266227</c:v>
                </c:pt>
                <c:pt idx="73">
                  <c:v>1278.3190431301659</c:v>
                </c:pt>
                <c:pt idx="74">
                  <c:v>1311.5030569273811</c:v>
                </c:pt>
                <c:pt idx="75">
                  <c:v>1317.947968172281</c:v>
                </c:pt>
                <c:pt idx="76">
                  <c:v>1319.8084243882756</c:v>
                </c:pt>
                <c:pt idx="77">
                  <c:v>1392.2672946231444</c:v>
                </c:pt>
                <c:pt idx="78">
                  <c:v>1338.7396180222734</c:v>
                </c:pt>
                <c:pt idx="79">
                  <c:v>1345.7225289038493</c:v>
                </c:pt>
                <c:pt idx="80">
                  <c:v>1355.0972443737935</c:v>
                </c:pt>
                <c:pt idx="81">
                  <c:v>1358.5720912215206</c:v>
                </c:pt>
                <c:pt idx="82">
                  <c:v>1363.991157963887</c:v>
                </c:pt>
                <c:pt idx="83">
                  <c:v>1336.5863006399391</c:v>
                </c:pt>
                <c:pt idx="84">
                  <c:v>1297.2534822717735</c:v>
                </c:pt>
                <c:pt idx="85">
                  <c:v>1269.498471979264</c:v>
                </c:pt>
                <c:pt idx="86">
                  <c:v>1310.033948283648</c:v>
                </c:pt>
                <c:pt idx="87">
                  <c:v>1322.0157067139735</c:v>
                </c:pt>
                <c:pt idx="88">
                  <c:v>1348.7105665537367</c:v>
                </c:pt>
                <c:pt idx="89">
                  <c:v>1437.9235018464026</c:v>
                </c:pt>
                <c:pt idx="90">
                  <c:v>1362.8050281160436</c:v>
                </c:pt>
                <c:pt idx="91">
                  <c:v>1409.5604106655637</c:v>
                </c:pt>
                <c:pt idx="92">
                  <c:v>1390.1897376327124</c:v>
                </c:pt>
                <c:pt idx="93">
                  <c:v>1380.873630838063</c:v>
                </c:pt>
                <c:pt idx="94">
                  <c:v>1416.2730629356404</c:v>
                </c:pt>
                <c:pt idx="95">
                  <c:v>1366.3800716425567</c:v>
                </c:pt>
                <c:pt idx="96">
                  <c:v>1322.7456803445307</c:v>
                </c:pt>
                <c:pt idx="97">
                  <c:v>1365.780295443155</c:v>
                </c:pt>
                <c:pt idx="98">
                  <c:v>1363.2252210665069</c:v>
                </c:pt>
                <c:pt idx="99">
                  <c:v>1385.3676021714123</c:v>
                </c:pt>
                <c:pt idx="100">
                  <c:v>1395.9753080306527</c:v>
                </c:pt>
                <c:pt idx="101">
                  <c:v>1459.5460631535673</c:v>
                </c:pt>
                <c:pt idx="102">
                  <c:v>1391.9705800548827</c:v>
                </c:pt>
                <c:pt idx="103">
                  <c:v>1453.5416738071292</c:v>
                </c:pt>
                <c:pt idx="104">
                  <c:v>1414.7843527695636</c:v>
                </c:pt>
                <c:pt idx="105">
                  <c:v>1395.9895287837849</c:v>
                </c:pt>
                <c:pt idx="106">
                  <c:v>1423.9235030184575</c:v>
                </c:pt>
                <c:pt idx="107">
                  <c:v>1392.9936780216108</c:v>
                </c:pt>
                <c:pt idx="108">
                  <c:v>1352.6653341764184</c:v>
                </c:pt>
                <c:pt idx="109">
                  <c:v>1351.9313910408894</c:v>
                </c:pt>
                <c:pt idx="110">
                  <c:v>1368.2752796639104</c:v>
                </c:pt>
                <c:pt idx="111">
                  <c:v>1414.5891394869461</c:v>
                </c:pt>
                <c:pt idx="112">
                  <c:v>1418.5174802894592</c:v>
                </c:pt>
                <c:pt idx="113">
                  <c:v>1470.6219650664857</c:v>
                </c:pt>
                <c:pt idx="114">
                  <c:v>1431.7504766590012</c:v>
                </c:pt>
                <c:pt idx="115">
                  <c:v>1461.1181411879736</c:v>
                </c:pt>
                <c:pt idx="116">
                  <c:v>1436.9232513765046</c:v>
                </c:pt>
                <c:pt idx="117">
                  <c:v>1424.9703391883634</c:v>
                </c:pt>
                <c:pt idx="118">
                  <c:v>1459.934379830549</c:v>
                </c:pt>
                <c:pt idx="119">
                  <c:v>1417.1981284215719</c:v>
                </c:pt>
                <c:pt idx="120">
                  <c:v>1383.5323419526662</c:v>
                </c:pt>
                <c:pt idx="121">
                  <c:v>1393.4388513898318</c:v>
                </c:pt>
                <c:pt idx="122">
                  <c:v>1381.8156360431553</c:v>
                </c:pt>
                <c:pt idx="123">
                  <c:v>1451.9986949489607</c:v>
                </c:pt>
                <c:pt idx="124">
                  <c:v>1457.5306441919579</c:v>
                </c:pt>
                <c:pt idx="125">
                  <c:v>1510.8838101927286</c:v>
                </c:pt>
                <c:pt idx="126">
                  <c:v>1483.3142859428713</c:v>
                </c:pt>
                <c:pt idx="127">
                  <c:v>1511.2894025513262</c:v>
                </c:pt>
                <c:pt idx="128">
                  <c:v>1481.1990890106413</c:v>
                </c:pt>
                <c:pt idx="129">
                  <c:v>1473.2432882035253</c:v>
                </c:pt>
                <c:pt idx="130">
                  <c:v>1500.5647509390194</c:v>
                </c:pt>
                <c:pt idx="131">
                  <c:v>1460.6589707674589</c:v>
                </c:pt>
                <c:pt idx="132">
                  <c:v>1425.9470721561499</c:v>
                </c:pt>
                <c:pt idx="133">
                  <c:v>1409.7662765166917</c:v>
                </c:pt>
                <c:pt idx="134">
                  <c:v>1429.8052690618351</c:v>
                </c:pt>
                <c:pt idx="135">
                  <c:v>1493.2080311601119</c:v>
                </c:pt>
                <c:pt idx="136">
                  <c:v>1501.6787940279241</c:v>
                </c:pt>
                <c:pt idx="137">
                  <c:v>1546.0078171243804</c:v>
                </c:pt>
                <c:pt idx="138">
                  <c:v>1521.6556392608941</c:v>
                </c:pt>
                <c:pt idx="139">
                  <c:v>1540.2087211053135</c:v>
                </c:pt>
                <c:pt idx="140">
                  <c:v>1502.6000361245642</c:v>
                </c:pt>
                <c:pt idx="141">
                  <c:v>1486.6711003451221</c:v>
                </c:pt>
                <c:pt idx="142">
                  <c:v>1500.4812806183502</c:v>
                </c:pt>
                <c:pt idx="143">
                  <c:v>1450.0487393538492</c:v>
                </c:pt>
                <c:pt idx="144">
                  <c:v>1419.1886022006936</c:v>
                </c:pt>
                <c:pt idx="145">
                  <c:v>1417.9392481932584</c:v>
                </c:pt>
                <c:pt idx="146">
                  <c:v>1417.4298917146052</c:v>
                </c:pt>
                <c:pt idx="147">
                  <c:v>1505.494392063503</c:v>
                </c:pt>
                <c:pt idx="148">
                  <c:v>1494.3580681783328</c:v>
                </c:pt>
                <c:pt idx="149">
                  <c:v>1544.9953444188327</c:v>
                </c:pt>
                <c:pt idx="150">
                  <c:v>1492.3079276665526</c:v>
                </c:pt>
                <c:pt idx="151">
                  <c:v>1538.5373797227005</c:v>
                </c:pt>
                <c:pt idx="152">
                  <c:v>1517.1387942416111</c:v>
                </c:pt>
                <c:pt idx="153">
                  <c:v>1524.7982548272523</c:v>
                </c:pt>
                <c:pt idx="154">
                  <c:v>1543.1765126824614</c:v>
                </c:pt>
                <c:pt idx="155">
                  <c:v>1503.7022339277864</c:v>
                </c:pt>
                <c:pt idx="156">
                  <c:v>1479.6950509439046</c:v>
                </c:pt>
                <c:pt idx="157">
                  <c:v>1474.9024460510684</c:v>
                </c:pt>
                <c:pt idx="158">
                  <c:v>1468.0684867531854</c:v>
                </c:pt>
                <c:pt idx="159">
                  <c:v>1537.4519077837797</c:v>
                </c:pt>
                <c:pt idx="160">
                  <c:v>1560.9198666987777</c:v>
                </c:pt>
                <c:pt idx="161">
                  <c:v>1587.815113112767</c:v>
                </c:pt>
                <c:pt idx="162">
                  <c:v>1573.7956200861472</c:v>
                </c:pt>
                <c:pt idx="163">
                  <c:v>1645.1981678119773</c:v>
                </c:pt>
                <c:pt idx="164">
                  <c:v>1585.2042380298467</c:v>
                </c:pt>
                <c:pt idx="165">
                  <c:v>1590.0990438269773</c:v>
                </c:pt>
                <c:pt idx="166">
                  <c:v>1614.5240624121632</c:v>
                </c:pt>
                <c:pt idx="167">
                  <c:v>1568.5975390211752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2F-4B13-97D2-DFB73746B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5533184"/>
        <c:axId val="545533512"/>
      </c:scatterChart>
      <c:valAx>
        <c:axId val="54553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33512"/>
        <c:crosses val="autoZero"/>
        <c:crossBetween val="midCat"/>
      </c:valAx>
      <c:valAx>
        <c:axId val="545533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553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'Holt'' Winters '!$G$8</c:f>
              <c:strCache>
                <c:ptCount val="1"/>
                <c:pt idx="0">
                  <c:v>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'Holt'' Winters '!$A$9:$A$164</c:f>
              <c:strCache>
                <c:ptCount val="156"/>
                <c:pt idx="0">
                  <c:v>2005 Jan</c:v>
                </c:pt>
                <c:pt idx="1">
                  <c:v>2005 Feb</c:v>
                </c:pt>
                <c:pt idx="2">
                  <c:v>2005 Mar</c:v>
                </c:pt>
                <c:pt idx="3">
                  <c:v>2005 Apr</c:v>
                </c:pt>
                <c:pt idx="4">
                  <c:v>2005 May</c:v>
                </c:pt>
                <c:pt idx="5">
                  <c:v>2005 Jun</c:v>
                </c:pt>
                <c:pt idx="6">
                  <c:v>2005 Jul</c:v>
                </c:pt>
                <c:pt idx="7">
                  <c:v>2005 Aug</c:v>
                </c:pt>
                <c:pt idx="8">
                  <c:v>2005 Sep</c:v>
                </c:pt>
                <c:pt idx="9">
                  <c:v>2005 Oct</c:v>
                </c:pt>
                <c:pt idx="10">
                  <c:v>2005 Nov</c:v>
                </c:pt>
                <c:pt idx="11">
                  <c:v>2005 Dec</c:v>
                </c:pt>
                <c:pt idx="12">
                  <c:v>2006 Jan</c:v>
                </c:pt>
                <c:pt idx="13">
                  <c:v>2006 Feb</c:v>
                </c:pt>
                <c:pt idx="14">
                  <c:v>2006 Mar</c:v>
                </c:pt>
                <c:pt idx="15">
                  <c:v>2006 Apr</c:v>
                </c:pt>
                <c:pt idx="16">
                  <c:v>2006 May</c:v>
                </c:pt>
                <c:pt idx="17">
                  <c:v>2006 Jun</c:v>
                </c:pt>
                <c:pt idx="18">
                  <c:v>2006 Jul</c:v>
                </c:pt>
                <c:pt idx="19">
                  <c:v>2006 Aug</c:v>
                </c:pt>
                <c:pt idx="20">
                  <c:v>2006 Sep</c:v>
                </c:pt>
                <c:pt idx="21">
                  <c:v>2006 Oct</c:v>
                </c:pt>
                <c:pt idx="22">
                  <c:v>2006 Nov</c:v>
                </c:pt>
                <c:pt idx="23">
                  <c:v>2006 Dec</c:v>
                </c:pt>
                <c:pt idx="24">
                  <c:v>2007 Jan</c:v>
                </c:pt>
                <c:pt idx="25">
                  <c:v>2007 Feb</c:v>
                </c:pt>
                <c:pt idx="26">
                  <c:v>2007 Mar</c:v>
                </c:pt>
                <c:pt idx="27">
                  <c:v>2007 Apr</c:v>
                </c:pt>
                <c:pt idx="28">
                  <c:v>2007 May</c:v>
                </c:pt>
                <c:pt idx="29">
                  <c:v>2007 Jun</c:v>
                </c:pt>
                <c:pt idx="30">
                  <c:v>2007 Jul</c:v>
                </c:pt>
                <c:pt idx="31">
                  <c:v>2007 Aug</c:v>
                </c:pt>
                <c:pt idx="32">
                  <c:v>2007 Sep</c:v>
                </c:pt>
                <c:pt idx="33">
                  <c:v>2007 Oct</c:v>
                </c:pt>
                <c:pt idx="34">
                  <c:v>2007 Nov</c:v>
                </c:pt>
                <c:pt idx="35">
                  <c:v>2007 Dec</c:v>
                </c:pt>
                <c:pt idx="36">
                  <c:v>2008 Jan</c:v>
                </c:pt>
                <c:pt idx="37">
                  <c:v>2008 Feb</c:v>
                </c:pt>
                <c:pt idx="38">
                  <c:v>2008 Mar</c:v>
                </c:pt>
                <c:pt idx="39">
                  <c:v>2008 Apr</c:v>
                </c:pt>
                <c:pt idx="40">
                  <c:v>2008 May</c:v>
                </c:pt>
                <c:pt idx="41">
                  <c:v>2008 Jun</c:v>
                </c:pt>
                <c:pt idx="42">
                  <c:v>2008 Jul</c:v>
                </c:pt>
                <c:pt idx="43">
                  <c:v>2008 Aug</c:v>
                </c:pt>
                <c:pt idx="44">
                  <c:v>2008 Sep</c:v>
                </c:pt>
                <c:pt idx="45">
                  <c:v>2008 Oct</c:v>
                </c:pt>
                <c:pt idx="46">
                  <c:v>2008 Nov</c:v>
                </c:pt>
                <c:pt idx="47">
                  <c:v>2008 Dec</c:v>
                </c:pt>
                <c:pt idx="48">
                  <c:v>2009 Jan</c:v>
                </c:pt>
                <c:pt idx="49">
                  <c:v>2009 Feb</c:v>
                </c:pt>
                <c:pt idx="50">
                  <c:v>2009 Mar</c:v>
                </c:pt>
                <c:pt idx="51">
                  <c:v>2009 Apr</c:v>
                </c:pt>
                <c:pt idx="52">
                  <c:v>2009 May</c:v>
                </c:pt>
                <c:pt idx="53">
                  <c:v>2009 Jun</c:v>
                </c:pt>
                <c:pt idx="54">
                  <c:v>2009 Jul</c:v>
                </c:pt>
                <c:pt idx="55">
                  <c:v>2009 Aug</c:v>
                </c:pt>
                <c:pt idx="56">
                  <c:v>2009 Sep</c:v>
                </c:pt>
                <c:pt idx="57">
                  <c:v>2009 Oct</c:v>
                </c:pt>
                <c:pt idx="58">
                  <c:v>2009 Nov</c:v>
                </c:pt>
                <c:pt idx="59">
                  <c:v>2009 Dec</c:v>
                </c:pt>
                <c:pt idx="60">
                  <c:v>2010 Jan</c:v>
                </c:pt>
                <c:pt idx="61">
                  <c:v>2010 Feb</c:v>
                </c:pt>
                <c:pt idx="62">
                  <c:v>2010 Mar</c:v>
                </c:pt>
                <c:pt idx="63">
                  <c:v>2010 Apr</c:v>
                </c:pt>
                <c:pt idx="64">
                  <c:v>2010 May</c:v>
                </c:pt>
                <c:pt idx="65">
                  <c:v>2010 Jun</c:v>
                </c:pt>
                <c:pt idx="66">
                  <c:v>2010 Jul</c:v>
                </c:pt>
                <c:pt idx="67">
                  <c:v>2010 Aug</c:v>
                </c:pt>
                <c:pt idx="68">
                  <c:v>2010 Sep</c:v>
                </c:pt>
                <c:pt idx="69">
                  <c:v>2010 Oct</c:v>
                </c:pt>
                <c:pt idx="70">
                  <c:v>2010 Nov</c:v>
                </c:pt>
                <c:pt idx="71">
                  <c:v>2010 Dec</c:v>
                </c:pt>
                <c:pt idx="72">
                  <c:v>2011 Jan</c:v>
                </c:pt>
                <c:pt idx="73">
                  <c:v>2011 Feb</c:v>
                </c:pt>
                <c:pt idx="74">
                  <c:v>2011 Mar</c:v>
                </c:pt>
                <c:pt idx="75">
                  <c:v>2011 Apr</c:v>
                </c:pt>
                <c:pt idx="76">
                  <c:v>2011 May</c:v>
                </c:pt>
                <c:pt idx="77">
                  <c:v>2011 Jun</c:v>
                </c:pt>
                <c:pt idx="78">
                  <c:v>2011 Jul</c:v>
                </c:pt>
                <c:pt idx="79">
                  <c:v>2011 Aug</c:v>
                </c:pt>
                <c:pt idx="80">
                  <c:v>2011 Sep</c:v>
                </c:pt>
                <c:pt idx="81">
                  <c:v>2011 Oct</c:v>
                </c:pt>
                <c:pt idx="82">
                  <c:v>2011 Nov</c:v>
                </c:pt>
                <c:pt idx="83">
                  <c:v>2011 Dec</c:v>
                </c:pt>
                <c:pt idx="84">
                  <c:v>2012 Jan</c:v>
                </c:pt>
                <c:pt idx="85">
                  <c:v>2012 Feb</c:v>
                </c:pt>
                <c:pt idx="86">
                  <c:v>2012 Mar</c:v>
                </c:pt>
                <c:pt idx="87">
                  <c:v>2012 Apr</c:v>
                </c:pt>
                <c:pt idx="88">
                  <c:v>2012 May</c:v>
                </c:pt>
                <c:pt idx="89">
                  <c:v>2012 Jun</c:v>
                </c:pt>
                <c:pt idx="90">
                  <c:v>2012 Jul</c:v>
                </c:pt>
                <c:pt idx="91">
                  <c:v>2012 Aug</c:v>
                </c:pt>
                <c:pt idx="92">
                  <c:v>2012 Sep</c:v>
                </c:pt>
                <c:pt idx="93">
                  <c:v>2012 Oct</c:v>
                </c:pt>
                <c:pt idx="94">
                  <c:v>2012 Nov</c:v>
                </c:pt>
                <c:pt idx="95">
                  <c:v>2012 Dec</c:v>
                </c:pt>
                <c:pt idx="96">
                  <c:v>2013 Jan</c:v>
                </c:pt>
                <c:pt idx="97">
                  <c:v>2013 Feb</c:v>
                </c:pt>
                <c:pt idx="98">
                  <c:v>2013 Mar</c:v>
                </c:pt>
                <c:pt idx="99">
                  <c:v>2013 Apr</c:v>
                </c:pt>
                <c:pt idx="100">
                  <c:v>2013 May</c:v>
                </c:pt>
                <c:pt idx="101">
                  <c:v>2013 Jun</c:v>
                </c:pt>
                <c:pt idx="102">
                  <c:v>2013 Jul</c:v>
                </c:pt>
                <c:pt idx="103">
                  <c:v>2013 Aug</c:v>
                </c:pt>
                <c:pt idx="104">
                  <c:v>2013 Sep</c:v>
                </c:pt>
                <c:pt idx="105">
                  <c:v>2013 Oct</c:v>
                </c:pt>
                <c:pt idx="106">
                  <c:v>2013 Nov</c:v>
                </c:pt>
                <c:pt idx="107">
                  <c:v>2013 Dec</c:v>
                </c:pt>
                <c:pt idx="108">
                  <c:v>2014 Jan</c:v>
                </c:pt>
                <c:pt idx="109">
                  <c:v>2014 Feb</c:v>
                </c:pt>
                <c:pt idx="110">
                  <c:v>2014 Mar</c:v>
                </c:pt>
                <c:pt idx="111">
                  <c:v>2014 Apr</c:v>
                </c:pt>
                <c:pt idx="112">
                  <c:v>2014 May</c:v>
                </c:pt>
                <c:pt idx="113">
                  <c:v>2014 Jun</c:v>
                </c:pt>
                <c:pt idx="114">
                  <c:v>2014 Jul</c:v>
                </c:pt>
                <c:pt idx="115">
                  <c:v>2014 Aug</c:v>
                </c:pt>
                <c:pt idx="116">
                  <c:v>2014 Sep</c:v>
                </c:pt>
                <c:pt idx="117">
                  <c:v>2014 Oct</c:v>
                </c:pt>
                <c:pt idx="118">
                  <c:v>2014 Nov</c:v>
                </c:pt>
                <c:pt idx="119">
                  <c:v>2014 Dec</c:v>
                </c:pt>
                <c:pt idx="120">
                  <c:v>2015 Jan</c:v>
                </c:pt>
                <c:pt idx="121">
                  <c:v>2015 Feb</c:v>
                </c:pt>
                <c:pt idx="122">
                  <c:v>2015 Mar</c:v>
                </c:pt>
                <c:pt idx="123">
                  <c:v>2015 Apr</c:v>
                </c:pt>
                <c:pt idx="124">
                  <c:v>2015 May</c:v>
                </c:pt>
                <c:pt idx="125">
                  <c:v>2015 Jun</c:v>
                </c:pt>
                <c:pt idx="126">
                  <c:v>2015 Jul</c:v>
                </c:pt>
                <c:pt idx="127">
                  <c:v>2015 Aug</c:v>
                </c:pt>
                <c:pt idx="128">
                  <c:v>2015 Sep</c:v>
                </c:pt>
                <c:pt idx="129">
                  <c:v>2015 Oct</c:v>
                </c:pt>
                <c:pt idx="130">
                  <c:v>2015 Nov</c:v>
                </c:pt>
                <c:pt idx="131">
                  <c:v>2015 Dec</c:v>
                </c:pt>
                <c:pt idx="132">
                  <c:v>2016 Jan</c:v>
                </c:pt>
                <c:pt idx="133">
                  <c:v>2016 Feb</c:v>
                </c:pt>
                <c:pt idx="134">
                  <c:v>2016 Mar</c:v>
                </c:pt>
                <c:pt idx="135">
                  <c:v>2016 Apr</c:v>
                </c:pt>
                <c:pt idx="136">
                  <c:v>2016 May</c:v>
                </c:pt>
                <c:pt idx="137">
                  <c:v>2016 Jun</c:v>
                </c:pt>
                <c:pt idx="138">
                  <c:v>2016 Jul</c:v>
                </c:pt>
                <c:pt idx="139">
                  <c:v>2016 Aug</c:v>
                </c:pt>
                <c:pt idx="140">
                  <c:v>2016 Sep</c:v>
                </c:pt>
                <c:pt idx="141">
                  <c:v>2016 Oct</c:v>
                </c:pt>
                <c:pt idx="142">
                  <c:v>2016 Nov</c:v>
                </c:pt>
                <c:pt idx="143">
                  <c:v>2016 Dec</c:v>
                </c:pt>
                <c:pt idx="144">
                  <c:v>2017 Jan</c:v>
                </c:pt>
                <c:pt idx="145">
                  <c:v>2017 Feb</c:v>
                </c:pt>
                <c:pt idx="146">
                  <c:v>2017 Mar</c:v>
                </c:pt>
                <c:pt idx="147">
                  <c:v>2017 Apr</c:v>
                </c:pt>
                <c:pt idx="148">
                  <c:v>2017 May</c:v>
                </c:pt>
                <c:pt idx="149">
                  <c:v>2017 Jun</c:v>
                </c:pt>
                <c:pt idx="150">
                  <c:v>2017 Jul</c:v>
                </c:pt>
                <c:pt idx="151">
                  <c:v>2017 Aug</c:v>
                </c:pt>
                <c:pt idx="152">
                  <c:v>2017 Sep</c:v>
                </c:pt>
                <c:pt idx="153">
                  <c:v>2017 Oct</c:v>
                </c:pt>
                <c:pt idx="154">
                  <c:v>2017 Nov</c:v>
                </c:pt>
                <c:pt idx="155">
                  <c:v>2017 Dec</c:v>
                </c:pt>
              </c:strCache>
            </c:strRef>
          </c:xVal>
          <c:yVal>
            <c:numRef>
              <c:f>'Holt'' Winters '!$G$9:$G$164</c:f>
              <c:numCache>
                <c:formatCode>General</c:formatCode>
                <c:ptCount val="156"/>
                <c:pt idx="13">
                  <c:v>-47.024589037835995</c:v>
                </c:pt>
                <c:pt idx="14">
                  <c:v>-21.933822113929637</c:v>
                </c:pt>
                <c:pt idx="15">
                  <c:v>-59.314204520111844</c:v>
                </c:pt>
                <c:pt idx="16">
                  <c:v>-52.006224660969337</c:v>
                </c:pt>
                <c:pt idx="17">
                  <c:v>-114.32228870877702</c:v>
                </c:pt>
                <c:pt idx="18">
                  <c:v>-57.387135179566258</c:v>
                </c:pt>
                <c:pt idx="19">
                  <c:v>-31.411855220955658</c:v>
                </c:pt>
                <c:pt idx="20">
                  <c:v>-84.666747237778054</c:v>
                </c:pt>
                <c:pt idx="21">
                  <c:v>-12.527948966282111</c:v>
                </c:pt>
                <c:pt idx="22">
                  <c:v>-25.921377088423696</c:v>
                </c:pt>
                <c:pt idx="23">
                  <c:v>-7.2076566311436636</c:v>
                </c:pt>
                <c:pt idx="24">
                  <c:v>47.2085776040567</c:v>
                </c:pt>
                <c:pt idx="25">
                  <c:v>-68.03989072877107</c:v>
                </c:pt>
                <c:pt idx="26">
                  <c:v>39.579667101735595</c:v>
                </c:pt>
                <c:pt idx="27">
                  <c:v>10.751424253347068</c:v>
                </c:pt>
                <c:pt idx="28">
                  <c:v>15.796374200219361</c:v>
                </c:pt>
                <c:pt idx="29">
                  <c:v>-69.541670435864262</c:v>
                </c:pt>
                <c:pt idx="30">
                  <c:v>45.092496355284311</c:v>
                </c:pt>
                <c:pt idx="31">
                  <c:v>-26.770837164543536</c:v>
                </c:pt>
                <c:pt idx="32">
                  <c:v>-74.817819100226643</c:v>
                </c:pt>
                <c:pt idx="33">
                  <c:v>41.804770451982222</c:v>
                </c:pt>
                <c:pt idx="34">
                  <c:v>-10.302529366681938</c:v>
                </c:pt>
                <c:pt idx="35">
                  <c:v>28.541219154297778</c:v>
                </c:pt>
                <c:pt idx="36">
                  <c:v>49.933072658860056</c:v>
                </c:pt>
                <c:pt idx="37">
                  <c:v>31.797487231089235</c:v>
                </c:pt>
                <c:pt idx="38">
                  <c:v>-41.63546629251141</c:v>
                </c:pt>
                <c:pt idx="39">
                  <c:v>68.042766894449187</c:v>
                </c:pt>
                <c:pt idx="40">
                  <c:v>-45.680980176810635</c:v>
                </c:pt>
                <c:pt idx="41">
                  <c:v>-3.5532545209655382</c:v>
                </c:pt>
                <c:pt idx="42">
                  <c:v>51.658912489944896</c:v>
                </c:pt>
                <c:pt idx="43">
                  <c:v>-165.75452790505301</c:v>
                </c:pt>
                <c:pt idx="44">
                  <c:v>17.686618475808928</c:v>
                </c:pt>
                <c:pt idx="45">
                  <c:v>6.4181270173162375</c:v>
                </c:pt>
                <c:pt idx="46">
                  <c:v>-113.28143328572105</c:v>
                </c:pt>
                <c:pt idx="47">
                  <c:v>48.318479579667837</c:v>
                </c:pt>
                <c:pt idx="48">
                  <c:v>-68.652614101441941</c:v>
                </c:pt>
                <c:pt idx="49">
                  <c:v>-2.912165005521274</c:v>
                </c:pt>
                <c:pt idx="50">
                  <c:v>5.7779469995577983</c:v>
                </c:pt>
                <c:pt idx="51">
                  <c:v>-2.2993221755134527</c:v>
                </c:pt>
                <c:pt idx="52">
                  <c:v>-41.602185536449269</c:v>
                </c:pt>
                <c:pt idx="53">
                  <c:v>48.726684410652751</c:v>
                </c:pt>
                <c:pt idx="54">
                  <c:v>92.146999893349175</c:v>
                </c:pt>
                <c:pt idx="55">
                  <c:v>-33.244170674567613</c:v>
                </c:pt>
                <c:pt idx="56">
                  <c:v>-16.433718140243855</c:v>
                </c:pt>
                <c:pt idx="57">
                  <c:v>34.620199486881802</c:v>
                </c:pt>
                <c:pt idx="58">
                  <c:v>-53.053397833864892</c:v>
                </c:pt>
                <c:pt idx="59">
                  <c:v>42.910059264418351</c:v>
                </c:pt>
                <c:pt idx="60">
                  <c:v>-40.858035292957766</c:v>
                </c:pt>
                <c:pt idx="61">
                  <c:v>2.6397082846576723</c:v>
                </c:pt>
                <c:pt idx="62">
                  <c:v>174.20295513296242</c:v>
                </c:pt>
                <c:pt idx="63">
                  <c:v>70.363344539998025</c:v>
                </c:pt>
                <c:pt idx="64">
                  <c:v>-55.241923939060825</c:v>
                </c:pt>
                <c:pt idx="65">
                  <c:v>35.186895647695337</c:v>
                </c:pt>
                <c:pt idx="66">
                  <c:v>18.322315179558473</c:v>
                </c:pt>
                <c:pt idx="67">
                  <c:v>-23.398104977115736</c:v>
                </c:pt>
                <c:pt idx="68">
                  <c:v>-41.020242156327413</c:v>
                </c:pt>
                <c:pt idx="69">
                  <c:v>-48.234356271592333</c:v>
                </c:pt>
                <c:pt idx="70">
                  <c:v>-32.555463162738761</c:v>
                </c:pt>
                <c:pt idx="71">
                  <c:v>108.16209636185158</c:v>
                </c:pt>
                <c:pt idx="72">
                  <c:v>-16.689265826622659</c:v>
                </c:pt>
                <c:pt idx="73">
                  <c:v>-24.519043130165983</c:v>
                </c:pt>
                <c:pt idx="74">
                  <c:v>-50.003056927381067</c:v>
                </c:pt>
                <c:pt idx="75">
                  <c:v>-34.547968172280889</c:v>
                </c:pt>
                <c:pt idx="76">
                  <c:v>-5.5084243882756709</c:v>
                </c:pt>
                <c:pt idx="77">
                  <c:v>13.332705376855529</c:v>
                </c:pt>
                <c:pt idx="78">
                  <c:v>-38.139618022273453</c:v>
                </c:pt>
                <c:pt idx="79">
                  <c:v>94.777471096150748</c:v>
                </c:pt>
                <c:pt idx="80">
                  <c:v>6.80275562620659</c:v>
                </c:pt>
                <c:pt idx="81">
                  <c:v>-58.872091221520577</c:v>
                </c:pt>
                <c:pt idx="82">
                  <c:v>22.208842036113083</c:v>
                </c:pt>
                <c:pt idx="83">
                  <c:v>-34.086300639939054</c:v>
                </c:pt>
                <c:pt idx="84">
                  <c:v>-94.653482271773555</c:v>
                </c:pt>
                <c:pt idx="85">
                  <c:v>74.901528020736123</c:v>
                </c:pt>
                <c:pt idx="86">
                  <c:v>-18.533948283647987</c:v>
                </c:pt>
                <c:pt idx="87">
                  <c:v>69.284293286026468</c:v>
                </c:pt>
                <c:pt idx="88">
                  <c:v>39.389433446263183</c:v>
                </c:pt>
                <c:pt idx="89">
                  <c:v>-46.723501846402542</c:v>
                </c:pt>
                <c:pt idx="90">
                  <c:v>12.994971883956396</c:v>
                </c:pt>
                <c:pt idx="91">
                  <c:v>33.639589334436323</c:v>
                </c:pt>
                <c:pt idx="92">
                  <c:v>11.110262367287532</c:v>
                </c:pt>
                <c:pt idx="93">
                  <c:v>-2.1736308380629907</c:v>
                </c:pt>
                <c:pt idx="94">
                  <c:v>-37.473062935640428</c:v>
                </c:pt>
                <c:pt idx="95">
                  <c:v>12.519928357443405</c:v>
                </c:pt>
                <c:pt idx="96">
                  <c:v>60.554319655469271</c:v>
                </c:pt>
                <c:pt idx="97">
                  <c:v>-82.480295443155001</c:v>
                </c:pt>
                <c:pt idx="98">
                  <c:v>-72.125221066507038</c:v>
                </c:pt>
                <c:pt idx="99">
                  <c:v>21.132397828587727</c:v>
                </c:pt>
                <c:pt idx="100">
                  <c:v>4.9246919693473501</c:v>
                </c:pt>
                <c:pt idx="101">
                  <c:v>-46.846063153567229</c:v>
                </c:pt>
                <c:pt idx="102">
                  <c:v>74.629419945117206</c:v>
                </c:pt>
                <c:pt idx="103">
                  <c:v>-29.841673807129155</c:v>
                </c:pt>
                <c:pt idx="104">
                  <c:v>-3.5843527695635657</c:v>
                </c:pt>
                <c:pt idx="105">
                  <c:v>15.010471216215137</c:v>
                </c:pt>
                <c:pt idx="106">
                  <c:v>23.476496981542596</c:v>
                </c:pt>
                <c:pt idx="107">
                  <c:v>-11.893678021610867</c:v>
                </c:pt>
                <c:pt idx="108">
                  <c:v>1.3346658235816449</c:v>
                </c:pt>
                <c:pt idx="109">
                  <c:v>18.368608959110588</c:v>
                </c:pt>
                <c:pt idx="110">
                  <c:v>-51.775279663910396</c:v>
                </c:pt>
                <c:pt idx="111">
                  <c:v>1.7108605130538308</c:v>
                </c:pt>
                <c:pt idx="112">
                  <c:v>-1.6174802894590812</c:v>
                </c:pt>
                <c:pt idx="113">
                  <c:v>-23.421965066485654</c:v>
                </c:pt>
                <c:pt idx="114">
                  <c:v>19.849523340998758</c:v>
                </c:pt>
                <c:pt idx="115">
                  <c:v>24.981858812026303</c:v>
                </c:pt>
                <c:pt idx="116">
                  <c:v>10.176748623495314</c:v>
                </c:pt>
                <c:pt idx="117">
                  <c:v>33.029660811636631</c:v>
                </c:pt>
                <c:pt idx="118">
                  <c:v>-2.5343798305489145</c:v>
                </c:pt>
                <c:pt idx="119">
                  <c:v>7.9018715784279721</c:v>
                </c:pt>
                <c:pt idx="120">
                  <c:v>28.667658047333816</c:v>
                </c:pt>
                <c:pt idx="121">
                  <c:v>-58.138851389831871</c:v>
                </c:pt>
                <c:pt idx="122">
                  <c:v>4.5843639568447543</c:v>
                </c:pt>
                <c:pt idx="123">
                  <c:v>3.8013050510392077</c:v>
                </c:pt>
                <c:pt idx="124">
                  <c:v>9.9693558080421099</c:v>
                </c:pt>
                <c:pt idx="125">
                  <c:v>-19.383810192728561</c:v>
                </c:pt>
                <c:pt idx="126">
                  <c:v>-7.9142859428711745</c:v>
                </c:pt>
                <c:pt idx="127">
                  <c:v>9.1105974486738432</c:v>
                </c:pt>
                <c:pt idx="128">
                  <c:v>4.8009109893587265</c:v>
                </c:pt>
                <c:pt idx="129">
                  <c:v>26.356711796474656</c:v>
                </c:pt>
                <c:pt idx="130">
                  <c:v>5.6352490609806409</c:v>
                </c:pt>
                <c:pt idx="131">
                  <c:v>-15.958970767458823</c:v>
                </c:pt>
                <c:pt idx="132">
                  <c:v>-6.8470721561500341</c:v>
                </c:pt>
                <c:pt idx="133">
                  <c:v>39.233723483308268</c:v>
                </c:pt>
                <c:pt idx="134">
                  <c:v>-46.405269061835043</c:v>
                </c:pt>
                <c:pt idx="135">
                  <c:v>10.991968839888159</c:v>
                </c:pt>
                <c:pt idx="136">
                  <c:v>-11.378794027924187</c:v>
                </c:pt>
                <c:pt idx="137">
                  <c:v>-9.6078171243802899</c:v>
                </c:pt>
                <c:pt idx="138">
                  <c:v>-71.955639260894031</c:v>
                </c:pt>
                <c:pt idx="139">
                  <c:v>-7.0087211053134979</c:v>
                </c:pt>
                <c:pt idx="140">
                  <c:v>-38.300036124564258</c:v>
                </c:pt>
                <c:pt idx="141">
                  <c:v>6.5288996548779323</c:v>
                </c:pt>
                <c:pt idx="142">
                  <c:v>3.9187193816499075</c:v>
                </c:pt>
                <c:pt idx="143">
                  <c:v>20.951260646150786</c:v>
                </c:pt>
                <c:pt idx="144">
                  <c:v>39.811397799306405</c:v>
                </c:pt>
                <c:pt idx="145">
                  <c:v>36.460751806741655</c:v>
                </c:pt>
                <c:pt idx="146">
                  <c:v>24.370108285394736</c:v>
                </c:pt>
                <c:pt idx="147">
                  <c:v>-63.294392063502983</c:v>
                </c:pt>
                <c:pt idx="148">
                  <c:v>29.241931821667094</c:v>
                </c:pt>
                <c:pt idx="149">
                  <c:v>-80.795344418832656</c:v>
                </c:pt>
                <c:pt idx="150">
                  <c:v>14.792072333447322</c:v>
                </c:pt>
                <c:pt idx="151">
                  <c:v>105.86262027729958</c:v>
                </c:pt>
                <c:pt idx="152">
                  <c:v>9.9612057583888145</c:v>
                </c:pt>
                <c:pt idx="153">
                  <c:v>-0.79825482725232177</c:v>
                </c:pt>
                <c:pt idx="154">
                  <c:v>18.423487317538502</c:v>
                </c:pt>
                <c:pt idx="155">
                  <c:v>9.9977660722136079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3E-4F10-9F43-52ED19F7B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884560"/>
        <c:axId val="549885544"/>
      </c:scatterChart>
      <c:valAx>
        <c:axId val="549884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85544"/>
        <c:crosses val="autoZero"/>
        <c:crossBetween val="midCat"/>
      </c:valAx>
      <c:valAx>
        <c:axId val="54988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884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Decomposition!$D$2</c:f>
              <c:strCache>
                <c:ptCount val="1"/>
                <c:pt idx="0">
                  <c:v>Service related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Decomposition!$B$3:$C$158</c:f>
              <c:multiLvlStrCache>
                <c:ptCount val="156"/>
                <c:lvl>
                  <c:pt idx="0">
                    <c:v>January</c:v>
                  </c:pt>
                  <c:pt idx="1">
                    <c:v>February</c:v>
                  </c:pt>
                  <c:pt idx="2">
                    <c:v>March</c:v>
                  </c:pt>
                  <c:pt idx="3">
                    <c:v>April</c:v>
                  </c:pt>
                  <c:pt idx="4">
                    <c:v>May</c:v>
                  </c:pt>
                  <c:pt idx="5">
                    <c:v>June</c:v>
                  </c:pt>
                  <c:pt idx="6">
                    <c:v>July</c:v>
                  </c:pt>
                  <c:pt idx="7">
                    <c:v>August</c:v>
                  </c:pt>
                  <c:pt idx="8">
                    <c:v>September</c:v>
                  </c:pt>
                  <c:pt idx="9">
                    <c:v>October</c:v>
                  </c:pt>
                  <c:pt idx="10">
                    <c:v>November</c:v>
                  </c:pt>
                  <c:pt idx="11">
                    <c:v>December</c:v>
                  </c:pt>
                  <c:pt idx="12">
                    <c:v>January</c:v>
                  </c:pt>
                  <c:pt idx="13">
                    <c:v>February</c:v>
                  </c:pt>
                  <c:pt idx="14">
                    <c:v>March</c:v>
                  </c:pt>
                  <c:pt idx="15">
                    <c:v>April</c:v>
                  </c:pt>
                  <c:pt idx="16">
                    <c:v>May</c:v>
                  </c:pt>
                  <c:pt idx="17">
                    <c:v>June</c:v>
                  </c:pt>
                  <c:pt idx="18">
                    <c:v>July</c:v>
                  </c:pt>
                  <c:pt idx="19">
                    <c:v>August</c:v>
                  </c:pt>
                  <c:pt idx="20">
                    <c:v>September</c:v>
                  </c:pt>
                  <c:pt idx="21">
                    <c:v>October</c:v>
                  </c:pt>
                  <c:pt idx="22">
                    <c:v>November</c:v>
                  </c:pt>
                  <c:pt idx="23">
                    <c:v>December</c:v>
                  </c:pt>
                  <c:pt idx="24">
                    <c:v>January</c:v>
                  </c:pt>
                  <c:pt idx="25">
                    <c:v>February</c:v>
                  </c:pt>
                  <c:pt idx="26">
                    <c:v>March</c:v>
                  </c:pt>
                  <c:pt idx="27">
                    <c:v>April</c:v>
                  </c:pt>
                  <c:pt idx="28">
                    <c:v>May</c:v>
                  </c:pt>
                  <c:pt idx="29">
                    <c:v>June</c:v>
                  </c:pt>
                  <c:pt idx="30">
                    <c:v>July</c:v>
                  </c:pt>
                  <c:pt idx="31">
                    <c:v>August</c:v>
                  </c:pt>
                  <c:pt idx="32">
                    <c:v>September</c:v>
                  </c:pt>
                  <c:pt idx="33">
                    <c:v>October</c:v>
                  </c:pt>
                  <c:pt idx="34">
                    <c:v>November</c:v>
                  </c:pt>
                  <c:pt idx="35">
                    <c:v>December</c:v>
                  </c:pt>
                  <c:pt idx="36">
                    <c:v>January</c:v>
                  </c:pt>
                  <c:pt idx="37">
                    <c:v>February</c:v>
                  </c:pt>
                  <c:pt idx="38">
                    <c:v>March</c:v>
                  </c:pt>
                  <c:pt idx="39">
                    <c:v>April</c:v>
                  </c:pt>
                  <c:pt idx="40">
                    <c:v>May</c:v>
                  </c:pt>
                  <c:pt idx="41">
                    <c:v>June</c:v>
                  </c:pt>
                  <c:pt idx="42">
                    <c:v>July</c:v>
                  </c:pt>
                  <c:pt idx="43">
                    <c:v>August</c:v>
                  </c:pt>
                  <c:pt idx="44">
                    <c:v>September</c:v>
                  </c:pt>
                  <c:pt idx="45">
                    <c:v>October</c:v>
                  </c:pt>
                  <c:pt idx="46">
                    <c:v>November</c:v>
                  </c:pt>
                  <c:pt idx="47">
                    <c:v>December</c:v>
                  </c:pt>
                  <c:pt idx="48">
                    <c:v>January</c:v>
                  </c:pt>
                  <c:pt idx="49">
                    <c:v>February</c:v>
                  </c:pt>
                  <c:pt idx="50">
                    <c:v>March</c:v>
                  </c:pt>
                  <c:pt idx="51">
                    <c:v>April</c:v>
                  </c:pt>
                  <c:pt idx="52">
                    <c:v>May</c:v>
                  </c:pt>
                  <c:pt idx="53">
                    <c:v>June</c:v>
                  </c:pt>
                  <c:pt idx="54">
                    <c:v>July</c:v>
                  </c:pt>
                  <c:pt idx="55">
                    <c:v>August</c:v>
                  </c:pt>
                  <c:pt idx="56">
                    <c:v>September</c:v>
                  </c:pt>
                  <c:pt idx="57">
                    <c:v>October</c:v>
                  </c:pt>
                  <c:pt idx="58">
                    <c:v>November</c:v>
                  </c:pt>
                  <c:pt idx="59">
                    <c:v>December</c:v>
                  </c:pt>
                  <c:pt idx="60">
                    <c:v>January</c:v>
                  </c:pt>
                  <c:pt idx="61">
                    <c:v>February</c:v>
                  </c:pt>
                  <c:pt idx="62">
                    <c:v>March</c:v>
                  </c:pt>
                  <c:pt idx="63">
                    <c:v>April</c:v>
                  </c:pt>
                  <c:pt idx="64">
                    <c:v>May</c:v>
                  </c:pt>
                  <c:pt idx="65">
                    <c:v>June</c:v>
                  </c:pt>
                  <c:pt idx="66">
                    <c:v>July</c:v>
                  </c:pt>
                  <c:pt idx="67">
                    <c:v>August</c:v>
                  </c:pt>
                  <c:pt idx="68">
                    <c:v>September</c:v>
                  </c:pt>
                  <c:pt idx="69">
                    <c:v>October</c:v>
                  </c:pt>
                  <c:pt idx="70">
                    <c:v>November</c:v>
                  </c:pt>
                  <c:pt idx="71">
                    <c:v>December</c:v>
                  </c:pt>
                  <c:pt idx="72">
                    <c:v>January</c:v>
                  </c:pt>
                  <c:pt idx="73">
                    <c:v>February</c:v>
                  </c:pt>
                  <c:pt idx="74">
                    <c:v>March</c:v>
                  </c:pt>
                  <c:pt idx="75">
                    <c:v>April</c:v>
                  </c:pt>
                  <c:pt idx="76">
                    <c:v>May</c:v>
                  </c:pt>
                  <c:pt idx="77">
                    <c:v>June</c:v>
                  </c:pt>
                  <c:pt idx="78">
                    <c:v>July</c:v>
                  </c:pt>
                  <c:pt idx="79">
                    <c:v>August</c:v>
                  </c:pt>
                  <c:pt idx="80">
                    <c:v>September</c:v>
                  </c:pt>
                  <c:pt idx="81">
                    <c:v>October</c:v>
                  </c:pt>
                  <c:pt idx="82">
                    <c:v>November</c:v>
                  </c:pt>
                  <c:pt idx="83">
                    <c:v>December</c:v>
                  </c:pt>
                  <c:pt idx="84">
                    <c:v>January</c:v>
                  </c:pt>
                  <c:pt idx="85">
                    <c:v>February</c:v>
                  </c:pt>
                  <c:pt idx="86">
                    <c:v>March</c:v>
                  </c:pt>
                  <c:pt idx="87">
                    <c:v>April</c:v>
                  </c:pt>
                  <c:pt idx="88">
                    <c:v>May</c:v>
                  </c:pt>
                  <c:pt idx="89">
                    <c:v>June</c:v>
                  </c:pt>
                  <c:pt idx="90">
                    <c:v>July</c:v>
                  </c:pt>
                  <c:pt idx="91">
                    <c:v>August</c:v>
                  </c:pt>
                  <c:pt idx="92">
                    <c:v>September</c:v>
                  </c:pt>
                  <c:pt idx="93">
                    <c:v>October</c:v>
                  </c:pt>
                  <c:pt idx="94">
                    <c:v>November</c:v>
                  </c:pt>
                  <c:pt idx="95">
                    <c:v>December</c:v>
                  </c:pt>
                  <c:pt idx="96">
                    <c:v>January</c:v>
                  </c:pt>
                  <c:pt idx="97">
                    <c:v>February</c:v>
                  </c:pt>
                  <c:pt idx="98">
                    <c:v>March</c:v>
                  </c:pt>
                  <c:pt idx="99">
                    <c:v>April</c:v>
                  </c:pt>
                  <c:pt idx="100">
                    <c:v>May</c:v>
                  </c:pt>
                  <c:pt idx="101">
                    <c:v>June</c:v>
                  </c:pt>
                  <c:pt idx="102">
                    <c:v>July</c:v>
                  </c:pt>
                  <c:pt idx="103">
                    <c:v>August</c:v>
                  </c:pt>
                  <c:pt idx="104">
                    <c:v>September</c:v>
                  </c:pt>
                  <c:pt idx="105">
                    <c:v>October</c:v>
                  </c:pt>
                  <c:pt idx="106">
                    <c:v>November</c:v>
                  </c:pt>
                  <c:pt idx="107">
                    <c:v>December</c:v>
                  </c:pt>
                  <c:pt idx="108">
                    <c:v>January</c:v>
                  </c:pt>
                  <c:pt idx="109">
                    <c:v>February</c:v>
                  </c:pt>
                  <c:pt idx="110">
                    <c:v>March</c:v>
                  </c:pt>
                  <c:pt idx="111">
                    <c:v>April</c:v>
                  </c:pt>
                  <c:pt idx="112">
                    <c:v>May</c:v>
                  </c:pt>
                  <c:pt idx="113">
                    <c:v>June</c:v>
                  </c:pt>
                  <c:pt idx="114">
                    <c:v>July</c:v>
                  </c:pt>
                  <c:pt idx="115">
                    <c:v>August</c:v>
                  </c:pt>
                  <c:pt idx="116">
                    <c:v>September</c:v>
                  </c:pt>
                  <c:pt idx="117">
                    <c:v>October</c:v>
                  </c:pt>
                  <c:pt idx="118">
                    <c:v>November</c:v>
                  </c:pt>
                  <c:pt idx="119">
                    <c:v>December</c:v>
                  </c:pt>
                  <c:pt idx="120">
                    <c:v>January</c:v>
                  </c:pt>
                  <c:pt idx="121">
                    <c:v>February</c:v>
                  </c:pt>
                  <c:pt idx="122">
                    <c:v>March</c:v>
                  </c:pt>
                  <c:pt idx="123">
                    <c:v>April</c:v>
                  </c:pt>
                  <c:pt idx="124">
                    <c:v>May</c:v>
                  </c:pt>
                  <c:pt idx="125">
                    <c:v>June</c:v>
                  </c:pt>
                  <c:pt idx="126">
                    <c:v>July</c:v>
                  </c:pt>
                  <c:pt idx="127">
                    <c:v>August</c:v>
                  </c:pt>
                  <c:pt idx="128">
                    <c:v>September</c:v>
                  </c:pt>
                  <c:pt idx="129">
                    <c:v>October</c:v>
                  </c:pt>
                  <c:pt idx="130">
                    <c:v>November</c:v>
                  </c:pt>
                  <c:pt idx="131">
                    <c:v>December</c:v>
                  </c:pt>
                  <c:pt idx="132">
                    <c:v>January</c:v>
                  </c:pt>
                  <c:pt idx="133">
                    <c:v>February</c:v>
                  </c:pt>
                  <c:pt idx="134">
                    <c:v>March</c:v>
                  </c:pt>
                  <c:pt idx="135">
                    <c:v>April</c:v>
                  </c:pt>
                  <c:pt idx="136">
                    <c:v>May</c:v>
                  </c:pt>
                  <c:pt idx="137">
                    <c:v>June</c:v>
                  </c:pt>
                  <c:pt idx="138">
                    <c:v>July</c:v>
                  </c:pt>
                  <c:pt idx="139">
                    <c:v>August</c:v>
                  </c:pt>
                  <c:pt idx="140">
                    <c:v>September</c:v>
                  </c:pt>
                  <c:pt idx="141">
                    <c:v>October</c:v>
                  </c:pt>
                  <c:pt idx="142">
                    <c:v>November</c:v>
                  </c:pt>
                  <c:pt idx="143">
                    <c:v>December</c:v>
                  </c:pt>
                  <c:pt idx="144">
                    <c:v>January</c:v>
                  </c:pt>
                  <c:pt idx="145">
                    <c:v>February</c:v>
                  </c:pt>
                  <c:pt idx="146">
                    <c:v>March</c:v>
                  </c:pt>
                  <c:pt idx="147">
                    <c:v>April</c:v>
                  </c:pt>
                  <c:pt idx="148">
                    <c:v>May</c:v>
                  </c:pt>
                  <c:pt idx="149">
                    <c:v>June</c:v>
                  </c:pt>
                  <c:pt idx="150">
                    <c:v>July</c:v>
                  </c:pt>
                  <c:pt idx="151">
                    <c:v>August</c:v>
                  </c:pt>
                  <c:pt idx="152">
                    <c:v>September</c:v>
                  </c:pt>
                  <c:pt idx="153">
                    <c:v>October</c:v>
                  </c:pt>
                  <c:pt idx="154">
                    <c:v>November</c:v>
                  </c:pt>
                  <c:pt idx="155">
                    <c:v>December</c:v>
                  </c:pt>
                </c:lvl>
                <c:lvl>
                  <c:pt idx="0">
                    <c:v>2005</c:v>
                  </c:pt>
                  <c:pt idx="12">
                    <c:v>2006</c:v>
                  </c:pt>
                  <c:pt idx="24">
                    <c:v>2007</c:v>
                  </c:pt>
                  <c:pt idx="36">
                    <c:v>2008</c:v>
                  </c:pt>
                  <c:pt idx="48">
                    <c:v>2009</c:v>
                  </c:pt>
                  <c:pt idx="60">
                    <c:v>2010</c:v>
                  </c:pt>
                  <c:pt idx="72">
                    <c:v>2011</c:v>
                  </c:pt>
                  <c:pt idx="84">
                    <c:v>2012</c:v>
                  </c:pt>
                  <c:pt idx="96">
                    <c:v>2013</c:v>
                  </c:pt>
                  <c:pt idx="108">
                    <c:v>2014</c:v>
                  </c:pt>
                  <c:pt idx="120">
                    <c:v>2015</c:v>
                  </c:pt>
                  <c:pt idx="132">
                    <c:v>2016</c:v>
                  </c:pt>
                  <c:pt idx="144">
                    <c:v>2017</c:v>
                  </c:pt>
                </c:lvl>
              </c:multiLvlStrCache>
            </c:multiLvlStrRef>
          </c:cat>
          <c:val>
            <c:numRef>
              <c:f>Decomposition!$D$3:$D$158</c:f>
              <c:numCache>
                <c:formatCode>General</c:formatCode>
                <c:ptCount val="156"/>
                <c:pt idx="0">
                  <c:v>1023.2</c:v>
                </c:pt>
                <c:pt idx="1">
                  <c:v>1036.2</c:v>
                </c:pt>
                <c:pt idx="2">
                  <c:v>1022.1</c:v>
                </c:pt>
                <c:pt idx="3">
                  <c:v>1050.0999999999999</c:v>
                </c:pt>
                <c:pt idx="4">
                  <c:v>1105.3</c:v>
                </c:pt>
                <c:pt idx="5">
                  <c:v>1157.3</c:v>
                </c:pt>
                <c:pt idx="6">
                  <c:v>1064.9000000000001</c:v>
                </c:pt>
                <c:pt idx="7">
                  <c:v>1155.9000000000001</c:v>
                </c:pt>
                <c:pt idx="8">
                  <c:v>1140.3</c:v>
                </c:pt>
                <c:pt idx="9">
                  <c:v>1098.8</c:v>
                </c:pt>
                <c:pt idx="10">
                  <c:v>1163.2</c:v>
                </c:pt>
                <c:pt idx="11">
                  <c:v>1058.3</c:v>
                </c:pt>
                <c:pt idx="12">
                  <c:v>1096</c:v>
                </c:pt>
                <c:pt idx="13">
                  <c:v>1079.8</c:v>
                </c:pt>
                <c:pt idx="14">
                  <c:v>1098.9000000000001</c:v>
                </c:pt>
                <c:pt idx="15">
                  <c:v>1102.0999999999999</c:v>
                </c:pt>
                <c:pt idx="16">
                  <c:v>1174</c:v>
                </c:pt>
                <c:pt idx="17">
                  <c:v>1171</c:v>
                </c:pt>
                <c:pt idx="18">
                  <c:v>1118.0999999999999</c:v>
                </c:pt>
                <c:pt idx="19">
                  <c:v>1239.0999999999999</c:v>
                </c:pt>
                <c:pt idx="20">
                  <c:v>1164.4000000000001</c:v>
                </c:pt>
                <c:pt idx="21">
                  <c:v>1180.2</c:v>
                </c:pt>
                <c:pt idx="22">
                  <c:v>1231.5999999999999</c:v>
                </c:pt>
                <c:pt idx="23">
                  <c:v>1130.5</c:v>
                </c:pt>
                <c:pt idx="24">
                  <c:v>1202.5999999999999</c:v>
                </c:pt>
                <c:pt idx="25">
                  <c:v>1098.3</c:v>
                </c:pt>
                <c:pt idx="26">
                  <c:v>1182.4000000000001</c:v>
                </c:pt>
                <c:pt idx="27">
                  <c:v>1180.9000000000001</c:v>
                </c:pt>
                <c:pt idx="28">
                  <c:v>1251.2</c:v>
                </c:pt>
                <c:pt idx="29">
                  <c:v>1212.5999999999999</c:v>
                </c:pt>
                <c:pt idx="30">
                  <c:v>1225.2</c:v>
                </c:pt>
                <c:pt idx="31">
                  <c:v>1268.2</c:v>
                </c:pt>
                <c:pt idx="32">
                  <c:v>1182.2</c:v>
                </c:pt>
                <c:pt idx="33">
                  <c:v>1253.5</c:v>
                </c:pt>
                <c:pt idx="34">
                  <c:v>1271.4000000000001</c:v>
                </c:pt>
                <c:pt idx="35">
                  <c:v>1192.0999999999999</c:v>
                </c:pt>
                <c:pt idx="36">
                  <c:v>1248.7</c:v>
                </c:pt>
                <c:pt idx="37">
                  <c:v>1217.0999999999999</c:v>
                </c:pt>
                <c:pt idx="38">
                  <c:v>1163.0999999999999</c:v>
                </c:pt>
                <c:pt idx="39">
                  <c:v>1281.4000000000001</c:v>
                </c:pt>
                <c:pt idx="40">
                  <c:v>1249.0999999999999</c:v>
                </c:pt>
                <c:pt idx="41">
                  <c:v>1311.2</c:v>
                </c:pt>
                <c:pt idx="42">
                  <c:v>1298.7</c:v>
                </c:pt>
                <c:pt idx="43">
                  <c:v>1190.2</c:v>
                </c:pt>
                <c:pt idx="44">
                  <c:v>1298.5999999999999</c:v>
                </c:pt>
                <c:pt idx="45">
                  <c:v>1282.5999999999999</c:v>
                </c:pt>
                <c:pt idx="46">
                  <c:v>1218.4000000000001</c:v>
                </c:pt>
                <c:pt idx="47">
                  <c:v>1245.8</c:v>
                </c:pt>
                <c:pt idx="48">
                  <c:v>1169.5</c:v>
                </c:pt>
                <c:pt idx="49">
                  <c:v>1190.2</c:v>
                </c:pt>
                <c:pt idx="50">
                  <c:v>1188.3</c:v>
                </c:pt>
                <c:pt idx="51">
                  <c:v>1211.7</c:v>
                </c:pt>
                <c:pt idx="52">
                  <c:v>1207.2</c:v>
                </c:pt>
                <c:pt idx="53">
                  <c:v>1315.3</c:v>
                </c:pt>
                <c:pt idx="54">
                  <c:v>1304.7</c:v>
                </c:pt>
                <c:pt idx="55">
                  <c:v>1241.4000000000001</c:v>
                </c:pt>
                <c:pt idx="56">
                  <c:v>1241.8</c:v>
                </c:pt>
                <c:pt idx="57">
                  <c:v>1277.5</c:v>
                </c:pt>
                <c:pt idx="58">
                  <c:v>1222.7</c:v>
                </c:pt>
                <c:pt idx="59">
                  <c:v>1229.7</c:v>
                </c:pt>
                <c:pt idx="60">
                  <c:v>1161.7</c:v>
                </c:pt>
                <c:pt idx="61">
                  <c:v>1180</c:v>
                </c:pt>
                <c:pt idx="62">
                  <c:v>1345.4</c:v>
                </c:pt>
                <c:pt idx="63">
                  <c:v>1308.8</c:v>
                </c:pt>
                <c:pt idx="64">
                  <c:v>1235</c:v>
                </c:pt>
                <c:pt idx="65">
                  <c:v>1373.2</c:v>
                </c:pt>
                <c:pt idx="66">
                  <c:v>1317.3</c:v>
                </c:pt>
                <c:pt idx="67">
                  <c:v>1308.3</c:v>
                </c:pt>
                <c:pt idx="68">
                  <c:v>1287.3</c:v>
                </c:pt>
                <c:pt idx="69">
                  <c:v>1278.3</c:v>
                </c:pt>
                <c:pt idx="70">
                  <c:v>1299.2</c:v>
                </c:pt>
                <c:pt idx="71">
                  <c:v>1375.3</c:v>
                </c:pt>
                <c:pt idx="72">
                  <c:v>1266.4000000000001</c:v>
                </c:pt>
                <c:pt idx="73">
                  <c:v>1253.8</c:v>
                </c:pt>
                <c:pt idx="74">
                  <c:v>1261.5</c:v>
                </c:pt>
                <c:pt idx="75">
                  <c:v>1283.4000000000001</c:v>
                </c:pt>
                <c:pt idx="76">
                  <c:v>1314.3</c:v>
                </c:pt>
                <c:pt idx="77">
                  <c:v>1405.6</c:v>
                </c:pt>
                <c:pt idx="78">
                  <c:v>1300.5999999999999</c:v>
                </c:pt>
                <c:pt idx="79">
                  <c:v>1440.5</c:v>
                </c:pt>
                <c:pt idx="80">
                  <c:v>1361.9</c:v>
                </c:pt>
                <c:pt idx="81">
                  <c:v>1299.7</c:v>
                </c:pt>
                <c:pt idx="82">
                  <c:v>1386.2</c:v>
                </c:pt>
                <c:pt idx="83">
                  <c:v>1302.5</c:v>
                </c:pt>
                <c:pt idx="84">
                  <c:v>1202.5999999999999</c:v>
                </c:pt>
                <c:pt idx="85">
                  <c:v>1344.4</c:v>
                </c:pt>
                <c:pt idx="86">
                  <c:v>1291.5</c:v>
                </c:pt>
                <c:pt idx="87">
                  <c:v>1391.3</c:v>
                </c:pt>
                <c:pt idx="88">
                  <c:v>1388.1</c:v>
                </c:pt>
                <c:pt idx="89">
                  <c:v>1391.2</c:v>
                </c:pt>
                <c:pt idx="90">
                  <c:v>1375.8</c:v>
                </c:pt>
                <c:pt idx="91">
                  <c:v>1443.2</c:v>
                </c:pt>
                <c:pt idx="92">
                  <c:v>1401.3</c:v>
                </c:pt>
                <c:pt idx="93">
                  <c:v>1378.7</c:v>
                </c:pt>
                <c:pt idx="94">
                  <c:v>1378.8</c:v>
                </c:pt>
                <c:pt idx="95">
                  <c:v>1378.9</c:v>
                </c:pt>
                <c:pt idx="96">
                  <c:v>1383.3</c:v>
                </c:pt>
                <c:pt idx="97">
                  <c:v>1283.3</c:v>
                </c:pt>
                <c:pt idx="98">
                  <c:v>1291.0999999999999</c:v>
                </c:pt>
                <c:pt idx="99">
                  <c:v>1406.5</c:v>
                </c:pt>
                <c:pt idx="100">
                  <c:v>1400.9</c:v>
                </c:pt>
                <c:pt idx="101">
                  <c:v>1412.7</c:v>
                </c:pt>
                <c:pt idx="102">
                  <c:v>1466.6</c:v>
                </c:pt>
                <c:pt idx="103">
                  <c:v>1423.7</c:v>
                </c:pt>
                <c:pt idx="104">
                  <c:v>1411.2</c:v>
                </c:pt>
                <c:pt idx="105">
                  <c:v>1411</c:v>
                </c:pt>
                <c:pt idx="106">
                  <c:v>1447.4</c:v>
                </c:pt>
                <c:pt idx="107">
                  <c:v>1381.1</c:v>
                </c:pt>
                <c:pt idx="108">
                  <c:v>1354</c:v>
                </c:pt>
                <c:pt idx="109">
                  <c:v>1370.3</c:v>
                </c:pt>
                <c:pt idx="110">
                  <c:v>1316.5</c:v>
                </c:pt>
                <c:pt idx="111">
                  <c:v>1416.3</c:v>
                </c:pt>
                <c:pt idx="112">
                  <c:v>1416.9</c:v>
                </c:pt>
                <c:pt idx="113">
                  <c:v>1447.2</c:v>
                </c:pt>
                <c:pt idx="114">
                  <c:v>1451.6</c:v>
                </c:pt>
                <c:pt idx="115">
                  <c:v>1486.1</c:v>
                </c:pt>
                <c:pt idx="116">
                  <c:v>1447.1</c:v>
                </c:pt>
                <c:pt idx="117">
                  <c:v>1458</c:v>
                </c:pt>
                <c:pt idx="118">
                  <c:v>1457.4</c:v>
                </c:pt>
                <c:pt idx="119">
                  <c:v>1425.1</c:v>
                </c:pt>
                <c:pt idx="120">
                  <c:v>1412.2</c:v>
                </c:pt>
                <c:pt idx="121">
                  <c:v>1335.3</c:v>
                </c:pt>
                <c:pt idx="122">
                  <c:v>1386.4</c:v>
                </c:pt>
                <c:pt idx="123">
                  <c:v>1455.8</c:v>
                </c:pt>
                <c:pt idx="124">
                  <c:v>1467.5</c:v>
                </c:pt>
                <c:pt idx="125">
                  <c:v>1491.5</c:v>
                </c:pt>
                <c:pt idx="126">
                  <c:v>1475.4</c:v>
                </c:pt>
                <c:pt idx="127">
                  <c:v>1520.4</c:v>
                </c:pt>
                <c:pt idx="128">
                  <c:v>1486</c:v>
                </c:pt>
                <c:pt idx="129">
                  <c:v>1499.6</c:v>
                </c:pt>
                <c:pt idx="130">
                  <c:v>1506.2</c:v>
                </c:pt>
                <c:pt idx="131">
                  <c:v>1444.7</c:v>
                </c:pt>
                <c:pt idx="132">
                  <c:v>1419.1</c:v>
                </c:pt>
                <c:pt idx="133">
                  <c:v>1449</c:v>
                </c:pt>
                <c:pt idx="134">
                  <c:v>1383.4</c:v>
                </c:pt>
                <c:pt idx="135">
                  <c:v>1504.2</c:v>
                </c:pt>
                <c:pt idx="136">
                  <c:v>1490.3</c:v>
                </c:pt>
                <c:pt idx="137">
                  <c:v>1536.4</c:v>
                </c:pt>
                <c:pt idx="138">
                  <c:v>1449.7</c:v>
                </c:pt>
                <c:pt idx="139">
                  <c:v>1533.2</c:v>
                </c:pt>
                <c:pt idx="140">
                  <c:v>1464.3</c:v>
                </c:pt>
                <c:pt idx="141">
                  <c:v>1493.2</c:v>
                </c:pt>
                <c:pt idx="142">
                  <c:v>1504.4</c:v>
                </c:pt>
                <c:pt idx="143">
                  <c:v>1471</c:v>
                </c:pt>
                <c:pt idx="144">
                  <c:v>1459</c:v>
                </c:pt>
                <c:pt idx="145">
                  <c:v>1454.4</c:v>
                </c:pt>
                <c:pt idx="146">
                  <c:v>1441.8</c:v>
                </c:pt>
                <c:pt idx="147">
                  <c:v>1442.2</c:v>
                </c:pt>
                <c:pt idx="148">
                  <c:v>1523.6</c:v>
                </c:pt>
                <c:pt idx="149">
                  <c:v>1464.2</c:v>
                </c:pt>
                <c:pt idx="150">
                  <c:v>1507.1</c:v>
                </c:pt>
                <c:pt idx="151">
                  <c:v>1644.4</c:v>
                </c:pt>
                <c:pt idx="152">
                  <c:v>1527.1</c:v>
                </c:pt>
                <c:pt idx="153">
                  <c:v>1524</c:v>
                </c:pt>
                <c:pt idx="154">
                  <c:v>1561.6</c:v>
                </c:pt>
                <c:pt idx="155">
                  <c:v>1513.7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C-4012-BF34-8CDE588A68C2}"/>
            </c:ext>
          </c:extLst>
        </c:ser>
        <c:ser>
          <c:idx val="1"/>
          <c:order val="1"/>
          <c:tx>
            <c:strRef>
              <c:f>Decomposition!$E$2</c:f>
              <c:strCache>
                <c:ptCount val="1"/>
                <c:pt idx="0">
                  <c:v>LT Forecast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Decomposition!$B$3:$C$158</c:f>
              <c:multiLvlStrCache>
                <c:ptCount val="156"/>
                <c:lvl>
                  <c:pt idx="0">
                    <c:v>January</c:v>
                  </c:pt>
                  <c:pt idx="1">
                    <c:v>February</c:v>
                  </c:pt>
                  <c:pt idx="2">
                    <c:v>March</c:v>
                  </c:pt>
                  <c:pt idx="3">
                    <c:v>April</c:v>
                  </c:pt>
                  <c:pt idx="4">
                    <c:v>May</c:v>
                  </c:pt>
                  <c:pt idx="5">
                    <c:v>June</c:v>
                  </c:pt>
                  <c:pt idx="6">
                    <c:v>July</c:v>
                  </c:pt>
                  <c:pt idx="7">
                    <c:v>August</c:v>
                  </c:pt>
                  <c:pt idx="8">
                    <c:v>September</c:v>
                  </c:pt>
                  <c:pt idx="9">
                    <c:v>October</c:v>
                  </c:pt>
                  <c:pt idx="10">
                    <c:v>November</c:v>
                  </c:pt>
                  <c:pt idx="11">
                    <c:v>December</c:v>
                  </c:pt>
                  <c:pt idx="12">
                    <c:v>January</c:v>
                  </c:pt>
                  <c:pt idx="13">
                    <c:v>February</c:v>
                  </c:pt>
                  <c:pt idx="14">
                    <c:v>March</c:v>
                  </c:pt>
                  <c:pt idx="15">
                    <c:v>April</c:v>
                  </c:pt>
                  <c:pt idx="16">
                    <c:v>May</c:v>
                  </c:pt>
                  <c:pt idx="17">
                    <c:v>June</c:v>
                  </c:pt>
                  <c:pt idx="18">
                    <c:v>July</c:v>
                  </c:pt>
                  <c:pt idx="19">
                    <c:v>August</c:v>
                  </c:pt>
                  <c:pt idx="20">
                    <c:v>September</c:v>
                  </c:pt>
                  <c:pt idx="21">
                    <c:v>October</c:v>
                  </c:pt>
                  <c:pt idx="22">
                    <c:v>November</c:v>
                  </c:pt>
                  <c:pt idx="23">
                    <c:v>December</c:v>
                  </c:pt>
                  <c:pt idx="24">
                    <c:v>January</c:v>
                  </c:pt>
                  <c:pt idx="25">
                    <c:v>February</c:v>
                  </c:pt>
                  <c:pt idx="26">
                    <c:v>March</c:v>
                  </c:pt>
                  <c:pt idx="27">
                    <c:v>April</c:v>
                  </c:pt>
                  <c:pt idx="28">
                    <c:v>May</c:v>
                  </c:pt>
                  <c:pt idx="29">
                    <c:v>June</c:v>
                  </c:pt>
                  <c:pt idx="30">
                    <c:v>July</c:v>
                  </c:pt>
                  <c:pt idx="31">
                    <c:v>August</c:v>
                  </c:pt>
                  <c:pt idx="32">
                    <c:v>September</c:v>
                  </c:pt>
                  <c:pt idx="33">
                    <c:v>October</c:v>
                  </c:pt>
                  <c:pt idx="34">
                    <c:v>November</c:v>
                  </c:pt>
                  <c:pt idx="35">
                    <c:v>December</c:v>
                  </c:pt>
                  <c:pt idx="36">
                    <c:v>January</c:v>
                  </c:pt>
                  <c:pt idx="37">
                    <c:v>February</c:v>
                  </c:pt>
                  <c:pt idx="38">
                    <c:v>March</c:v>
                  </c:pt>
                  <c:pt idx="39">
                    <c:v>April</c:v>
                  </c:pt>
                  <c:pt idx="40">
                    <c:v>May</c:v>
                  </c:pt>
                  <c:pt idx="41">
                    <c:v>June</c:v>
                  </c:pt>
                  <c:pt idx="42">
                    <c:v>July</c:v>
                  </c:pt>
                  <c:pt idx="43">
                    <c:v>August</c:v>
                  </c:pt>
                  <c:pt idx="44">
                    <c:v>September</c:v>
                  </c:pt>
                  <c:pt idx="45">
                    <c:v>October</c:v>
                  </c:pt>
                  <c:pt idx="46">
                    <c:v>November</c:v>
                  </c:pt>
                  <c:pt idx="47">
                    <c:v>December</c:v>
                  </c:pt>
                  <c:pt idx="48">
                    <c:v>January</c:v>
                  </c:pt>
                  <c:pt idx="49">
                    <c:v>February</c:v>
                  </c:pt>
                  <c:pt idx="50">
                    <c:v>March</c:v>
                  </c:pt>
                  <c:pt idx="51">
                    <c:v>April</c:v>
                  </c:pt>
                  <c:pt idx="52">
                    <c:v>May</c:v>
                  </c:pt>
                  <c:pt idx="53">
                    <c:v>June</c:v>
                  </c:pt>
                  <c:pt idx="54">
                    <c:v>July</c:v>
                  </c:pt>
                  <c:pt idx="55">
                    <c:v>August</c:v>
                  </c:pt>
                  <c:pt idx="56">
                    <c:v>September</c:v>
                  </c:pt>
                  <c:pt idx="57">
                    <c:v>October</c:v>
                  </c:pt>
                  <c:pt idx="58">
                    <c:v>November</c:v>
                  </c:pt>
                  <c:pt idx="59">
                    <c:v>December</c:v>
                  </c:pt>
                  <c:pt idx="60">
                    <c:v>January</c:v>
                  </c:pt>
                  <c:pt idx="61">
                    <c:v>February</c:v>
                  </c:pt>
                  <c:pt idx="62">
                    <c:v>March</c:v>
                  </c:pt>
                  <c:pt idx="63">
                    <c:v>April</c:v>
                  </c:pt>
                  <c:pt idx="64">
                    <c:v>May</c:v>
                  </c:pt>
                  <c:pt idx="65">
                    <c:v>June</c:v>
                  </c:pt>
                  <c:pt idx="66">
                    <c:v>July</c:v>
                  </c:pt>
                  <c:pt idx="67">
                    <c:v>August</c:v>
                  </c:pt>
                  <c:pt idx="68">
                    <c:v>September</c:v>
                  </c:pt>
                  <c:pt idx="69">
                    <c:v>October</c:v>
                  </c:pt>
                  <c:pt idx="70">
                    <c:v>November</c:v>
                  </c:pt>
                  <c:pt idx="71">
                    <c:v>December</c:v>
                  </c:pt>
                  <c:pt idx="72">
                    <c:v>January</c:v>
                  </c:pt>
                  <c:pt idx="73">
                    <c:v>February</c:v>
                  </c:pt>
                  <c:pt idx="74">
                    <c:v>March</c:v>
                  </c:pt>
                  <c:pt idx="75">
                    <c:v>April</c:v>
                  </c:pt>
                  <c:pt idx="76">
                    <c:v>May</c:v>
                  </c:pt>
                  <c:pt idx="77">
                    <c:v>June</c:v>
                  </c:pt>
                  <c:pt idx="78">
                    <c:v>July</c:v>
                  </c:pt>
                  <c:pt idx="79">
                    <c:v>August</c:v>
                  </c:pt>
                  <c:pt idx="80">
                    <c:v>September</c:v>
                  </c:pt>
                  <c:pt idx="81">
                    <c:v>October</c:v>
                  </c:pt>
                  <c:pt idx="82">
                    <c:v>November</c:v>
                  </c:pt>
                  <c:pt idx="83">
                    <c:v>December</c:v>
                  </c:pt>
                  <c:pt idx="84">
                    <c:v>January</c:v>
                  </c:pt>
                  <c:pt idx="85">
                    <c:v>February</c:v>
                  </c:pt>
                  <c:pt idx="86">
                    <c:v>March</c:v>
                  </c:pt>
                  <c:pt idx="87">
                    <c:v>April</c:v>
                  </c:pt>
                  <c:pt idx="88">
                    <c:v>May</c:v>
                  </c:pt>
                  <c:pt idx="89">
                    <c:v>June</c:v>
                  </c:pt>
                  <c:pt idx="90">
                    <c:v>July</c:v>
                  </c:pt>
                  <c:pt idx="91">
                    <c:v>August</c:v>
                  </c:pt>
                  <c:pt idx="92">
                    <c:v>September</c:v>
                  </c:pt>
                  <c:pt idx="93">
                    <c:v>October</c:v>
                  </c:pt>
                  <c:pt idx="94">
                    <c:v>November</c:v>
                  </c:pt>
                  <c:pt idx="95">
                    <c:v>December</c:v>
                  </c:pt>
                  <c:pt idx="96">
                    <c:v>January</c:v>
                  </c:pt>
                  <c:pt idx="97">
                    <c:v>February</c:v>
                  </c:pt>
                  <c:pt idx="98">
                    <c:v>March</c:v>
                  </c:pt>
                  <c:pt idx="99">
                    <c:v>April</c:v>
                  </c:pt>
                  <c:pt idx="100">
                    <c:v>May</c:v>
                  </c:pt>
                  <c:pt idx="101">
                    <c:v>June</c:v>
                  </c:pt>
                  <c:pt idx="102">
                    <c:v>July</c:v>
                  </c:pt>
                  <c:pt idx="103">
                    <c:v>August</c:v>
                  </c:pt>
                  <c:pt idx="104">
                    <c:v>September</c:v>
                  </c:pt>
                  <c:pt idx="105">
                    <c:v>October</c:v>
                  </c:pt>
                  <c:pt idx="106">
                    <c:v>November</c:v>
                  </c:pt>
                  <c:pt idx="107">
                    <c:v>December</c:v>
                  </c:pt>
                  <c:pt idx="108">
                    <c:v>January</c:v>
                  </c:pt>
                  <c:pt idx="109">
                    <c:v>February</c:v>
                  </c:pt>
                  <c:pt idx="110">
                    <c:v>March</c:v>
                  </c:pt>
                  <c:pt idx="111">
                    <c:v>April</c:v>
                  </c:pt>
                  <c:pt idx="112">
                    <c:v>May</c:v>
                  </c:pt>
                  <c:pt idx="113">
                    <c:v>June</c:v>
                  </c:pt>
                  <c:pt idx="114">
                    <c:v>July</c:v>
                  </c:pt>
                  <c:pt idx="115">
                    <c:v>August</c:v>
                  </c:pt>
                  <c:pt idx="116">
                    <c:v>September</c:v>
                  </c:pt>
                  <c:pt idx="117">
                    <c:v>October</c:v>
                  </c:pt>
                  <c:pt idx="118">
                    <c:v>November</c:v>
                  </c:pt>
                  <c:pt idx="119">
                    <c:v>December</c:v>
                  </c:pt>
                  <c:pt idx="120">
                    <c:v>January</c:v>
                  </c:pt>
                  <c:pt idx="121">
                    <c:v>February</c:v>
                  </c:pt>
                  <c:pt idx="122">
                    <c:v>March</c:v>
                  </c:pt>
                  <c:pt idx="123">
                    <c:v>April</c:v>
                  </c:pt>
                  <c:pt idx="124">
                    <c:v>May</c:v>
                  </c:pt>
                  <c:pt idx="125">
                    <c:v>June</c:v>
                  </c:pt>
                  <c:pt idx="126">
                    <c:v>July</c:v>
                  </c:pt>
                  <c:pt idx="127">
                    <c:v>August</c:v>
                  </c:pt>
                  <c:pt idx="128">
                    <c:v>September</c:v>
                  </c:pt>
                  <c:pt idx="129">
                    <c:v>October</c:v>
                  </c:pt>
                  <c:pt idx="130">
                    <c:v>November</c:v>
                  </c:pt>
                  <c:pt idx="131">
                    <c:v>December</c:v>
                  </c:pt>
                  <c:pt idx="132">
                    <c:v>January</c:v>
                  </c:pt>
                  <c:pt idx="133">
                    <c:v>February</c:v>
                  </c:pt>
                  <c:pt idx="134">
                    <c:v>March</c:v>
                  </c:pt>
                  <c:pt idx="135">
                    <c:v>April</c:v>
                  </c:pt>
                  <c:pt idx="136">
                    <c:v>May</c:v>
                  </c:pt>
                  <c:pt idx="137">
                    <c:v>June</c:v>
                  </c:pt>
                  <c:pt idx="138">
                    <c:v>July</c:v>
                  </c:pt>
                  <c:pt idx="139">
                    <c:v>August</c:v>
                  </c:pt>
                  <c:pt idx="140">
                    <c:v>September</c:v>
                  </c:pt>
                  <c:pt idx="141">
                    <c:v>October</c:v>
                  </c:pt>
                  <c:pt idx="142">
                    <c:v>November</c:v>
                  </c:pt>
                  <c:pt idx="143">
                    <c:v>December</c:v>
                  </c:pt>
                  <c:pt idx="144">
                    <c:v>January</c:v>
                  </c:pt>
                  <c:pt idx="145">
                    <c:v>February</c:v>
                  </c:pt>
                  <c:pt idx="146">
                    <c:v>March</c:v>
                  </c:pt>
                  <c:pt idx="147">
                    <c:v>April</c:v>
                  </c:pt>
                  <c:pt idx="148">
                    <c:v>May</c:v>
                  </c:pt>
                  <c:pt idx="149">
                    <c:v>June</c:v>
                  </c:pt>
                  <c:pt idx="150">
                    <c:v>July</c:v>
                  </c:pt>
                  <c:pt idx="151">
                    <c:v>August</c:v>
                  </c:pt>
                  <c:pt idx="152">
                    <c:v>September</c:v>
                  </c:pt>
                  <c:pt idx="153">
                    <c:v>October</c:v>
                  </c:pt>
                  <c:pt idx="154">
                    <c:v>November</c:v>
                  </c:pt>
                  <c:pt idx="155">
                    <c:v>December</c:v>
                  </c:pt>
                </c:lvl>
                <c:lvl>
                  <c:pt idx="0">
                    <c:v>2005</c:v>
                  </c:pt>
                  <c:pt idx="12">
                    <c:v>2006</c:v>
                  </c:pt>
                  <c:pt idx="24">
                    <c:v>2007</c:v>
                  </c:pt>
                  <c:pt idx="36">
                    <c:v>2008</c:v>
                  </c:pt>
                  <c:pt idx="48">
                    <c:v>2009</c:v>
                  </c:pt>
                  <c:pt idx="60">
                    <c:v>2010</c:v>
                  </c:pt>
                  <c:pt idx="72">
                    <c:v>2011</c:v>
                  </c:pt>
                  <c:pt idx="84">
                    <c:v>2012</c:v>
                  </c:pt>
                  <c:pt idx="96">
                    <c:v>2013</c:v>
                  </c:pt>
                  <c:pt idx="108">
                    <c:v>2014</c:v>
                  </c:pt>
                  <c:pt idx="120">
                    <c:v>2015</c:v>
                  </c:pt>
                  <c:pt idx="132">
                    <c:v>2016</c:v>
                  </c:pt>
                  <c:pt idx="144">
                    <c:v>2017</c:v>
                  </c:pt>
                </c:lvl>
              </c:multiLvlStrCache>
            </c:multiLvlStrRef>
          </c:cat>
          <c:val>
            <c:numRef>
              <c:f>Decomposition!$E$3:$E$158</c:f>
              <c:numCache>
                <c:formatCode>General</c:formatCode>
                <c:ptCount val="156"/>
                <c:pt idx="0">
                  <c:v>1103.8453535848441</c:v>
                </c:pt>
                <c:pt idx="1">
                  <c:v>1106.6333209000438</c:v>
                </c:pt>
                <c:pt idx="2">
                  <c:v>1109.4212882152435</c:v>
                </c:pt>
                <c:pt idx="3">
                  <c:v>1112.2092555304432</c:v>
                </c:pt>
                <c:pt idx="4">
                  <c:v>1114.9972228456429</c:v>
                </c:pt>
                <c:pt idx="5">
                  <c:v>1117.7851901608426</c:v>
                </c:pt>
                <c:pt idx="6">
                  <c:v>1120.5731574760423</c:v>
                </c:pt>
                <c:pt idx="7">
                  <c:v>1123.361124791242</c:v>
                </c:pt>
                <c:pt idx="8">
                  <c:v>1126.1490921064417</c:v>
                </c:pt>
                <c:pt idx="9">
                  <c:v>1128.9370594216414</c:v>
                </c:pt>
                <c:pt idx="10">
                  <c:v>1131.7250267368411</c:v>
                </c:pt>
                <c:pt idx="11">
                  <c:v>1134.5129940520408</c:v>
                </c:pt>
                <c:pt idx="12">
                  <c:v>1137.3009613672405</c:v>
                </c:pt>
                <c:pt idx="13">
                  <c:v>1140.0889286824402</c:v>
                </c:pt>
                <c:pt idx="14">
                  <c:v>1142.8768959976398</c:v>
                </c:pt>
                <c:pt idx="15">
                  <c:v>1145.6648633128395</c:v>
                </c:pt>
                <c:pt idx="16">
                  <c:v>1148.4528306280392</c:v>
                </c:pt>
                <c:pt idx="17">
                  <c:v>1151.2407979432389</c:v>
                </c:pt>
                <c:pt idx="18">
                  <c:v>1154.0287652584386</c:v>
                </c:pt>
                <c:pt idx="19">
                  <c:v>1156.8167325736383</c:v>
                </c:pt>
                <c:pt idx="20">
                  <c:v>1159.604699888838</c:v>
                </c:pt>
                <c:pt idx="21">
                  <c:v>1162.3926672040377</c:v>
                </c:pt>
                <c:pt idx="22">
                  <c:v>1165.1806345192374</c:v>
                </c:pt>
                <c:pt idx="23">
                  <c:v>1167.9686018344371</c:v>
                </c:pt>
                <c:pt idx="24">
                  <c:v>1170.7565691496368</c:v>
                </c:pt>
                <c:pt idx="25">
                  <c:v>1173.5445364648365</c:v>
                </c:pt>
                <c:pt idx="26">
                  <c:v>1176.3325037800362</c:v>
                </c:pt>
                <c:pt idx="27">
                  <c:v>1179.1204710952359</c:v>
                </c:pt>
                <c:pt idx="28">
                  <c:v>1181.9084384104356</c:v>
                </c:pt>
                <c:pt idx="29">
                  <c:v>1184.6964057256355</c:v>
                </c:pt>
                <c:pt idx="30">
                  <c:v>1187.4843730408352</c:v>
                </c:pt>
                <c:pt idx="31">
                  <c:v>1190.2723403560349</c:v>
                </c:pt>
                <c:pt idx="32">
                  <c:v>1193.0603076712346</c:v>
                </c:pt>
                <c:pt idx="33">
                  <c:v>1195.8482749864343</c:v>
                </c:pt>
                <c:pt idx="34">
                  <c:v>1198.636242301634</c:v>
                </c:pt>
                <c:pt idx="35">
                  <c:v>1201.4242096168337</c:v>
                </c:pt>
                <c:pt idx="36">
                  <c:v>1204.2121769320333</c:v>
                </c:pt>
                <c:pt idx="37">
                  <c:v>1207.000144247233</c:v>
                </c:pt>
                <c:pt idx="38">
                  <c:v>1209.7881115624327</c:v>
                </c:pt>
                <c:pt idx="39">
                  <c:v>1212.5760788776324</c:v>
                </c:pt>
                <c:pt idx="40">
                  <c:v>1215.3640461928321</c:v>
                </c:pt>
                <c:pt idx="41">
                  <c:v>1218.1520135080318</c:v>
                </c:pt>
                <c:pt idx="42">
                  <c:v>1220.9399808232315</c:v>
                </c:pt>
                <c:pt idx="43">
                  <c:v>1223.7279481384312</c:v>
                </c:pt>
                <c:pt idx="44">
                  <c:v>1226.5159154536309</c:v>
                </c:pt>
                <c:pt idx="45">
                  <c:v>1229.3038827688306</c:v>
                </c:pt>
                <c:pt idx="46">
                  <c:v>1232.0918500840303</c:v>
                </c:pt>
                <c:pt idx="47">
                  <c:v>1234.87981739923</c:v>
                </c:pt>
                <c:pt idx="48">
                  <c:v>1237.6677847144297</c:v>
                </c:pt>
                <c:pt idx="49">
                  <c:v>1240.4557520296294</c:v>
                </c:pt>
                <c:pt idx="50">
                  <c:v>1243.2437193448291</c:v>
                </c:pt>
                <c:pt idx="51">
                  <c:v>1246.0316866600288</c:v>
                </c:pt>
                <c:pt idx="52">
                  <c:v>1248.8196539752284</c:v>
                </c:pt>
                <c:pt idx="53">
                  <c:v>1251.6076212904281</c:v>
                </c:pt>
                <c:pt idx="54">
                  <c:v>1254.3955886056278</c:v>
                </c:pt>
                <c:pt idx="55">
                  <c:v>1257.1835559208275</c:v>
                </c:pt>
                <c:pt idx="56">
                  <c:v>1259.9715232360272</c:v>
                </c:pt>
                <c:pt idx="57">
                  <c:v>1262.7594905512269</c:v>
                </c:pt>
                <c:pt idx="58">
                  <c:v>1265.5474578664266</c:v>
                </c:pt>
                <c:pt idx="59">
                  <c:v>1268.3354251816263</c:v>
                </c:pt>
                <c:pt idx="60">
                  <c:v>1271.123392496826</c:v>
                </c:pt>
                <c:pt idx="61">
                  <c:v>1273.9113598120257</c:v>
                </c:pt>
                <c:pt idx="62">
                  <c:v>1276.6993271272254</c:v>
                </c:pt>
                <c:pt idx="63">
                  <c:v>1279.4872944424251</c:v>
                </c:pt>
                <c:pt idx="64">
                  <c:v>1282.2752617576248</c:v>
                </c:pt>
                <c:pt idx="65">
                  <c:v>1285.0632290728245</c:v>
                </c:pt>
                <c:pt idx="66">
                  <c:v>1287.8511963880242</c:v>
                </c:pt>
                <c:pt idx="67">
                  <c:v>1290.6391637032239</c:v>
                </c:pt>
                <c:pt idx="68">
                  <c:v>1293.4271310184236</c:v>
                </c:pt>
                <c:pt idx="69">
                  <c:v>1296.2150983336232</c:v>
                </c:pt>
                <c:pt idx="70">
                  <c:v>1299.0030656488229</c:v>
                </c:pt>
                <c:pt idx="71">
                  <c:v>1301.7910329640226</c:v>
                </c:pt>
                <c:pt idx="72">
                  <c:v>1304.5790002792223</c:v>
                </c:pt>
                <c:pt idx="73">
                  <c:v>1307.366967594422</c:v>
                </c:pt>
                <c:pt idx="74">
                  <c:v>1310.1549349096217</c:v>
                </c:pt>
                <c:pt idx="75">
                  <c:v>1312.9429022248214</c:v>
                </c:pt>
                <c:pt idx="76">
                  <c:v>1315.7308695400211</c:v>
                </c:pt>
                <c:pt idx="77">
                  <c:v>1318.5188368552208</c:v>
                </c:pt>
                <c:pt idx="78">
                  <c:v>1321.3068041704205</c:v>
                </c:pt>
                <c:pt idx="79">
                  <c:v>1324.0947714856202</c:v>
                </c:pt>
                <c:pt idx="80">
                  <c:v>1326.8827388008199</c:v>
                </c:pt>
                <c:pt idx="81">
                  <c:v>1329.6707061160196</c:v>
                </c:pt>
                <c:pt idx="82">
                  <c:v>1332.4586734312193</c:v>
                </c:pt>
                <c:pt idx="83">
                  <c:v>1335.246640746419</c:v>
                </c:pt>
                <c:pt idx="84">
                  <c:v>1338.0346080616187</c:v>
                </c:pt>
                <c:pt idx="85">
                  <c:v>1340.8225753768183</c:v>
                </c:pt>
                <c:pt idx="86">
                  <c:v>1343.610542692018</c:v>
                </c:pt>
                <c:pt idx="87">
                  <c:v>1346.3985100072177</c:v>
                </c:pt>
                <c:pt idx="88">
                  <c:v>1349.1864773224174</c:v>
                </c:pt>
                <c:pt idx="89">
                  <c:v>1351.9744446376171</c:v>
                </c:pt>
                <c:pt idx="90">
                  <c:v>1354.7624119528168</c:v>
                </c:pt>
                <c:pt idx="91">
                  <c:v>1357.5503792680165</c:v>
                </c:pt>
                <c:pt idx="92">
                  <c:v>1360.3383465832162</c:v>
                </c:pt>
                <c:pt idx="93">
                  <c:v>1363.1263138984159</c:v>
                </c:pt>
                <c:pt idx="94">
                  <c:v>1365.9142812136156</c:v>
                </c:pt>
                <c:pt idx="95">
                  <c:v>1368.7022485288153</c:v>
                </c:pt>
                <c:pt idx="96">
                  <c:v>1371.490215844015</c:v>
                </c:pt>
                <c:pt idx="97">
                  <c:v>1374.2781831592147</c:v>
                </c:pt>
                <c:pt idx="98">
                  <c:v>1377.0661504744144</c:v>
                </c:pt>
                <c:pt idx="99">
                  <c:v>1379.8541177896141</c:v>
                </c:pt>
                <c:pt idx="100">
                  <c:v>1382.6420851048138</c:v>
                </c:pt>
                <c:pt idx="101">
                  <c:v>1385.4300524200135</c:v>
                </c:pt>
                <c:pt idx="102">
                  <c:v>1388.2180197352131</c:v>
                </c:pt>
                <c:pt idx="103">
                  <c:v>1391.0059870504128</c:v>
                </c:pt>
                <c:pt idx="104">
                  <c:v>1393.7939543656128</c:v>
                </c:pt>
                <c:pt idx="105">
                  <c:v>1396.5819216808125</c:v>
                </c:pt>
                <c:pt idx="106">
                  <c:v>1399.3698889960122</c:v>
                </c:pt>
                <c:pt idx="107">
                  <c:v>1402.1578563112118</c:v>
                </c:pt>
                <c:pt idx="108">
                  <c:v>1404.9458236264115</c:v>
                </c:pt>
                <c:pt idx="109">
                  <c:v>1407.7337909416112</c:v>
                </c:pt>
                <c:pt idx="110">
                  <c:v>1410.5217582568109</c:v>
                </c:pt>
                <c:pt idx="111">
                  <c:v>1413.3097255720106</c:v>
                </c:pt>
                <c:pt idx="112">
                  <c:v>1416.0976928872103</c:v>
                </c:pt>
                <c:pt idx="113">
                  <c:v>1418.88566020241</c:v>
                </c:pt>
                <c:pt idx="114">
                  <c:v>1421.6736275176097</c:v>
                </c:pt>
                <c:pt idx="115">
                  <c:v>1424.4615948328094</c:v>
                </c:pt>
                <c:pt idx="116">
                  <c:v>1427.2495621480091</c:v>
                </c:pt>
                <c:pt idx="117">
                  <c:v>1430.0375294632088</c:v>
                </c:pt>
                <c:pt idx="118">
                  <c:v>1432.8254967784085</c:v>
                </c:pt>
                <c:pt idx="119">
                  <c:v>1435.6134640936082</c:v>
                </c:pt>
                <c:pt idx="120">
                  <c:v>1438.4014314088079</c:v>
                </c:pt>
                <c:pt idx="121">
                  <c:v>1441.1893987240076</c:v>
                </c:pt>
                <c:pt idx="122">
                  <c:v>1443.9773660392073</c:v>
                </c:pt>
                <c:pt idx="123">
                  <c:v>1446.7653333544069</c:v>
                </c:pt>
                <c:pt idx="124">
                  <c:v>1449.5533006696066</c:v>
                </c:pt>
                <c:pt idx="125">
                  <c:v>1452.3412679848063</c:v>
                </c:pt>
                <c:pt idx="126">
                  <c:v>1455.129235300006</c:v>
                </c:pt>
                <c:pt idx="127">
                  <c:v>1457.9172026152057</c:v>
                </c:pt>
                <c:pt idx="128">
                  <c:v>1460.7051699304054</c:v>
                </c:pt>
                <c:pt idx="129">
                  <c:v>1463.4931372456051</c:v>
                </c:pt>
                <c:pt idx="130">
                  <c:v>1466.2811045608048</c:v>
                </c:pt>
                <c:pt idx="131">
                  <c:v>1469.0690718760045</c:v>
                </c:pt>
                <c:pt idx="132">
                  <c:v>1471.8570391912042</c:v>
                </c:pt>
                <c:pt idx="133">
                  <c:v>1474.6450065064039</c:v>
                </c:pt>
                <c:pt idx="134">
                  <c:v>1477.4329738216036</c:v>
                </c:pt>
                <c:pt idx="135">
                  <c:v>1480.2209411368033</c:v>
                </c:pt>
                <c:pt idx="136">
                  <c:v>1483.008908452003</c:v>
                </c:pt>
                <c:pt idx="137">
                  <c:v>1485.7968757672027</c:v>
                </c:pt>
                <c:pt idx="138">
                  <c:v>1488.5848430824024</c:v>
                </c:pt>
                <c:pt idx="139">
                  <c:v>1491.3728103976021</c:v>
                </c:pt>
                <c:pt idx="140">
                  <c:v>1494.1607777128017</c:v>
                </c:pt>
                <c:pt idx="141">
                  <c:v>1496.9487450280014</c:v>
                </c:pt>
                <c:pt idx="142">
                  <c:v>1499.7367123432011</c:v>
                </c:pt>
                <c:pt idx="143">
                  <c:v>1502.5246796584008</c:v>
                </c:pt>
                <c:pt idx="144">
                  <c:v>1505.3126469736005</c:v>
                </c:pt>
                <c:pt idx="145">
                  <c:v>1508.1006142888002</c:v>
                </c:pt>
                <c:pt idx="146">
                  <c:v>1510.8885816039999</c:v>
                </c:pt>
                <c:pt idx="147">
                  <c:v>1513.6765489191996</c:v>
                </c:pt>
                <c:pt idx="148">
                  <c:v>1516.4645162343993</c:v>
                </c:pt>
                <c:pt idx="149">
                  <c:v>1519.252483549599</c:v>
                </c:pt>
                <c:pt idx="150">
                  <c:v>1522.0404508647987</c:v>
                </c:pt>
                <c:pt idx="151">
                  <c:v>1524.8284181799986</c:v>
                </c:pt>
                <c:pt idx="152">
                  <c:v>1527.6163854951983</c:v>
                </c:pt>
                <c:pt idx="153">
                  <c:v>1530.404352810398</c:v>
                </c:pt>
                <c:pt idx="154">
                  <c:v>1533.1923201255977</c:v>
                </c:pt>
                <c:pt idx="155">
                  <c:v>1535.9802874407974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C-4012-BF34-8CDE588A68C2}"/>
            </c:ext>
          </c:extLst>
        </c:ser>
        <c:ser>
          <c:idx val="2"/>
          <c:order val="2"/>
          <c:tx>
            <c:strRef>
              <c:f>Decomposition!$F$2</c:f>
              <c:strCache>
                <c:ptCount val="1"/>
                <c:pt idx="0">
                  <c:v>Seasonal Forecast with Trend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Decomposition!$B$3:$C$158</c:f>
              <c:multiLvlStrCache>
                <c:ptCount val="156"/>
                <c:lvl>
                  <c:pt idx="0">
                    <c:v>January</c:v>
                  </c:pt>
                  <c:pt idx="1">
                    <c:v>February</c:v>
                  </c:pt>
                  <c:pt idx="2">
                    <c:v>March</c:v>
                  </c:pt>
                  <c:pt idx="3">
                    <c:v>April</c:v>
                  </c:pt>
                  <c:pt idx="4">
                    <c:v>May</c:v>
                  </c:pt>
                  <c:pt idx="5">
                    <c:v>June</c:v>
                  </c:pt>
                  <c:pt idx="6">
                    <c:v>July</c:v>
                  </c:pt>
                  <c:pt idx="7">
                    <c:v>August</c:v>
                  </c:pt>
                  <c:pt idx="8">
                    <c:v>September</c:v>
                  </c:pt>
                  <c:pt idx="9">
                    <c:v>October</c:v>
                  </c:pt>
                  <c:pt idx="10">
                    <c:v>November</c:v>
                  </c:pt>
                  <c:pt idx="11">
                    <c:v>December</c:v>
                  </c:pt>
                  <c:pt idx="12">
                    <c:v>January</c:v>
                  </c:pt>
                  <c:pt idx="13">
                    <c:v>February</c:v>
                  </c:pt>
                  <c:pt idx="14">
                    <c:v>March</c:v>
                  </c:pt>
                  <c:pt idx="15">
                    <c:v>April</c:v>
                  </c:pt>
                  <c:pt idx="16">
                    <c:v>May</c:v>
                  </c:pt>
                  <c:pt idx="17">
                    <c:v>June</c:v>
                  </c:pt>
                  <c:pt idx="18">
                    <c:v>July</c:v>
                  </c:pt>
                  <c:pt idx="19">
                    <c:v>August</c:v>
                  </c:pt>
                  <c:pt idx="20">
                    <c:v>September</c:v>
                  </c:pt>
                  <c:pt idx="21">
                    <c:v>October</c:v>
                  </c:pt>
                  <c:pt idx="22">
                    <c:v>November</c:v>
                  </c:pt>
                  <c:pt idx="23">
                    <c:v>December</c:v>
                  </c:pt>
                  <c:pt idx="24">
                    <c:v>January</c:v>
                  </c:pt>
                  <c:pt idx="25">
                    <c:v>February</c:v>
                  </c:pt>
                  <c:pt idx="26">
                    <c:v>March</c:v>
                  </c:pt>
                  <c:pt idx="27">
                    <c:v>April</c:v>
                  </c:pt>
                  <c:pt idx="28">
                    <c:v>May</c:v>
                  </c:pt>
                  <c:pt idx="29">
                    <c:v>June</c:v>
                  </c:pt>
                  <c:pt idx="30">
                    <c:v>July</c:v>
                  </c:pt>
                  <c:pt idx="31">
                    <c:v>August</c:v>
                  </c:pt>
                  <c:pt idx="32">
                    <c:v>September</c:v>
                  </c:pt>
                  <c:pt idx="33">
                    <c:v>October</c:v>
                  </c:pt>
                  <c:pt idx="34">
                    <c:v>November</c:v>
                  </c:pt>
                  <c:pt idx="35">
                    <c:v>December</c:v>
                  </c:pt>
                  <c:pt idx="36">
                    <c:v>January</c:v>
                  </c:pt>
                  <c:pt idx="37">
                    <c:v>February</c:v>
                  </c:pt>
                  <c:pt idx="38">
                    <c:v>March</c:v>
                  </c:pt>
                  <c:pt idx="39">
                    <c:v>April</c:v>
                  </c:pt>
                  <c:pt idx="40">
                    <c:v>May</c:v>
                  </c:pt>
                  <c:pt idx="41">
                    <c:v>June</c:v>
                  </c:pt>
                  <c:pt idx="42">
                    <c:v>July</c:v>
                  </c:pt>
                  <c:pt idx="43">
                    <c:v>August</c:v>
                  </c:pt>
                  <c:pt idx="44">
                    <c:v>September</c:v>
                  </c:pt>
                  <c:pt idx="45">
                    <c:v>October</c:v>
                  </c:pt>
                  <c:pt idx="46">
                    <c:v>November</c:v>
                  </c:pt>
                  <c:pt idx="47">
                    <c:v>December</c:v>
                  </c:pt>
                  <c:pt idx="48">
                    <c:v>January</c:v>
                  </c:pt>
                  <c:pt idx="49">
                    <c:v>February</c:v>
                  </c:pt>
                  <c:pt idx="50">
                    <c:v>March</c:v>
                  </c:pt>
                  <c:pt idx="51">
                    <c:v>April</c:v>
                  </c:pt>
                  <c:pt idx="52">
                    <c:v>May</c:v>
                  </c:pt>
                  <c:pt idx="53">
                    <c:v>June</c:v>
                  </c:pt>
                  <c:pt idx="54">
                    <c:v>July</c:v>
                  </c:pt>
                  <c:pt idx="55">
                    <c:v>August</c:v>
                  </c:pt>
                  <c:pt idx="56">
                    <c:v>September</c:v>
                  </c:pt>
                  <c:pt idx="57">
                    <c:v>October</c:v>
                  </c:pt>
                  <c:pt idx="58">
                    <c:v>November</c:v>
                  </c:pt>
                  <c:pt idx="59">
                    <c:v>December</c:v>
                  </c:pt>
                  <c:pt idx="60">
                    <c:v>January</c:v>
                  </c:pt>
                  <c:pt idx="61">
                    <c:v>February</c:v>
                  </c:pt>
                  <c:pt idx="62">
                    <c:v>March</c:v>
                  </c:pt>
                  <c:pt idx="63">
                    <c:v>April</c:v>
                  </c:pt>
                  <c:pt idx="64">
                    <c:v>May</c:v>
                  </c:pt>
                  <c:pt idx="65">
                    <c:v>June</c:v>
                  </c:pt>
                  <c:pt idx="66">
                    <c:v>July</c:v>
                  </c:pt>
                  <c:pt idx="67">
                    <c:v>August</c:v>
                  </c:pt>
                  <c:pt idx="68">
                    <c:v>September</c:v>
                  </c:pt>
                  <c:pt idx="69">
                    <c:v>October</c:v>
                  </c:pt>
                  <c:pt idx="70">
                    <c:v>November</c:v>
                  </c:pt>
                  <c:pt idx="71">
                    <c:v>December</c:v>
                  </c:pt>
                  <c:pt idx="72">
                    <c:v>January</c:v>
                  </c:pt>
                  <c:pt idx="73">
                    <c:v>February</c:v>
                  </c:pt>
                  <c:pt idx="74">
                    <c:v>March</c:v>
                  </c:pt>
                  <c:pt idx="75">
                    <c:v>April</c:v>
                  </c:pt>
                  <c:pt idx="76">
                    <c:v>May</c:v>
                  </c:pt>
                  <c:pt idx="77">
                    <c:v>June</c:v>
                  </c:pt>
                  <c:pt idx="78">
                    <c:v>July</c:v>
                  </c:pt>
                  <c:pt idx="79">
                    <c:v>August</c:v>
                  </c:pt>
                  <c:pt idx="80">
                    <c:v>September</c:v>
                  </c:pt>
                  <c:pt idx="81">
                    <c:v>October</c:v>
                  </c:pt>
                  <c:pt idx="82">
                    <c:v>November</c:v>
                  </c:pt>
                  <c:pt idx="83">
                    <c:v>December</c:v>
                  </c:pt>
                  <c:pt idx="84">
                    <c:v>January</c:v>
                  </c:pt>
                  <c:pt idx="85">
                    <c:v>February</c:v>
                  </c:pt>
                  <c:pt idx="86">
                    <c:v>March</c:v>
                  </c:pt>
                  <c:pt idx="87">
                    <c:v>April</c:v>
                  </c:pt>
                  <c:pt idx="88">
                    <c:v>May</c:v>
                  </c:pt>
                  <c:pt idx="89">
                    <c:v>June</c:v>
                  </c:pt>
                  <c:pt idx="90">
                    <c:v>July</c:v>
                  </c:pt>
                  <c:pt idx="91">
                    <c:v>August</c:v>
                  </c:pt>
                  <c:pt idx="92">
                    <c:v>September</c:v>
                  </c:pt>
                  <c:pt idx="93">
                    <c:v>October</c:v>
                  </c:pt>
                  <c:pt idx="94">
                    <c:v>November</c:v>
                  </c:pt>
                  <c:pt idx="95">
                    <c:v>December</c:v>
                  </c:pt>
                  <c:pt idx="96">
                    <c:v>January</c:v>
                  </c:pt>
                  <c:pt idx="97">
                    <c:v>February</c:v>
                  </c:pt>
                  <c:pt idx="98">
                    <c:v>March</c:v>
                  </c:pt>
                  <c:pt idx="99">
                    <c:v>April</c:v>
                  </c:pt>
                  <c:pt idx="100">
                    <c:v>May</c:v>
                  </c:pt>
                  <c:pt idx="101">
                    <c:v>June</c:v>
                  </c:pt>
                  <c:pt idx="102">
                    <c:v>July</c:v>
                  </c:pt>
                  <c:pt idx="103">
                    <c:v>August</c:v>
                  </c:pt>
                  <c:pt idx="104">
                    <c:v>September</c:v>
                  </c:pt>
                  <c:pt idx="105">
                    <c:v>October</c:v>
                  </c:pt>
                  <c:pt idx="106">
                    <c:v>November</c:v>
                  </c:pt>
                  <c:pt idx="107">
                    <c:v>December</c:v>
                  </c:pt>
                  <c:pt idx="108">
                    <c:v>January</c:v>
                  </c:pt>
                  <c:pt idx="109">
                    <c:v>February</c:v>
                  </c:pt>
                  <c:pt idx="110">
                    <c:v>March</c:v>
                  </c:pt>
                  <c:pt idx="111">
                    <c:v>April</c:v>
                  </c:pt>
                  <c:pt idx="112">
                    <c:v>May</c:v>
                  </c:pt>
                  <c:pt idx="113">
                    <c:v>June</c:v>
                  </c:pt>
                  <c:pt idx="114">
                    <c:v>July</c:v>
                  </c:pt>
                  <c:pt idx="115">
                    <c:v>August</c:v>
                  </c:pt>
                  <c:pt idx="116">
                    <c:v>September</c:v>
                  </c:pt>
                  <c:pt idx="117">
                    <c:v>October</c:v>
                  </c:pt>
                  <c:pt idx="118">
                    <c:v>November</c:v>
                  </c:pt>
                  <c:pt idx="119">
                    <c:v>December</c:v>
                  </c:pt>
                  <c:pt idx="120">
                    <c:v>January</c:v>
                  </c:pt>
                  <c:pt idx="121">
                    <c:v>February</c:v>
                  </c:pt>
                  <c:pt idx="122">
                    <c:v>March</c:v>
                  </c:pt>
                  <c:pt idx="123">
                    <c:v>April</c:v>
                  </c:pt>
                  <c:pt idx="124">
                    <c:v>May</c:v>
                  </c:pt>
                  <c:pt idx="125">
                    <c:v>June</c:v>
                  </c:pt>
                  <c:pt idx="126">
                    <c:v>July</c:v>
                  </c:pt>
                  <c:pt idx="127">
                    <c:v>August</c:v>
                  </c:pt>
                  <c:pt idx="128">
                    <c:v>September</c:v>
                  </c:pt>
                  <c:pt idx="129">
                    <c:v>October</c:v>
                  </c:pt>
                  <c:pt idx="130">
                    <c:v>November</c:v>
                  </c:pt>
                  <c:pt idx="131">
                    <c:v>December</c:v>
                  </c:pt>
                  <c:pt idx="132">
                    <c:v>January</c:v>
                  </c:pt>
                  <c:pt idx="133">
                    <c:v>February</c:v>
                  </c:pt>
                  <c:pt idx="134">
                    <c:v>March</c:v>
                  </c:pt>
                  <c:pt idx="135">
                    <c:v>April</c:v>
                  </c:pt>
                  <c:pt idx="136">
                    <c:v>May</c:v>
                  </c:pt>
                  <c:pt idx="137">
                    <c:v>June</c:v>
                  </c:pt>
                  <c:pt idx="138">
                    <c:v>July</c:v>
                  </c:pt>
                  <c:pt idx="139">
                    <c:v>August</c:v>
                  </c:pt>
                  <c:pt idx="140">
                    <c:v>September</c:v>
                  </c:pt>
                  <c:pt idx="141">
                    <c:v>October</c:v>
                  </c:pt>
                  <c:pt idx="142">
                    <c:v>November</c:v>
                  </c:pt>
                  <c:pt idx="143">
                    <c:v>December</c:v>
                  </c:pt>
                  <c:pt idx="144">
                    <c:v>January</c:v>
                  </c:pt>
                  <c:pt idx="145">
                    <c:v>February</c:v>
                  </c:pt>
                  <c:pt idx="146">
                    <c:v>March</c:v>
                  </c:pt>
                  <c:pt idx="147">
                    <c:v>April</c:v>
                  </c:pt>
                  <c:pt idx="148">
                    <c:v>May</c:v>
                  </c:pt>
                  <c:pt idx="149">
                    <c:v>June</c:v>
                  </c:pt>
                  <c:pt idx="150">
                    <c:v>July</c:v>
                  </c:pt>
                  <c:pt idx="151">
                    <c:v>August</c:v>
                  </c:pt>
                  <c:pt idx="152">
                    <c:v>September</c:v>
                  </c:pt>
                  <c:pt idx="153">
                    <c:v>October</c:v>
                  </c:pt>
                  <c:pt idx="154">
                    <c:v>November</c:v>
                  </c:pt>
                  <c:pt idx="155">
                    <c:v>December</c:v>
                  </c:pt>
                </c:lvl>
                <c:lvl>
                  <c:pt idx="0">
                    <c:v>2005</c:v>
                  </c:pt>
                  <c:pt idx="12">
                    <c:v>2006</c:v>
                  </c:pt>
                  <c:pt idx="24">
                    <c:v>2007</c:v>
                  </c:pt>
                  <c:pt idx="36">
                    <c:v>2008</c:v>
                  </c:pt>
                  <c:pt idx="48">
                    <c:v>2009</c:v>
                  </c:pt>
                  <c:pt idx="60">
                    <c:v>2010</c:v>
                  </c:pt>
                  <c:pt idx="72">
                    <c:v>2011</c:v>
                  </c:pt>
                  <c:pt idx="84">
                    <c:v>2012</c:v>
                  </c:pt>
                  <c:pt idx="96">
                    <c:v>2013</c:v>
                  </c:pt>
                  <c:pt idx="108">
                    <c:v>2014</c:v>
                  </c:pt>
                  <c:pt idx="120">
                    <c:v>2015</c:v>
                  </c:pt>
                  <c:pt idx="132">
                    <c:v>2016</c:v>
                  </c:pt>
                  <c:pt idx="144">
                    <c:v>2017</c:v>
                  </c:pt>
                </c:lvl>
              </c:multiLvlStrCache>
            </c:multiLvlStrRef>
          </c:cat>
          <c:val>
            <c:numRef>
              <c:f>Decomposition!$F$3:$F$158</c:f>
              <c:numCache>
                <c:formatCode>0.00</c:formatCode>
                <c:ptCount val="156"/>
                <c:pt idx="0">
                  <c:v>1054.9174146130679</c:v>
                </c:pt>
                <c:pt idx="1">
                  <c:v>1049.2109323197569</c:v>
                </c:pt>
                <c:pt idx="2">
                  <c:v>1055.5574755248142</c:v>
                </c:pt>
                <c:pt idx="3">
                  <c:v>1099.3799250915895</c:v>
                </c:pt>
                <c:pt idx="4">
                  <c:v>1112.8227194681572</c:v>
                </c:pt>
                <c:pt idx="5">
                  <c:v>1144.5207746942158</c:v>
                </c:pt>
                <c:pt idx="6">
                  <c:v>1124.7624233895092</c:v>
                </c:pt>
                <c:pt idx="7">
                  <c:v>1161.0184124332773</c:v>
                </c:pt>
                <c:pt idx="8">
                  <c:v>1131.5979962316328</c:v>
                </c:pt>
                <c:pt idx="9">
                  <c:v>1134.6904688564352</c:v>
                </c:pt>
                <c:pt idx="10">
                  <c:v>1150.0246437325584</c:v>
                </c:pt>
                <c:pt idx="11">
                  <c:v>1119.2109034968694</c:v>
                </c:pt>
                <c:pt idx="12">
                  <c:v>1086.8901027722354</c:v>
                </c:pt>
                <c:pt idx="13">
                  <c:v>1080.9305532364153</c:v>
                </c:pt>
                <c:pt idx="14">
                  <c:v>1087.3887710552485</c:v>
                </c:pt>
                <c:pt idx="15">
                  <c:v>1132.4496225381936</c:v>
                </c:pt>
                <c:pt idx="16">
                  <c:v>1146.2130810502688</c:v>
                </c:pt>
                <c:pt idx="17">
                  <c:v>1178.7765856264257</c:v>
                </c:pt>
                <c:pt idx="18">
                  <c:v>1158.3431050560712</c:v>
                </c:pt>
                <c:pt idx="19">
                  <c:v>1195.5955183854942</c:v>
                </c:pt>
                <c:pt idx="20">
                  <c:v>1165.2154799153054</c:v>
                </c:pt>
                <c:pt idx="21">
                  <c:v>1168.3165766749989</c:v>
                </c:pt>
                <c:pt idx="22">
                  <c:v>1184.0212175573351</c:v>
                </c:pt>
                <c:pt idx="23">
                  <c:v>1152.2152685499636</c:v>
                </c:pt>
                <c:pt idx="24">
                  <c:v>1118.8627909314032</c:v>
                </c:pt>
                <c:pt idx="25">
                  <c:v>1112.6501741530737</c:v>
                </c:pt>
                <c:pt idx="26">
                  <c:v>1119.2200665856828</c:v>
                </c:pt>
                <c:pt idx="27">
                  <c:v>1165.5193199847977</c:v>
                </c:pt>
                <c:pt idx="28">
                  <c:v>1179.6034426323804</c:v>
                </c:pt>
                <c:pt idx="29">
                  <c:v>1213.0323965586358</c:v>
                </c:pt>
                <c:pt idx="30">
                  <c:v>1191.9237867226332</c:v>
                </c:pt>
                <c:pt idx="31">
                  <c:v>1230.1726243377111</c:v>
                </c:pt>
                <c:pt idx="32">
                  <c:v>1198.8329635989783</c:v>
                </c:pt>
                <c:pt idx="33">
                  <c:v>1201.9426844935629</c:v>
                </c:pt>
                <c:pt idx="34">
                  <c:v>1218.0177913821124</c:v>
                </c:pt>
                <c:pt idx="35">
                  <c:v>1185.2196336030584</c:v>
                </c:pt>
                <c:pt idx="36">
                  <c:v>1150.835479090571</c:v>
                </c:pt>
                <c:pt idx="37">
                  <c:v>1144.3697950697322</c:v>
                </c:pt>
                <c:pt idx="38">
                  <c:v>1151.0513621161174</c:v>
                </c:pt>
                <c:pt idx="39">
                  <c:v>1198.5890174314018</c:v>
                </c:pt>
                <c:pt idx="40">
                  <c:v>1212.9938042144922</c:v>
                </c:pt>
                <c:pt idx="41">
                  <c:v>1247.2882074908457</c:v>
                </c:pt>
                <c:pt idx="42">
                  <c:v>1225.5044683891949</c:v>
                </c:pt>
                <c:pt idx="43">
                  <c:v>1264.7497302899278</c:v>
                </c:pt>
                <c:pt idx="44">
                  <c:v>1232.4504472826511</c:v>
                </c:pt>
                <c:pt idx="45">
                  <c:v>1235.5687923121266</c:v>
                </c:pt>
                <c:pt idx="46">
                  <c:v>1252.0143652068891</c:v>
                </c:pt>
                <c:pt idx="47">
                  <c:v>1218.2239986561526</c:v>
                </c:pt>
                <c:pt idx="48">
                  <c:v>1182.8081672497387</c:v>
                </c:pt>
                <c:pt idx="49">
                  <c:v>1176.0894159863906</c:v>
                </c:pt>
                <c:pt idx="50">
                  <c:v>1182.8826576465517</c:v>
                </c:pt>
                <c:pt idx="51">
                  <c:v>1231.6587148780059</c:v>
                </c:pt>
                <c:pt idx="52">
                  <c:v>1246.3841657966038</c:v>
                </c:pt>
                <c:pt idx="53">
                  <c:v>1281.5440184230556</c:v>
                </c:pt>
                <c:pt idx="54">
                  <c:v>1259.0851500557569</c:v>
                </c:pt>
                <c:pt idx="55">
                  <c:v>1299.3268362421447</c:v>
                </c:pt>
                <c:pt idx="56">
                  <c:v>1266.0679309663237</c:v>
                </c:pt>
                <c:pt idx="57">
                  <c:v>1269.19490013069</c:v>
                </c:pt>
                <c:pt idx="58">
                  <c:v>1286.0109390316659</c:v>
                </c:pt>
                <c:pt idx="59">
                  <c:v>1251.2283637092471</c:v>
                </c:pt>
                <c:pt idx="60">
                  <c:v>1214.7808554089063</c:v>
                </c:pt>
                <c:pt idx="61">
                  <c:v>1207.809036903049</c:v>
                </c:pt>
                <c:pt idx="62">
                  <c:v>1214.713953176986</c:v>
                </c:pt>
                <c:pt idx="63">
                  <c:v>1264.72841232461</c:v>
                </c:pt>
                <c:pt idx="64">
                  <c:v>1279.7745273787154</c:v>
                </c:pt>
                <c:pt idx="65">
                  <c:v>1315.7998293552655</c:v>
                </c:pt>
                <c:pt idx="66">
                  <c:v>1292.6658317223187</c:v>
                </c:pt>
                <c:pt idx="67">
                  <c:v>1333.9039421943614</c:v>
                </c:pt>
                <c:pt idx="68">
                  <c:v>1299.6854146499963</c:v>
                </c:pt>
                <c:pt idx="69">
                  <c:v>1302.8210079492537</c:v>
                </c:pt>
                <c:pt idx="70">
                  <c:v>1320.0075128564426</c:v>
                </c:pt>
                <c:pt idx="71">
                  <c:v>1284.2327287623416</c:v>
                </c:pt>
                <c:pt idx="72">
                  <c:v>1246.7535435680741</c:v>
                </c:pt>
                <c:pt idx="73">
                  <c:v>1239.5286578197074</c:v>
                </c:pt>
                <c:pt idx="74">
                  <c:v>1246.5452487074203</c:v>
                </c:pt>
                <c:pt idx="75">
                  <c:v>1297.7981097712141</c:v>
                </c:pt>
                <c:pt idx="76">
                  <c:v>1313.1648889608271</c:v>
                </c:pt>
                <c:pt idx="77">
                  <c:v>1350.0556402874754</c:v>
                </c:pt>
                <c:pt idx="78">
                  <c:v>1326.2465133888804</c:v>
                </c:pt>
                <c:pt idx="79">
                  <c:v>1368.4810481465781</c:v>
                </c:pt>
                <c:pt idx="80">
                  <c:v>1333.302898333669</c:v>
                </c:pt>
                <c:pt idx="81">
                  <c:v>1336.4471157678174</c:v>
                </c:pt>
                <c:pt idx="82">
                  <c:v>1354.0040866812196</c:v>
                </c:pt>
                <c:pt idx="83">
                  <c:v>1317.2370938154361</c:v>
                </c:pt>
                <c:pt idx="84">
                  <c:v>1278.7262317272416</c:v>
                </c:pt>
                <c:pt idx="85">
                  <c:v>1271.2482787363658</c:v>
                </c:pt>
                <c:pt idx="86">
                  <c:v>1278.3765442378547</c:v>
                </c:pt>
                <c:pt idx="87">
                  <c:v>1330.8678072178179</c:v>
                </c:pt>
                <c:pt idx="88">
                  <c:v>1346.5552505429387</c:v>
                </c:pt>
                <c:pt idx="89">
                  <c:v>1384.3114512196851</c:v>
                </c:pt>
                <c:pt idx="90">
                  <c:v>1359.8271950554422</c:v>
                </c:pt>
                <c:pt idx="91">
                  <c:v>1403.0581540987951</c:v>
                </c:pt>
                <c:pt idx="92">
                  <c:v>1366.9203820173418</c:v>
                </c:pt>
                <c:pt idx="93">
                  <c:v>1370.0732235863811</c:v>
                </c:pt>
                <c:pt idx="94">
                  <c:v>1388.0006605059964</c:v>
                </c:pt>
                <c:pt idx="95">
                  <c:v>1350.2414588685303</c:v>
                </c:pt>
                <c:pt idx="96">
                  <c:v>1310.6989198864092</c:v>
                </c:pt>
                <c:pt idx="97">
                  <c:v>1302.9678996530242</c:v>
                </c:pt>
                <c:pt idx="98">
                  <c:v>1310.2078397682892</c:v>
                </c:pt>
                <c:pt idx="99">
                  <c:v>1363.937504664422</c:v>
                </c:pt>
                <c:pt idx="100">
                  <c:v>1379.9456121250505</c:v>
                </c:pt>
                <c:pt idx="101">
                  <c:v>1418.567262151895</c:v>
                </c:pt>
                <c:pt idx="102">
                  <c:v>1393.4078767220042</c:v>
                </c:pt>
                <c:pt idx="103">
                  <c:v>1437.6352600510118</c:v>
                </c:pt>
                <c:pt idx="104">
                  <c:v>1400.5378657010147</c:v>
                </c:pt>
                <c:pt idx="105">
                  <c:v>1403.6993314049448</c:v>
                </c:pt>
                <c:pt idx="106">
                  <c:v>1421.9972343307734</c:v>
                </c:pt>
                <c:pt idx="107">
                  <c:v>1383.2458239216251</c:v>
                </c:pt>
                <c:pt idx="108">
                  <c:v>1342.6716080455772</c:v>
                </c:pt>
                <c:pt idx="109">
                  <c:v>1334.6875205696829</c:v>
                </c:pt>
                <c:pt idx="110">
                  <c:v>1342.0391352987237</c:v>
                </c:pt>
                <c:pt idx="111">
                  <c:v>1397.0072021110263</c:v>
                </c:pt>
                <c:pt idx="112">
                  <c:v>1413.3359737071623</c:v>
                </c:pt>
                <c:pt idx="113">
                  <c:v>1452.8230730841051</c:v>
                </c:pt>
                <c:pt idx="114">
                  <c:v>1426.9885583885662</c:v>
                </c:pt>
                <c:pt idx="115">
                  <c:v>1472.2123660032287</c:v>
                </c:pt>
                <c:pt idx="116">
                  <c:v>1434.1553493846873</c:v>
                </c:pt>
                <c:pt idx="117">
                  <c:v>1437.3254392235085</c:v>
                </c:pt>
                <c:pt idx="118">
                  <c:v>1455.9938081555504</c:v>
                </c:pt>
                <c:pt idx="119">
                  <c:v>1416.2501889747195</c:v>
                </c:pt>
                <c:pt idx="120">
                  <c:v>1374.6442962047447</c:v>
                </c:pt>
                <c:pt idx="121">
                  <c:v>1366.4071414863413</c:v>
                </c:pt>
                <c:pt idx="122">
                  <c:v>1373.8704308291581</c:v>
                </c:pt>
                <c:pt idx="123">
                  <c:v>1430.0768995576304</c:v>
                </c:pt>
                <c:pt idx="124">
                  <c:v>1446.7263352892739</c:v>
                </c:pt>
                <c:pt idx="125">
                  <c:v>1487.078884016315</c:v>
                </c:pt>
                <c:pt idx="126">
                  <c:v>1460.5692400551279</c:v>
                </c:pt>
                <c:pt idx="127">
                  <c:v>1506.7894719554456</c:v>
                </c:pt>
                <c:pt idx="128">
                  <c:v>1467.7728330683601</c:v>
                </c:pt>
                <c:pt idx="129">
                  <c:v>1470.9515470420722</c:v>
                </c:pt>
                <c:pt idx="130">
                  <c:v>1489.9903819803271</c:v>
                </c:pt>
                <c:pt idx="131">
                  <c:v>1449.2545540278138</c:v>
                </c:pt>
                <c:pt idx="132">
                  <c:v>1406.6169843639125</c:v>
                </c:pt>
                <c:pt idx="133">
                  <c:v>1398.1267624029997</c:v>
                </c:pt>
                <c:pt idx="134">
                  <c:v>1405.7017263595924</c:v>
                </c:pt>
                <c:pt idx="135">
                  <c:v>1463.1465970042343</c:v>
                </c:pt>
                <c:pt idx="136">
                  <c:v>1480.1166968713856</c:v>
                </c:pt>
                <c:pt idx="137">
                  <c:v>1521.3346949485249</c:v>
                </c:pt>
                <c:pt idx="138">
                  <c:v>1494.1499217216897</c:v>
                </c:pt>
                <c:pt idx="139">
                  <c:v>1541.3665779076623</c:v>
                </c:pt>
                <c:pt idx="140">
                  <c:v>1501.3903167520327</c:v>
                </c:pt>
                <c:pt idx="141">
                  <c:v>1504.5776548606359</c:v>
                </c:pt>
                <c:pt idx="142">
                  <c:v>1523.9869558051039</c:v>
                </c:pt>
                <c:pt idx="143">
                  <c:v>1482.2589190809083</c:v>
                </c:pt>
                <c:pt idx="144">
                  <c:v>1438.58967252308</c:v>
                </c:pt>
                <c:pt idx="145">
                  <c:v>1429.8463833196579</c:v>
                </c:pt>
                <c:pt idx="146">
                  <c:v>1437.5330218900267</c:v>
                </c:pt>
                <c:pt idx="147">
                  <c:v>1496.2162944508384</c:v>
                </c:pt>
                <c:pt idx="148">
                  <c:v>1513.5070584534972</c:v>
                </c:pt>
                <c:pt idx="149">
                  <c:v>1555.5905058807348</c:v>
                </c:pt>
                <c:pt idx="150">
                  <c:v>1527.7306033882517</c:v>
                </c:pt>
                <c:pt idx="151">
                  <c:v>1575.9436838598792</c:v>
                </c:pt>
                <c:pt idx="152">
                  <c:v>1535.0078004357056</c:v>
                </c:pt>
                <c:pt idx="153">
                  <c:v>1538.2037626791996</c:v>
                </c:pt>
                <c:pt idx="154">
                  <c:v>1557.9835296298809</c:v>
                </c:pt>
                <c:pt idx="155">
                  <c:v>1515.263284134003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1C-4012-BF34-8CDE588A6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0014496"/>
        <c:axId val="680013512"/>
      </c:lineChart>
      <c:catAx>
        <c:axId val="680014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13512"/>
        <c:crosses val="autoZero"/>
        <c:auto val="1"/>
        <c:lblAlgn val="ctr"/>
        <c:lblOffset val="100"/>
        <c:noMultiLvlLbl val="0"/>
      </c:catAx>
      <c:valAx>
        <c:axId val="680013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1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ARIMA (Service related)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Service related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none"/>
          </c:marker>
          <c:xVal>
            <c:numRef>
              <c:f>ARIMA!$B$62:$B$217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ARIMA!$C$62:$C$217</c:f>
              <c:numCache>
                <c:formatCode>0.000</c:formatCode>
                <c:ptCount val="156"/>
                <c:pt idx="0">
                  <c:v>1023.2</c:v>
                </c:pt>
                <c:pt idx="1">
                  <c:v>1036.2</c:v>
                </c:pt>
                <c:pt idx="2">
                  <c:v>1022.1</c:v>
                </c:pt>
                <c:pt idx="3">
                  <c:v>1050.0999999999999</c:v>
                </c:pt>
                <c:pt idx="4">
                  <c:v>1105.3</c:v>
                </c:pt>
                <c:pt idx="5">
                  <c:v>1157.3</c:v>
                </c:pt>
                <c:pt idx="6">
                  <c:v>1064.9000000000001</c:v>
                </c:pt>
                <c:pt idx="7">
                  <c:v>1155.9000000000001</c:v>
                </c:pt>
                <c:pt idx="8">
                  <c:v>1140.3</c:v>
                </c:pt>
                <c:pt idx="9">
                  <c:v>1098.8</c:v>
                </c:pt>
                <c:pt idx="10">
                  <c:v>1163.2</c:v>
                </c:pt>
                <c:pt idx="11">
                  <c:v>1058.3</c:v>
                </c:pt>
                <c:pt idx="12">
                  <c:v>1096</c:v>
                </c:pt>
                <c:pt idx="13">
                  <c:v>1079.8</c:v>
                </c:pt>
                <c:pt idx="14">
                  <c:v>1098.9000000000001</c:v>
                </c:pt>
                <c:pt idx="15">
                  <c:v>1102.0999999999999</c:v>
                </c:pt>
                <c:pt idx="16">
                  <c:v>1174</c:v>
                </c:pt>
                <c:pt idx="17">
                  <c:v>1171</c:v>
                </c:pt>
                <c:pt idx="18">
                  <c:v>1118.0999999999999</c:v>
                </c:pt>
                <c:pt idx="19">
                  <c:v>1239.0999999999999</c:v>
                </c:pt>
                <c:pt idx="20">
                  <c:v>1164.4000000000001</c:v>
                </c:pt>
                <c:pt idx="21">
                  <c:v>1180.2</c:v>
                </c:pt>
                <c:pt idx="22">
                  <c:v>1231.5999999999999</c:v>
                </c:pt>
                <c:pt idx="23">
                  <c:v>1130.5</c:v>
                </c:pt>
                <c:pt idx="24">
                  <c:v>1202.5999999999999</c:v>
                </c:pt>
                <c:pt idx="25">
                  <c:v>1098.3</c:v>
                </c:pt>
                <c:pt idx="26">
                  <c:v>1182.4000000000001</c:v>
                </c:pt>
                <c:pt idx="27">
                  <c:v>1180.9000000000001</c:v>
                </c:pt>
                <c:pt idx="28">
                  <c:v>1251.2</c:v>
                </c:pt>
                <c:pt idx="29">
                  <c:v>1212.5999999999999</c:v>
                </c:pt>
                <c:pt idx="30">
                  <c:v>1225.2</c:v>
                </c:pt>
                <c:pt idx="31">
                  <c:v>1268.2</c:v>
                </c:pt>
                <c:pt idx="32">
                  <c:v>1182.2</c:v>
                </c:pt>
                <c:pt idx="33">
                  <c:v>1253.5</c:v>
                </c:pt>
                <c:pt idx="34">
                  <c:v>1271.4000000000001</c:v>
                </c:pt>
                <c:pt idx="35">
                  <c:v>1192.0999999999999</c:v>
                </c:pt>
                <c:pt idx="36">
                  <c:v>1248.7</c:v>
                </c:pt>
                <c:pt idx="37">
                  <c:v>1217.0999999999999</c:v>
                </c:pt>
                <c:pt idx="38">
                  <c:v>1163.0999999999999</c:v>
                </c:pt>
                <c:pt idx="39">
                  <c:v>1281.4000000000001</c:v>
                </c:pt>
                <c:pt idx="40">
                  <c:v>1249.0999999999999</c:v>
                </c:pt>
                <c:pt idx="41">
                  <c:v>1311.2</c:v>
                </c:pt>
                <c:pt idx="42">
                  <c:v>1298.7</c:v>
                </c:pt>
                <c:pt idx="43">
                  <c:v>1190.2</c:v>
                </c:pt>
                <c:pt idx="44">
                  <c:v>1298.5999999999999</c:v>
                </c:pt>
                <c:pt idx="45">
                  <c:v>1282.5999999999999</c:v>
                </c:pt>
                <c:pt idx="46">
                  <c:v>1218.4000000000001</c:v>
                </c:pt>
                <c:pt idx="47">
                  <c:v>1245.8</c:v>
                </c:pt>
                <c:pt idx="48">
                  <c:v>1169.5</c:v>
                </c:pt>
                <c:pt idx="49">
                  <c:v>1190.2</c:v>
                </c:pt>
                <c:pt idx="50">
                  <c:v>1188.3</c:v>
                </c:pt>
                <c:pt idx="51">
                  <c:v>1211.7</c:v>
                </c:pt>
                <c:pt idx="52">
                  <c:v>1207.2</c:v>
                </c:pt>
                <c:pt idx="53">
                  <c:v>1315.3</c:v>
                </c:pt>
                <c:pt idx="54">
                  <c:v>1304.7</c:v>
                </c:pt>
                <c:pt idx="55">
                  <c:v>1241.4000000000001</c:v>
                </c:pt>
                <c:pt idx="56">
                  <c:v>1241.8</c:v>
                </c:pt>
                <c:pt idx="57">
                  <c:v>1277.5</c:v>
                </c:pt>
                <c:pt idx="58">
                  <c:v>1222.7</c:v>
                </c:pt>
                <c:pt idx="59">
                  <c:v>1229.7</c:v>
                </c:pt>
                <c:pt idx="60">
                  <c:v>1161.7</c:v>
                </c:pt>
                <c:pt idx="61">
                  <c:v>1180</c:v>
                </c:pt>
                <c:pt idx="62">
                  <c:v>1345.4</c:v>
                </c:pt>
                <c:pt idx="63">
                  <c:v>1308.8</c:v>
                </c:pt>
                <c:pt idx="64">
                  <c:v>1235</c:v>
                </c:pt>
                <c:pt idx="65">
                  <c:v>1373.2</c:v>
                </c:pt>
                <c:pt idx="66">
                  <c:v>1317.3</c:v>
                </c:pt>
                <c:pt idx="67">
                  <c:v>1308.3</c:v>
                </c:pt>
                <c:pt idx="68">
                  <c:v>1287.3</c:v>
                </c:pt>
                <c:pt idx="69">
                  <c:v>1278.3</c:v>
                </c:pt>
                <c:pt idx="70">
                  <c:v>1299.2</c:v>
                </c:pt>
                <c:pt idx="71">
                  <c:v>1375.3</c:v>
                </c:pt>
                <c:pt idx="72">
                  <c:v>1266.4000000000001</c:v>
                </c:pt>
                <c:pt idx="73">
                  <c:v>1253.8</c:v>
                </c:pt>
                <c:pt idx="74">
                  <c:v>1261.5</c:v>
                </c:pt>
                <c:pt idx="75">
                  <c:v>1283.4000000000001</c:v>
                </c:pt>
                <c:pt idx="76">
                  <c:v>1314.3</c:v>
                </c:pt>
                <c:pt idx="77">
                  <c:v>1405.6</c:v>
                </c:pt>
                <c:pt idx="78">
                  <c:v>1300.5999999999999</c:v>
                </c:pt>
                <c:pt idx="79">
                  <c:v>1440.5</c:v>
                </c:pt>
                <c:pt idx="80">
                  <c:v>1361.9</c:v>
                </c:pt>
                <c:pt idx="81">
                  <c:v>1299.7</c:v>
                </c:pt>
                <c:pt idx="82">
                  <c:v>1386.2</c:v>
                </c:pt>
                <c:pt idx="83">
                  <c:v>1302.5</c:v>
                </c:pt>
                <c:pt idx="84">
                  <c:v>1202.5999999999999</c:v>
                </c:pt>
                <c:pt idx="85">
                  <c:v>1344.4</c:v>
                </c:pt>
                <c:pt idx="86">
                  <c:v>1291.5</c:v>
                </c:pt>
                <c:pt idx="87">
                  <c:v>1391.3</c:v>
                </c:pt>
                <c:pt idx="88">
                  <c:v>1388.1</c:v>
                </c:pt>
                <c:pt idx="89">
                  <c:v>1391.2</c:v>
                </c:pt>
                <c:pt idx="90">
                  <c:v>1375.8</c:v>
                </c:pt>
                <c:pt idx="91">
                  <c:v>1443.2</c:v>
                </c:pt>
                <c:pt idx="92">
                  <c:v>1401.3</c:v>
                </c:pt>
                <c:pt idx="93">
                  <c:v>1378.7</c:v>
                </c:pt>
                <c:pt idx="94">
                  <c:v>1378.8</c:v>
                </c:pt>
                <c:pt idx="95">
                  <c:v>1378.9</c:v>
                </c:pt>
                <c:pt idx="96">
                  <c:v>1383.3</c:v>
                </c:pt>
                <c:pt idx="97">
                  <c:v>1283.3</c:v>
                </c:pt>
                <c:pt idx="98">
                  <c:v>1291.0999999999999</c:v>
                </c:pt>
                <c:pt idx="99">
                  <c:v>1406.5</c:v>
                </c:pt>
                <c:pt idx="100">
                  <c:v>1400.9</c:v>
                </c:pt>
                <c:pt idx="101">
                  <c:v>1412.7</c:v>
                </c:pt>
                <c:pt idx="102">
                  <c:v>1466.6</c:v>
                </c:pt>
                <c:pt idx="103">
                  <c:v>1423.7</c:v>
                </c:pt>
                <c:pt idx="104">
                  <c:v>1411.2</c:v>
                </c:pt>
                <c:pt idx="105">
                  <c:v>1411</c:v>
                </c:pt>
                <c:pt idx="106">
                  <c:v>1447.4</c:v>
                </c:pt>
                <c:pt idx="107">
                  <c:v>1381.1</c:v>
                </c:pt>
                <c:pt idx="108">
                  <c:v>1354</c:v>
                </c:pt>
                <c:pt idx="109">
                  <c:v>1370.3</c:v>
                </c:pt>
                <c:pt idx="110">
                  <c:v>1316.5</c:v>
                </c:pt>
                <c:pt idx="111">
                  <c:v>1416.3</c:v>
                </c:pt>
                <c:pt idx="112">
                  <c:v>1416.9</c:v>
                </c:pt>
                <c:pt idx="113">
                  <c:v>1447.2</c:v>
                </c:pt>
                <c:pt idx="114">
                  <c:v>1451.6</c:v>
                </c:pt>
                <c:pt idx="115">
                  <c:v>1486.1</c:v>
                </c:pt>
                <c:pt idx="116">
                  <c:v>1447.1</c:v>
                </c:pt>
                <c:pt idx="117">
                  <c:v>1458</c:v>
                </c:pt>
                <c:pt idx="118">
                  <c:v>1457.4</c:v>
                </c:pt>
                <c:pt idx="119">
                  <c:v>1425.1</c:v>
                </c:pt>
                <c:pt idx="120">
                  <c:v>1412.2</c:v>
                </c:pt>
                <c:pt idx="121">
                  <c:v>1335.3</c:v>
                </c:pt>
                <c:pt idx="122">
                  <c:v>1386.4</c:v>
                </c:pt>
                <c:pt idx="123">
                  <c:v>1455.8</c:v>
                </c:pt>
                <c:pt idx="124">
                  <c:v>1467.5</c:v>
                </c:pt>
                <c:pt idx="125">
                  <c:v>1491.5</c:v>
                </c:pt>
                <c:pt idx="126">
                  <c:v>1475.4</c:v>
                </c:pt>
                <c:pt idx="127">
                  <c:v>1520.4</c:v>
                </c:pt>
                <c:pt idx="128">
                  <c:v>1486</c:v>
                </c:pt>
                <c:pt idx="129">
                  <c:v>1499.6</c:v>
                </c:pt>
                <c:pt idx="130">
                  <c:v>1506.2</c:v>
                </c:pt>
                <c:pt idx="131">
                  <c:v>1444.7</c:v>
                </c:pt>
                <c:pt idx="132">
                  <c:v>1419.1</c:v>
                </c:pt>
                <c:pt idx="133">
                  <c:v>1449</c:v>
                </c:pt>
                <c:pt idx="134">
                  <c:v>1383.4</c:v>
                </c:pt>
                <c:pt idx="135">
                  <c:v>1504.2</c:v>
                </c:pt>
                <c:pt idx="136">
                  <c:v>1490.3</c:v>
                </c:pt>
                <c:pt idx="137">
                  <c:v>1536.4</c:v>
                </c:pt>
                <c:pt idx="138">
                  <c:v>1449.7</c:v>
                </c:pt>
                <c:pt idx="139">
                  <c:v>1533.2</c:v>
                </c:pt>
                <c:pt idx="140">
                  <c:v>1464.3</c:v>
                </c:pt>
                <c:pt idx="141">
                  <c:v>1493.2</c:v>
                </c:pt>
                <c:pt idx="142">
                  <c:v>1504.4</c:v>
                </c:pt>
                <c:pt idx="143">
                  <c:v>1471</c:v>
                </c:pt>
                <c:pt idx="144">
                  <c:v>1459</c:v>
                </c:pt>
                <c:pt idx="145">
                  <c:v>1454.4</c:v>
                </c:pt>
                <c:pt idx="146">
                  <c:v>1441.8</c:v>
                </c:pt>
                <c:pt idx="147">
                  <c:v>1442.2</c:v>
                </c:pt>
                <c:pt idx="148">
                  <c:v>1523.6</c:v>
                </c:pt>
                <c:pt idx="149">
                  <c:v>1464.2</c:v>
                </c:pt>
                <c:pt idx="150">
                  <c:v>1507.1</c:v>
                </c:pt>
                <c:pt idx="151">
                  <c:v>1644.4</c:v>
                </c:pt>
                <c:pt idx="152">
                  <c:v>1527.1</c:v>
                </c:pt>
                <c:pt idx="153">
                  <c:v>1524</c:v>
                </c:pt>
                <c:pt idx="154">
                  <c:v>1561.6</c:v>
                </c:pt>
                <c:pt idx="155">
                  <c:v>1513.7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35-47F2-A1C8-F4D24A7CFB14}"/>
            </c:ext>
          </c:extLst>
        </c:ser>
        <c:ser>
          <c:idx val="1"/>
          <c:order val="1"/>
          <c:tx>
            <c:v>ARIMA (Service related)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ARIMA!$B$62:$B$217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ARIMA!$D$62:$D$217</c:f>
              <c:numCache>
                <c:formatCode>0.000</c:formatCode>
                <c:ptCount val="156"/>
                <c:pt idx="0">
                  <c:v>1023.2</c:v>
                </c:pt>
                <c:pt idx="1">
                  <c:v>1036.2</c:v>
                </c:pt>
                <c:pt idx="2">
                  <c:v>1022.1</c:v>
                </c:pt>
                <c:pt idx="3">
                  <c:v>1050.0999999999999</c:v>
                </c:pt>
                <c:pt idx="4">
                  <c:v>1105.3</c:v>
                </c:pt>
                <c:pt idx="5">
                  <c:v>1157.3</c:v>
                </c:pt>
                <c:pt idx="6">
                  <c:v>1064.9000000000001</c:v>
                </c:pt>
                <c:pt idx="7">
                  <c:v>1155.9000000000001</c:v>
                </c:pt>
                <c:pt idx="8">
                  <c:v>1140.3</c:v>
                </c:pt>
                <c:pt idx="9">
                  <c:v>1098.8</c:v>
                </c:pt>
                <c:pt idx="10">
                  <c:v>1163.2</c:v>
                </c:pt>
                <c:pt idx="11">
                  <c:v>1058.3</c:v>
                </c:pt>
                <c:pt idx="12">
                  <c:v>1096</c:v>
                </c:pt>
                <c:pt idx="13">
                  <c:v>1094.0038722147497</c:v>
                </c:pt>
                <c:pt idx="14">
                  <c:v>1088.8578249238067</c:v>
                </c:pt>
                <c:pt idx="15">
                  <c:v>1110.6966352152615</c:v>
                </c:pt>
                <c:pt idx="16">
                  <c:v>1166.6231327031073</c:v>
                </c:pt>
                <c:pt idx="17">
                  <c:v>1207.5819484935098</c:v>
                </c:pt>
                <c:pt idx="18">
                  <c:v>1122.2515694963408</c:v>
                </c:pt>
                <c:pt idx="19">
                  <c:v>1221.6984751946477</c:v>
                </c:pt>
                <c:pt idx="20">
                  <c:v>1178.3031487388905</c:v>
                </c:pt>
                <c:pt idx="21">
                  <c:v>1161.1418120777812</c:v>
                </c:pt>
                <c:pt idx="22">
                  <c:v>1227.3325003383291</c:v>
                </c:pt>
                <c:pt idx="23">
                  <c:v>1112.8277482503672</c:v>
                </c:pt>
                <c:pt idx="24">
                  <c:v>1164.0171659235655</c:v>
                </c:pt>
                <c:pt idx="25">
                  <c:v>1141.5756511298891</c:v>
                </c:pt>
                <c:pt idx="26">
                  <c:v>1164.527808089829</c:v>
                </c:pt>
                <c:pt idx="27">
                  <c:v>1180.8163800679208</c:v>
                </c:pt>
                <c:pt idx="28">
                  <c:v>1226.9477836342378</c:v>
                </c:pt>
                <c:pt idx="29">
                  <c:v>1257.442438165433</c:v>
                </c:pt>
                <c:pt idx="30">
                  <c:v>1198.3527600409964</c:v>
                </c:pt>
                <c:pt idx="31">
                  <c:v>1290.7132960215015</c:v>
                </c:pt>
                <c:pt idx="32">
                  <c:v>1228.7229554955843</c:v>
                </c:pt>
                <c:pt idx="33">
                  <c:v>1245.3264942665385</c:v>
                </c:pt>
                <c:pt idx="34">
                  <c:v>1280.2108609009938</c:v>
                </c:pt>
                <c:pt idx="35">
                  <c:v>1172.5173639855982</c:v>
                </c:pt>
                <c:pt idx="36">
                  <c:v>1236.8297286700852</c:v>
                </c:pt>
                <c:pt idx="37">
                  <c:v>1187.2010221998055</c:v>
                </c:pt>
                <c:pt idx="38">
                  <c:v>1216.7576781940695</c:v>
                </c:pt>
                <c:pt idx="39">
                  <c:v>1246.6307412832307</c:v>
                </c:pt>
                <c:pt idx="40">
                  <c:v>1295.2464166582824</c:v>
                </c:pt>
                <c:pt idx="41">
                  <c:v>1287.3543945126876</c:v>
                </c:pt>
                <c:pt idx="42">
                  <c:v>1271.7648075239968</c:v>
                </c:pt>
                <c:pt idx="43">
                  <c:v>1307.7556263659142</c:v>
                </c:pt>
                <c:pt idx="44">
                  <c:v>1289.4870375558412</c:v>
                </c:pt>
                <c:pt idx="45">
                  <c:v>1295.3328400244295</c:v>
                </c:pt>
                <c:pt idx="46">
                  <c:v>1286.0354860047587</c:v>
                </c:pt>
                <c:pt idx="47">
                  <c:v>1247.0536200880654</c:v>
                </c:pt>
                <c:pt idx="48">
                  <c:v>1258.9409396876651</c:v>
                </c:pt>
                <c:pt idx="49">
                  <c:v>1207.4936925806267</c:v>
                </c:pt>
                <c:pt idx="50">
                  <c:v>1226.0244892065823</c:v>
                </c:pt>
                <c:pt idx="51">
                  <c:v>1239.6903295035036</c:v>
                </c:pt>
                <c:pt idx="52">
                  <c:v>1278.3273854561062</c:v>
                </c:pt>
                <c:pt idx="53">
                  <c:v>1306.4537624152861</c:v>
                </c:pt>
                <c:pt idx="54">
                  <c:v>1262.1685605355451</c:v>
                </c:pt>
                <c:pt idx="55">
                  <c:v>1261.3836668458837</c:v>
                </c:pt>
                <c:pt idx="56">
                  <c:v>1282.8018106335583</c:v>
                </c:pt>
                <c:pt idx="57">
                  <c:v>1292.4656214089739</c:v>
                </c:pt>
                <c:pt idx="58">
                  <c:v>1273.8934712811656</c:v>
                </c:pt>
                <c:pt idx="59">
                  <c:v>1226.7361249702108</c:v>
                </c:pt>
                <c:pt idx="60">
                  <c:v>1223.5248308390205</c:v>
                </c:pt>
                <c:pt idx="61">
                  <c:v>1202.4411028257703</c:v>
                </c:pt>
                <c:pt idx="62">
                  <c:v>1219.4062489510156</c:v>
                </c:pt>
                <c:pt idx="63">
                  <c:v>1230.3410406301887</c:v>
                </c:pt>
                <c:pt idx="64">
                  <c:v>1262.7621756267906</c:v>
                </c:pt>
                <c:pt idx="65">
                  <c:v>1370.2509324596128</c:v>
                </c:pt>
                <c:pt idx="66">
                  <c:v>1311.6458578865186</c:v>
                </c:pt>
                <c:pt idx="67">
                  <c:v>1295.1384575848122</c:v>
                </c:pt>
                <c:pt idx="68">
                  <c:v>1315.5538981941343</c:v>
                </c:pt>
                <c:pt idx="69">
                  <c:v>1316.0106427033575</c:v>
                </c:pt>
                <c:pt idx="70">
                  <c:v>1310.49830819115</c:v>
                </c:pt>
                <c:pt idx="71">
                  <c:v>1269.9246539554208</c:v>
                </c:pt>
                <c:pt idx="72">
                  <c:v>1242.6828614814799</c:v>
                </c:pt>
                <c:pt idx="73">
                  <c:v>1249.1749315394334</c:v>
                </c:pt>
                <c:pt idx="74">
                  <c:v>1322.7901204702741</c:v>
                </c:pt>
                <c:pt idx="75">
                  <c:v>1312.9860943610179</c:v>
                </c:pt>
                <c:pt idx="76">
                  <c:v>1322.1341145059484</c:v>
                </c:pt>
                <c:pt idx="77">
                  <c:v>1373.1662983035887</c:v>
                </c:pt>
                <c:pt idx="78">
                  <c:v>1330.1066168178122</c:v>
                </c:pt>
                <c:pt idx="79">
                  <c:v>1367.9544202157424</c:v>
                </c:pt>
                <c:pt idx="80">
                  <c:v>1337.7900715383751</c:v>
                </c:pt>
                <c:pt idx="81">
                  <c:v>1335.3273086120789</c:v>
                </c:pt>
                <c:pt idx="82">
                  <c:v>1386.2617796586221</c:v>
                </c:pt>
                <c:pt idx="83">
                  <c:v>1336.739868233157</c:v>
                </c:pt>
                <c:pt idx="84">
                  <c:v>1299.1483569017878</c:v>
                </c:pt>
                <c:pt idx="85">
                  <c:v>1308.7527231295389</c:v>
                </c:pt>
                <c:pt idx="86">
                  <c:v>1312.8232478706886</c:v>
                </c:pt>
                <c:pt idx="87">
                  <c:v>1324.626738458576</c:v>
                </c:pt>
                <c:pt idx="88">
                  <c:v>1370.5133748922697</c:v>
                </c:pt>
                <c:pt idx="89">
                  <c:v>1410.9684406428998</c:v>
                </c:pt>
                <c:pt idx="90">
                  <c:v>1382.3821448452998</c:v>
                </c:pt>
                <c:pt idx="91">
                  <c:v>1421.9387666230348</c:v>
                </c:pt>
                <c:pt idx="92">
                  <c:v>1378.5229040456695</c:v>
                </c:pt>
                <c:pt idx="93">
                  <c:v>1379.2230162173739</c:v>
                </c:pt>
                <c:pt idx="94">
                  <c:v>1414.2523726993938</c:v>
                </c:pt>
                <c:pt idx="95">
                  <c:v>1374.6145925900264</c:v>
                </c:pt>
                <c:pt idx="96">
                  <c:v>1339.660042287305</c:v>
                </c:pt>
                <c:pt idx="97">
                  <c:v>1336.7080916708783</c:v>
                </c:pt>
                <c:pt idx="98">
                  <c:v>1351.2031347781467</c:v>
                </c:pt>
                <c:pt idx="99">
                  <c:v>1402.1836514659692</c:v>
                </c:pt>
                <c:pt idx="100">
                  <c:v>1389.7756405612013</c:v>
                </c:pt>
                <c:pt idx="101">
                  <c:v>1433.9395464942058</c:v>
                </c:pt>
                <c:pt idx="102">
                  <c:v>1415.1351759350953</c:v>
                </c:pt>
                <c:pt idx="103">
                  <c:v>1444.0303216556722</c:v>
                </c:pt>
                <c:pt idx="104">
                  <c:v>1415.9364509519232</c:v>
                </c:pt>
                <c:pt idx="105">
                  <c:v>1428.8641208358724</c:v>
                </c:pt>
                <c:pt idx="106">
                  <c:v>1425.7700821415046</c:v>
                </c:pt>
                <c:pt idx="107">
                  <c:v>1382.6745001258487</c:v>
                </c:pt>
                <c:pt idx="108">
                  <c:v>1369.1620782752082</c:v>
                </c:pt>
                <c:pt idx="109">
                  <c:v>1369.3477889274625</c:v>
                </c:pt>
                <c:pt idx="110">
                  <c:v>1373.2247500912624</c:v>
                </c:pt>
                <c:pt idx="111">
                  <c:v>1426.4968191926071</c:v>
                </c:pt>
                <c:pt idx="112">
                  <c:v>1432.380230536033</c:v>
                </c:pt>
                <c:pt idx="113">
                  <c:v>1454.3203281471476</c:v>
                </c:pt>
                <c:pt idx="114">
                  <c:v>1447.7494154320502</c:v>
                </c:pt>
                <c:pt idx="115">
                  <c:v>1456.8442623638821</c:v>
                </c:pt>
                <c:pt idx="116">
                  <c:v>1434.6848353462135</c:v>
                </c:pt>
                <c:pt idx="117">
                  <c:v>1444.5936557895927</c:v>
                </c:pt>
                <c:pt idx="118">
                  <c:v>1461.3997926158861</c:v>
                </c:pt>
                <c:pt idx="119">
                  <c:v>1426.6803135324055</c:v>
                </c:pt>
                <c:pt idx="120">
                  <c:v>1413.6226870038367</c:v>
                </c:pt>
                <c:pt idx="121">
                  <c:v>1385.6752617462105</c:v>
                </c:pt>
                <c:pt idx="122">
                  <c:v>1401.4724259886323</c:v>
                </c:pt>
                <c:pt idx="123">
                  <c:v>1446.198226345763</c:v>
                </c:pt>
                <c:pt idx="124">
                  <c:v>1441.4719135215055</c:v>
                </c:pt>
                <c:pt idx="125">
                  <c:v>1498.3471752555681</c:v>
                </c:pt>
                <c:pt idx="126">
                  <c:v>1482.2115280310577</c:v>
                </c:pt>
                <c:pt idx="127">
                  <c:v>1503.2743727762386</c:v>
                </c:pt>
                <c:pt idx="128">
                  <c:v>1471.9247391294919</c:v>
                </c:pt>
                <c:pt idx="129">
                  <c:v>1476.4854550232956</c:v>
                </c:pt>
                <c:pt idx="130">
                  <c:v>1500.433385651731</c:v>
                </c:pt>
                <c:pt idx="131">
                  <c:v>1458.6509302814229</c:v>
                </c:pt>
                <c:pt idx="132">
                  <c:v>1437.5501019191313</c:v>
                </c:pt>
                <c:pt idx="133">
                  <c:v>1430.7471874383959</c:v>
                </c:pt>
                <c:pt idx="134">
                  <c:v>1433.6811493908911</c:v>
                </c:pt>
                <c:pt idx="135">
                  <c:v>1487.2631365406064</c:v>
                </c:pt>
                <c:pt idx="136">
                  <c:v>1499.3036619152595</c:v>
                </c:pt>
                <c:pt idx="137">
                  <c:v>1528.2568352191981</c:v>
                </c:pt>
                <c:pt idx="138">
                  <c:v>1509.9688488733973</c:v>
                </c:pt>
                <c:pt idx="139">
                  <c:v>1544.6016057932479</c:v>
                </c:pt>
                <c:pt idx="140">
                  <c:v>1508.008871002133</c:v>
                </c:pt>
                <c:pt idx="141">
                  <c:v>1496.3603012537924</c:v>
                </c:pt>
                <c:pt idx="142">
                  <c:v>1514.309826014319</c:v>
                </c:pt>
                <c:pt idx="143">
                  <c:v>1467.0152183734986</c:v>
                </c:pt>
                <c:pt idx="144">
                  <c:v>1449.8557049747328</c:v>
                </c:pt>
                <c:pt idx="145">
                  <c:v>1438.3262310047157</c:v>
                </c:pt>
                <c:pt idx="146">
                  <c:v>1449.336264408583</c:v>
                </c:pt>
                <c:pt idx="147">
                  <c:v>1507.5616406519857</c:v>
                </c:pt>
                <c:pt idx="148">
                  <c:v>1521.0119688260688</c:v>
                </c:pt>
                <c:pt idx="149">
                  <c:v>1548.8630898898973</c:v>
                </c:pt>
                <c:pt idx="150">
                  <c:v>1503.9768714382885</c:v>
                </c:pt>
                <c:pt idx="151">
                  <c:v>1552.0150813635391</c:v>
                </c:pt>
                <c:pt idx="152">
                  <c:v>1487.9990084600331</c:v>
                </c:pt>
                <c:pt idx="153">
                  <c:v>1519.7223133921736</c:v>
                </c:pt>
                <c:pt idx="154">
                  <c:v>1563.3461184299485</c:v>
                </c:pt>
                <c:pt idx="155">
                  <c:v>1504.0368609666505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35-47F2-A1C8-F4D24A7CF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0014824"/>
        <c:axId val="680013184"/>
      </c:scatterChart>
      <c:valAx>
        <c:axId val="680014824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Index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80013184"/>
        <c:crosses val="autoZero"/>
        <c:crossBetween val="midCat"/>
      </c:valAx>
      <c:valAx>
        <c:axId val="680013184"/>
        <c:scaling>
          <c:orientation val="minMax"/>
          <c:max val="1700"/>
          <c:min val="100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Service related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8001482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numRef>
              <c:f>ARIMA!$B$62:$B$217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cat>
          <c:val>
            <c:numRef>
              <c:f>ARIMA!$E$62:$E$217</c:f>
              <c:numCache>
                <c:formatCode>0.000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-14.203872214749708</c:v>
                </c:pt>
                <c:pt idx="14">
                  <c:v>10.042175076193416</c:v>
                </c:pt>
                <c:pt idx="15">
                  <c:v>-8.5966352152615855</c:v>
                </c:pt>
                <c:pt idx="16">
                  <c:v>7.3768672968926694</c:v>
                </c:pt>
                <c:pt idx="17">
                  <c:v>-36.581948493509799</c:v>
                </c:pt>
                <c:pt idx="18">
                  <c:v>-4.151569496340926</c:v>
                </c:pt>
                <c:pt idx="19">
                  <c:v>17.40152480535221</c:v>
                </c:pt>
                <c:pt idx="20">
                  <c:v>-13.903148738890422</c:v>
                </c:pt>
                <c:pt idx="21">
                  <c:v>19.058187922218849</c:v>
                </c:pt>
                <c:pt idx="22">
                  <c:v>4.267499661670854</c:v>
                </c:pt>
                <c:pt idx="23">
                  <c:v>17.672251749632778</c:v>
                </c:pt>
                <c:pt idx="24">
                  <c:v>38.582834076434438</c:v>
                </c:pt>
                <c:pt idx="25">
                  <c:v>-43.275651129889184</c:v>
                </c:pt>
                <c:pt idx="26">
                  <c:v>17.872191910171068</c:v>
                </c:pt>
                <c:pt idx="27">
                  <c:v>8.3619932079272985E-2</c:v>
                </c:pt>
                <c:pt idx="28">
                  <c:v>24.252216365762251</c:v>
                </c:pt>
                <c:pt idx="29">
                  <c:v>-44.842438165433123</c:v>
                </c:pt>
                <c:pt idx="30">
                  <c:v>26.847239959003673</c:v>
                </c:pt>
                <c:pt idx="31">
                  <c:v>-22.513296021501446</c:v>
                </c:pt>
                <c:pt idx="32">
                  <c:v>-46.522955495584256</c:v>
                </c:pt>
                <c:pt idx="33">
                  <c:v>8.1735057334615249</c:v>
                </c:pt>
                <c:pt idx="34">
                  <c:v>-8.8108609009937027</c:v>
                </c:pt>
                <c:pt idx="35">
                  <c:v>19.582636014401714</c:v>
                </c:pt>
                <c:pt idx="36">
                  <c:v>11.870271329914885</c:v>
                </c:pt>
                <c:pt idx="37">
                  <c:v>29.898977800194416</c:v>
                </c:pt>
                <c:pt idx="38">
                  <c:v>-53.657678194069604</c:v>
                </c:pt>
                <c:pt idx="39">
                  <c:v>34.7692587167694</c:v>
                </c:pt>
                <c:pt idx="40">
                  <c:v>-46.146416658282533</c:v>
                </c:pt>
                <c:pt idx="41">
                  <c:v>23.845605487312469</c:v>
                </c:pt>
                <c:pt idx="42">
                  <c:v>26.935192476003294</c:v>
                </c:pt>
                <c:pt idx="43">
                  <c:v>-117.55562636591412</c:v>
                </c:pt>
                <c:pt idx="44">
                  <c:v>9.1129624441587112</c:v>
                </c:pt>
                <c:pt idx="45">
                  <c:v>-12.732840024429606</c:v>
                </c:pt>
                <c:pt idx="46">
                  <c:v>-67.635486004758604</c:v>
                </c:pt>
                <c:pt idx="47">
                  <c:v>-1.2536200880654178</c:v>
                </c:pt>
                <c:pt idx="48">
                  <c:v>-89.44093968766515</c:v>
                </c:pt>
                <c:pt idx="49">
                  <c:v>-17.293692580626612</c:v>
                </c:pt>
                <c:pt idx="50">
                  <c:v>-37.724489206582348</c:v>
                </c:pt>
                <c:pt idx="51">
                  <c:v>-27.990329503503517</c:v>
                </c:pt>
                <c:pt idx="52">
                  <c:v>-71.12738545610614</c:v>
                </c:pt>
                <c:pt idx="53">
                  <c:v>8.8462375847138901</c:v>
                </c:pt>
                <c:pt idx="54">
                  <c:v>42.531439464454934</c:v>
                </c:pt>
                <c:pt idx="55">
                  <c:v>-19.98366684588359</c:v>
                </c:pt>
                <c:pt idx="56">
                  <c:v>-41.001810633558307</c:v>
                </c:pt>
                <c:pt idx="57">
                  <c:v>-14.965621408973902</c:v>
                </c:pt>
                <c:pt idx="58">
                  <c:v>-51.193471281165557</c:v>
                </c:pt>
                <c:pt idx="59">
                  <c:v>2.9638750297892784</c:v>
                </c:pt>
                <c:pt idx="60">
                  <c:v>-61.824830839020478</c:v>
                </c:pt>
                <c:pt idx="61">
                  <c:v>-22.441102825770258</c:v>
                </c:pt>
                <c:pt idx="62">
                  <c:v>125.99375104898445</c:v>
                </c:pt>
                <c:pt idx="63">
                  <c:v>78.458959369811282</c:v>
                </c:pt>
                <c:pt idx="64">
                  <c:v>-27.762175626790622</c:v>
                </c:pt>
                <c:pt idx="65">
                  <c:v>2.9490675403872046</c:v>
                </c:pt>
                <c:pt idx="66">
                  <c:v>5.6541421134813845</c:v>
                </c:pt>
                <c:pt idx="67">
                  <c:v>13.161542415187796</c:v>
                </c:pt>
                <c:pt idx="68">
                  <c:v>-28.253898194134308</c:v>
                </c:pt>
                <c:pt idx="69">
                  <c:v>-37.710642703357507</c:v>
                </c:pt>
                <c:pt idx="70">
                  <c:v>-11.298308191149999</c:v>
                </c:pt>
                <c:pt idx="71">
                  <c:v>105.37534604457915</c:v>
                </c:pt>
                <c:pt idx="72">
                  <c:v>23.717138518520187</c:v>
                </c:pt>
                <c:pt idx="73">
                  <c:v>4.6250684605665811</c:v>
                </c:pt>
                <c:pt idx="74">
                  <c:v>-61.290120470274132</c:v>
                </c:pt>
                <c:pt idx="75">
                  <c:v>-29.586094361017786</c:v>
                </c:pt>
                <c:pt idx="76">
                  <c:v>-7.8341145059484916</c:v>
                </c:pt>
                <c:pt idx="77">
                  <c:v>32.433701696411163</c:v>
                </c:pt>
                <c:pt idx="78">
                  <c:v>-29.506616817812301</c:v>
                </c:pt>
                <c:pt idx="79">
                  <c:v>72.545579784257598</c:v>
                </c:pt>
                <c:pt idx="80">
                  <c:v>24.109928461625032</c:v>
                </c:pt>
                <c:pt idx="81">
                  <c:v>-35.627308612078878</c:v>
                </c:pt>
                <c:pt idx="82">
                  <c:v>-6.177965862207202E-2</c:v>
                </c:pt>
                <c:pt idx="83">
                  <c:v>-34.23986823315704</c:v>
                </c:pt>
                <c:pt idx="84">
                  <c:v>-96.548356901787884</c:v>
                </c:pt>
                <c:pt idx="85">
                  <c:v>35.647276870461155</c:v>
                </c:pt>
                <c:pt idx="86">
                  <c:v>-21.323247870688647</c:v>
                </c:pt>
                <c:pt idx="87">
                  <c:v>66.673261541423926</c:v>
                </c:pt>
                <c:pt idx="88">
                  <c:v>17.586625107730242</c:v>
                </c:pt>
                <c:pt idx="89">
                  <c:v>-19.768440642899805</c:v>
                </c:pt>
                <c:pt idx="90">
                  <c:v>-6.5821448452998084</c:v>
                </c:pt>
                <c:pt idx="91">
                  <c:v>21.261233376965265</c:v>
                </c:pt>
                <c:pt idx="92">
                  <c:v>22.777095954330434</c:v>
                </c:pt>
                <c:pt idx="93">
                  <c:v>-0.52301621737387904</c:v>
                </c:pt>
                <c:pt idx="94">
                  <c:v>-35.452372699393891</c:v>
                </c:pt>
                <c:pt idx="95">
                  <c:v>4.2854074099736863</c:v>
                </c:pt>
                <c:pt idx="96">
                  <c:v>43.639957712694923</c:v>
                </c:pt>
                <c:pt idx="97">
                  <c:v>-53.408091670878321</c:v>
                </c:pt>
                <c:pt idx="98">
                  <c:v>-60.103134778146796</c:v>
                </c:pt>
                <c:pt idx="99">
                  <c:v>4.3163485340307943</c:v>
                </c:pt>
                <c:pt idx="100">
                  <c:v>11.12435943879882</c:v>
                </c:pt>
                <c:pt idx="101">
                  <c:v>-21.239546494205797</c:v>
                </c:pt>
                <c:pt idx="102">
                  <c:v>51.464824064904633</c:v>
                </c:pt>
                <c:pt idx="103">
                  <c:v>-20.330321655672151</c:v>
                </c:pt>
                <c:pt idx="104">
                  <c:v>-4.7364509519231888</c:v>
                </c:pt>
                <c:pt idx="105">
                  <c:v>-17.864120835872427</c:v>
                </c:pt>
                <c:pt idx="106">
                  <c:v>21.629917858495446</c:v>
                </c:pt>
                <c:pt idx="107">
                  <c:v>-1.5745001258487719</c:v>
                </c:pt>
                <c:pt idx="108">
                  <c:v>-15.16207827520816</c:v>
                </c:pt>
                <c:pt idx="109">
                  <c:v>0.95221107253746595</c:v>
                </c:pt>
                <c:pt idx="110">
                  <c:v>-56.724750091262422</c:v>
                </c:pt>
                <c:pt idx="111">
                  <c:v>-10.196819192607109</c:v>
                </c:pt>
                <c:pt idx="112">
                  <c:v>-15.480230536032877</c:v>
                </c:pt>
                <c:pt idx="113">
                  <c:v>-7.1203281471475748</c:v>
                </c:pt>
                <c:pt idx="114">
                  <c:v>3.8505845679496815</c:v>
                </c:pt>
                <c:pt idx="115">
                  <c:v>29.255737636117829</c:v>
                </c:pt>
                <c:pt idx="116">
                  <c:v>12.415164653786405</c:v>
                </c:pt>
                <c:pt idx="117">
                  <c:v>13.406344210407269</c:v>
                </c:pt>
                <c:pt idx="118">
                  <c:v>-3.9997926158860082</c:v>
                </c:pt>
                <c:pt idx="119">
                  <c:v>-1.5803135324056257</c:v>
                </c:pt>
                <c:pt idx="120">
                  <c:v>-1.4226870038366997</c:v>
                </c:pt>
                <c:pt idx="121">
                  <c:v>-50.375261746210526</c:v>
                </c:pt>
                <c:pt idx="122">
                  <c:v>-15.072425988632176</c:v>
                </c:pt>
                <c:pt idx="123">
                  <c:v>9.6017736542369221</c:v>
                </c:pt>
                <c:pt idx="124">
                  <c:v>26.028086478494515</c:v>
                </c:pt>
                <c:pt idx="125">
                  <c:v>-6.8471752555681178</c:v>
                </c:pt>
                <c:pt idx="126">
                  <c:v>-6.8115280310576054</c:v>
                </c:pt>
                <c:pt idx="127">
                  <c:v>17.125627223761512</c:v>
                </c:pt>
                <c:pt idx="128">
                  <c:v>14.075260870508146</c:v>
                </c:pt>
                <c:pt idx="129">
                  <c:v>23.114544976704337</c:v>
                </c:pt>
                <c:pt idx="130">
                  <c:v>5.7666143482690586</c:v>
                </c:pt>
                <c:pt idx="131">
                  <c:v>-13.95093028142287</c:v>
                </c:pt>
                <c:pt idx="132">
                  <c:v>-18.450101919131384</c:v>
                </c:pt>
                <c:pt idx="133">
                  <c:v>18.25281256160406</c:v>
                </c:pt>
                <c:pt idx="134">
                  <c:v>-50.28114939089096</c:v>
                </c:pt>
                <c:pt idx="135">
                  <c:v>16.936863459393635</c:v>
                </c:pt>
                <c:pt idx="136">
                  <c:v>-9.0036619152594994</c:v>
                </c:pt>
                <c:pt idx="137">
                  <c:v>8.1431647808019534</c:v>
                </c:pt>
                <c:pt idx="138">
                  <c:v>-60.268848873397246</c:v>
                </c:pt>
                <c:pt idx="139">
                  <c:v>-11.401605793247882</c:v>
                </c:pt>
                <c:pt idx="140">
                  <c:v>-43.708871002133037</c:v>
                </c:pt>
                <c:pt idx="141">
                  <c:v>-3.1603012537923405</c:v>
                </c:pt>
                <c:pt idx="142">
                  <c:v>-9.9098260143189236</c:v>
                </c:pt>
                <c:pt idx="143">
                  <c:v>3.9847816265014444</c:v>
                </c:pt>
                <c:pt idx="144">
                  <c:v>9.1442950252671835</c:v>
                </c:pt>
                <c:pt idx="145">
                  <c:v>16.073768995284354</c:v>
                </c:pt>
                <c:pt idx="146">
                  <c:v>-7.5362644085830652</c:v>
                </c:pt>
                <c:pt idx="147">
                  <c:v>-65.361640651985681</c:v>
                </c:pt>
                <c:pt idx="148">
                  <c:v>2.5880311739310855</c:v>
                </c:pt>
                <c:pt idx="149">
                  <c:v>-84.663089889897265</c:v>
                </c:pt>
                <c:pt idx="150">
                  <c:v>3.1231285617113826</c:v>
                </c:pt>
                <c:pt idx="151">
                  <c:v>92.384918636460952</c:v>
                </c:pt>
                <c:pt idx="152">
                  <c:v>39.100991539966799</c:v>
                </c:pt>
                <c:pt idx="153">
                  <c:v>4.2776866078263538</c:v>
                </c:pt>
                <c:pt idx="154">
                  <c:v>-1.7461184299486376</c:v>
                </c:pt>
                <c:pt idx="155">
                  <c:v>9.6631390333495801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11-4D12-8502-4DA260E8AE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0035816"/>
        <c:axId val="680034832"/>
      </c:barChart>
      <c:catAx>
        <c:axId val="680035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Index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80034832"/>
        <c:crosses val="autoZero"/>
        <c:auto val="1"/>
        <c:lblAlgn val="ctr"/>
        <c:lblOffset val="100"/>
        <c:noMultiLvlLbl val="0"/>
      </c:catAx>
      <c:valAx>
        <c:axId val="6800348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80035816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AutocorrelogramService related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ARIMA!$B$242:$B$264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ARIMA!$C$242:$C$264</c:f>
              <c:numCache>
                <c:formatCode>0.000</c:formatCode>
                <c:ptCount val="23"/>
                <c:pt idx="0">
                  <c:v>1</c:v>
                </c:pt>
                <c:pt idx="1">
                  <c:v>0.87638240338750084</c:v>
                </c:pt>
                <c:pt idx="2">
                  <c:v>0.84434847674904945</c:v>
                </c:pt>
                <c:pt idx="3">
                  <c:v>0.81429970897078663</c:v>
                </c:pt>
                <c:pt idx="4">
                  <c:v>0.74465653577775581</c:v>
                </c:pt>
                <c:pt idx="5">
                  <c:v>0.72102581729974979</c:v>
                </c:pt>
                <c:pt idx="6">
                  <c:v>0.71114025019614913</c:v>
                </c:pt>
                <c:pt idx="7">
                  <c:v>0.67420664999665247</c:v>
                </c:pt>
                <c:pt idx="8">
                  <c:v>0.69177160474552424</c:v>
                </c:pt>
                <c:pt idx="9">
                  <c:v>0.70502821617218492</c:v>
                </c:pt>
                <c:pt idx="10">
                  <c:v>0.68932083410436162</c:v>
                </c:pt>
                <c:pt idx="11">
                  <c:v>0.70493132068374942</c:v>
                </c:pt>
                <c:pt idx="12">
                  <c:v>0.70925804248126456</c:v>
                </c:pt>
                <c:pt idx="13">
                  <c:v>0.65719733744230036</c:v>
                </c:pt>
                <c:pt idx="14">
                  <c:v>0.6397268601824776</c:v>
                </c:pt>
                <c:pt idx="15">
                  <c:v>0.58468781070156206</c:v>
                </c:pt>
                <c:pt idx="16">
                  <c:v>0.54040927738386413</c:v>
                </c:pt>
                <c:pt idx="17">
                  <c:v>0.53142473552587921</c:v>
                </c:pt>
                <c:pt idx="18">
                  <c:v>0.5027697249299885</c:v>
                </c:pt>
                <c:pt idx="19">
                  <c:v>0.46332122224249928</c:v>
                </c:pt>
                <c:pt idx="20">
                  <c:v>0.48844231064372878</c:v>
                </c:pt>
                <c:pt idx="21">
                  <c:v>0.4765564017368078</c:v>
                </c:pt>
                <c:pt idx="22">
                  <c:v>0.48358651768749056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7-43FB-BDD3-034CF216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0034176"/>
        <c:axId val="680044344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ARIMA!$B$242:$B$264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ARIMA!$E$242:$E$264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-0.24990118408803066</c:v>
                </c:pt>
                <c:pt idx="3">
                  <c:v>-0.3123487628824998</c:v>
                </c:pt>
                <c:pt idx="4">
                  <c:v>-0.36085771073270101</c:v>
                </c:pt>
                <c:pt idx="5">
                  <c:v>-0.39689769140445225</c:v>
                </c:pt>
                <c:pt idx="6">
                  <c:v>-0.42793867056681689</c:v>
                </c:pt>
                <c:pt idx="7">
                  <c:v>-0.45611179682989372</c:v>
                </c:pt>
                <c:pt idx="8">
                  <c:v>-0.48002556767293975</c:v>
                </c:pt>
                <c:pt idx="9">
                  <c:v>-0.50397696342885456</c:v>
                </c:pt>
                <c:pt idx="10">
                  <c:v>-0.5277053703890302</c:v>
                </c:pt>
                <c:pt idx="11">
                  <c:v>-0.5494310650910742</c:v>
                </c:pt>
                <c:pt idx="12">
                  <c:v>-0.57126871536767343</c:v>
                </c:pt>
                <c:pt idx="13">
                  <c:v>-0.59255610948871729</c:v>
                </c:pt>
                <c:pt idx="14">
                  <c:v>-0.61024093654277256</c:v>
                </c:pt>
                <c:pt idx="15">
                  <c:v>-0.6265376042291525</c:v>
                </c:pt>
                <c:pt idx="16">
                  <c:v>-0.63983262338985825</c:v>
                </c:pt>
                <c:pt idx="17">
                  <c:v>-0.65097519882639487</c:v>
                </c:pt>
                <c:pt idx="18">
                  <c:v>-0.66157188851982185</c:v>
                </c:pt>
                <c:pt idx="19">
                  <c:v>-0.67091468682427124</c:v>
                </c:pt>
                <c:pt idx="20">
                  <c:v>-0.67874791454432226</c:v>
                </c:pt>
                <c:pt idx="21">
                  <c:v>-0.68734886932894779</c:v>
                </c:pt>
                <c:pt idx="22">
                  <c:v>-0.69543750184202024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57-43FB-BDD3-034CF2169E0F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ARIMA!$B$242:$B$264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ARIMA!$F$242:$F$264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0.24990118408803066</c:v>
                </c:pt>
                <c:pt idx="3">
                  <c:v>0.3123487628824998</c:v>
                </c:pt>
                <c:pt idx="4">
                  <c:v>0.36085771073270101</c:v>
                </c:pt>
                <c:pt idx="5">
                  <c:v>0.39689769140445225</c:v>
                </c:pt>
                <c:pt idx="6">
                  <c:v>0.42793867056681689</c:v>
                </c:pt>
                <c:pt idx="7">
                  <c:v>0.45611179682989372</c:v>
                </c:pt>
                <c:pt idx="8">
                  <c:v>0.48002556767293975</c:v>
                </c:pt>
                <c:pt idx="9">
                  <c:v>0.50397696342885456</c:v>
                </c:pt>
                <c:pt idx="10">
                  <c:v>0.5277053703890302</c:v>
                </c:pt>
                <c:pt idx="11">
                  <c:v>0.5494310650910742</c:v>
                </c:pt>
                <c:pt idx="12">
                  <c:v>0.57126871536767343</c:v>
                </c:pt>
                <c:pt idx="13">
                  <c:v>0.59255610948871729</c:v>
                </c:pt>
                <c:pt idx="14">
                  <c:v>0.61024093654277256</c:v>
                </c:pt>
                <c:pt idx="15">
                  <c:v>0.6265376042291525</c:v>
                </c:pt>
                <c:pt idx="16">
                  <c:v>0.63983262338985825</c:v>
                </c:pt>
                <c:pt idx="17">
                  <c:v>0.65097519882639487</c:v>
                </c:pt>
                <c:pt idx="18">
                  <c:v>0.66157188851982185</c:v>
                </c:pt>
                <c:pt idx="19">
                  <c:v>0.67091468682427124</c:v>
                </c:pt>
                <c:pt idx="20">
                  <c:v>0.67874791454432226</c:v>
                </c:pt>
                <c:pt idx="21">
                  <c:v>0.68734886932894779</c:v>
                </c:pt>
                <c:pt idx="22">
                  <c:v>0.69543750184202024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57-43FB-BDD3-034CF216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34176"/>
        <c:axId val="680044344"/>
      </c:lineChart>
      <c:catAx>
        <c:axId val="68003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80044344"/>
        <c:crosses val="autoZero"/>
        <c:auto val="1"/>
        <c:lblAlgn val="ctr"/>
        <c:lblOffset val="100"/>
        <c:noMultiLvlLbl val="0"/>
      </c:catAx>
      <c:valAx>
        <c:axId val="680044344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80034176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Partial autocorrelogramService related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ARIMA!$B$242:$B$264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ARIMA!$G$242:$G$264</c:f>
              <c:numCache>
                <c:formatCode>0.000</c:formatCode>
                <c:ptCount val="23"/>
                <c:pt idx="0">
                  <c:v>1</c:v>
                </c:pt>
                <c:pt idx="1">
                  <c:v>0.87638240338750084</c:v>
                </c:pt>
                <c:pt idx="2">
                  <c:v>0.32895487147772667</c:v>
                </c:pt>
                <c:pt idx="3">
                  <c:v>0.14239398187070157</c:v>
                </c:pt>
                <c:pt idx="4">
                  <c:v>-0.13777618854429718</c:v>
                </c:pt>
                <c:pt idx="5">
                  <c:v>6.9071398045758431E-2</c:v>
                </c:pt>
                <c:pt idx="6">
                  <c:v>0.15568328028686448</c:v>
                </c:pt>
                <c:pt idx="7">
                  <c:v>-4.2184219613372884E-3</c:v>
                </c:pt>
                <c:pt idx="8">
                  <c:v>0.17579933362155314</c:v>
                </c:pt>
                <c:pt idx="9">
                  <c:v>0.15455857310293539</c:v>
                </c:pt>
                <c:pt idx="10">
                  <c:v>-5.2279250729640771E-3</c:v>
                </c:pt>
                <c:pt idx="11">
                  <c:v>5.5728630282316539E-2</c:v>
                </c:pt>
                <c:pt idx="12">
                  <c:v>7.4915767610942555E-2</c:v>
                </c:pt>
                <c:pt idx="13">
                  <c:v>-0.1827961405651142</c:v>
                </c:pt>
                <c:pt idx="14">
                  <c:v>-7.8944082450227437E-2</c:v>
                </c:pt>
                <c:pt idx="15">
                  <c:v>-0.15480996064096647</c:v>
                </c:pt>
                <c:pt idx="16">
                  <c:v>-1.7385516949076359E-2</c:v>
                </c:pt>
                <c:pt idx="17">
                  <c:v>5.7825249414118242E-2</c:v>
                </c:pt>
                <c:pt idx="18">
                  <c:v>-7.6028986690506182E-3</c:v>
                </c:pt>
                <c:pt idx="19">
                  <c:v>-0.13324821435691381</c:v>
                </c:pt>
                <c:pt idx="20">
                  <c:v>0.11008660028353254</c:v>
                </c:pt>
                <c:pt idx="21">
                  <c:v>3.074191396857694E-2</c:v>
                </c:pt>
                <c:pt idx="22">
                  <c:v>8.1858585011084534E-2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D-480E-98B9-8B916FB8D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0049920"/>
        <c:axId val="680045984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ARIMA!$B$242:$B$264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ARIMA!$I$242:$I$264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6D-480E-98B9-8B916FB8DEFB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ARIMA!$B$242:$B$264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ARIMA!$J$242:$J$264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6D-480E-98B9-8B916FB8D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49920"/>
        <c:axId val="680045984"/>
      </c:lineChart>
      <c:catAx>
        <c:axId val="680049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80045984"/>
        <c:crosses val="autoZero"/>
        <c:auto val="1"/>
        <c:lblAlgn val="ctr"/>
        <c:lblOffset val="100"/>
        <c:noMultiLvlLbl val="0"/>
      </c:catAx>
      <c:valAx>
        <c:axId val="680045984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80049920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ARIMA!$B$289:$B$311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ARIMA!$C$289:$C$311</c:f>
              <c:numCache>
                <c:formatCode>0.000</c:formatCode>
                <c:ptCount val="23"/>
                <c:pt idx="0">
                  <c:v>1</c:v>
                </c:pt>
                <c:pt idx="1">
                  <c:v>2.2499445834731238E-3</c:v>
                </c:pt>
                <c:pt idx="2">
                  <c:v>-3.8276975463946275E-2</c:v>
                </c:pt>
                <c:pt idx="3">
                  <c:v>-3.4776257031321547E-2</c:v>
                </c:pt>
                <c:pt idx="4">
                  <c:v>-8.7567521466103249E-2</c:v>
                </c:pt>
                <c:pt idx="5">
                  <c:v>-2.1103089739434214E-2</c:v>
                </c:pt>
                <c:pt idx="6">
                  <c:v>-1.9296214410699397E-2</c:v>
                </c:pt>
                <c:pt idx="7">
                  <c:v>-9.3570894610927782E-2</c:v>
                </c:pt>
                <c:pt idx="8">
                  <c:v>0.17999706111047084</c:v>
                </c:pt>
                <c:pt idx="9">
                  <c:v>0.2400016084583057</c:v>
                </c:pt>
                <c:pt idx="10">
                  <c:v>-4.2618672233071822E-2</c:v>
                </c:pt>
                <c:pt idx="11">
                  <c:v>-0.1213717158136364</c:v>
                </c:pt>
                <c:pt idx="12">
                  <c:v>-5.0025474827872923E-2</c:v>
                </c:pt>
                <c:pt idx="13">
                  <c:v>-9.4827115378543728E-2</c:v>
                </c:pt>
                <c:pt idx="14">
                  <c:v>3.7449307902721718E-2</c:v>
                </c:pt>
                <c:pt idx="15">
                  <c:v>1.4087946632609007E-2</c:v>
                </c:pt>
                <c:pt idx="16">
                  <c:v>-2.4127121990495715E-3</c:v>
                </c:pt>
                <c:pt idx="17">
                  <c:v>8.1952350008673361E-2</c:v>
                </c:pt>
                <c:pt idx="18">
                  <c:v>-3.7941550967111408E-3</c:v>
                </c:pt>
                <c:pt idx="19">
                  <c:v>-0.23478810886587537</c:v>
                </c:pt>
                <c:pt idx="20">
                  <c:v>-2.7467520860935554E-2</c:v>
                </c:pt>
                <c:pt idx="21">
                  <c:v>-5.5146106335286174E-2</c:v>
                </c:pt>
                <c:pt idx="22">
                  <c:v>-0.13404712533227495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F-4254-98F3-5CA8962FA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0044672"/>
        <c:axId val="680050904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ARIMA!$B$289:$B$311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ARIMA!$E$289:$E$311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-0.15692350156449297</c:v>
                </c:pt>
                <c:pt idx="3">
                  <c:v>-0.15715324389638927</c:v>
                </c:pt>
                <c:pt idx="4">
                  <c:v>-0.15734263182713543</c:v>
                </c:pt>
                <c:pt idx="5">
                  <c:v>-0.15853817278398163</c:v>
                </c:pt>
                <c:pt idx="6">
                  <c:v>-0.15860732961972723</c:v>
                </c:pt>
                <c:pt idx="7">
                  <c:v>-0.15866512770340205</c:v>
                </c:pt>
                <c:pt idx="8">
                  <c:v>-0.16001820867772842</c:v>
                </c:pt>
                <c:pt idx="9">
                  <c:v>-0.16492864486695902</c:v>
                </c:pt>
                <c:pt idx="10">
                  <c:v>-0.17331550857321476</c:v>
                </c:pt>
                <c:pt idx="11">
                  <c:v>-0.17357338462678043</c:v>
                </c:pt>
                <c:pt idx="12">
                  <c:v>-0.17565084236516806</c:v>
                </c:pt>
                <c:pt idx="13">
                  <c:v>-0.1760013283980755</c:v>
                </c:pt>
                <c:pt idx="14">
                  <c:v>-0.17725497963315132</c:v>
                </c:pt>
                <c:pt idx="15">
                  <c:v>-0.17744970487285175</c:v>
                </c:pt>
                <c:pt idx="16">
                  <c:v>-0.1774772444963516</c:v>
                </c:pt>
                <c:pt idx="17">
                  <c:v>-0.17747805217566254</c:v>
                </c:pt>
                <c:pt idx="18">
                  <c:v>-0.17840747658427192</c:v>
                </c:pt>
                <c:pt idx="19">
                  <c:v>-0.17840946353123407</c:v>
                </c:pt>
                <c:pt idx="20">
                  <c:v>-0.18586241224564889</c:v>
                </c:pt>
                <c:pt idx="21">
                  <c:v>-0.18596234369905429</c:v>
                </c:pt>
                <c:pt idx="22">
                  <c:v>-0.18636460366964874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6F-4254-98F3-5CA8962FAFCB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ARIMA!$B$289:$B$311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ARIMA!$F$289:$F$311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0.15692350156449297</c:v>
                </c:pt>
                <c:pt idx="3">
                  <c:v>0.15715324389638927</c:v>
                </c:pt>
                <c:pt idx="4">
                  <c:v>0.15734263182713543</c:v>
                </c:pt>
                <c:pt idx="5">
                  <c:v>0.15853817278398163</c:v>
                </c:pt>
                <c:pt idx="6">
                  <c:v>0.15860732961972723</c:v>
                </c:pt>
                <c:pt idx="7">
                  <c:v>0.15866512770340205</c:v>
                </c:pt>
                <c:pt idx="8">
                  <c:v>0.16001820867772842</c:v>
                </c:pt>
                <c:pt idx="9">
                  <c:v>0.16492864486695902</c:v>
                </c:pt>
                <c:pt idx="10">
                  <c:v>0.17331550857321476</c:v>
                </c:pt>
                <c:pt idx="11">
                  <c:v>0.17357338462678043</c:v>
                </c:pt>
                <c:pt idx="12">
                  <c:v>0.17565084236516806</c:v>
                </c:pt>
                <c:pt idx="13">
                  <c:v>0.1760013283980755</c:v>
                </c:pt>
                <c:pt idx="14">
                  <c:v>0.17725497963315132</c:v>
                </c:pt>
                <c:pt idx="15">
                  <c:v>0.17744970487285175</c:v>
                </c:pt>
                <c:pt idx="16">
                  <c:v>0.1774772444963516</c:v>
                </c:pt>
                <c:pt idx="17">
                  <c:v>0.17747805217566254</c:v>
                </c:pt>
                <c:pt idx="18">
                  <c:v>0.17840747658427192</c:v>
                </c:pt>
                <c:pt idx="19">
                  <c:v>0.17840946353123407</c:v>
                </c:pt>
                <c:pt idx="20">
                  <c:v>0.18586241224564889</c:v>
                </c:pt>
                <c:pt idx="21">
                  <c:v>0.18596234369905429</c:v>
                </c:pt>
                <c:pt idx="22">
                  <c:v>0.18636460366964874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6F-4254-98F3-5CA8962FA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44672"/>
        <c:axId val="680050904"/>
      </c:lineChart>
      <c:catAx>
        <c:axId val="680044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80050904"/>
        <c:crosses val="autoZero"/>
        <c:auto val="1"/>
        <c:lblAlgn val="ctr"/>
        <c:lblOffset val="100"/>
        <c:noMultiLvlLbl val="0"/>
      </c:catAx>
      <c:valAx>
        <c:axId val="680050904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8004467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Partial 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ARIMA!$B$289:$B$311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ARIMA!$G$289:$G$311</c:f>
              <c:numCache>
                <c:formatCode>0.000</c:formatCode>
                <c:ptCount val="23"/>
                <c:pt idx="0">
                  <c:v>1</c:v>
                </c:pt>
                <c:pt idx="1">
                  <c:v>2.2499445834731238E-3</c:v>
                </c:pt>
                <c:pt idx="2">
                  <c:v>-3.8282231508825496E-2</c:v>
                </c:pt>
                <c:pt idx="3">
                  <c:v>-3.4651664337356496E-2</c:v>
                </c:pt>
                <c:pt idx="4">
                  <c:v>-8.9154682295760887E-2</c:v>
                </c:pt>
                <c:pt idx="5">
                  <c:v>-2.4109967631023885E-2</c:v>
                </c:pt>
                <c:pt idx="6">
                  <c:v>-2.8011871008972625E-2</c:v>
                </c:pt>
                <c:pt idx="7">
                  <c:v>-0.10305466092232632</c:v>
                </c:pt>
                <c:pt idx="8">
                  <c:v>0.17111579097150012</c:v>
                </c:pt>
                <c:pt idx="9">
                  <c:v>0.23709005747856093</c:v>
                </c:pt>
                <c:pt idx="10">
                  <c:v>-3.9037816146359906E-2</c:v>
                </c:pt>
                <c:pt idx="11">
                  <c:v>-0.12602885141724599</c:v>
                </c:pt>
                <c:pt idx="12">
                  <c:v>-1.6366805463871235E-2</c:v>
                </c:pt>
                <c:pt idx="13">
                  <c:v>-6.7664242475023437E-2</c:v>
                </c:pt>
                <c:pt idx="14">
                  <c:v>2.5526459270538527E-2</c:v>
                </c:pt>
                <c:pt idx="15">
                  <c:v>4.105223351641224E-2</c:v>
                </c:pt>
                <c:pt idx="16">
                  <c:v>3.2994179947313492E-3</c:v>
                </c:pt>
                <c:pt idx="17">
                  <c:v>-2.6566166609361511E-2</c:v>
                </c:pt>
                <c:pt idx="18">
                  <c:v>-7.3792023996541264E-2</c:v>
                </c:pt>
                <c:pt idx="19">
                  <c:v>-0.2101754798252867</c:v>
                </c:pt>
                <c:pt idx="20">
                  <c:v>1.4338452549339124E-2</c:v>
                </c:pt>
                <c:pt idx="21">
                  <c:v>-7.6870991786876048E-3</c:v>
                </c:pt>
                <c:pt idx="22">
                  <c:v>-0.15604177427883467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BF-409D-ABD3-08606B030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0054840"/>
        <c:axId val="680050248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ARIMA!$B$289:$B$311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ARIMA!$I$289:$I$311</c:f>
              <c:numCache>
                <c:formatCode>0.000</c:formatCode>
                <c:ptCount val="23"/>
                <c:pt idx="1">
                  <c:v>-0.15692270718443055</c:v>
                </c:pt>
                <c:pt idx="2">
                  <c:v>-0.15692270718443055</c:v>
                </c:pt>
                <c:pt idx="3">
                  <c:v>-0.15692270718443055</c:v>
                </c:pt>
                <c:pt idx="4">
                  <c:v>-0.15692270718443055</c:v>
                </c:pt>
                <c:pt idx="5">
                  <c:v>-0.15692270718443055</c:v>
                </c:pt>
                <c:pt idx="6">
                  <c:v>-0.15692270718443055</c:v>
                </c:pt>
                <c:pt idx="7">
                  <c:v>-0.15692270718443055</c:v>
                </c:pt>
                <c:pt idx="8">
                  <c:v>-0.15692270718443055</c:v>
                </c:pt>
                <c:pt idx="9">
                  <c:v>-0.15692270718443055</c:v>
                </c:pt>
                <c:pt idx="10">
                  <c:v>-0.15692270718443055</c:v>
                </c:pt>
                <c:pt idx="11">
                  <c:v>-0.15692270718443055</c:v>
                </c:pt>
                <c:pt idx="12">
                  <c:v>-0.15692270718443055</c:v>
                </c:pt>
                <c:pt idx="13">
                  <c:v>-0.15692270718443055</c:v>
                </c:pt>
                <c:pt idx="14">
                  <c:v>-0.15692270718443055</c:v>
                </c:pt>
                <c:pt idx="15">
                  <c:v>-0.15692270718443055</c:v>
                </c:pt>
                <c:pt idx="16">
                  <c:v>-0.15692270718443055</c:v>
                </c:pt>
                <c:pt idx="17">
                  <c:v>-0.15692270718443055</c:v>
                </c:pt>
                <c:pt idx="18">
                  <c:v>-0.15692270718443055</c:v>
                </c:pt>
                <c:pt idx="19">
                  <c:v>-0.15692270718443055</c:v>
                </c:pt>
                <c:pt idx="20">
                  <c:v>-0.15692270718443055</c:v>
                </c:pt>
                <c:pt idx="21">
                  <c:v>-0.15692270718443055</c:v>
                </c:pt>
                <c:pt idx="22">
                  <c:v>-0.15692270718443055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BF-409D-ABD3-08606B030119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ARIMA!$B$289:$B$311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cat>
          <c:val>
            <c:numRef>
              <c:f>ARIMA!$J$289:$J$311</c:f>
              <c:numCache>
                <c:formatCode>0.000</c:formatCode>
                <c:ptCount val="23"/>
                <c:pt idx="1">
                  <c:v>0.15692270718443055</c:v>
                </c:pt>
                <c:pt idx="2">
                  <c:v>0.15692270718443055</c:v>
                </c:pt>
                <c:pt idx="3">
                  <c:v>0.15692270718443055</c:v>
                </c:pt>
                <c:pt idx="4">
                  <c:v>0.15692270718443055</c:v>
                </c:pt>
                <c:pt idx="5">
                  <c:v>0.15692270718443055</c:v>
                </c:pt>
                <c:pt idx="6">
                  <c:v>0.15692270718443055</c:v>
                </c:pt>
                <c:pt idx="7">
                  <c:v>0.15692270718443055</c:v>
                </c:pt>
                <c:pt idx="8">
                  <c:v>0.15692270718443055</c:v>
                </c:pt>
                <c:pt idx="9">
                  <c:v>0.15692270718443055</c:v>
                </c:pt>
                <c:pt idx="10">
                  <c:v>0.15692270718443055</c:v>
                </c:pt>
                <c:pt idx="11">
                  <c:v>0.15692270718443055</c:v>
                </c:pt>
                <c:pt idx="12">
                  <c:v>0.15692270718443055</c:v>
                </c:pt>
                <c:pt idx="13">
                  <c:v>0.15692270718443055</c:v>
                </c:pt>
                <c:pt idx="14">
                  <c:v>0.15692270718443055</c:v>
                </c:pt>
                <c:pt idx="15">
                  <c:v>0.15692270718443055</c:v>
                </c:pt>
                <c:pt idx="16">
                  <c:v>0.15692270718443055</c:v>
                </c:pt>
                <c:pt idx="17">
                  <c:v>0.15692270718443055</c:v>
                </c:pt>
                <c:pt idx="18">
                  <c:v>0.15692270718443055</c:v>
                </c:pt>
                <c:pt idx="19">
                  <c:v>0.15692270718443055</c:v>
                </c:pt>
                <c:pt idx="20">
                  <c:v>0.15692270718443055</c:v>
                </c:pt>
                <c:pt idx="21">
                  <c:v>0.15692270718443055</c:v>
                </c:pt>
                <c:pt idx="22">
                  <c:v>0.15692270718443055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BF-409D-ABD3-08606B0301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054840"/>
        <c:axId val="680050248"/>
      </c:lineChart>
      <c:catAx>
        <c:axId val="680054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80050248"/>
        <c:crosses val="autoZero"/>
        <c:auto val="1"/>
        <c:lblAlgn val="ctr"/>
        <c:lblOffset val="100"/>
        <c:noMultiLvlLbl val="0"/>
      </c:catAx>
      <c:valAx>
        <c:axId val="680050248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80054840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Time step / Service related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Service related</c:v>
          </c:tx>
          <c:spPr>
            <a:ln w="12700">
              <a:solidFill>
                <a:srgbClr val="5B9BD5"/>
              </a:solidFill>
              <a:prstDash val="solid"/>
            </a:ln>
            <a:effectLst/>
          </c:spPr>
          <c:marker>
            <c:symbol val="circle"/>
            <c:size val="3"/>
          </c:marker>
          <c:xVal>
            <c:numRef>
              <c:f>'Dickey-Fuller_HID'!$A$2:$A$157</c:f>
              <c:numCache>
                <c:formatCode>General</c:formatCode>
                <c:ptCount val="15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</c:numCache>
            </c:numRef>
          </c:xVal>
          <c:yVal>
            <c:numRef>
              <c:f>'Dickey-Fuller_HID'!$B$2:$B$157</c:f>
              <c:numCache>
                <c:formatCode>0</c:formatCode>
                <c:ptCount val="156"/>
                <c:pt idx="0">
                  <c:v>1023.2</c:v>
                </c:pt>
                <c:pt idx="1">
                  <c:v>1036.2</c:v>
                </c:pt>
                <c:pt idx="2">
                  <c:v>1022.1</c:v>
                </c:pt>
                <c:pt idx="3">
                  <c:v>1050.0999999999999</c:v>
                </c:pt>
                <c:pt idx="4">
                  <c:v>1105.3</c:v>
                </c:pt>
                <c:pt idx="5">
                  <c:v>1157.3</c:v>
                </c:pt>
                <c:pt idx="6">
                  <c:v>1064.9000000000001</c:v>
                </c:pt>
                <c:pt idx="7">
                  <c:v>1155.9000000000001</c:v>
                </c:pt>
                <c:pt idx="8">
                  <c:v>1140.3</c:v>
                </c:pt>
                <c:pt idx="9">
                  <c:v>1098.8</c:v>
                </c:pt>
                <c:pt idx="10">
                  <c:v>1163.2</c:v>
                </c:pt>
                <c:pt idx="11">
                  <c:v>1058.3</c:v>
                </c:pt>
                <c:pt idx="12">
                  <c:v>1096</c:v>
                </c:pt>
                <c:pt idx="13">
                  <c:v>1079.8</c:v>
                </c:pt>
                <c:pt idx="14">
                  <c:v>1098.9000000000001</c:v>
                </c:pt>
                <c:pt idx="15">
                  <c:v>1102.0999999999999</c:v>
                </c:pt>
                <c:pt idx="16">
                  <c:v>1174</c:v>
                </c:pt>
                <c:pt idx="17">
                  <c:v>1171</c:v>
                </c:pt>
                <c:pt idx="18">
                  <c:v>1118.0999999999999</c:v>
                </c:pt>
                <c:pt idx="19">
                  <c:v>1239.0999999999999</c:v>
                </c:pt>
                <c:pt idx="20">
                  <c:v>1164.4000000000001</c:v>
                </c:pt>
                <c:pt idx="21">
                  <c:v>1180.2</c:v>
                </c:pt>
                <c:pt idx="22">
                  <c:v>1231.5999999999999</c:v>
                </c:pt>
                <c:pt idx="23">
                  <c:v>1130.5</c:v>
                </c:pt>
                <c:pt idx="24">
                  <c:v>1202.5999999999999</c:v>
                </c:pt>
                <c:pt idx="25">
                  <c:v>1098.3</c:v>
                </c:pt>
                <c:pt idx="26">
                  <c:v>1182.4000000000001</c:v>
                </c:pt>
                <c:pt idx="27">
                  <c:v>1180.9000000000001</c:v>
                </c:pt>
                <c:pt idx="28">
                  <c:v>1251.2</c:v>
                </c:pt>
                <c:pt idx="29">
                  <c:v>1212.5999999999999</c:v>
                </c:pt>
                <c:pt idx="30">
                  <c:v>1225.2</c:v>
                </c:pt>
                <c:pt idx="31">
                  <c:v>1268.2</c:v>
                </c:pt>
                <c:pt idx="32">
                  <c:v>1182.2</c:v>
                </c:pt>
                <c:pt idx="33">
                  <c:v>1253.5</c:v>
                </c:pt>
                <c:pt idx="34">
                  <c:v>1271.4000000000001</c:v>
                </c:pt>
                <c:pt idx="35">
                  <c:v>1192.0999999999999</c:v>
                </c:pt>
                <c:pt idx="36">
                  <c:v>1248.7</c:v>
                </c:pt>
                <c:pt idx="37">
                  <c:v>1217.0999999999999</c:v>
                </c:pt>
                <c:pt idx="38">
                  <c:v>1163.0999999999999</c:v>
                </c:pt>
                <c:pt idx="39">
                  <c:v>1281.4000000000001</c:v>
                </c:pt>
                <c:pt idx="40">
                  <c:v>1249.0999999999999</c:v>
                </c:pt>
                <c:pt idx="41">
                  <c:v>1311.2</c:v>
                </c:pt>
                <c:pt idx="42">
                  <c:v>1298.7</c:v>
                </c:pt>
                <c:pt idx="43">
                  <c:v>1190.2</c:v>
                </c:pt>
                <c:pt idx="44">
                  <c:v>1298.5999999999999</c:v>
                </c:pt>
                <c:pt idx="45">
                  <c:v>1282.5999999999999</c:v>
                </c:pt>
                <c:pt idx="46">
                  <c:v>1218.4000000000001</c:v>
                </c:pt>
                <c:pt idx="47">
                  <c:v>1245.8</c:v>
                </c:pt>
                <c:pt idx="48">
                  <c:v>1169.5</c:v>
                </c:pt>
                <c:pt idx="49">
                  <c:v>1190.2</c:v>
                </c:pt>
                <c:pt idx="50">
                  <c:v>1188.3</c:v>
                </c:pt>
                <c:pt idx="51">
                  <c:v>1211.7</c:v>
                </c:pt>
                <c:pt idx="52">
                  <c:v>1207.2</c:v>
                </c:pt>
                <c:pt idx="53">
                  <c:v>1315.3</c:v>
                </c:pt>
                <c:pt idx="54">
                  <c:v>1304.7</c:v>
                </c:pt>
                <c:pt idx="55">
                  <c:v>1241.4000000000001</c:v>
                </c:pt>
                <c:pt idx="56">
                  <c:v>1241.8</c:v>
                </c:pt>
                <c:pt idx="57">
                  <c:v>1277.5</c:v>
                </c:pt>
                <c:pt idx="58">
                  <c:v>1222.7</c:v>
                </c:pt>
                <c:pt idx="59">
                  <c:v>1229.7</c:v>
                </c:pt>
                <c:pt idx="60">
                  <c:v>1161.7</c:v>
                </c:pt>
                <c:pt idx="61">
                  <c:v>1180</c:v>
                </c:pt>
                <c:pt idx="62">
                  <c:v>1345.4</c:v>
                </c:pt>
                <c:pt idx="63">
                  <c:v>1308.8</c:v>
                </c:pt>
                <c:pt idx="64">
                  <c:v>1235</c:v>
                </c:pt>
                <c:pt idx="65">
                  <c:v>1373.2</c:v>
                </c:pt>
                <c:pt idx="66">
                  <c:v>1317.3</c:v>
                </c:pt>
                <c:pt idx="67">
                  <c:v>1308.3</c:v>
                </c:pt>
                <c:pt idx="68">
                  <c:v>1287.3</c:v>
                </c:pt>
                <c:pt idx="69">
                  <c:v>1278.3</c:v>
                </c:pt>
                <c:pt idx="70">
                  <c:v>1299.2</c:v>
                </c:pt>
                <c:pt idx="71">
                  <c:v>1375.3</c:v>
                </c:pt>
                <c:pt idx="72">
                  <c:v>1266.4000000000001</c:v>
                </c:pt>
                <c:pt idx="73">
                  <c:v>1253.8</c:v>
                </c:pt>
                <c:pt idx="74">
                  <c:v>1261.5</c:v>
                </c:pt>
                <c:pt idx="75">
                  <c:v>1283.4000000000001</c:v>
                </c:pt>
                <c:pt idx="76">
                  <c:v>1314.3</c:v>
                </c:pt>
                <c:pt idx="77">
                  <c:v>1405.6</c:v>
                </c:pt>
                <c:pt idx="78">
                  <c:v>1300.5999999999999</c:v>
                </c:pt>
                <c:pt idx="79">
                  <c:v>1440.5</c:v>
                </c:pt>
                <c:pt idx="80">
                  <c:v>1361.9</c:v>
                </c:pt>
                <c:pt idx="81">
                  <c:v>1299.7</c:v>
                </c:pt>
                <c:pt idx="82">
                  <c:v>1386.2</c:v>
                </c:pt>
                <c:pt idx="83">
                  <c:v>1302.5</c:v>
                </c:pt>
                <c:pt idx="84">
                  <c:v>1202.5999999999999</c:v>
                </c:pt>
                <c:pt idx="85">
                  <c:v>1344.4</c:v>
                </c:pt>
                <c:pt idx="86">
                  <c:v>1291.5</c:v>
                </c:pt>
                <c:pt idx="87">
                  <c:v>1391.3</c:v>
                </c:pt>
                <c:pt idx="88">
                  <c:v>1388.1</c:v>
                </c:pt>
                <c:pt idx="89">
                  <c:v>1391.2</c:v>
                </c:pt>
                <c:pt idx="90">
                  <c:v>1375.8</c:v>
                </c:pt>
                <c:pt idx="91">
                  <c:v>1443.2</c:v>
                </c:pt>
                <c:pt idx="92">
                  <c:v>1401.3</c:v>
                </c:pt>
                <c:pt idx="93">
                  <c:v>1378.7</c:v>
                </c:pt>
                <c:pt idx="94">
                  <c:v>1378.8</c:v>
                </c:pt>
                <c:pt idx="95">
                  <c:v>1378.9</c:v>
                </c:pt>
                <c:pt idx="96">
                  <c:v>1383.3</c:v>
                </c:pt>
                <c:pt idx="97">
                  <c:v>1283.3</c:v>
                </c:pt>
                <c:pt idx="98">
                  <c:v>1291.0999999999999</c:v>
                </c:pt>
                <c:pt idx="99">
                  <c:v>1406.5</c:v>
                </c:pt>
                <c:pt idx="100">
                  <c:v>1400.9</c:v>
                </c:pt>
                <c:pt idx="101">
                  <c:v>1412.7</c:v>
                </c:pt>
                <c:pt idx="102">
                  <c:v>1466.6</c:v>
                </c:pt>
                <c:pt idx="103">
                  <c:v>1423.7</c:v>
                </c:pt>
                <c:pt idx="104">
                  <c:v>1411.2</c:v>
                </c:pt>
                <c:pt idx="105">
                  <c:v>1411</c:v>
                </c:pt>
                <c:pt idx="106">
                  <c:v>1447.4</c:v>
                </c:pt>
                <c:pt idx="107">
                  <c:v>1381.1</c:v>
                </c:pt>
                <c:pt idx="108">
                  <c:v>1354</c:v>
                </c:pt>
                <c:pt idx="109">
                  <c:v>1370.3</c:v>
                </c:pt>
                <c:pt idx="110">
                  <c:v>1316.5</c:v>
                </c:pt>
                <c:pt idx="111">
                  <c:v>1416.3</c:v>
                </c:pt>
                <c:pt idx="112">
                  <c:v>1416.9</c:v>
                </c:pt>
                <c:pt idx="113">
                  <c:v>1447.2</c:v>
                </c:pt>
                <c:pt idx="114">
                  <c:v>1451.6</c:v>
                </c:pt>
                <c:pt idx="115">
                  <c:v>1486.1</c:v>
                </c:pt>
                <c:pt idx="116">
                  <c:v>1447.1</c:v>
                </c:pt>
                <c:pt idx="117">
                  <c:v>1458</c:v>
                </c:pt>
                <c:pt idx="118">
                  <c:v>1457.4</c:v>
                </c:pt>
                <c:pt idx="119">
                  <c:v>1425.1</c:v>
                </c:pt>
                <c:pt idx="120">
                  <c:v>1412.2</c:v>
                </c:pt>
                <c:pt idx="121">
                  <c:v>1335.3</c:v>
                </c:pt>
                <c:pt idx="122">
                  <c:v>1386.4</c:v>
                </c:pt>
                <c:pt idx="123">
                  <c:v>1455.8</c:v>
                </c:pt>
                <c:pt idx="124">
                  <c:v>1467.5</c:v>
                </c:pt>
                <c:pt idx="125">
                  <c:v>1491.5</c:v>
                </c:pt>
                <c:pt idx="126">
                  <c:v>1475.4</c:v>
                </c:pt>
                <c:pt idx="127">
                  <c:v>1520.4</c:v>
                </c:pt>
                <c:pt idx="128">
                  <c:v>1486</c:v>
                </c:pt>
                <c:pt idx="129">
                  <c:v>1499.6</c:v>
                </c:pt>
                <c:pt idx="130">
                  <c:v>1506.2</c:v>
                </c:pt>
                <c:pt idx="131">
                  <c:v>1444.7</c:v>
                </c:pt>
                <c:pt idx="132">
                  <c:v>1419.1</c:v>
                </c:pt>
                <c:pt idx="133">
                  <c:v>1449</c:v>
                </c:pt>
                <c:pt idx="134">
                  <c:v>1383.4</c:v>
                </c:pt>
                <c:pt idx="135">
                  <c:v>1504.2</c:v>
                </c:pt>
                <c:pt idx="136">
                  <c:v>1490.3</c:v>
                </c:pt>
                <c:pt idx="137">
                  <c:v>1536.4</c:v>
                </c:pt>
                <c:pt idx="138">
                  <c:v>1449.7</c:v>
                </c:pt>
                <c:pt idx="139">
                  <c:v>1533.2</c:v>
                </c:pt>
                <c:pt idx="140">
                  <c:v>1464.3</c:v>
                </c:pt>
                <c:pt idx="141">
                  <c:v>1493.2</c:v>
                </c:pt>
                <c:pt idx="142">
                  <c:v>1504.4</c:v>
                </c:pt>
                <c:pt idx="143">
                  <c:v>1471</c:v>
                </c:pt>
                <c:pt idx="144">
                  <c:v>1459</c:v>
                </c:pt>
                <c:pt idx="145">
                  <c:v>1454.4</c:v>
                </c:pt>
                <c:pt idx="146">
                  <c:v>1441.8</c:v>
                </c:pt>
                <c:pt idx="147">
                  <c:v>1442.2</c:v>
                </c:pt>
                <c:pt idx="148">
                  <c:v>1523.6</c:v>
                </c:pt>
                <c:pt idx="149">
                  <c:v>1464.2</c:v>
                </c:pt>
                <c:pt idx="150">
                  <c:v>1507.1</c:v>
                </c:pt>
                <c:pt idx="151">
                  <c:v>1644.4</c:v>
                </c:pt>
                <c:pt idx="152">
                  <c:v>1527.1</c:v>
                </c:pt>
                <c:pt idx="153">
                  <c:v>1524</c:v>
                </c:pt>
                <c:pt idx="154">
                  <c:v>1561.6</c:v>
                </c:pt>
                <c:pt idx="155">
                  <c:v>1513.7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56-41D9-9F16-C8D93EF8D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170920"/>
        <c:axId val="624171248"/>
      </c:scatterChart>
      <c:valAx>
        <c:axId val="624170920"/>
        <c:scaling>
          <c:orientation val="minMax"/>
          <c:max val="16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24171248"/>
        <c:crosses val="autoZero"/>
        <c:crossBetween val="midCat"/>
      </c:valAx>
      <c:valAx>
        <c:axId val="624171248"/>
        <c:scaling>
          <c:orientation val="minMax"/>
          <c:max val="1700"/>
          <c:min val="100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Service related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24170920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image" Target="../media/image3.png"/><Relationship Id="rId7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image" Target="../media/image5.png"/><Relationship Id="rId10" Type="http://schemas.openxmlformats.org/officeDocument/2006/relationships/chart" Target="../charts/chart9.xml"/><Relationship Id="rId4" Type="http://schemas.openxmlformats.org/officeDocument/2006/relationships/image" Target="../media/image4.png"/><Relationship Id="rId9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0</xdr:row>
      <xdr:rowOff>152400</xdr:rowOff>
    </xdr:from>
    <xdr:to>
      <xdr:col>16</xdr:col>
      <xdr:colOff>409575</xdr:colOff>
      <xdr:row>7</xdr:row>
      <xdr:rowOff>104775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D680885-8895-4490-BAAA-5887BF8ED47E}"/>
            </a:ext>
          </a:extLst>
        </xdr:cNvPr>
        <xdr:cNvSpPr txBox="1"/>
      </xdr:nvSpPr>
      <xdr:spPr>
        <a:xfrm>
          <a:off x="8696325" y="152400"/>
          <a:ext cx="3648075" cy="1285875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/>
            <a:t>Exponential Smoothing Formula</a:t>
          </a:r>
        </a:p>
        <a:p>
          <a:r>
            <a:rPr lang="en-IN" sz="1600"/>
            <a:t>Ft=</a:t>
          </a:r>
          <a:r>
            <a:rPr lang="en-IN" sz="1600" baseline="0"/>
            <a:t> </a:t>
          </a:r>
          <a:r>
            <a:rPr lang="el-GR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α</a:t>
          </a:r>
          <a:r>
            <a:rPr lang="en-IN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IN" sz="16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t-1 </a:t>
          </a:r>
          <a:r>
            <a:rPr lang="en-IN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+ (1-</a:t>
          </a:r>
          <a:r>
            <a:rPr lang="el-GR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α</a:t>
          </a:r>
          <a:r>
            <a:rPr lang="en-IN" sz="1600" baseline="0">
              <a:latin typeface="Times New Roman" panose="02020603050405020304" pitchFamily="18" charset="0"/>
              <a:cs typeface="Times New Roman" panose="02020603050405020304" pitchFamily="18" charset="0"/>
            </a:rPr>
            <a:t>) F</a:t>
          </a:r>
          <a:r>
            <a:rPr lang="en-IN" sz="16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t-1</a:t>
          </a:r>
        </a:p>
        <a:p>
          <a:r>
            <a:rPr lang="en-IN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where,</a:t>
          </a:r>
        </a:p>
        <a:p>
          <a:r>
            <a:rPr lang="en-IN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F</a:t>
          </a:r>
          <a:r>
            <a:rPr lang="en-IN" sz="11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t</a:t>
          </a:r>
          <a:r>
            <a:rPr lang="en-IN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is the forecastdemand for the week t </a:t>
          </a:r>
        </a:p>
        <a:p>
          <a:r>
            <a:rPr lang="en-IN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α is the smoothing constant </a:t>
          </a:r>
        </a:p>
        <a:p>
          <a:r>
            <a:rPr lang="en-IN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IN" sz="11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t-1</a:t>
          </a:r>
          <a:r>
            <a:rPr lang="en-IN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is the previous  period's actual demand</a:t>
          </a:r>
        </a:p>
        <a:p>
          <a:r>
            <a:rPr lang="en-IN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F</a:t>
          </a:r>
          <a:r>
            <a:rPr lang="en-IN" sz="1100" baseline="-25000">
              <a:latin typeface="Times New Roman" panose="02020603050405020304" pitchFamily="18" charset="0"/>
              <a:cs typeface="Times New Roman" panose="02020603050405020304" pitchFamily="18" charset="0"/>
            </a:rPr>
            <a:t>t-1</a:t>
          </a:r>
          <a:r>
            <a:rPr lang="en-IN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is the previous period's forecast demand</a:t>
          </a:r>
          <a:endParaRPr lang="en-IN" sz="1100" baseline="-25000"/>
        </a:p>
      </xdr:txBody>
    </xdr:sp>
    <xdr:clientData/>
  </xdr:twoCellAnchor>
  <xdr:twoCellAnchor>
    <xdr:from>
      <xdr:col>6</xdr:col>
      <xdr:colOff>333375</xdr:colOff>
      <xdr:row>9</xdr:row>
      <xdr:rowOff>133350</xdr:rowOff>
    </xdr:from>
    <xdr:to>
      <xdr:col>13</xdr:col>
      <xdr:colOff>257175</xdr:colOff>
      <xdr:row>24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F27415D-C157-4E7B-9857-F33F814E21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561975</xdr:colOff>
      <xdr:row>5</xdr:row>
      <xdr:rowOff>180975</xdr:rowOff>
    </xdr:from>
    <xdr:to>
      <xdr:col>21</xdr:col>
      <xdr:colOff>514351</xdr:colOff>
      <xdr:row>24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E61C2E-BAC3-44BE-A157-076DE61380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247650</xdr:colOff>
      <xdr:row>22</xdr:row>
      <xdr:rowOff>38100</xdr:rowOff>
    </xdr:from>
    <xdr:to>
      <xdr:col>15</xdr:col>
      <xdr:colOff>552450</xdr:colOff>
      <xdr:row>36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2E4C4CC-0F77-4684-AEF8-E8B1DA1FC1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447675</xdr:colOff>
      <xdr:row>20</xdr:row>
      <xdr:rowOff>57150</xdr:rowOff>
    </xdr:from>
    <xdr:to>
      <xdr:col>16</xdr:col>
      <xdr:colOff>600075</xdr:colOff>
      <xdr:row>42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CB15C2-EF8A-47F4-84ED-AFACD668E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9</xdr:row>
      <xdr:rowOff>0</xdr:rowOff>
    </xdr:from>
    <xdr:to>
      <xdr:col>2</xdr:col>
      <xdr:colOff>38100</xdr:colOff>
      <xdr:row>9</xdr:row>
      <xdr:rowOff>25400</xdr:rowOff>
    </xdr:to>
    <xdr:sp macro="" textlink="">
      <xdr:nvSpPr>
        <xdr:cNvPr id="2" name="TX457437" hidden="1">
          <a:extLst>
            <a:ext uri="{FF2B5EF4-FFF2-40B4-BE49-F238E27FC236}">
              <a16:creationId xmlns:a16="http://schemas.microsoft.com/office/drawing/2014/main" id="{F55471E7-EE4A-476B-B118-844FC09E1C1F}"/>
            </a:ext>
          </a:extLst>
        </xdr:cNvPr>
        <xdr:cNvSpPr txBox="1"/>
      </xdr:nvSpPr>
      <xdr:spPr>
        <a:xfrm>
          <a:off x="955675" y="1714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RunProcARI
Form48.txt
OptionButton_R,OptionButton,False,True,000000000005_General,True,Range,False,
OptionButton_S,OptionButton,True,True,000000000205_General,True,Sheet,False,
OptionButton_W,OptionButton,False,True,000000000305_General,True,Workbook,False,
RefEdit_R,RefEdit,,True,000000000105_General,True,Range:,False,
CheckBoxVarLabels,CheckBox,True,True,000000000006_General,True,Series labels,False,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CheckBoxCharts,CheckBox,True,True,600000000000_Charts,True,Display charts,False,
CheckBoxDate,CheckBox,True,True,000000000302_General,True,Date data,False,
RefEditDate,RefEdit0,'Sheet2'!$A$1:$A$157,True,000000000402_General,True,Date data:,False,
CheckBoxCheckInt,CheckBox,True,True,000000000502_General,True,Check intervals,False,
CheckBoxCenter,CheckBox,False,True,000000000002_General,True,Center,False,
CheckBoxVar,CheckBox,False,True,000000000102_General,True,Variance,False,
TextBoxVar,TextBox,1,True,000000000202_General,True,Variance:,False,
TextBox_GQ,TextBox,1,True,000000001108_General,True,Q:,False,
TextBox_p,TextBox,3,True,000000000008_General,True,p:,False,
TextBox_d,TextBox,1,True,000000000308_General,True,d:,False,
TextBox_q,TextBox,1,True,000000000508_General,True,q:,False,
TextBox_Gd,TextBox,1,True,000000000908_General,True,D:,False,
TextBox_s,TextBox,12,True,000000001308_General,True,s:,False,
TextBox_GP,TextBox,3,True,000000000708_General,True,P:,False,
OptionButtonHR,OptionButton,False,True,100000000400_Options,True,Hannan-Rissanen,False,
OptionButtonInnov,OptionButton,False,True,100000000300_Options,True,Innovations,False,
CheckBoxPre,CheckBox,False,True,100000000000_Options,True,Preliminary estimation,False,
TextBox_m,TextBox,,True,100000000700_Options,True,m:,False,
CheckBoxAuto,CheckBox,True,True,100000000500_Options,True,Automatic,False,
OptionButtonYW,OptionButton,True,True,100000000100_Options,True,Yule-Walker,False,
OptionButtonBurg,OptionButton,False,True,100000000200_Options,True,Burg,False,
CheckBoxInitCoeffs,CheckBox,False,True,100000000001_Options,True,Initial coefficients,False,
RefEditPhi,RefEdit,,True,100000000101_Options,True,Phi:,False,
RefEditTheta,RefEdit,,True,100000000201_Options,True,Theta:,False,
OptionButtonLike,OptionButton,True,True,100000000102_Options,True,Likelihood,False,
OptionButtonLeast,OptionButton,False,True,100000000202_Options,True,Least Squares,False,
CheckBoxOpt,CheckBox,True,True,100000000002_Options,True,Optimize,False,
TextBoxMaxIter,TextBox,500,True,100000010302_Options,True,Iterations:,False,
TextBoxConv,TextBox,0.00001,True,100000040302_Options,True,Convergence:,False,
TextBoxTestNumber,TextBox,1,True,200000000000_Validation,True,,False,
CheckBox_Validation,CheckBox,False,True,200000000001_Validation,True,Validation,False,
CheckBox_Prediction,CheckBox,False,True,300000000001_Prediction,True,Prediction,False,
TextboxPredNumber,TextBox,1,True,300000000000_Prediction,True,,False,
CheckBoxTrans,CheckBox,False,False,04,False,Trans,False,
RefEdit_XPred,RefEdit,,True,300000000002_Prediction,True,X / Explanatory variables:,False,
CheckBox_XPred,CheckBox,False,True,300000000003_Prediction,True,X / Explanatory variables,True,
RefEdit_X,RefEdit,,True,000000000004_General,True,X / Explanatory variables:,False,
CheckBox_X,CheckBox,False,True,000000000003_General,True,X / Explanatory variables,False,
ComboBoxMode,ComboBox,0,True,000000000009_General,True,Mode:,False,
CheckBoxBestOrders,CheckBox,False,True,100000000003_Options,True,Find the best model,False,
CheckBoxMaxP,CheckBox,False,True,100000000103_Options,True,Max(p),False,
TextBoxMaxP,TextBox,1,True,100000000203_Options,True,Max(p):,False,
CheckBoxMaxQ,CheckBox,False,True,100000000303_Options,True,Max(q),False,
TextBoxMaxQ,TextBox,0,True,100000000403_Options,True,Max(q):,False,
CheckBoxMaxGP,CheckBox,False,True,100000000503_Options,True,Max(P),False,
CheckBoxMaxGQ,CheckBox,False,True,100000000603_Options,True,Max(Q),False,
TextBoxMaxGP,TextBox,0,True,100000000703_Options,True,Max(P):,False,
TextBoxMaxGQ,TextBox,0,True,100000000803_Options,True,Max(Q):,False,
OptionButtonAICC,OptionButton,True,True,100000001003_Options,True,AICC,False,
OptionButtonBIC,OptionButton,False,True,100000001103_Options,True,SBC,False,
TextBox_Conf,TextBox,95,True,500000010400_Outputs,True,Confidence intervals (%):,False,
RefEditT,RefEdit0,'Sheet2'!$B$1:$B$157,True,000000000001_General,True,,False,
</a:t>
          </a:r>
        </a:p>
      </xdr:txBody>
    </xdr:sp>
    <xdr:clientData/>
  </xdr:twoCellAnchor>
  <xdr:twoCellAnchor editAs="absolute">
    <xdr:from>
      <xdr:col>1</xdr:col>
      <xdr:colOff>6350</xdr:colOff>
      <xdr:row>9</xdr:row>
      <xdr:rowOff>6350</xdr:rowOff>
    </xdr:from>
    <xdr:to>
      <xdr:col>4</xdr:col>
      <xdr:colOff>1778</xdr:colOff>
      <xdr:row>10</xdr:row>
      <xdr:rowOff>0</xdr:rowOff>
    </xdr:to>
    <xdr:sp macro="" textlink="">
      <xdr:nvSpPr>
        <xdr:cNvPr id="3" name="BK457437">
          <a:extLst>
            <a:ext uri="{FF2B5EF4-FFF2-40B4-BE49-F238E27FC236}">
              <a16:creationId xmlns:a16="http://schemas.microsoft.com/office/drawing/2014/main" id="{3AF27EBD-A012-4393-B5F7-2365CBA3F469}"/>
            </a:ext>
          </a:extLst>
        </xdr:cNvPr>
        <xdr:cNvSpPr/>
      </xdr:nvSpPr>
      <xdr:spPr>
        <a:xfrm>
          <a:off x="339725" y="17208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1</xdr:col>
      <xdr:colOff>49783</xdr:colOff>
      <xdr:row>9</xdr:row>
      <xdr:rowOff>43434</xdr:rowOff>
    </xdr:from>
    <xdr:to>
      <xdr:col>1</xdr:col>
      <xdr:colOff>392683</xdr:colOff>
      <xdr:row>9</xdr:row>
      <xdr:rowOff>386334</xdr:rowOff>
    </xdr:to>
    <xdr:pic macro="[1]!RelaunchCall">
      <xdr:nvPicPr>
        <xdr:cNvPr id="4" name="BT457437">
          <a:extLst>
            <a:ext uri="{FF2B5EF4-FFF2-40B4-BE49-F238E27FC236}">
              <a16:creationId xmlns:a16="http://schemas.microsoft.com/office/drawing/2014/main" id="{1367BB96-8F5C-441C-8EEF-8805E624CBB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1757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9</xdr:row>
      <xdr:rowOff>43434</xdr:rowOff>
    </xdr:from>
    <xdr:to>
      <xdr:col>2</xdr:col>
      <xdr:colOff>260857</xdr:colOff>
      <xdr:row>9</xdr:row>
      <xdr:rowOff>386334</xdr:rowOff>
    </xdr:to>
    <xdr:pic macro="[1]!AddRemovGrid">
      <xdr:nvPicPr>
        <xdr:cNvPr id="5" name="RM457437">
          <a:extLst>
            <a:ext uri="{FF2B5EF4-FFF2-40B4-BE49-F238E27FC236}">
              <a16:creationId xmlns:a16="http://schemas.microsoft.com/office/drawing/2014/main" id="{22DA5EC2-1E93-48A6-B27A-C3727B7E69A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757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9</xdr:row>
      <xdr:rowOff>43434</xdr:rowOff>
    </xdr:from>
    <xdr:to>
      <xdr:col>2</xdr:col>
      <xdr:colOff>260857</xdr:colOff>
      <xdr:row>9</xdr:row>
      <xdr:rowOff>386334</xdr:rowOff>
    </xdr:to>
    <xdr:pic macro="AddRemovGrid">
      <xdr:nvPicPr>
        <xdr:cNvPr id="6" name="AD457437" hidden="1">
          <a:extLst>
            <a:ext uri="{FF2B5EF4-FFF2-40B4-BE49-F238E27FC236}">
              <a16:creationId xmlns:a16="http://schemas.microsoft.com/office/drawing/2014/main" id="{5F3F29B0-BA7D-45A7-ABB1-FDE8F5F8922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757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9</xdr:row>
      <xdr:rowOff>43434</xdr:rowOff>
    </xdr:from>
    <xdr:to>
      <xdr:col>3</xdr:col>
      <xdr:colOff>129031</xdr:colOff>
      <xdr:row>9</xdr:row>
      <xdr:rowOff>386334</xdr:rowOff>
    </xdr:to>
    <xdr:pic macro="[1]!SendToOffice">
      <xdr:nvPicPr>
        <xdr:cNvPr id="7" name="WD457437">
          <a:extLst>
            <a:ext uri="{FF2B5EF4-FFF2-40B4-BE49-F238E27FC236}">
              <a16:creationId xmlns:a16="http://schemas.microsoft.com/office/drawing/2014/main" id="{ADF418A8-FCD0-45D5-A4CD-D6D47819F40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1757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220471</xdr:colOff>
      <xdr:row>9</xdr:row>
      <xdr:rowOff>43434</xdr:rowOff>
    </xdr:from>
    <xdr:to>
      <xdr:col>3</xdr:col>
      <xdr:colOff>563371</xdr:colOff>
      <xdr:row>9</xdr:row>
      <xdr:rowOff>386334</xdr:rowOff>
    </xdr:to>
    <xdr:pic macro="[1]!SendToOffice">
      <xdr:nvPicPr>
        <xdr:cNvPr id="8" name="PT457437">
          <a:extLst>
            <a:ext uri="{FF2B5EF4-FFF2-40B4-BE49-F238E27FC236}">
              <a16:creationId xmlns:a16="http://schemas.microsoft.com/office/drawing/2014/main" id="{9DA4C589-D717-4177-B652-CDCA33E5C25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17579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219</xdr:row>
      <xdr:rowOff>0</xdr:rowOff>
    </xdr:from>
    <xdr:to>
      <xdr:col>7</xdr:col>
      <xdr:colOff>0</xdr:colOff>
      <xdr:row>236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357564BD-D29C-4B18-AD14-62570E3C3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219</xdr:row>
      <xdr:rowOff>0</xdr:rowOff>
    </xdr:from>
    <xdr:to>
      <xdr:col>13</xdr:col>
      <xdr:colOff>127000</xdr:colOff>
      <xdr:row>236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949D779E-93E3-480A-A576-A751FF3A75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266</xdr:row>
      <xdr:rowOff>0</xdr:rowOff>
    </xdr:from>
    <xdr:to>
      <xdr:col>7</xdr:col>
      <xdr:colOff>0</xdr:colOff>
      <xdr:row>283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28A9D550-6176-445A-84FF-5A86FB6859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127000</xdr:colOff>
      <xdr:row>266</xdr:row>
      <xdr:rowOff>0</xdr:rowOff>
    </xdr:from>
    <xdr:to>
      <xdr:col>13</xdr:col>
      <xdr:colOff>127000</xdr:colOff>
      <xdr:row>283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6A56E9B5-F44D-47DA-B431-36F2557AC3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313</xdr:row>
      <xdr:rowOff>0</xdr:rowOff>
    </xdr:from>
    <xdr:to>
      <xdr:col>7</xdr:col>
      <xdr:colOff>0</xdr:colOff>
      <xdr:row>330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B20BAD08-C7C1-4352-BFAB-62DACBF1D1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127000</xdr:colOff>
      <xdr:row>313</xdr:row>
      <xdr:rowOff>0</xdr:rowOff>
    </xdr:from>
    <xdr:to>
      <xdr:col>13</xdr:col>
      <xdr:colOff>127000</xdr:colOff>
      <xdr:row>330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3630DEAE-5A78-445D-95E9-1C63C9C723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4</xdr:row>
      <xdr:rowOff>0</xdr:rowOff>
    </xdr:from>
    <xdr:to>
      <xdr:col>2</xdr:col>
      <xdr:colOff>38100</xdr:colOff>
      <xdr:row>4</xdr:row>
      <xdr:rowOff>25400</xdr:rowOff>
    </xdr:to>
    <xdr:sp macro="" textlink="">
      <xdr:nvSpPr>
        <xdr:cNvPr id="2" name="TX263470" hidden="1">
          <a:extLst>
            <a:ext uri="{FF2B5EF4-FFF2-40B4-BE49-F238E27FC236}">
              <a16:creationId xmlns:a16="http://schemas.microsoft.com/office/drawing/2014/main" id="{19BD8404-7615-48AA-A636-8C7BA351DC49}"/>
            </a:ext>
          </a:extLst>
        </xdr:cNvPr>
        <xdr:cNvSpPr txBox="1"/>
      </xdr:nvSpPr>
      <xdr:spPr>
        <a:xfrm>
          <a:off x="955675" y="762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RunProcURT
Form186.txt
CheckBoxVarLabels,CheckBox,True,True,000000000003_General,True,Series labels,False,
RefEditT,RefEdit,'Sheet2'!$B$1:$B$157,True,000000000001_General,True,,False,
OptionButton_R,OptionButton,False,True,000000000002_General,True,Range,False,
OptionButton_S,OptionButton,True,True,000000000202_General,True,Sheet,False,
OptionButton_W,OptionButton,False,True,000000000302_General,True,Workbook,False,
RefEdit_R,RefEdit,,True,000000000102_General,True,Range:,False,
CheckBoxDFuller,CheckBox,True,True,000000000004_General,True,Dickey-Fuller test,False,
CheckBoxPP,CheckBox,False,True,000000000006_General,True,Phillips-Perron test,False,
ComboBoxPP,ComboBox,0,True,000000000007_General,True,PP test:,False,
ComboBoxDF,ComboBox,0,True,000000000008_General,True,,False,
CheckBox_Desc,CheckBox,True,True,300000000000_Outputs,True,Descriptive statistics,False,
OptionButtonMVRemove,OptionButton,False,True,200000000100_Missing data,True,Remove the observations,False,
OptionButtonMVRefuse,OptionButton,True,True,200000000000_Missing data,True,Do not accept missing data,False,
OptionButtonMVReplace,OptionButton,False,True,200000000200_Missing data,True,Replace by the average of the previous and next values,False,
OptionButtonMVIgnore,OptionButton,False,True,200000000300_Missing data,True,Ignore missing data,False,
CheckBoxCharts,CheckBox,True,True,400000000000_Charts,True,Display charts,False,
CheckBoxNW,CheckBox,True,True,100000000104_Options,True,Newey-West,False,
TextBox_conf,TextBox,5,True,100000010000_Options,True,Significance level (%):,False,
RefEditDate,RefEdit,,True,000000000009_General,True,Date data:,False,
CheckBoxDate,CheckBox,False,True,000000000010_General,True,Date data,False,
CheckBoxKPSS,CheckBox,False,True,000000000005_General,True,KPSS test,False,
ComboBoxKPSS,ComboBox,0,True,000000000011_General,True,KPSS test:,False,
OptionButton1,OptionButton,True,True,100001010100_Options,True,Automatic,False,
OptionButton2,OptionButton,False,True,100002010100_Options,True,User defined,False,
TextBox1,TextBox,2,True,100003010100_Options,True,Automatic,False,
OptionButton3,OptionButton,True,True,100001010200_Options,True,Automatic,False,
OptionButton4,OptionButton,False,True,100002010200_Options,True,User defined,False,
TextBox2,TextBox,2,True,100003010200_Options,True,User defined:,False,
TextBoxUDFk,TextBox,2,True,100000010102_Options,True,,False,
ComboBoxPpTruncation,ComboBox,0,True,100000010103_Options,True,,False,
ComboBoxADFk,ComboBox,0,True,100000020102_Options,True,k:,False,
TextboxUDFLag,TextBox,2,True,100000000204_Options,True,,False,
ComboBoxKPSSLag,ComboBox,0,True,100000000304_Options,True,,False,
OptionButtonMc,OptionButton,False,True,100000000201_Options,True,Monte Carlo method,False,
OptionButtonMk,OptionButton,True,True,100000000001_Options,True,Surface regression,False,
</a:t>
          </a:r>
        </a:p>
      </xdr:txBody>
    </xdr:sp>
    <xdr:clientData/>
  </xdr:twoCellAnchor>
  <xdr:twoCellAnchor editAs="absolute">
    <xdr:from>
      <xdr:col>1</xdr:col>
      <xdr:colOff>6350</xdr:colOff>
      <xdr:row>4</xdr:row>
      <xdr:rowOff>6350</xdr:rowOff>
    </xdr:from>
    <xdr:to>
      <xdr:col>4</xdr:col>
      <xdr:colOff>1778</xdr:colOff>
      <xdr:row>5</xdr:row>
      <xdr:rowOff>0</xdr:rowOff>
    </xdr:to>
    <xdr:sp macro="" textlink="">
      <xdr:nvSpPr>
        <xdr:cNvPr id="3" name="BK263470">
          <a:extLst>
            <a:ext uri="{FF2B5EF4-FFF2-40B4-BE49-F238E27FC236}">
              <a16:creationId xmlns:a16="http://schemas.microsoft.com/office/drawing/2014/main" id="{90BAC313-11E5-45FB-97CF-9D6C399D221A}"/>
            </a:ext>
          </a:extLst>
        </xdr:cNvPr>
        <xdr:cNvSpPr/>
      </xdr:nvSpPr>
      <xdr:spPr>
        <a:xfrm>
          <a:off x="339725" y="768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1</xdr:col>
      <xdr:colOff>49783</xdr:colOff>
      <xdr:row>4</xdr:row>
      <xdr:rowOff>43434</xdr:rowOff>
    </xdr:from>
    <xdr:to>
      <xdr:col>1</xdr:col>
      <xdr:colOff>392683</xdr:colOff>
      <xdr:row>4</xdr:row>
      <xdr:rowOff>386334</xdr:rowOff>
    </xdr:to>
    <xdr:pic macro="[1]!RelaunchCall">
      <xdr:nvPicPr>
        <xdr:cNvPr id="4" name="BT263470">
          <a:extLst>
            <a:ext uri="{FF2B5EF4-FFF2-40B4-BE49-F238E27FC236}">
              <a16:creationId xmlns:a16="http://schemas.microsoft.com/office/drawing/2014/main" id="{505E628C-02C2-407A-A4FC-E26A6ACE37E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80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4</xdr:row>
      <xdr:rowOff>43434</xdr:rowOff>
    </xdr:from>
    <xdr:to>
      <xdr:col>2</xdr:col>
      <xdr:colOff>260857</xdr:colOff>
      <xdr:row>4</xdr:row>
      <xdr:rowOff>386334</xdr:rowOff>
    </xdr:to>
    <xdr:pic macro="[1]!AddRemovGrid">
      <xdr:nvPicPr>
        <xdr:cNvPr id="5" name="RM263470">
          <a:extLst>
            <a:ext uri="{FF2B5EF4-FFF2-40B4-BE49-F238E27FC236}">
              <a16:creationId xmlns:a16="http://schemas.microsoft.com/office/drawing/2014/main" id="{CF7030D4-FC26-4A52-93D1-84C3BC2EB49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80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4</xdr:row>
      <xdr:rowOff>43434</xdr:rowOff>
    </xdr:from>
    <xdr:to>
      <xdr:col>2</xdr:col>
      <xdr:colOff>260857</xdr:colOff>
      <xdr:row>4</xdr:row>
      <xdr:rowOff>386334</xdr:rowOff>
    </xdr:to>
    <xdr:pic macro="AddRemovGrid">
      <xdr:nvPicPr>
        <xdr:cNvPr id="6" name="AD263470" hidden="1">
          <a:extLst>
            <a:ext uri="{FF2B5EF4-FFF2-40B4-BE49-F238E27FC236}">
              <a16:creationId xmlns:a16="http://schemas.microsoft.com/office/drawing/2014/main" id="{CBEE7C79-44F2-4F98-B220-6D124EFC3F1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80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4</xdr:row>
      <xdr:rowOff>43434</xdr:rowOff>
    </xdr:from>
    <xdr:to>
      <xdr:col>3</xdr:col>
      <xdr:colOff>129031</xdr:colOff>
      <xdr:row>4</xdr:row>
      <xdr:rowOff>386334</xdr:rowOff>
    </xdr:to>
    <xdr:pic macro="[1]!SendToOffice">
      <xdr:nvPicPr>
        <xdr:cNvPr id="7" name="WD263470">
          <a:extLst>
            <a:ext uri="{FF2B5EF4-FFF2-40B4-BE49-F238E27FC236}">
              <a16:creationId xmlns:a16="http://schemas.microsoft.com/office/drawing/2014/main" id="{6D53AF97-A53A-4364-8C46-B6A7844B64D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80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220471</xdr:colOff>
      <xdr:row>4</xdr:row>
      <xdr:rowOff>43434</xdr:rowOff>
    </xdr:from>
    <xdr:to>
      <xdr:col>3</xdr:col>
      <xdr:colOff>563371</xdr:colOff>
      <xdr:row>4</xdr:row>
      <xdr:rowOff>386334</xdr:rowOff>
    </xdr:to>
    <xdr:pic macro="[1]!SendToOffice">
      <xdr:nvPicPr>
        <xdr:cNvPr id="8" name="PT263470">
          <a:extLst>
            <a:ext uri="{FF2B5EF4-FFF2-40B4-BE49-F238E27FC236}">
              <a16:creationId xmlns:a16="http://schemas.microsoft.com/office/drawing/2014/main" id="{8384FA2F-2D84-47CF-8C23-0D31316665B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805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28</xdr:row>
      <xdr:rowOff>0</xdr:rowOff>
    </xdr:from>
    <xdr:to>
      <xdr:col>7</xdr:col>
      <xdr:colOff>0</xdr:colOff>
      <xdr:row>45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6208EDF7-964B-43E2-B4EA-E160F07FCA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Program%20Files%20(x86)/Addinsoft/XLSTAT/XLSTA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STAT"/>
    </sheetNames>
    <definedNames>
      <definedName name="AddRemovGrid"/>
      <definedName name="RelaunchCall"/>
      <definedName name="SendToOffice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57"/>
  <sheetViews>
    <sheetView workbookViewId="0">
      <selection activeCell="B24" sqref="B24"/>
    </sheetView>
  </sheetViews>
  <sheetFormatPr baseColWidth="10" defaultColWidth="8.83203125" defaultRowHeight="15" x14ac:dyDescent="0.2"/>
  <cols>
    <col min="1" max="1" width="18" bestFit="1" customWidth="1"/>
    <col min="2" max="2" width="15.33203125" bestFit="1" customWidth="1"/>
    <col min="3" max="3" width="14.5" bestFit="1" customWidth="1"/>
    <col min="4" max="4" width="16.5" bestFit="1" customWidth="1"/>
    <col min="5" max="5" width="11.5" bestFit="1" customWidth="1"/>
  </cols>
  <sheetData>
    <row r="1" spans="1:7" x14ac:dyDescent="0.2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 x14ac:dyDescent="0.2">
      <c r="A2" t="s">
        <v>7</v>
      </c>
      <c r="B2">
        <v>2796.8</v>
      </c>
      <c r="C2">
        <v>1179.4000000000001</v>
      </c>
      <c r="D2">
        <v>1023.2</v>
      </c>
      <c r="E2">
        <v>93.3</v>
      </c>
      <c r="F2">
        <v>447.8</v>
      </c>
      <c r="G2">
        <v>53.1</v>
      </c>
    </row>
    <row r="3" spans="1:7" x14ac:dyDescent="0.2">
      <c r="A3" t="s">
        <v>8</v>
      </c>
      <c r="B3">
        <v>2791</v>
      </c>
      <c r="C3">
        <v>1171.2</v>
      </c>
      <c r="D3">
        <v>1036.2</v>
      </c>
      <c r="E3">
        <v>95.7</v>
      </c>
      <c r="F3">
        <v>437.1</v>
      </c>
      <c r="G3">
        <v>50.8</v>
      </c>
    </row>
    <row r="4" spans="1:7" x14ac:dyDescent="0.2">
      <c r="A4" t="s">
        <v>9</v>
      </c>
      <c r="B4">
        <v>2754.2</v>
      </c>
      <c r="C4">
        <v>1108.5</v>
      </c>
      <c r="D4">
        <v>1022.1</v>
      </c>
      <c r="E4">
        <v>93.8</v>
      </c>
      <c r="F4">
        <v>479.7</v>
      </c>
      <c r="G4">
        <v>50.1</v>
      </c>
    </row>
    <row r="5" spans="1:7" x14ac:dyDescent="0.2">
      <c r="A5" t="s">
        <v>10</v>
      </c>
      <c r="B5">
        <v>2968.7</v>
      </c>
      <c r="C5">
        <v>1233.8</v>
      </c>
      <c r="D5">
        <v>1050.0999999999999</v>
      </c>
      <c r="E5">
        <v>99.4</v>
      </c>
      <c r="F5">
        <v>533.6</v>
      </c>
      <c r="G5">
        <v>51.8</v>
      </c>
    </row>
    <row r="6" spans="1:7" x14ac:dyDescent="0.2">
      <c r="A6" t="s">
        <v>11</v>
      </c>
      <c r="B6">
        <v>2957.3</v>
      </c>
      <c r="C6">
        <v>1163.0999999999999</v>
      </c>
      <c r="D6">
        <v>1105.3</v>
      </c>
      <c r="E6">
        <v>100</v>
      </c>
      <c r="F6">
        <v>535</v>
      </c>
      <c r="G6">
        <v>53.9</v>
      </c>
    </row>
    <row r="7" spans="1:7" x14ac:dyDescent="0.2">
      <c r="A7" t="s">
        <v>12</v>
      </c>
      <c r="B7">
        <v>3097.4</v>
      </c>
      <c r="C7">
        <v>1220</v>
      </c>
      <c r="D7">
        <v>1157.3</v>
      </c>
      <c r="E7">
        <v>105.6</v>
      </c>
      <c r="F7">
        <v>560.20000000000005</v>
      </c>
      <c r="G7">
        <v>54.2</v>
      </c>
    </row>
    <row r="8" spans="1:7" x14ac:dyDescent="0.2">
      <c r="A8" t="s">
        <v>13</v>
      </c>
      <c r="B8">
        <v>2994.9</v>
      </c>
      <c r="C8">
        <v>1243.0999999999999</v>
      </c>
      <c r="D8">
        <v>1064.9000000000001</v>
      </c>
      <c r="E8">
        <v>99.4</v>
      </c>
      <c r="F8">
        <v>537.4</v>
      </c>
      <c r="G8">
        <v>50.2</v>
      </c>
    </row>
    <row r="9" spans="1:7" x14ac:dyDescent="0.2">
      <c r="A9" t="s">
        <v>14</v>
      </c>
      <c r="B9">
        <v>3116.5</v>
      </c>
      <c r="C9">
        <v>1272.0999999999999</v>
      </c>
      <c r="D9">
        <v>1155.9000000000001</v>
      </c>
      <c r="E9">
        <v>106.3</v>
      </c>
      <c r="F9">
        <v>528.79999999999995</v>
      </c>
      <c r="G9">
        <v>53.4</v>
      </c>
    </row>
    <row r="10" spans="1:7" x14ac:dyDescent="0.2">
      <c r="A10" t="s">
        <v>15</v>
      </c>
      <c r="B10">
        <v>3037.8</v>
      </c>
      <c r="C10">
        <v>1226.3</v>
      </c>
      <c r="D10">
        <v>1140.3</v>
      </c>
      <c r="E10">
        <v>104.2</v>
      </c>
      <c r="F10">
        <v>516.29999999999995</v>
      </c>
      <c r="G10">
        <v>50.7</v>
      </c>
    </row>
    <row r="11" spans="1:7" x14ac:dyDescent="0.2">
      <c r="A11" t="s">
        <v>16</v>
      </c>
      <c r="B11">
        <v>2916.7</v>
      </c>
      <c r="C11">
        <v>1150.0999999999999</v>
      </c>
      <c r="D11">
        <v>1098.8</v>
      </c>
      <c r="E11">
        <v>99.5</v>
      </c>
      <c r="F11">
        <v>520</v>
      </c>
      <c r="G11">
        <v>48.4</v>
      </c>
    </row>
    <row r="12" spans="1:7" x14ac:dyDescent="0.2">
      <c r="A12" t="s">
        <v>17</v>
      </c>
      <c r="B12">
        <v>3156.6</v>
      </c>
      <c r="C12">
        <v>1318.2</v>
      </c>
      <c r="D12">
        <v>1163.2</v>
      </c>
      <c r="E12">
        <v>105.7</v>
      </c>
      <c r="F12">
        <v>518.6</v>
      </c>
      <c r="G12">
        <v>50.9</v>
      </c>
    </row>
    <row r="13" spans="1:7" x14ac:dyDescent="0.2">
      <c r="A13" t="s">
        <v>18</v>
      </c>
      <c r="B13">
        <v>2901.3</v>
      </c>
      <c r="C13">
        <v>1223.2</v>
      </c>
      <c r="D13">
        <v>1058.3</v>
      </c>
      <c r="E13">
        <v>97.1</v>
      </c>
      <c r="F13">
        <v>478</v>
      </c>
      <c r="G13">
        <v>44.7</v>
      </c>
    </row>
    <row r="14" spans="1:7" x14ac:dyDescent="0.2">
      <c r="A14" t="s">
        <v>19</v>
      </c>
      <c r="B14">
        <v>2975.3</v>
      </c>
      <c r="C14">
        <v>1266.3</v>
      </c>
      <c r="D14">
        <v>1096</v>
      </c>
      <c r="E14">
        <v>101.4</v>
      </c>
      <c r="F14">
        <v>465.5</v>
      </c>
      <c r="G14">
        <v>46</v>
      </c>
    </row>
    <row r="15" spans="1:7" x14ac:dyDescent="0.2">
      <c r="A15" t="s">
        <v>20</v>
      </c>
      <c r="B15">
        <v>2887.4</v>
      </c>
      <c r="C15">
        <v>1212.9000000000001</v>
      </c>
      <c r="D15">
        <v>1079.8</v>
      </c>
      <c r="E15">
        <v>97.7</v>
      </c>
      <c r="F15">
        <v>452.3</v>
      </c>
      <c r="G15">
        <v>44.7</v>
      </c>
    </row>
    <row r="16" spans="1:7" x14ac:dyDescent="0.2">
      <c r="A16" t="s">
        <v>21</v>
      </c>
      <c r="B16">
        <v>2893.8</v>
      </c>
      <c r="C16">
        <v>1184.4000000000001</v>
      </c>
      <c r="D16">
        <v>1098.9000000000001</v>
      </c>
      <c r="E16">
        <v>95.8</v>
      </c>
      <c r="F16">
        <v>470</v>
      </c>
      <c r="G16">
        <v>44.7</v>
      </c>
    </row>
    <row r="17" spans="1:7" x14ac:dyDescent="0.2">
      <c r="A17" t="s">
        <v>22</v>
      </c>
      <c r="B17">
        <v>3023.6</v>
      </c>
      <c r="C17">
        <v>1262</v>
      </c>
      <c r="D17">
        <v>1102.0999999999999</v>
      </c>
      <c r="E17">
        <v>103</v>
      </c>
      <c r="F17">
        <v>511.3</v>
      </c>
      <c r="G17">
        <v>45.2</v>
      </c>
    </row>
    <row r="18" spans="1:7" x14ac:dyDescent="0.2">
      <c r="A18" t="s">
        <v>23</v>
      </c>
      <c r="B18">
        <v>3092.5</v>
      </c>
      <c r="C18">
        <v>1243.7</v>
      </c>
      <c r="D18">
        <v>1174</v>
      </c>
      <c r="E18">
        <v>105</v>
      </c>
      <c r="F18">
        <v>522</v>
      </c>
      <c r="G18">
        <v>47.7</v>
      </c>
    </row>
    <row r="19" spans="1:7" x14ac:dyDescent="0.2">
      <c r="A19" t="s">
        <v>24</v>
      </c>
      <c r="B19">
        <v>3182.1</v>
      </c>
      <c r="C19">
        <v>1324.6</v>
      </c>
      <c r="D19">
        <v>1171</v>
      </c>
      <c r="E19">
        <v>106.5</v>
      </c>
      <c r="F19">
        <v>533.20000000000005</v>
      </c>
      <c r="G19">
        <v>46.8</v>
      </c>
    </row>
    <row r="20" spans="1:7" x14ac:dyDescent="0.2">
      <c r="A20" t="s">
        <v>25</v>
      </c>
      <c r="B20">
        <v>3007.5</v>
      </c>
      <c r="C20">
        <v>1230.9000000000001</v>
      </c>
      <c r="D20">
        <v>1118.0999999999999</v>
      </c>
      <c r="E20">
        <v>102</v>
      </c>
      <c r="F20">
        <v>513.20000000000005</v>
      </c>
      <c r="G20">
        <v>43.3</v>
      </c>
    </row>
    <row r="21" spans="1:7" x14ac:dyDescent="0.2">
      <c r="A21" t="s">
        <v>26</v>
      </c>
      <c r="B21">
        <v>3264</v>
      </c>
      <c r="C21">
        <v>1321.1</v>
      </c>
      <c r="D21">
        <v>1239.0999999999999</v>
      </c>
      <c r="E21">
        <v>110.5</v>
      </c>
      <c r="F21">
        <v>544.20000000000005</v>
      </c>
      <c r="G21">
        <v>49.1</v>
      </c>
    </row>
    <row r="22" spans="1:7" x14ac:dyDescent="0.2">
      <c r="A22" t="s">
        <v>27</v>
      </c>
      <c r="B22">
        <v>3114</v>
      </c>
      <c r="C22">
        <v>1257.5</v>
      </c>
      <c r="D22">
        <v>1164.4000000000001</v>
      </c>
      <c r="E22">
        <v>105.5</v>
      </c>
      <c r="F22">
        <v>541.4</v>
      </c>
      <c r="G22">
        <v>45.2</v>
      </c>
    </row>
    <row r="23" spans="1:7" x14ac:dyDescent="0.2">
      <c r="A23" t="s">
        <v>28</v>
      </c>
      <c r="B23">
        <v>3107.1</v>
      </c>
      <c r="C23">
        <v>1249.8</v>
      </c>
      <c r="D23">
        <v>1180.2</v>
      </c>
      <c r="E23">
        <v>106.2</v>
      </c>
      <c r="F23">
        <v>525.70000000000005</v>
      </c>
      <c r="G23">
        <v>45.2</v>
      </c>
    </row>
    <row r="24" spans="1:7" x14ac:dyDescent="0.2">
      <c r="A24" t="s">
        <v>29</v>
      </c>
      <c r="B24">
        <v>3215</v>
      </c>
      <c r="C24">
        <v>1291.8</v>
      </c>
      <c r="D24">
        <v>1231.5999999999999</v>
      </c>
      <c r="E24">
        <v>110</v>
      </c>
      <c r="F24">
        <v>535.20000000000005</v>
      </c>
      <c r="G24">
        <v>46.5</v>
      </c>
    </row>
    <row r="25" spans="1:7" x14ac:dyDescent="0.2">
      <c r="A25" t="s">
        <v>30</v>
      </c>
      <c r="B25">
        <v>3039.4</v>
      </c>
      <c r="C25">
        <v>1270.3</v>
      </c>
      <c r="D25">
        <v>1130.5</v>
      </c>
      <c r="E25">
        <v>101.9</v>
      </c>
      <c r="F25">
        <v>495</v>
      </c>
      <c r="G25">
        <v>41.7</v>
      </c>
    </row>
    <row r="26" spans="1:7" x14ac:dyDescent="0.2">
      <c r="A26" t="s">
        <v>31</v>
      </c>
      <c r="B26">
        <v>3166.4</v>
      </c>
      <c r="C26">
        <v>1338</v>
      </c>
      <c r="D26">
        <v>1202.5999999999999</v>
      </c>
      <c r="E26">
        <v>107.5</v>
      </c>
      <c r="F26">
        <v>473.6</v>
      </c>
      <c r="G26">
        <v>44.7</v>
      </c>
    </row>
    <row r="27" spans="1:7" x14ac:dyDescent="0.2">
      <c r="A27" t="s">
        <v>32</v>
      </c>
      <c r="B27">
        <v>2938.6</v>
      </c>
      <c r="C27">
        <v>1257.2</v>
      </c>
      <c r="D27">
        <v>1098.3</v>
      </c>
      <c r="E27">
        <v>99.7</v>
      </c>
      <c r="F27">
        <v>444.4</v>
      </c>
      <c r="G27">
        <v>39.1</v>
      </c>
    </row>
    <row r="28" spans="1:7" x14ac:dyDescent="0.2">
      <c r="A28" t="s">
        <v>33</v>
      </c>
      <c r="B28">
        <v>3018.8</v>
      </c>
      <c r="C28">
        <v>1241.4000000000001</v>
      </c>
      <c r="D28">
        <v>1182.4000000000001</v>
      </c>
      <c r="E28">
        <v>101.9</v>
      </c>
      <c r="F28">
        <v>451.8</v>
      </c>
      <c r="G28">
        <v>41.3</v>
      </c>
    </row>
    <row r="29" spans="1:7" x14ac:dyDescent="0.2">
      <c r="A29" t="s">
        <v>34</v>
      </c>
      <c r="B29">
        <v>3150</v>
      </c>
      <c r="C29">
        <v>1311.7</v>
      </c>
      <c r="D29">
        <v>1180.9000000000001</v>
      </c>
      <c r="E29">
        <v>106.4</v>
      </c>
      <c r="F29">
        <v>511</v>
      </c>
      <c r="G29">
        <v>40</v>
      </c>
    </row>
    <row r="30" spans="1:7" x14ac:dyDescent="0.2">
      <c r="A30" t="s">
        <v>35</v>
      </c>
      <c r="B30">
        <v>3271.1</v>
      </c>
      <c r="C30">
        <v>1323.7</v>
      </c>
      <c r="D30">
        <v>1251.2</v>
      </c>
      <c r="E30">
        <v>108.5</v>
      </c>
      <c r="F30">
        <v>542.79999999999995</v>
      </c>
      <c r="G30">
        <v>44.9</v>
      </c>
    </row>
    <row r="31" spans="1:7" x14ac:dyDescent="0.2">
      <c r="A31" t="s">
        <v>36</v>
      </c>
      <c r="B31">
        <v>3222.5</v>
      </c>
      <c r="C31">
        <v>1304.4000000000001</v>
      </c>
      <c r="D31">
        <v>1212.5999999999999</v>
      </c>
      <c r="E31">
        <v>108.5</v>
      </c>
      <c r="F31">
        <v>556</v>
      </c>
      <c r="G31">
        <v>40.9</v>
      </c>
    </row>
    <row r="32" spans="1:7" x14ac:dyDescent="0.2">
      <c r="A32" t="s">
        <v>37</v>
      </c>
      <c r="B32">
        <v>3288.9</v>
      </c>
      <c r="C32">
        <v>1344.6</v>
      </c>
      <c r="D32">
        <v>1225.2</v>
      </c>
      <c r="E32">
        <v>111.7</v>
      </c>
      <c r="F32">
        <v>563.1</v>
      </c>
      <c r="G32">
        <v>44.3</v>
      </c>
    </row>
    <row r="33" spans="1:7" x14ac:dyDescent="0.2">
      <c r="A33" t="s">
        <v>38</v>
      </c>
      <c r="B33">
        <v>3277.4</v>
      </c>
      <c r="C33">
        <v>1296.5</v>
      </c>
      <c r="D33">
        <v>1268.2</v>
      </c>
      <c r="E33">
        <v>113.3</v>
      </c>
      <c r="F33">
        <v>555</v>
      </c>
      <c r="G33">
        <v>44.4</v>
      </c>
    </row>
    <row r="34" spans="1:7" x14ac:dyDescent="0.2">
      <c r="A34" t="s">
        <v>39</v>
      </c>
      <c r="B34">
        <v>3205.8</v>
      </c>
      <c r="C34">
        <v>1359.9</v>
      </c>
      <c r="D34">
        <v>1182.2</v>
      </c>
      <c r="E34">
        <v>109.5</v>
      </c>
      <c r="F34">
        <v>513.6</v>
      </c>
      <c r="G34">
        <v>40.700000000000003</v>
      </c>
    </row>
    <row r="35" spans="1:7" x14ac:dyDescent="0.2">
      <c r="A35" t="s">
        <v>40</v>
      </c>
      <c r="B35">
        <v>3268.2</v>
      </c>
      <c r="C35">
        <v>1345.8</v>
      </c>
      <c r="D35">
        <v>1253.5</v>
      </c>
      <c r="E35">
        <v>112.3</v>
      </c>
      <c r="F35">
        <v>514.70000000000005</v>
      </c>
      <c r="G35">
        <v>41.9</v>
      </c>
    </row>
    <row r="36" spans="1:7" x14ac:dyDescent="0.2">
      <c r="A36" t="s">
        <v>41</v>
      </c>
      <c r="B36">
        <v>3378.1</v>
      </c>
      <c r="C36">
        <v>1403.2</v>
      </c>
      <c r="D36">
        <v>1271.4000000000001</v>
      </c>
      <c r="E36">
        <v>113.8</v>
      </c>
      <c r="F36">
        <v>547.9</v>
      </c>
      <c r="G36">
        <v>41.7</v>
      </c>
    </row>
    <row r="37" spans="1:7" x14ac:dyDescent="0.2">
      <c r="A37" t="s">
        <v>42</v>
      </c>
      <c r="B37">
        <v>3119.2</v>
      </c>
      <c r="C37">
        <v>1292.4000000000001</v>
      </c>
      <c r="D37">
        <v>1192.0999999999999</v>
      </c>
      <c r="E37">
        <v>107.1</v>
      </c>
      <c r="F37">
        <v>489.9</v>
      </c>
      <c r="G37">
        <v>37.700000000000003</v>
      </c>
    </row>
    <row r="38" spans="1:7" x14ac:dyDescent="0.2">
      <c r="A38" t="s">
        <v>43</v>
      </c>
      <c r="B38">
        <v>3149.8</v>
      </c>
      <c r="C38">
        <v>1280.9000000000001</v>
      </c>
      <c r="D38">
        <v>1248.7</v>
      </c>
      <c r="E38">
        <v>113.4</v>
      </c>
      <c r="F38">
        <v>467.1</v>
      </c>
      <c r="G38">
        <v>39.700000000000003</v>
      </c>
    </row>
    <row r="39" spans="1:7" x14ac:dyDescent="0.2">
      <c r="A39" t="s">
        <v>44</v>
      </c>
      <c r="B39">
        <v>3166.2</v>
      </c>
      <c r="C39">
        <v>1329.7</v>
      </c>
      <c r="D39">
        <v>1217.0999999999999</v>
      </c>
      <c r="E39">
        <v>110.5</v>
      </c>
      <c r="F39">
        <v>472.7</v>
      </c>
      <c r="G39">
        <v>36.1</v>
      </c>
    </row>
    <row r="40" spans="1:7" x14ac:dyDescent="0.2">
      <c r="A40" t="s">
        <v>45</v>
      </c>
      <c r="B40">
        <v>2987.2</v>
      </c>
      <c r="C40">
        <v>1236</v>
      </c>
      <c r="D40">
        <v>1163.0999999999999</v>
      </c>
      <c r="E40">
        <v>105.5</v>
      </c>
      <c r="F40">
        <v>449.5</v>
      </c>
      <c r="G40">
        <v>33.1</v>
      </c>
    </row>
    <row r="41" spans="1:7" x14ac:dyDescent="0.2">
      <c r="A41" t="s">
        <v>46</v>
      </c>
      <c r="B41">
        <v>3289</v>
      </c>
      <c r="C41">
        <v>1362.3</v>
      </c>
      <c r="D41">
        <v>1281.4000000000001</v>
      </c>
      <c r="E41">
        <v>116.5</v>
      </c>
      <c r="F41">
        <v>491.5</v>
      </c>
      <c r="G41">
        <v>37.200000000000003</v>
      </c>
    </row>
    <row r="42" spans="1:7" x14ac:dyDescent="0.2">
      <c r="A42" t="s">
        <v>47</v>
      </c>
      <c r="B42">
        <v>3279.6</v>
      </c>
      <c r="C42">
        <v>1335.3</v>
      </c>
      <c r="D42">
        <v>1249.0999999999999</v>
      </c>
      <c r="E42">
        <v>114.2</v>
      </c>
      <c r="F42">
        <v>544</v>
      </c>
      <c r="G42">
        <v>36.9</v>
      </c>
    </row>
    <row r="43" spans="1:7" x14ac:dyDescent="0.2">
      <c r="A43" t="s">
        <v>48</v>
      </c>
      <c r="B43">
        <v>3396.1</v>
      </c>
      <c r="C43">
        <v>1352.4</v>
      </c>
      <c r="D43">
        <v>1311.2</v>
      </c>
      <c r="E43">
        <v>121.8</v>
      </c>
      <c r="F43">
        <v>572.5</v>
      </c>
      <c r="G43">
        <v>38.1</v>
      </c>
    </row>
    <row r="44" spans="1:7" x14ac:dyDescent="0.2">
      <c r="A44" t="s">
        <v>49</v>
      </c>
      <c r="B44">
        <v>3368.5</v>
      </c>
      <c r="C44">
        <v>1385.2</v>
      </c>
      <c r="D44">
        <v>1298.7</v>
      </c>
      <c r="E44">
        <v>121.2</v>
      </c>
      <c r="F44">
        <v>525.79999999999995</v>
      </c>
      <c r="G44">
        <v>37.6</v>
      </c>
    </row>
    <row r="45" spans="1:7" x14ac:dyDescent="0.2">
      <c r="A45" t="s">
        <v>50</v>
      </c>
      <c r="B45">
        <v>3176.1</v>
      </c>
      <c r="C45">
        <v>1320.1</v>
      </c>
      <c r="D45">
        <v>1190.2</v>
      </c>
      <c r="E45">
        <v>117.4</v>
      </c>
      <c r="F45">
        <v>510.1</v>
      </c>
      <c r="G45">
        <v>38.4</v>
      </c>
    </row>
    <row r="46" spans="1:7" x14ac:dyDescent="0.2">
      <c r="A46" t="s">
        <v>51</v>
      </c>
      <c r="B46">
        <v>3381.5</v>
      </c>
      <c r="C46">
        <v>1398.4</v>
      </c>
      <c r="D46">
        <v>1298.5999999999999</v>
      </c>
      <c r="E46">
        <v>123.5</v>
      </c>
      <c r="F46">
        <v>519.1</v>
      </c>
      <c r="G46">
        <v>41.8</v>
      </c>
    </row>
    <row r="47" spans="1:7" x14ac:dyDescent="0.2">
      <c r="A47" t="s">
        <v>52</v>
      </c>
      <c r="B47">
        <v>3364.9</v>
      </c>
      <c r="C47">
        <v>1395.4</v>
      </c>
      <c r="D47">
        <v>1282.5999999999999</v>
      </c>
      <c r="E47">
        <v>120.1</v>
      </c>
      <c r="F47">
        <v>522.1</v>
      </c>
      <c r="G47">
        <v>44.7</v>
      </c>
    </row>
    <row r="48" spans="1:7" x14ac:dyDescent="0.2">
      <c r="A48" t="s">
        <v>53</v>
      </c>
      <c r="B48">
        <v>3249</v>
      </c>
      <c r="C48">
        <v>1340.1</v>
      </c>
      <c r="D48">
        <v>1218.4000000000001</v>
      </c>
      <c r="E48">
        <v>117.5</v>
      </c>
      <c r="F48">
        <v>535.6</v>
      </c>
      <c r="G48">
        <v>37.5</v>
      </c>
    </row>
    <row r="49" spans="1:7" x14ac:dyDescent="0.2">
      <c r="A49" t="s">
        <v>54</v>
      </c>
      <c r="B49">
        <v>3179.2</v>
      </c>
      <c r="C49">
        <v>1294.7</v>
      </c>
      <c r="D49">
        <v>1245.8</v>
      </c>
      <c r="E49">
        <v>118.2</v>
      </c>
      <c r="F49">
        <v>484</v>
      </c>
      <c r="G49">
        <v>36.5</v>
      </c>
    </row>
    <row r="50" spans="1:7" x14ac:dyDescent="0.2">
      <c r="A50" t="s">
        <v>55</v>
      </c>
      <c r="B50">
        <v>3005.9</v>
      </c>
      <c r="C50">
        <v>1217.9000000000001</v>
      </c>
      <c r="D50">
        <v>1169.5</v>
      </c>
      <c r="E50">
        <v>109</v>
      </c>
      <c r="F50">
        <v>476.4</v>
      </c>
      <c r="G50">
        <v>33.200000000000003</v>
      </c>
    </row>
    <row r="51" spans="1:7" x14ac:dyDescent="0.2">
      <c r="A51" t="s">
        <v>56</v>
      </c>
      <c r="B51">
        <v>3004.8</v>
      </c>
      <c r="C51">
        <v>1210.5</v>
      </c>
      <c r="D51">
        <v>1190.2</v>
      </c>
      <c r="E51">
        <v>109.7</v>
      </c>
      <c r="F51">
        <v>460.5</v>
      </c>
      <c r="G51">
        <v>34</v>
      </c>
    </row>
    <row r="52" spans="1:7" x14ac:dyDescent="0.2">
      <c r="A52" t="s">
        <v>57</v>
      </c>
      <c r="B52">
        <v>2931.1</v>
      </c>
      <c r="C52">
        <v>1142.4000000000001</v>
      </c>
      <c r="D52">
        <v>1188.3</v>
      </c>
      <c r="E52">
        <v>106.3</v>
      </c>
      <c r="F52">
        <v>461.2</v>
      </c>
      <c r="G52">
        <v>32.799999999999997</v>
      </c>
    </row>
    <row r="53" spans="1:7" x14ac:dyDescent="0.2">
      <c r="A53" t="s">
        <v>58</v>
      </c>
      <c r="B53">
        <v>3103.5</v>
      </c>
      <c r="C53">
        <v>1229.2</v>
      </c>
      <c r="D53">
        <v>1211.7</v>
      </c>
      <c r="E53">
        <v>117.6</v>
      </c>
      <c r="F53">
        <v>510.5</v>
      </c>
      <c r="G53">
        <v>34.4</v>
      </c>
    </row>
    <row r="54" spans="1:7" x14ac:dyDescent="0.2">
      <c r="A54" t="s">
        <v>59</v>
      </c>
      <c r="B54">
        <v>3054.9</v>
      </c>
      <c r="C54">
        <v>1143.9000000000001</v>
      </c>
      <c r="D54">
        <v>1207.2</v>
      </c>
      <c r="E54">
        <v>112.5</v>
      </c>
      <c r="F54">
        <v>556.6</v>
      </c>
      <c r="G54">
        <v>34.700000000000003</v>
      </c>
    </row>
    <row r="55" spans="1:7" x14ac:dyDescent="0.2">
      <c r="A55" t="s">
        <v>60</v>
      </c>
      <c r="B55">
        <v>3425.6</v>
      </c>
      <c r="C55">
        <v>1340.6</v>
      </c>
      <c r="D55">
        <v>1315.3</v>
      </c>
      <c r="E55">
        <v>123.2</v>
      </c>
      <c r="F55">
        <v>609.5</v>
      </c>
      <c r="G55">
        <v>37</v>
      </c>
    </row>
    <row r="56" spans="1:7" x14ac:dyDescent="0.2">
      <c r="A56" t="s">
        <v>61</v>
      </c>
      <c r="B56">
        <v>3414.1</v>
      </c>
      <c r="C56">
        <v>1361.2</v>
      </c>
      <c r="D56">
        <v>1304.7</v>
      </c>
      <c r="E56">
        <v>119.9</v>
      </c>
      <c r="F56">
        <v>592.70000000000005</v>
      </c>
      <c r="G56">
        <v>35.6</v>
      </c>
    </row>
    <row r="57" spans="1:7" x14ac:dyDescent="0.2">
      <c r="A57" t="s">
        <v>62</v>
      </c>
      <c r="B57">
        <v>3342.7</v>
      </c>
      <c r="C57">
        <v>1365.1</v>
      </c>
      <c r="D57">
        <v>1241.4000000000001</v>
      </c>
      <c r="E57">
        <v>129.1</v>
      </c>
      <c r="F57">
        <v>572.1</v>
      </c>
      <c r="G57">
        <v>35</v>
      </c>
    </row>
    <row r="58" spans="1:7" x14ac:dyDescent="0.2">
      <c r="A58" t="s">
        <v>63</v>
      </c>
      <c r="B58">
        <v>3395.7</v>
      </c>
      <c r="C58">
        <v>1391.5</v>
      </c>
      <c r="D58">
        <v>1241.8</v>
      </c>
      <c r="E58">
        <v>172.3</v>
      </c>
      <c r="F58">
        <v>554.9</v>
      </c>
      <c r="G58">
        <v>35.4</v>
      </c>
    </row>
    <row r="59" spans="1:7" x14ac:dyDescent="0.2">
      <c r="A59" t="s">
        <v>64</v>
      </c>
      <c r="B59">
        <v>3419.5</v>
      </c>
      <c r="C59">
        <v>1377.1</v>
      </c>
      <c r="D59">
        <v>1277.5</v>
      </c>
      <c r="E59">
        <v>171.8</v>
      </c>
      <c r="F59">
        <v>557.4</v>
      </c>
      <c r="G59">
        <v>35.700000000000003</v>
      </c>
    </row>
    <row r="60" spans="1:7" x14ac:dyDescent="0.2">
      <c r="A60" t="s">
        <v>65</v>
      </c>
      <c r="B60">
        <v>3379.9</v>
      </c>
      <c r="C60">
        <v>1394.2</v>
      </c>
      <c r="D60">
        <v>1222.7</v>
      </c>
      <c r="E60">
        <v>167.3</v>
      </c>
      <c r="F60">
        <v>562.9</v>
      </c>
      <c r="G60">
        <v>32.799999999999997</v>
      </c>
    </row>
    <row r="61" spans="1:7" x14ac:dyDescent="0.2">
      <c r="A61" t="s">
        <v>66</v>
      </c>
      <c r="B61">
        <v>3345.1</v>
      </c>
      <c r="C61">
        <v>1396.8</v>
      </c>
      <c r="D61">
        <v>1229.7</v>
      </c>
      <c r="E61">
        <v>169.1</v>
      </c>
      <c r="F61">
        <v>516</v>
      </c>
      <c r="G61">
        <v>33.5</v>
      </c>
    </row>
    <row r="62" spans="1:7" x14ac:dyDescent="0.2">
      <c r="A62" t="s">
        <v>67</v>
      </c>
      <c r="B62">
        <v>3242.9</v>
      </c>
      <c r="C62">
        <v>1395.9</v>
      </c>
      <c r="D62">
        <v>1161.7</v>
      </c>
      <c r="E62">
        <v>163.80000000000001</v>
      </c>
      <c r="F62">
        <v>490.6</v>
      </c>
      <c r="G62">
        <v>30.9</v>
      </c>
    </row>
    <row r="63" spans="1:7" x14ac:dyDescent="0.2">
      <c r="A63" t="s">
        <v>68</v>
      </c>
      <c r="B63">
        <v>3287.1</v>
      </c>
      <c r="C63">
        <v>1405.9</v>
      </c>
      <c r="D63">
        <v>1180</v>
      </c>
      <c r="E63">
        <v>166.3</v>
      </c>
      <c r="F63">
        <v>503.9</v>
      </c>
      <c r="G63">
        <v>31</v>
      </c>
    </row>
    <row r="64" spans="1:7" x14ac:dyDescent="0.2">
      <c r="A64" t="s">
        <v>69</v>
      </c>
      <c r="B64">
        <v>3420.6</v>
      </c>
      <c r="C64">
        <v>1329.3</v>
      </c>
      <c r="D64">
        <v>1345.4</v>
      </c>
      <c r="E64">
        <v>165</v>
      </c>
      <c r="F64">
        <v>547.6</v>
      </c>
      <c r="G64">
        <v>33.200000000000003</v>
      </c>
    </row>
    <row r="65" spans="1:7" x14ac:dyDescent="0.2">
      <c r="A65" t="s">
        <v>70</v>
      </c>
      <c r="B65">
        <v>3588.8</v>
      </c>
      <c r="C65">
        <v>1488.9</v>
      </c>
      <c r="D65">
        <v>1308.8</v>
      </c>
      <c r="E65">
        <v>173.6</v>
      </c>
      <c r="F65">
        <v>585</v>
      </c>
      <c r="G65">
        <v>32.4</v>
      </c>
    </row>
    <row r="66" spans="1:7" x14ac:dyDescent="0.2">
      <c r="A66" t="s">
        <v>71</v>
      </c>
      <c r="B66">
        <v>3479.4</v>
      </c>
      <c r="C66">
        <v>1471.5</v>
      </c>
      <c r="D66">
        <v>1235</v>
      </c>
      <c r="E66">
        <v>167.3</v>
      </c>
      <c r="F66">
        <v>573.5</v>
      </c>
      <c r="G66">
        <v>32.1</v>
      </c>
    </row>
    <row r="67" spans="1:7" x14ac:dyDescent="0.2">
      <c r="A67" t="s">
        <v>72</v>
      </c>
      <c r="B67">
        <v>3718.7</v>
      </c>
      <c r="C67">
        <v>1523.8</v>
      </c>
      <c r="D67">
        <v>1373.2</v>
      </c>
      <c r="E67">
        <v>181</v>
      </c>
      <c r="F67">
        <v>606</v>
      </c>
      <c r="G67">
        <v>34.799999999999997</v>
      </c>
    </row>
    <row r="68" spans="1:7" x14ac:dyDescent="0.2">
      <c r="A68" t="s">
        <v>73</v>
      </c>
      <c r="B68">
        <v>3571.7</v>
      </c>
      <c r="C68">
        <v>1474.1</v>
      </c>
      <c r="D68">
        <v>1317.3</v>
      </c>
      <c r="E68">
        <v>173.4</v>
      </c>
      <c r="F68">
        <v>575.20000000000005</v>
      </c>
      <c r="G68">
        <v>31.7</v>
      </c>
    </row>
    <row r="69" spans="1:7" x14ac:dyDescent="0.2">
      <c r="A69" t="s">
        <v>74</v>
      </c>
      <c r="B69">
        <v>3601.5</v>
      </c>
      <c r="C69">
        <v>1538.4</v>
      </c>
      <c r="D69">
        <v>1308.3</v>
      </c>
      <c r="E69">
        <v>182.8</v>
      </c>
      <c r="F69">
        <v>539.70000000000005</v>
      </c>
      <c r="G69">
        <v>32.299999999999997</v>
      </c>
    </row>
    <row r="70" spans="1:7" x14ac:dyDescent="0.2">
      <c r="A70" t="s">
        <v>75</v>
      </c>
      <c r="B70">
        <v>3555.8</v>
      </c>
      <c r="C70">
        <v>1516.6</v>
      </c>
      <c r="D70">
        <v>1287.3</v>
      </c>
      <c r="E70">
        <v>181.1</v>
      </c>
      <c r="F70">
        <v>539.20000000000005</v>
      </c>
      <c r="G70">
        <v>31.6</v>
      </c>
    </row>
    <row r="71" spans="1:7" x14ac:dyDescent="0.2">
      <c r="A71" t="s">
        <v>76</v>
      </c>
      <c r="B71">
        <v>3514.9</v>
      </c>
      <c r="C71">
        <v>1472.5</v>
      </c>
      <c r="D71">
        <v>1278.3</v>
      </c>
      <c r="E71">
        <v>174.9</v>
      </c>
      <c r="F71">
        <v>557.79999999999995</v>
      </c>
      <c r="G71">
        <v>31.3</v>
      </c>
    </row>
    <row r="72" spans="1:7" x14ac:dyDescent="0.2">
      <c r="A72" t="s">
        <v>77</v>
      </c>
      <c r="B72">
        <v>3614.4</v>
      </c>
      <c r="C72">
        <v>1516.5</v>
      </c>
      <c r="D72">
        <v>1299.2</v>
      </c>
      <c r="E72">
        <v>185.5</v>
      </c>
      <c r="F72">
        <v>581.4</v>
      </c>
      <c r="G72">
        <v>31.7</v>
      </c>
    </row>
    <row r="73" spans="1:7" x14ac:dyDescent="0.2">
      <c r="A73" t="s">
        <v>78</v>
      </c>
      <c r="B73">
        <v>3656</v>
      </c>
      <c r="C73">
        <v>1529</v>
      </c>
      <c r="D73">
        <v>1375.3</v>
      </c>
      <c r="E73">
        <v>183.7</v>
      </c>
      <c r="F73">
        <v>536.20000000000005</v>
      </c>
      <c r="G73">
        <v>31.8</v>
      </c>
    </row>
    <row r="74" spans="1:7" x14ac:dyDescent="0.2">
      <c r="A74" t="s">
        <v>79</v>
      </c>
      <c r="B74">
        <v>3470.4</v>
      </c>
      <c r="C74">
        <v>1498.5</v>
      </c>
      <c r="D74">
        <v>1266.4000000000001</v>
      </c>
      <c r="E74">
        <v>176.9</v>
      </c>
      <c r="F74">
        <v>499.3</v>
      </c>
      <c r="G74">
        <v>29.3</v>
      </c>
    </row>
    <row r="75" spans="1:7" x14ac:dyDescent="0.2">
      <c r="A75" t="s">
        <v>80</v>
      </c>
      <c r="B75">
        <v>3426.5</v>
      </c>
      <c r="C75">
        <v>1506.3</v>
      </c>
      <c r="D75">
        <v>1253.8</v>
      </c>
      <c r="E75">
        <v>176.7</v>
      </c>
      <c r="F75">
        <v>461.7</v>
      </c>
      <c r="G75">
        <v>27.9</v>
      </c>
    </row>
    <row r="76" spans="1:7" x14ac:dyDescent="0.2">
      <c r="A76" t="s">
        <v>81</v>
      </c>
      <c r="B76">
        <v>3308</v>
      </c>
      <c r="C76">
        <v>1386.5</v>
      </c>
      <c r="D76">
        <v>1261.5</v>
      </c>
      <c r="E76">
        <v>166.3</v>
      </c>
      <c r="F76">
        <v>465.7</v>
      </c>
      <c r="G76">
        <v>28</v>
      </c>
    </row>
    <row r="77" spans="1:7" x14ac:dyDescent="0.2">
      <c r="A77" t="s">
        <v>82</v>
      </c>
      <c r="B77">
        <v>3489.2</v>
      </c>
      <c r="C77">
        <v>1472.5</v>
      </c>
      <c r="D77">
        <v>1283.4000000000001</v>
      </c>
      <c r="E77">
        <v>180.2</v>
      </c>
      <c r="F77">
        <v>524.4</v>
      </c>
      <c r="G77">
        <v>28.7</v>
      </c>
    </row>
    <row r="78" spans="1:7" x14ac:dyDescent="0.2">
      <c r="A78" t="s">
        <v>83</v>
      </c>
      <c r="B78">
        <v>3552</v>
      </c>
      <c r="C78">
        <v>1458.2</v>
      </c>
      <c r="D78">
        <v>1314.3</v>
      </c>
      <c r="E78">
        <v>184</v>
      </c>
      <c r="F78">
        <v>565.1</v>
      </c>
      <c r="G78">
        <v>30.5</v>
      </c>
    </row>
    <row r="79" spans="1:7" x14ac:dyDescent="0.2">
      <c r="A79" t="s">
        <v>84</v>
      </c>
      <c r="B79">
        <v>3859.7</v>
      </c>
      <c r="C79">
        <v>1624.4</v>
      </c>
      <c r="D79">
        <v>1405.6</v>
      </c>
      <c r="E79">
        <v>195.6</v>
      </c>
      <c r="F79">
        <v>602.79999999999995</v>
      </c>
      <c r="G79">
        <v>31.3</v>
      </c>
    </row>
    <row r="80" spans="1:7" x14ac:dyDescent="0.2">
      <c r="A80" t="s">
        <v>85</v>
      </c>
      <c r="B80">
        <v>3639.9</v>
      </c>
      <c r="C80">
        <v>1537.9</v>
      </c>
      <c r="D80">
        <v>1300.5999999999999</v>
      </c>
      <c r="E80">
        <v>186.2</v>
      </c>
      <c r="F80">
        <v>586</v>
      </c>
      <c r="G80">
        <v>29.2</v>
      </c>
    </row>
    <row r="81" spans="1:7" x14ac:dyDescent="0.2">
      <c r="A81" t="s">
        <v>86</v>
      </c>
      <c r="B81">
        <v>3854.2</v>
      </c>
      <c r="C81">
        <v>1591.2</v>
      </c>
      <c r="D81">
        <v>1440.5</v>
      </c>
      <c r="E81">
        <v>201</v>
      </c>
      <c r="F81">
        <v>590.6</v>
      </c>
      <c r="G81">
        <v>30.9</v>
      </c>
    </row>
    <row r="82" spans="1:7" x14ac:dyDescent="0.2">
      <c r="A82" t="s">
        <v>87</v>
      </c>
      <c r="B82">
        <v>3697.8</v>
      </c>
      <c r="C82">
        <v>1530.2</v>
      </c>
      <c r="D82">
        <v>1361.9</v>
      </c>
      <c r="E82">
        <v>194.1</v>
      </c>
      <c r="F82">
        <v>582.6</v>
      </c>
      <c r="G82">
        <v>29.1</v>
      </c>
    </row>
    <row r="83" spans="1:7" x14ac:dyDescent="0.2">
      <c r="A83" t="s">
        <v>88</v>
      </c>
      <c r="B83">
        <v>3582</v>
      </c>
      <c r="C83">
        <v>1513.1</v>
      </c>
      <c r="D83">
        <v>1299.7</v>
      </c>
      <c r="E83">
        <v>183.9</v>
      </c>
      <c r="F83">
        <v>557.70000000000005</v>
      </c>
      <c r="G83">
        <v>27.6</v>
      </c>
    </row>
    <row r="84" spans="1:7" x14ac:dyDescent="0.2">
      <c r="A84" t="s">
        <v>89</v>
      </c>
      <c r="B84">
        <v>3652.8</v>
      </c>
      <c r="C84">
        <v>1500.8</v>
      </c>
      <c r="D84">
        <v>1386.2</v>
      </c>
      <c r="E84">
        <v>196.5</v>
      </c>
      <c r="F84">
        <v>541.1</v>
      </c>
      <c r="G84">
        <v>28.3</v>
      </c>
    </row>
    <row r="85" spans="1:7" x14ac:dyDescent="0.2">
      <c r="A85" t="s">
        <v>90</v>
      </c>
      <c r="B85">
        <v>3474.7</v>
      </c>
      <c r="C85">
        <v>1457.9</v>
      </c>
      <c r="D85">
        <v>1302.5</v>
      </c>
      <c r="E85">
        <v>182.8</v>
      </c>
      <c r="F85">
        <v>505.9</v>
      </c>
      <c r="G85">
        <v>25.8</v>
      </c>
    </row>
    <row r="86" spans="1:7" x14ac:dyDescent="0.2">
      <c r="A86" t="s">
        <v>91</v>
      </c>
      <c r="B86">
        <v>3413.9</v>
      </c>
      <c r="C86">
        <v>1494.9</v>
      </c>
      <c r="D86">
        <v>1202.5999999999999</v>
      </c>
      <c r="E86">
        <v>187.8</v>
      </c>
      <c r="F86">
        <v>503.3</v>
      </c>
      <c r="G86">
        <v>25.3</v>
      </c>
    </row>
    <row r="87" spans="1:7" x14ac:dyDescent="0.2">
      <c r="A87" t="s">
        <v>92</v>
      </c>
      <c r="B87">
        <v>3520.9</v>
      </c>
      <c r="C87">
        <v>1456</v>
      </c>
      <c r="D87">
        <v>1344.4</v>
      </c>
      <c r="E87">
        <v>189.8</v>
      </c>
      <c r="F87">
        <v>505</v>
      </c>
      <c r="G87">
        <v>25.6</v>
      </c>
    </row>
    <row r="88" spans="1:7" x14ac:dyDescent="0.2">
      <c r="A88" t="s">
        <v>93</v>
      </c>
      <c r="B88">
        <v>3464.8</v>
      </c>
      <c r="C88">
        <v>1459.3</v>
      </c>
      <c r="D88">
        <v>1291.5</v>
      </c>
      <c r="E88">
        <v>181.3</v>
      </c>
      <c r="F88">
        <v>508.6</v>
      </c>
      <c r="G88">
        <v>24.1</v>
      </c>
    </row>
    <row r="89" spans="1:7" x14ac:dyDescent="0.2">
      <c r="A89" t="s">
        <v>94</v>
      </c>
      <c r="B89">
        <v>3713.5</v>
      </c>
      <c r="C89">
        <v>1560.6</v>
      </c>
      <c r="D89">
        <v>1391.3</v>
      </c>
      <c r="E89">
        <v>194.9</v>
      </c>
      <c r="F89">
        <v>540.9</v>
      </c>
      <c r="G89">
        <v>25.8</v>
      </c>
    </row>
    <row r="90" spans="1:7" x14ac:dyDescent="0.2">
      <c r="A90" t="s">
        <v>95</v>
      </c>
      <c r="B90">
        <v>3689.9</v>
      </c>
      <c r="C90">
        <v>1522.4</v>
      </c>
      <c r="D90">
        <v>1388.1</v>
      </c>
      <c r="E90">
        <v>196</v>
      </c>
      <c r="F90">
        <v>557.1</v>
      </c>
      <c r="G90">
        <v>26.2</v>
      </c>
    </row>
    <row r="91" spans="1:7" x14ac:dyDescent="0.2">
      <c r="A91" t="s">
        <v>96</v>
      </c>
      <c r="B91">
        <v>3820</v>
      </c>
      <c r="C91">
        <v>1595</v>
      </c>
      <c r="D91">
        <v>1391.2</v>
      </c>
      <c r="E91">
        <v>199.2</v>
      </c>
      <c r="F91">
        <v>607.9</v>
      </c>
      <c r="G91">
        <v>26.6</v>
      </c>
    </row>
    <row r="92" spans="1:7" x14ac:dyDescent="0.2">
      <c r="A92" t="s">
        <v>97</v>
      </c>
      <c r="B92">
        <v>3736</v>
      </c>
      <c r="C92">
        <v>1540.3</v>
      </c>
      <c r="D92">
        <v>1375.8</v>
      </c>
      <c r="E92">
        <v>199.1</v>
      </c>
      <c r="F92">
        <v>594.79999999999995</v>
      </c>
      <c r="G92">
        <v>26</v>
      </c>
    </row>
    <row r="93" spans="1:7" x14ac:dyDescent="0.2">
      <c r="A93" t="s">
        <v>98</v>
      </c>
      <c r="B93">
        <v>3869.3</v>
      </c>
      <c r="C93">
        <v>1613.8</v>
      </c>
      <c r="D93">
        <v>1443.2</v>
      </c>
      <c r="E93">
        <v>200.1</v>
      </c>
      <c r="F93">
        <v>585.6</v>
      </c>
      <c r="G93">
        <v>26.6</v>
      </c>
    </row>
    <row r="94" spans="1:7" x14ac:dyDescent="0.2">
      <c r="A94" t="s">
        <v>99</v>
      </c>
      <c r="B94">
        <v>3833.2</v>
      </c>
      <c r="C94">
        <v>1634.4</v>
      </c>
      <c r="D94">
        <v>1401.3</v>
      </c>
      <c r="E94">
        <v>198.9</v>
      </c>
      <c r="F94">
        <v>573.20000000000005</v>
      </c>
      <c r="G94">
        <v>25.3</v>
      </c>
    </row>
    <row r="95" spans="1:7" x14ac:dyDescent="0.2">
      <c r="A95" t="s">
        <v>100</v>
      </c>
      <c r="B95">
        <v>3716.3</v>
      </c>
      <c r="C95">
        <v>1558.8</v>
      </c>
      <c r="D95">
        <v>1378.7</v>
      </c>
      <c r="E95">
        <v>193.6</v>
      </c>
      <c r="F95">
        <v>560.20000000000005</v>
      </c>
      <c r="G95">
        <v>24.9</v>
      </c>
    </row>
    <row r="96" spans="1:7" x14ac:dyDescent="0.2">
      <c r="A96" t="s">
        <v>101</v>
      </c>
      <c r="B96">
        <v>3772.2</v>
      </c>
      <c r="C96">
        <v>1602</v>
      </c>
      <c r="D96">
        <v>1378.8</v>
      </c>
      <c r="E96">
        <v>198.5</v>
      </c>
      <c r="F96">
        <v>568.1</v>
      </c>
      <c r="G96">
        <v>24.8</v>
      </c>
    </row>
    <row r="97" spans="1:7" x14ac:dyDescent="0.2">
      <c r="A97" t="s">
        <v>102</v>
      </c>
      <c r="B97">
        <v>3650.8</v>
      </c>
      <c r="C97">
        <v>1534.9</v>
      </c>
      <c r="D97">
        <v>1378.9</v>
      </c>
      <c r="E97">
        <v>189.3</v>
      </c>
      <c r="F97">
        <v>524.79999999999995</v>
      </c>
      <c r="G97">
        <v>22.9</v>
      </c>
    </row>
    <row r="98" spans="1:7" x14ac:dyDescent="0.2">
      <c r="A98" t="s">
        <v>103</v>
      </c>
      <c r="B98">
        <v>3711</v>
      </c>
      <c r="C98">
        <v>1594.3</v>
      </c>
      <c r="D98">
        <v>1383.3</v>
      </c>
      <c r="E98">
        <v>197.2</v>
      </c>
      <c r="F98">
        <v>513.1</v>
      </c>
      <c r="G98">
        <v>23.2</v>
      </c>
    </row>
    <row r="99" spans="1:7" x14ac:dyDescent="0.2">
      <c r="A99" t="s">
        <v>104</v>
      </c>
      <c r="B99">
        <v>3470.8</v>
      </c>
      <c r="C99">
        <v>1479.1</v>
      </c>
      <c r="D99">
        <v>1283.3</v>
      </c>
      <c r="E99">
        <v>189.6</v>
      </c>
      <c r="F99">
        <v>498</v>
      </c>
      <c r="G99">
        <v>20.8</v>
      </c>
    </row>
    <row r="100" spans="1:7" x14ac:dyDescent="0.2">
      <c r="A100" t="s">
        <v>105</v>
      </c>
      <c r="B100">
        <v>3397.3</v>
      </c>
      <c r="C100">
        <v>1410.8</v>
      </c>
      <c r="D100">
        <v>1291.0999999999999</v>
      </c>
      <c r="E100">
        <v>176.4</v>
      </c>
      <c r="F100">
        <v>498.3</v>
      </c>
      <c r="G100">
        <v>20.7</v>
      </c>
    </row>
    <row r="101" spans="1:7" x14ac:dyDescent="0.2">
      <c r="A101" t="s">
        <v>106</v>
      </c>
      <c r="B101">
        <v>3772</v>
      </c>
      <c r="C101">
        <v>1576.8</v>
      </c>
      <c r="D101">
        <v>1406.5</v>
      </c>
      <c r="E101">
        <v>198.1</v>
      </c>
      <c r="F101">
        <v>568.29999999999995</v>
      </c>
      <c r="G101">
        <v>22.4</v>
      </c>
    </row>
    <row r="102" spans="1:7" x14ac:dyDescent="0.2">
      <c r="A102" t="s">
        <v>107</v>
      </c>
      <c r="B102">
        <v>3793.3</v>
      </c>
      <c r="C102">
        <v>1567.9</v>
      </c>
      <c r="D102">
        <v>1400.9</v>
      </c>
      <c r="E102">
        <v>199.8</v>
      </c>
      <c r="F102">
        <v>601.79999999999995</v>
      </c>
      <c r="G102">
        <v>23</v>
      </c>
    </row>
    <row r="103" spans="1:7" x14ac:dyDescent="0.2">
      <c r="A103" t="s">
        <v>108</v>
      </c>
      <c r="B103">
        <v>3853.7</v>
      </c>
      <c r="C103">
        <v>1586</v>
      </c>
      <c r="D103">
        <v>1412.7</v>
      </c>
      <c r="E103">
        <v>202.1</v>
      </c>
      <c r="F103">
        <v>629.6</v>
      </c>
      <c r="G103">
        <v>23.4</v>
      </c>
    </row>
    <row r="104" spans="1:7" x14ac:dyDescent="0.2">
      <c r="A104" t="s">
        <v>109</v>
      </c>
      <c r="B104">
        <v>3904.5</v>
      </c>
      <c r="C104">
        <v>1598.4</v>
      </c>
      <c r="D104">
        <v>1466.6</v>
      </c>
      <c r="E104">
        <v>204.5</v>
      </c>
      <c r="F104">
        <v>612</v>
      </c>
      <c r="G104">
        <v>23.1</v>
      </c>
    </row>
    <row r="105" spans="1:7" x14ac:dyDescent="0.2">
      <c r="A105" t="s">
        <v>110</v>
      </c>
      <c r="B105">
        <v>3911.2</v>
      </c>
      <c r="C105">
        <v>1644.9</v>
      </c>
      <c r="D105">
        <v>1423.7</v>
      </c>
      <c r="E105">
        <v>202.5</v>
      </c>
      <c r="F105">
        <v>617.5</v>
      </c>
      <c r="G105">
        <v>22.6</v>
      </c>
    </row>
    <row r="106" spans="1:7" x14ac:dyDescent="0.2">
      <c r="A106" t="s">
        <v>111</v>
      </c>
      <c r="B106">
        <v>3832.5</v>
      </c>
      <c r="C106">
        <v>1636.3</v>
      </c>
      <c r="D106">
        <v>1411.2</v>
      </c>
      <c r="E106">
        <v>202.7</v>
      </c>
      <c r="F106">
        <v>560.6</v>
      </c>
      <c r="G106">
        <v>21.6</v>
      </c>
    </row>
    <row r="107" spans="1:7" x14ac:dyDescent="0.2">
      <c r="A107" t="s">
        <v>112</v>
      </c>
      <c r="B107">
        <v>3717.4</v>
      </c>
      <c r="C107">
        <v>1534.1</v>
      </c>
      <c r="D107">
        <v>1411</v>
      </c>
      <c r="E107">
        <v>196.2</v>
      </c>
      <c r="F107">
        <v>555</v>
      </c>
      <c r="G107">
        <v>21.1</v>
      </c>
    </row>
    <row r="108" spans="1:7" x14ac:dyDescent="0.2">
      <c r="A108" t="s">
        <v>113</v>
      </c>
      <c r="B108">
        <v>3884.6</v>
      </c>
      <c r="C108">
        <v>1641.7</v>
      </c>
      <c r="D108">
        <v>1447.4</v>
      </c>
      <c r="E108">
        <v>203.5</v>
      </c>
      <c r="F108">
        <v>570.70000000000005</v>
      </c>
      <c r="G108">
        <v>21.3</v>
      </c>
    </row>
    <row r="109" spans="1:7" x14ac:dyDescent="0.2">
      <c r="A109" t="s">
        <v>114</v>
      </c>
      <c r="B109">
        <v>3700.4</v>
      </c>
      <c r="C109">
        <v>1572.5</v>
      </c>
      <c r="D109">
        <v>1381.1</v>
      </c>
      <c r="E109">
        <v>196.4</v>
      </c>
      <c r="F109">
        <v>530.1</v>
      </c>
      <c r="G109">
        <v>20.3</v>
      </c>
    </row>
    <row r="110" spans="1:7" x14ac:dyDescent="0.2">
      <c r="A110" t="s">
        <v>115</v>
      </c>
      <c r="B110">
        <v>3726.7</v>
      </c>
      <c r="C110">
        <v>1645.6</v>
      </c>
      <c r="D110">
        <v>1354</v>
      </c>
      <c r="E110">
        <v>197.7</v>
      </c>
      <c r="F110">
        <v>509.7</v>
      </c>
      <c r="G110">
        <v>19.7</v>
      </c>
    </row>
    <row r="111" spans="1:7" x14ac:dyDescent="0.2">
      <c r="A111" t="s">
        <v>116</v>
      </c>
      <c r="B111">
        <v>3680.6</v>
      </c>
      <c r="C111">
        <v>1609.5</v>
      </c>
      <c r="D111">
        <v>1370.3</v>
      </c>
      <c r="E111">
        <v>193</v>
      </c>
      <c r="F111">
        <v>489.3</v>
      </c>
      <c r="G111">
        <v>18.5</v>
      </c>
    </row>
    <row r="112" spans="1:7" x14ac:dyDescent="0.2">
      <c r="A112" t="s">
        <v>117</v>
      </c>
      <c r="B112">
        <v>3491.4</v>
      </c>
      <c r="C112">
        <v>1488.1</v>
      </c>
      <c r="D112">
        <v>1316.5</v>
      </c>
      <c r="E112">
        <v>180.1</v>
      </c>
      <c r="F112">
        <v>488.7</v>
      </c>
      <c r="G112">
        <v>17.899999999999999</v>
      </c>
    </row>
    <row r="113" spans="1:7" x14ac:dyDescent="0.2">
      <c r="A113" t="s">
        <v>118</v>
      </c>
      <c r="B113">
        <v>3874.3</v>
      </c>
      <c r="C113">
        <v>1666.3</v>
      </c>
      <c r="D113">
        <v>1416.3</v>
      </c>
      <c r="E113">
        <v>203.7</v>
      </c>
      <c r="F113">
        <v>568.1</v>
      </c>
      <c r="G113">
        <v>19.899999999999999</v>
      </c>
    </row>
    <row r="114" spans="1:7" x14ac:dyDescent="0.2">
      <c r="A114" t="s">
        <v>119</v>
      </c>
      <c r="B114">
        <v>3931.1</v>
      </c>
      <c r="C114">
        <v>1681.2</v>
      </c>
      <c r="D114">
        <v>1416.9</v>
      </c>
      <c r="E114">
        <v>202.8</v>
      </c>
      <c r="F114">
        <v>609.5</v>
      </c>
      <c r="G114">
        <v>20.6</v>
      </c>
    </row>
    <row r="115" spans="1:7" x14ac:dyDescent="0.2">
      <c r="A115" t="s">
        <v>120</v>
      </c>
      <c r="B115">
        <v>3973</v>
      </c>
      <c r="C115">
        <v>1656.8</v>
      </c>
      <c r="D115">
        <v>1447.2</v>
      </c>
      <c r="E115">
        <v>209.1</v>
      </c>
      <c r="F115">
        <v>639</v>
      </c>
      <c r="G115">
        <v>20.9</v>
      </c>
    </row>
    <row r="116" spans="1:7" x14ac:dyDescent="0.2">
      <c r="A116" t="s">
        <v>121</v>
      </c>
      <c r="B116">
        <v>3971.4</v>
      </c>
      <c r="C116">
        <v>1663.1</v>
      </c>
      <c r="D116">
        <v>1451.6</v>
      </c>
      <c r="E116">
        <v>208.2</v>
      </c>
      <c r="F116">
        <v>628.1</v>
      </c>
      <c r="G116">
        <v>20.3</v>
      </c>
    </row>
    <row r="117" spans="1:7" x14ac:dyDescent="0.2">
      <c r="A117" t="s">
        <v>122</v>
      </c>
      <c r="B117">
        <v>4103.6000000000004</v>
      </c>
      <c r="C117">
        <v>1746.1</v>
      </c>
      <c r="D117">
        <v>1486.1</v>
      </c>
      <c r="E117">
        <v>214.7</v>
      </c>
      <c r="F117">
        <v>635.5</v>
      </c>
      <c r="G117">
        <v>21.2</v>
      </c>
    </row>
    <row r="118" spans="1:7" x14ac:dyDescent="0.2">
      <c r="A118" t="s">
        <v>123</v>
      </c>
      <c r="B118">
        <v>3945.7</v>
      </c>
      <c r="C118">
        <v>1676.4</v>
      </c>
      <c r="D118">
        <v>1447.1</v>
      </c>
      <c r="E118">
        <v>210.1</v>
      </c>
      <c r="F118">
        <v>592.4</v>
      </c>
      <c r="G118">
        <v>19.8</v>
      </c>
    </row>
    <row r="119" spans="1:7" x14ac:dyDescent="0.2">
      <c r="A119" t="s">
        <v>124</v>
      </c>
      <c r="B119">
        <v>3977.8</v>
      </c>
      <c r="C119">
        <v>1712.3</v>
      </c>
      <c r="D119">
        <v>1458</v>
      </c>
      <c r="E119">
        <v>206.9</v>
      </c>
      <c r="F119">
        <v>580.9</v>
      </c>
      <c r="G119">
        <v>19.8</v>
      </c>
    </row>
    <row r="120" spans="1:7" x14ac:dyDescent="0.2">
      <c r="A120" t="s">
        <v>125</v>
      </c>
      <c r="B120">
        <v>3931.2</v>
      </c>
      <c r="C120">
        <v>1632.2</v>
      </c>
      <c r="D120">
        <v>1457.4</v>
      </c>
      <c r="E120">
        <v>210.4</v>
      </c>
      <c r="F120">
        <v>611.5</v>
      </c>
      <c r="G120">
        <v>19.7</v>
      </c>
    </row>
    <row r="121" spans="1:7" x14ac:dyDescent="0.2">
      <c r="A121" t="s">
        <v>126</v>
      </c>
      <c r="B121">
        <v>3796.3</v>
      </c>
      <c r="C121">
        <v>1575.6</v>
      </c>
      <c r="D121">
        <v>1425.1</v>
      </c>
      <c r="E121">
        <v>204.4</v>
      </c>
      <c r="F121">
        <v>571.79999999999995</v>
      </c>
      <c r="G121">
        <v>19.399999999999999</v>
      </c>
    </row>
    <row r="122" spans="1:7" x14ac:dyDescent="0.2">
      <c r="A122" t="s">
        <v>127</v>
      </c>
      <c r="B122">
        <v>3897.3</v>
      </c>
      <c r="C122">
        <v>1732.8</v>
      </c>
      <c r="D122">
        <v>1412.2</v>
      </c>
      <c r="E122">
        <v>203.9</v>
      </c>
      <c r="F122">
        <v>525.20000000000005</v>
      </c>
      <c r="G122">
        <v>23.2</v>
      </c>
    </row>
    <row r="123" spans="1:7" x14ac:dyDescent="0.2">
      <c r="A123" t="s">
        <v>128</v>
      </c>
      <c r="B123">
        <v>3685.9</v>
      </c>
      <c r="C123">
        <v>1636.4</v>
      </c>
      <c r="D123">
        <v>1335.3</v>
      </c>
      <c r="E123">
        <v>199.1</v>
      </c>
      <c r="F123">
        <v>493.6</v>
      </c>
      <c r="G123">
        <v>21.6</v>
      </c>
    </row>
    <row r="124" spans="1:7" x14ac:dyDescent="0.2">
      <c r="A124" t="s">
        <v>129</v>
      </c>
      <c r="B124">
        <v>3687</v>
      </c>
      <c r="C124">
        <v>1581.1</v>
      </c>
      <c r="D124">
        <v>1386.4</v>
      </c>
      <c r="E124">
        <v>183.1</v>
      </c>
      <c r="F124">
        <v>513.9</v>
      </c>
      <c r="G124">
        <v>22.5</v>
      </c>
    </row>
    <row r="125" spans="1:7" x14ac:dyDescent="0.2">
      <c r="A125" t="s">
        <v>130</v>
      </c>
      <c r="B125">
        <v>3973.2</v>
      </c>
      <c r="C125">
        <v>1693.7</v>
      </c>
      <c r="D125">
        <v>1455.8</v>
      </c>
      <c r="E125">
        <v>206.2</v>
      </c>
      <c r="F125">
        <v>594.20000000000005</v>
      </c>
      <c r="G125">
        <v>23.2</v>
      </c>
    </row>
    <row r="126" spans="1:7" x14ac:dyDescent="0.2">
      <c r="A126" t="s">
        <v>131</v>
      </c>
      <c r="B126">
        <v>3981.6</v>
      </c>
      <c r="C126">
        <v>1675.9</v>
      </c>
      <c r="D126">
        <v>1467.5</v>
      </c>
      <c r="E126">
        <v>204</v>
      </c>
      <c r="F126">
        <v>610.70000000000005</v>
      </c>
      <c r="G126">
        <v>23.5</v>
      </c>
    </row>
    <row r="127" spans="1:7" x14ac:dyDescent="0.2">
      <c r="A127" t="s">
        <v>132</v>
      </c>
      <c r="B127">
        <v>4030.6</v>
      </c>
      <c r="C127">
        <v>1674.8</v>
      </c>
      <c r="D127">
        <v>1491.5</v>
      </c>
      <c r="E127">
        <v>207.7</v>
      </c>
      <c r="F127">
        <v>632.29999999999995</v>
      </c>
      <c r="G127">
        <v>24.3</v>
      </c>
    </row>
    <row r="128" spans="1:7" x14ac:dyDescent="0.2">
      <c r="A128" t="s">
        <v>133</v>
      </c>
      <c r="B128">
        <v>4030.6</v>
      </c>
      <c r="C128">
        <v>1679.7</v>
      </c>
      <c r="D128">
        <v>1475.4</v>
      </c>
      <c r="E128">
        <v>204.9</v>
      </c>
      <c r="F128">
        <v>647</v>
      </c>
      <c r="G128">
        <v>23.6</v>
      </c>
    </row>
    <row r="129" spans="1:7" x14ac:dyDescent="0.2">
      <c r="A129" t="s">
        <v>134</v>
      </c>
      <c r="B129">
        <v>4148.3</v>
      </c>
      <c r="C129">
        <v>1736.7</v>
      </c>
      <c r="D129">
        <v>1520.4</v>
      </c>
      <c r="E129">
        <v>210</v>
      </c>
      <c r="F129">
        <v>656.7</v>
      </c>
      <c r="G129">
        <v>24.4</v>
      </c>
    </row>
    <row r="130" spans="1:7" x14ac:dyDescent="0.2">
      <c r="A130" t="s">
        <v>135</v>
      </c>
      <c r="B130">
        <v>4068.8</v>
      </c>
      <c r="C130">
        <v>1717</v>
      </c>
      <c r="D130">
        <v>1486</v>
      </c>
      <c r="E130">
        <v>206.7</v>
      </c>
      <c r="F130">
        <v>635.70000000000005</v>
      </c>
      <c r="G130">
        <v>23.5</v>
      </c>
    </row>
    <row r="131" spans="1:7" x14ac:dyDescent="0.2">
      <c r="A131" t="s">
        <v>136</v>
      </c>
      <c r="B131">
        <v>4045.7</v>
      </c>
      <c r="C131">
        <v>1676.6</v>
      </c>
      <c r="D131">
        <v>1499.6</v>
      </c>
      <c r="E131">
        <v>202.5</v>
      </c>
      <c r="F131">
        <v>643.6</v>
      </c>
      <c r="G131">
        <v>23.4</v>
      </c>
    </row>
    <row r="132" spans="1:7" x14ac:dyDescent="0.2">
      <c r="A132" t="s">
        <v>137</v>
      </c>
      <c r="B132">
        <v>4043.5</v>
      </c>
      <c r="C132">
        <v>1657.7</v>
      </c>
      <c r="D132">
        <v>1506.2</v>
      </c>
      <c r="E132">
        <v>211.1</v>
      </c>
      <c r="F132">
        <v>645.70000000000005</v>
      </c>
      <c r="G132">
        <v>22.9</v>
      </c>
    </row>
    <row r="133" spans="1:7" x14ac:dyDescent="0.2">
      <c r="A133" t="s">
        <v>138</v>
      </c>
      <c r="B133">
        <v>3921.4</v>
      </c>
      <c r="C133">
        <v>1625.7</v>
      </c>
      <c r="D133">
        <v>1444.7</v>
      </c>
      <c r="E133">
        <v>205.6</v>
      </c>
      <c r="F133">
        <v>622.4</v>
      </c>
      <c r="G133">
        <v>22.9</v>
      </c>
    </row>
    <row r="134" spans="1:7" x14ac:dyDescent="0.2">
      <c r="A134" t="s">
        <v>139</v>
      </c>
      <c r="B134">
        <v>3876.3</v>
      </c>
      <c r="C134">
        <v>1649.1</v>
      </c>
      <c r="D134">
        <v>1419.1</v>
      </c>
      <c r="E134">
        <v>214.4</v>
      </c>
      <c r="F134">
        <v>570.29999999999995</v>
      </c>
      <c r="G134">
        <v>23.4</v>
      </c>
    </row>
    <row r="135" spans="1:7" x14ac:dyDescent="0.2">
      <c r="A135" t="s">
        <v>140</v>
      </c>
      <c r="B135">
        <v>3928.4</v>
      </c>
      <c r="C135">
        <v>1661.6</v>
      </c>
      <c r="D135">
        <v>1449</v>
      </c>
      <c r="E135">
        <v>214.9</v>
      </c>
      <c r="F135">
        <v>580.4</v>
      </c>
      <c r="G135">
        <v>22.5</v>
      </c>
    </row>
    <row r="136" spans="1:7" x14ac:dyDescent="0.2">
      <c r="A136" t="s">
        <v>141</v>
      </c>
      <c r="B136">
        <v>3727.7</v>
      </c>
      <c r="C136">
        <v>1533.8</v>
      </c>
      <c r="D136">
        <v>1383.4</v>
      </c>
      <c r="E136">
        <v>203.6</v>
      </c>
      <c r="F136">
        <v>585.4</v>
      </c>
      <c r="G136">
        <v>21.5</v>
      </c>
    </row>
    <row r="137" spans="1:7" x14ac:dyDescent="0.2">
      <c r="A137" t="s">
        <v>142</v>
      </c>
      <c r="B137">
        <v>4044.9</v>
      </c>
      <c r="C137">
        <v>1647.1</v>
      </c>
      <c r="D137">
        <v>1504.2</v>
      </c>
      <c r="E137">
        <v>221.9</v>
      </c>
      <c r="F137">
        <v>648.70000000000005</v>
      </c>
      <c r="G137">
        <v>23</v>
      </c>
    </row>
    <row r="138" spans="1:7" x14ac:dyDescent="0.2">
      <c r="A138" t="s">
        <v>143</v>
      </c>
      <c r="B138">
        <v>4068.6</v>
      </c>
      <c r="C138">
        <v>1644.8</v>
      </c>
      <c r="D138">
        <v>1490.3</v>
      </c>
      <c r="E138">
        <v>220.3</v>
      </c>
      <c r="F138">
        <v>689.1</v>
      </c>
      <c r="G138">
        <v>24.1</v>
      </c>
    </row>
    <row r="139" spans="1:7" x14ac:dyDescent="0.2">
      <c r="A139" t="s">
        <v>144</v>
      </c>
      <c r="B139">
        <v>4240.1000000000004</v>
      </c>
      <c r="C139">
        <v>1742.5</v>
      </c>
      <c r="D139">
        <v>1536.4</v>
      </c>
      <c r="E139">
        <v>228.4</v>
      </c>
      <c r="F139">
        <v>708.4</v>
      </c>
      <c r="G139">
        <v>24.4</v>
      </c>
    </row>
    <row r="140" spans="1:7" x14ac:dyDescent="0.2">
      <c r="A140" t="s">
        <v>145</v>
      </c>
      <c r="B140">
        <v>4052.5</v>
      </c>
      <c r="C140">
        <v>1719.7</v>
      </c>
      <c r="D140">
        <v>1449.7</v>
      </c>
      <c r="E140">
        <v>217.7</v>
      </c>
      <c r="F140">
        <v>642.20000000000005</v>
      </c>
      <c r="G140">
        <v>23.2</v>
      </c>
    </row>
    <row r="141" spans="1:7" x14ac:dyDescent="0.2">
      <c r="A141" t="s">
        <v>146</v>
      </c>
      <c r="B141">
        <v>4230.7</v>
      </c>
      <c r="C141">
        <v>1798.7</v>
      </c>
      <c r="D141">
        <v>1533.2</v>
      </c>
      <c r="E141">
        <v>226.7</v>
      </c>
      <c r="F141">
        <v>647.1</v>
      </c>
      <c r="G141">
        <v>25</v>
      </c>
    </row>
    <row r="142" spans="1:7" x14ac:dyDescent="0.2">
      <c r="A142" t="s">
        <v>147</v>
      </c>
      <c r="B142">
        <v>4093</v>
      </c>
      <c r="C142">
        <v>1739.3</v>
      </c>
      <c r="D142">
        <v>1464.3</v>
      </c>
      <c r="E142">
        <v>218.6</v>
      </c>
      <c r="F142">
        <v>647.79999999999995</v>
      </c>
      <c r="G142">
        <v>23</v>
      </c>
    </row>
    <row r="143" spans="1:7" x14ac:dyDescent="0.2">
      <c r="A143" t="s">
        <v>148</v>
      </c>
      <c r="B143">
        <v>4174.1000000000004</v>
      </c>
      <c r="C143">
        <v>1786.2</v>
      </c>
      <c r="D143">
        <v>1493.2</v>
      </c>
      <c r="E143">
        <v>220.4</v>
      </c>
      <c r="F143">
        <v>650.4</v>
      </c>
      <c r="G143">
        <v>23.9</v>
      </c>
    </row>
    <row r="144" spans="1:7" x14ac:dyDescent="0.2">
      <c r="A144" t="s">
        <v>149</v>
      </c>
      <c r="B144">
        <v>4192.3</v>
      </c>
      <c r="C144">
        <v>1785.8</v>
      </c>
      <c r="D144">
        <v>1504.4</v>
      </c>
      <c r="E144">
        <v>233.8</v>
      </c>
      <c r="F144">
        <v>644.70000000000005</v>
      </c>
      <c r="G144">
        <v>23.6</v>
      </c>
    </row>
    <row r="145" spans="1:7" x14ac:dyDescent="0.2">
      <c r="A145" t="s">
        <v>150</v>
      </c>
      <c r="B145">
        <v>3998.1</v>
      </c>
      <c r="C145">
        <v>1712.4</v>
      </c>
      <c r="D145">
        <v>1471</v>
      </c>
      <c r="E145">
        <v>217.1</v>
      </c>
      <c r="F145">
        <v>575.20000000000005</v>
      </c>
      <c r="G145">
        <v>22.4</v>
      </c>
    </row>
    <row r="146" spans="1:7" x14ac:dyDescent="0.2">
      <c r="A146" t="s">
        <v>151</v>
      </c>
      <c r="B146">
        <v>4115.8</v>
      </c>
      <c r="C146">
        <v>1841.1</v>
      </c>
      <c r="D146">
        <v>1459</v>
      </c>
      <c r="E146">
        <v>226.1</v>
      </c>
      <c r="F146">
        <v>567.1</v>
      </c>
      <c r="G146">
        <v>22.5</v>
      </c>
    </row>
    <row r="147" spans="1:7" x14ac:dyDescent="0.2">
      <c r="A147" t="s">
        <v>152</v>
      </c>
      <c r="B147">
        <v>4048.7</v>
      </c>
      <c r="C147">
        <v>1775.8</v>
      </c>
      <c r="D147">
        <v>1454.4</v>
      </c>
      <c r="E147">
        <v>222.6</v>
      </c>
      <c r="F147">
        <v>574</v>
      </c>
      <c r="G147">
        <v>22</v>
      </c>
    </row>
    <row r="148" spans="1:7" x14ac:dyDescent="0.2">
      <c r="A148" t="s">
        <v>153</v>
      </c>
      <c r="B148">
        <v>3854.8</v>
      </c>
      <c r="C148">
        <v>1647.4</v>
      </c>
      <c r="D148">
        <v>1441.8</v>
      </c>
      <c r="E148">
        <v>209.7</v>
      </c>
      <c r="F148">
        <v>533.1</v>
      </c>
      <c r="G148">
        <v>22.8</v>
      </c>
    </row>
    <row r="149" spans="1:7" x14ac:dyDescent="0.2">
      <c r="A149" t="s">
        <v>154</v>
      </c>
      <c r="B149">
        <v>3930.9</v>
      </c>
      <c r="C149">
        <v>1663.6</v>
      </c>
      <c r="D149">
        <v>1442.2</v>
      </c>
      <c r="E149">
        <v>220.9</v>
      </c>
      <c r="F149">
        <v>583.70000000000005</v>
      </c>
      <c r="G149">
        <v>20.399999999999999</v>
      </c>
    </row>
    <row r="150" spans="1:7" x14ac:dyDescent="0.2">
      <c r="A150" t="s">
        <v>155</v>
      </c>
      <c r="B150">
        <v>4169.3</v>
      </c>
      <c r="C150">
        <v>1770.3</v>
      </c>
      <c r="D150">
        <v>1523.6</v>
      </c>
      <c r="E150">
        <v>230</v>
      </c>
      <c r="F150">
        <v>619.9</v>
      </c>
      <c r="G150">
        <v>25.5</v>
      </c>
    </row>
    <row r="151" spans="1:7" x14ac:dyDescent="0.2">
      <c r="A151" t="s">
        <v>156</v>
      </c>
      <c r="B151">
        <v>4070.6</v>
      </c>
      <c r="C151">
        <v>1707</v>
      </c>
      <c r="D151">
        <v>1464.2</v>
      </c>
      <c r="E151">
        <v>228.9</v>
      </c>
      <c r="F151">
        <v>649</v>
      </c>
      <c r="G151">
        <v>21.5</v>
      </c>
    </row>
    <row r="152" spans="1:7" x14ac:dyDescent="0.2">
      <c r="A152" t="s">
        <v>157</v>
      </c>
      <c r="B152">
        <v>4223.5</v>
      </c>
      <c r="C152">
        <v>1761.3</v>
      </c>
      <c r="D152">
        <v>1507.1</v>
      </c>
      <c r="E152">
        <v>232.2</v>
      </c>
      <c r="F152">
        <v>698.1</v>
      </c>
      <c r="G152">
        <v>24.7</v>
      </c>
    </row>
    <row r="153" spans="1:7" x14ac:dyDescent="0.2">
      <c r="A153" t="s">
        <v>158</v>
      </c>
      <c r="B153">
        <v>4369.3</v>
      </c>
      <c r="C153">
        <v>1826.5</v>
      </c>
      <c r="D153">
        <v>1644.4</v>
      </c>
      <c r="E153">
        <v>242.1</v>
      </c>
      <c r="F153">
        <v>630.20000000000005</v>
      </c>
      <c r="G153">
        <v>26.2</v>
      </c>
    </row>
    <row r="154" spans="1:7" x14ac:dyDescent="0.2">
      <c r="A154" t="s">
        <v>159</v>
      </c>
      <c r="B154">
        <v>4112.6000000000004</v>
      </c>
      <c r="C154">
        <v>1719.3</v>
      </c>
      <c r="D154">
        <v>1527.1</v>
      </c>
      <c r="E154">
        <v>231.9</v>
      </c>
      <c r="F154">
        <v>613.1</v>
      </c>
      <c r="G154">
        <v>21.2</v>
      </c>
    </row>
    <row r="155" spans="1:7" x14ac:dyDescent="0.2">
      <c r="A155" t="s">
        <v>160</v>
      </c>
      <c r="B155">
        <v>4165.6000000000004</v>
      </c>
      <c r="C155">
        <v>1760.9</v>
      </c>
      <c r="D155">
        <v>1524</v>
      </c>
      <c r="E155">
        <v>235</v>
      </c>
      <c r="F155">
        <v>622</v>
      </c>
      <c r="G155">
        <v>23.7</v>
      </c>
    </row>
    <row r="156" spans="1:7" x14ac:dyDescent="0.2">
      <c r="A156" t="s">
        <v>161</v>
      </c>
      <c r="B156">
        <v>4212.6000000000004</v>
      </c>
      <c r="C156">
        <v>1758.4</v>
      </c>
      <c r="D156">
        <v>1561.6</v>
      </c>
      <c r="E156">
        <v>247</v>
      </c>
      <c r="F156">
        <v>622.1</v>
      </c>
      <c r="G156">
        <v>23.5</v>
      </c>
    </row>
    <row r="157" spans="1:7" x14ac:dyDescent="0.2">
      <c r="A157" t="s">
        <v>162</v>
      </c>
      <c r="B157">
        <v>4163.5</v>
      </c>
      <c r="C157">
        <v>1802.7</v>
      </c>
      <c r="D157">
        <v>1513.7</v>
      </c>
      <c r="E157">
        <v>241.5</v>
      </c>
      <c r="F157">
        <v>583.1</v>
      </c>
      <c r="G157">
        <v>22.4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EF36-A08B-44DF-8770-E53A28B403E4}">
  <dimension ref="A1:H157"/>
  <sheetViews>
    <sheetView tabSelected="1" workbookViewId="0">
      <selection activeCell="B1" sqref="B1:B157"/>
    </sheetView>
  </sheetViews>
  <sheetFormatPr baseColWidth="10" defaultColWidth="8.83203125" defaultRowHeight="15" x14ac:dyDescent="0.2"/>
  <cols>
    <col min="1" max="1" width="16.5" customWidth="1"/>
    <col min="2" max="2" width="16.5" bestFit="1" customWidth="1"/>
    <col min="3" max="3" width="20" customWidth="1"/>
    <col min="7" max="7" width="14.1640625" bestFit="1" customWidth="1"/>
    <col min="8" max="8" width="9.83203125" customWidth="1"/>
  </cols>
  <sheetData>
    <row r="1" spans="1:8" x14ac:dyDescent="0.2">
      <c r="A1" t="s">
        <v>6</v>
      </c>
      <c r="B1" t="s">
        <v>2</v>
      </c>
      <c r="C1" t="s">
        <v>163</v>
      </c>
      <c r="E1" t="s">
        <v>165</v>
      </c>
    </row>
    <row r="2" spans="1:8" x14ac:dyDescent="0.2">
      <c r="A2" t="s">
        <v>7</v>
      </c>
      <c r="B2">
        <v>1023.2</v>
      </c>
      <c r="C2">
        <v>1023.2</v>
      </c>
      <c r="E2">
        <f t="shared" ref="E2:E33" si="0">C2-B2</f>
        <v>0</v>
      </c>
    </row>
    <row r="3" spans="1:8" x14ac:dyDescent="0.2">
      <c r="A3" t="s">
        <v>8</v>
      </c>
      <c r="B3">
        <v>1036.2</v>
      </c>
      <c r="C3">
        <f>($H$3*B2)+((1-G7)*C2)</f>
        <v>1173.1013899483974</v>
      </c>
      <c r="E3">
        <f t="shared" si="0"/>
        <v>136.90138994839731</v>
      </c>
      <c r="G3" s="1" t="s">
        <v>164</v>
      </c>
      <c r="H3" s="1">
        <v>0.14650253122400053</v>
      </c>
    </row>
    <row r="4" spans="1:8" x14ac:dyDescent="0.2">
      <c r="A4" t="s">
        <v>9</v>
      </c>
      <c r="B4">
        <v>1022.1</v>
      </c>
      <c r="C4">
        <f t="shared" ref="C4:C35" si="1">($H$3*B3)+((1-$H$3)*C3)</f>
        <v>1153.0449897928734</v>
      </c>
      <c r="E4">
        <f t="shared" si="0"/>
        <v>130.94498979287334</v>
      </c>
      <c r="G4" s="1"/>
      <c r="H4" s="1"/>
    </row>
    <row r="5" spans="1:8" x14ac:dyDescent="0.2">
      <c r="A5" t="s">
        <v>10</v>
      </c>
      <c r="B5">
        <v>1050.0999999999999</v>
      </c>
      <c r="C5">
        <f t="shared" si="1"/>
        <v>1133.8612173371166</v>
      </c>
      <c r="E5">
        <f t="shared" si="0"/>
        <v>83.761217337116705</v>
      </c>
      <c r="G5" s="1" t="s">
        <v>166</v>
      </c>
      <c r="H5" s="1">
        <f>SQRT(SUMSQ(E2:E157)/COUNTA(E2:E157))</f>
        <v>55.616507771918393</v>
      </c>
    </row>
    <row r="6" spans="1:8" x14ac:dyDescent="0.2">
      <c r="A6" t="s">
        <v>11</v>
      </c>
      <c r="B6">
        <v>1105.3</v>
      </c>
      <c r="C6">
        <f t="shared" si="1"/>
        <v>1121.5899869788254</v>
      </c>
      <c r="E6">
        <f t="shared" si="0"/>
        <v>16.289986978825482</v>
      </c>
    </row>
    <row r="7" spans="1:8" x14ac:dyDescent="0.2">
      <c r="A7" t="s">
        <v>12</v>
      </c>
      <c r="B7">
        <v>1157.3</v>
      </c>
      <c r="C7">
        <f t="shared" si="1"/>
        <v>1119.2034626528216</v>
      </c>
      <c r="E7">
        <f t="shared" si="0"/>
        <v>-38.096537347178355</v>
      </c>
    </row>
    <row r="8" spans="1:8" x14ac:dyDescent="0.2">
      <c r="A8" t="s">
        <v>13</v>
      </c>
      <c r="B8">
        <v>1064.9000000000001</v>
      </c>
      <c r="C8">
        <f t="shared" si="1"/>
        <v>1124.7847018050529</v>
      </c>
      <c r="E8">
        <f t="shared" si="0"/>
        <v>59.884701805052828</v>
      </c>
    </row>
    <row r="9" spans="1:8" x14ac:dyDescent="0.2">
      <c r="A9" t="s">
        <v>14</v>
      </c>
      <c r="B9">
        <v>1155.9000000000001</v>
      </c>
      <c r="C9">
        <f t="shared" si="1"/>
        <v>1116.0114414090183</v>
      </c>
      <c r="E9">
        <f t="shared" si="0"/>
        <v>-39.888558590981802</v>
      </c>
    </row>
    <row r="10" spans="1:8" x14ac:dyDescent="0.2">
      <c r="A10" t="s">
        <v>15</v>
      </c>
      <c r="B10">
        <v>1140.3</v>
      </c>
      <c r="C10">
        <f t="shared" si="1"/>
        <v>1121.8552162094741</v>
      </c>
      <c r="E10">
        <f t="shared" si="0"/>
        <v>-18.444783790525889</v>
      </c>
    </row>
    <row r="11" spans="1:8" x14ac:dyDescent="0.2">
      <c r="A11" t="s">
        <v>16</v>
      </c>
      <c r="B11">
        <v>1098.8</v>
      </c>
      <c r="C11">
        <f t="shared" si="1"/>
        <v>1124.5574237226656</v>
      </c>
      <c r="E11">
        <f t="shared" si="0"/>
        <v>25.757423722665635</v>
      </c>
    </row>
    <row r="12" spans="1:8" x14ac:dyDescent="0.2">
      <c r="A12" t="s">
        <v>17</v>
      </c>
      <c r="B12">
        <v>1163.2</v>
      </c>
      <c r="C12">
        <f t="shared" si="1"/>
        <v>1120.7838959494861</v>
      </c>
      <c r="E12">
        <f t="shared" si="0"/>
        <v>-42.416104050513923</v>
      </c>
    </row>
    <row r="13" spans="1:8" x14ac:dyDescent="0.2">
      <c r="A13" t="s">
        <v>18</v>
      </c>
      <c r="B13">
        <v>1058.3</v>
      </c>
      <c r="C13">
        <f t="shared" si="1"/>
        <v>1126.997962557547</v>
      </c>
      <c r="E13">
        <f t="shared" si="0"/>
        <v>68.697962557547044</v>
      </c>
    </row>
    <row r="14" spans="1:8" x14ac:dyDescent="0.2">
      <c r="A14" t="s">
        <v>19</v>
      </c>
      <c r="B14">
        <v>1096</v>
      </c>
      <c r="C14">
        <f t="shared" si="1"/>
        <v>1116.9335371529348</v>
      </c>
      <c r="E14">
        <f t="shared" si="0"/>
        <v>20.933537152934832</v>
      </c>
    </row>
    <row r="15" spans="1:8" x14ac:dyDescent="0.2">
      <c r="A15" t="s">
        <v>20</v>
      </c>
      <c r="B15">
        <v>1079.8</v>
      </c>
      <c r="C15">
        <f t="shared" si="1"/>
        <v>1113.8667209725581</v>
      </c>
      <c r="E15">
        <f t="shared" si="0"/>
        <v>34.066720972558187</v>
      </c>
    </row>
    <row r="16" spans="1:8" x14ac:dyDescent="0.2">
      <c r="A16" t="s">
        <v>21</v>
      </c>
      <c r="B16">
        <v>1098.9000000000001</v>
      </c>
      <c r="C16">
        <f t="shared" si="1"/>
        <v>1108.8758601195766</v>
      </c>
      <c r="E16">
        <f t="shared" si="0"/>
        <v>9.9758601195765095</v>
      </c>
    </row>
    <row r="17" spans="1:5" x14ac:dyDescent="0.2">
      <c r="A17" t="s">
        <v>22</v>
      </c>
      <c r="B17">
        <v>1102.0999999999999</v>
      </c>
      <c r="C17">
        <f t="shared" si="1"/>
        <v>1107.4143713609221</v>
      </c>
      <c r="E17">
        <f t="shared" si="0"/>
        <v>5.3143713609222232</v>
      </c>
    </row>
    <row r="18" spans="1:5" x14ac:dyDescent="0.2">
      <c r="A18" t="s">
        <v>23</v>
      </c>
      <c r="B18">
        <v>1174</v>
      </c>
      <c r="C18">
        <f t="shared" si="1"/>
        <v>1106.6358025046827</v>
      </c>
      <c r="E18">
        <f t="shared" si="0"/>
        <v>-67.364197495317285</v>
      </c>
    </row>
    <row r="19" spans="1:5" x14ac:dyDescent="0.2">
      <c r="A19" t="s">
        <v>24</v>
      </c>
      <c r="B19">
        <v>1171</v>
      </c>
      <c r="C19">
        <f t="shared" si="1"/>
        <v>1116.5048279516202</v>
      </c>
      <c r="E19">
        <f t="shared" si="0"/>
        <v>-54.4951720483798</v>
      </c>
    </row>
    <row r="20" spans="1:5" x14ac:dyDescent="0.2">
      <c r="A20" t="s">
        <v>25</v>
      </c>
      <c r="B20">
        <v>1118.0999999999999</v>
      </c>
      <c r="C20">
        <f t="shared" si="1"/>
        <v>1124.4885085961953</v>
      </c>
      <c r="E20">
        <f t="shared" si="0"/>
        <v>6.3885085961953791</v>
      </c>
    </row>
    <row r="21" spans="1:5" x14ac:dyDescent="0.2">
      <c r="A21" t="s">
        <v>26</v>
      </c>
      <c r="B21">
        <v>1239.0999999999999</v>
      </c>
      <c r="C21">
        <f t="shared" si="1"/>
        <v>1123.5525759161064</v>
      </c>
      <c r="E21">
        <f t="shared" si="0"/>
        <v>-115.54742408389347</v>
      </c>
    </row>
    <row r="22" spans="1:5" x14ac:dyDescent="0.2">
      <c r="A22" t="s">
        <v>27</v>
      </c>
      <c r="B22">
        <v>1164.4000000000001</v>
      </c>
      <c r="C22">
        <f t="shared" si="1"/>
        <v>1140.4805660208099</v>
      </c>
      <c r="E22">
        <f t="shared" si="0"/>
        <v>-23.919433979190217</v>
      </c>
    </row>
    <row r="23" spans="1:5" x14ac:dyDescent="0.2">
      <c r="A23" t="s">
        <v>28</v>
      </c>
      <c r="B23">
        <v>1180.2</v>
      </c>
      <c r="C23">
        <f t="shared" si="1"/>
        <v>1143.9848236442067</v>
      </c>
      <c r="E23">
        <f t="shared" si="0"/>
        <v>-36.215176355793346</v>
      </c>
    </row>
    <row r="24" spans="1:5" x14ac:dyDescent="0.2">
      <c r="A24" t="s">
        <v>29</v>
      </c>
      <c r="B24">
        <v>1231.5999999999999</v>
      </c>
      <c r="C24">
        <f t="shared" si="1"/>
        <v>1149.2904386490541</v>
      </c>
      <c r="E24">
        <f t="shared" si="0"/>
        <v>-82.309561350945842</v>
      </c>
    </row>
    <row r="25" spans="1:5" x14ac:dyDescent="0.2">
      <c r="A25" t="s">
        <v>30</v>
      </c>
      <c r="B25">
        <v>1130.5</v>
      </c>
      <c r="C25">
        <f t="shared" si="1"/>
        <v>1161.3489977309048</v>
      </c>
      <c r="E25">
        <f t="shared" si="0"/>
        <v>30.848997730904784</v>
      </c>
    </row>
    <row r="26" spans="1:5" x14ac:dyDescent="0.2">
      <c r="A26" t="s">
        <v>31</v>
      </c>
      <c r="B26">
        <v>1202.5999999999999</v>
      </c>
      <c r="C26">
        <f t="shared" si="1"/>
        <v>1156.8295414776039</v>
      </c>
      <c r="E26">
        <f t="shared" si="0"/>
        <v>-45.770458522395984</v>
      </c>
    </row>
    <row r="27" spans="1:5" x14ac:dyDescent="0.2">
      <c r="A27" t="s">
        <v>32</v>
      </c>
      <c r="B27">
        <v>1098.3</v>
      </c>
      <c r="C27">
        <f t="shared" si="1"/>
        <v>1163.5350295064181</v>
      </c>
      <c r="E27">
        <f t="shared" si="0"/>
        <v>65.235029506418186</v>
      </c>
    </row>
    <row r="28" spans="1:5" x14ac:dyDescent="0.2">
      <c r="A28" t="s">
        <v>33</v>
      </c>
      <c r="B28">
        <v>1182.4000000000001</v>
      </c>
      <c r="C28">
        <f t="shared" si="1"/>
        <v>1153.9779325592556</v>
      </c>
      <c r="E28">
        <f t="shared" si="0"/>
        <v>-28.422067440744513</v>
      </c>
    </row>
    <row r="29" spans="1:5" x14ac:dyDescent="0.2">
      <c r="A29" t="s">
        <v>34</v>
      </c>
      <c r="B29">
        <v>1180.9000000000001</v>
      </c>
      <c r="C29">
        <f t="shared" si="1"/>
        <v>1158.141837381944</v>
      </c>
      <c r="E29">
        <f t="shared" si="0"/>
        <v>-22.758162618056076</v>
      </c>
    </row>
    <row r="30" spans="1:5" x14ac:dyDescent="0.2">
      <c r="A30" t="s">
        <v>35</v>
      </c>
      <c r="B30">
        <v>1251.2</v>
      </c>
      <c r="C30">
        <f t="shared" si="1"/>
        <v>1161.4759658114967</v>
      </c>
      <c r="E30">
        <f t="shared" si="0"/>
        <v>-89.72403418850331</v>
      </c>
    </row>
    <row r="31" spans="1:5" x14ac:dyDescent="0.2">
      <c r="A31" t="s">
        <v>36</v>
      </c>
      <c r="B31">
        <v>1212.5999999999999</v>
      </c>
      <c r="C31">
        <f t="shared" si="1"/>
        <v>1174.6207639317413</v>
      </c>
      <c r="E31">
        <f t="shared" si="0"/>
        <v>-37.979236068258615</v>
      </c>
    </row>
    <row r="32" spans="1:5" x14ac:dyDescent="0.2">
      <c r="A32" t="s">
        <v>37</v>
      </c>
      <c r="B32">
        <v>1225.2</v>
      </c>
      <c r="C32">
        <f t="shared" si="1"/>
        <v>1180.184818149695</v>
      </c>
      <c r="E32">
        <f t="shared" si="0"/>
        <v>-45.015181850304998</v>
      </c>
    </row>
    <row r="33" spans="1:5" x14ac:dyDescent="0.2">
      <c r="A33" t="s">
        <v>38</v>
      </c>
      <c r="B33">
        <v>1268.2</v>
      </c>
      <c r="C33">
        <f t="shared" si="1"/>
        <v>1186.7796562342735</v>
      </c>
      <c r="E33">
        <f t="shared" si="0"/>
        <v>-81.420343765726557</v>
      </c>
    </row>
    <row r="34" spans="1:5" x14ac:dyDescent="0.2">
      <c r="A34" t="s">
        <v>39</v>
      </c>
      <c r="B34">
        <v>1182.2</v>
      </c>
      <c r="C34">
        <f t="shared" si="1"/>
        <v>1198.7079426890807</v>
      </c>
      <c r="E34">
        <f t="shared" ref="E34:E65" si="2">C34-B34</f>
        <v>16.507942689080664</v>
      </c>
    </row>
    <row r="35" spans="1:5" x14ac:dyDescent="0.2">
      <c r="A35" t="s">
        <v>40</v>
      </c>
      <c r="B35">
        <v>1253.5</v>
      </c>
      <c r="C35">
        <f t="shared" si="1"/>
        <v>1196.2894872998297</v>
      </c>
      <c r="E35">
        <f t="shared" si="2"/>
        <v>-57.210512700170284</v>
      </c>
    </row>
    <row r="36" spans="1:5" x14ac:dyDescent="0.2">
      <c r="A36" t="s">
        <v>41</v>
      </c>
      <c r="B36">
        <v>1271.4000000000001</v>
      </c>
      <c r="C36">
        <f t="shared" ref="C36:C67" si="3">($H$3*B35)+((1-$H$3)*C35)</f>
        <v>1204.6709722230275</v>
      </c>
      <c r="E36">
        <f t="shared" si="2"/>
        <v>-66.729027776972544</v>
      </c>
    </row>
    <row r="37" spans="1:5" x14ac:dyDescent="0.2">
      <c r="A37" t="s">
        <v>42</v>
      </c>
      <c r="B37">
        <v>1192.0999999999999</v>
      </c>
      <c r="C37">
        <f t="shared" si="3"/>
        <v>1214.4469436984709</v>
      </c>
      <c r="E37">
        <f t="shared" si="2"/>
        <v>22.346943698471023</v>
      </c>
    </row>
    <row r="38" spans="1:5" x14ac:dyDescent="0.2">
      <c r="A38" t="s">
        <v>43</v>
      </c>
      <c r="B38">
        <v>1248.7</v>
      </c>
      <c r="C38">
        <f t="shared" si="3"/>
        <v>1211.1730598815248</v>
      </c>
      <c r="E38">
        <f t="shared" si="2"/>
        <v>-37.526940118475295</v>
      </c>
    </row>
    <row r="39" spans="1:5" x14ac:dyDescent="0.2">
      <c r="A39" t="s">
        <v>44</v>
      </c>
      <c r="B39">
        <v>1217.0999999999999</v>
      </c>
      <c r="C39">
        <f t="shared" si="3"/>
        <v>1216.6708515979731</v>
      </c>
      <c r="E39">
        <f t="shared" si="2"/>
        <v>-0.4291484020268399</v>
      </c>
    </row>
    <row r="40" spans="1:5" x14ac:dyDescent="0.2">
      <c r="A40" t="s">
        <v>45</v>
      </c>
      <c r="B40">
        <v>1163.0999999999999</v>
      </c>
      <c r="C40">
        <f t="shared" si="3"/>
        <v>1216.7337229251409</v>
      </c>
      <c r="E40">
        <f t="shared" si="2"/>
        <v>53.633722925141001</v>
      </c>
    </row>
    <row r="41" spans="1:5" x14ac:dyDescent="0.2">
      <c r="A41" t="s">
        <v>46</v>
      </c>
      <c r="B41">
        <v>1281.4000000000001</v>
      </c>
      <c r="C41">
        <f t="shared" si="3"/>
        <v>1208.8762467576412</v>
      </c>
      <c r="E41">
        <f t="shared" si="2"/>
        <v>-72.523753242358907</v>
      </c>
    </row>
    <row r="42" spans="1:5" x14ac:dyDescent="0.2">
      <c r="A42" t="s">
        <v>47</v>
      </c>
      <c r="B42">
        <v>1249.0999999999999</v>
      </c>
      <c r="C42">
        <f t="shared" si="3"/>
        <v>1219.5011601815118</v>
      </c>
      <c r="E42">
        <f t="shared" si="2"/>
        <v>-29.598839818488159</v>
      </c>
    </row>
    <row r="43" spans="1:5" x14ac:dyDescent="0.2">
      <c r="A43" t="s">
        <v>48</v>
      </c>
      <c r="B43">
        <v>1311.2</v>
      </c>
      <c r="C43">
        <f t="shared" si="3"/>
        <v>1223.8374651362142</v>
      </c>
      <c r="E43">
        <f t="shared" si="2"/>
        <v>-87.362534863785868</v>
      </c>
    </row>
    <row r="44" spans="1:5" x14ac:dyDescent="0.2">
      <c r="A44" t="s">
        <v>49</v>
      </c>
      <c r="B44">
        <v>1298.7</v>
      </c>
      <c r="C44">
        <f t="shared" si="3"/>
        <v>1236.636297627904</v>
      </c>
      <c r="E44">
        <f t="shared" si="2"/>
        <v>-62.063702372096031</v>
      </c>
    </row>
    <row r="45" spans="1:5" x14ac:dyDescent="0.2">
      <c r="A45" t="s">
        <v>50</v>
      </c>
      <c r="B45">
        <v>1190.2</v>
      </c>
      <c r="C45">
        <f t="shared" si="3"/>
        <v>1245.7287871225492</v>
      </c>
      <c r="E45">
        <f t="shared" si="2"/>
        <v>55.528787122549147</v>
      </c>
    </row>
    <row r="46" spans="1:5" x14ac:dyDescent="0.2">
      <c r="A46" t="s">
        <v>51</v>
      </c>
      <c r="B46">
        <v>1298.5999999999999</v>
      </c>
      <c r="C46">
        <f t="shared" si="3"/>
        <v>1237.5936792532971</v>
      </c>
      <c r="E46">
        <f t="shared" si="2"/>
        <v>-61.006320746702841</v>
      </c>
    </row>
    <row r="47" spans="1:5" x14ac:dyDescent="0.2">
      <c r="A47" t="s">
        <v>52</v>
      </c>
      <c r="B47">
        <v>1282.5999999999999</v>
      </c>
      <c r="C47">
        <f t="shared" si="3"/>
        <v>1246.5312596633523</v>
      </c>
      <c r="E47">
        <f t="shared" si="2"/>
        <v>-36.068740336647579</v>
      </c>
    </row>
    <row r="48" spans="1:5" x14ac:dyDescent="0.2">
      <c r="A48" t="s">
        <v>53</v>
      </c>
      <c r="B48">
        <v>1218.4000000000001</v>
      </c>
      <c r="C48">
        <f t="shared" si="3"/>
        <v>1251.8154214207325</v>
      </c>
      <c r="E48">
        <f t="shared" si="2"/>
        <v>33.4154214207324</v>
      </c>
    </row>
    <row r="49" spans="1:5" x14ac:dyDescent="0.2">
      <c r="A49" t="s">
        <v>54</v>
      </c>
      <c r="B49">
        <v>1245.8</v>
      </c>
      <c r="C49">
        <f t="shared" si="3"/>
        <v>1246.9199776006787</v>
      </c>
      <c r="E49">
        <f t="shared" si="2"/>
        <v>1.1199776006787943</v>
      </c>
    </row>
    <row r="50" spans="1:5" x14ac:dyDescent="0.2">
      <c r="A50" t="s">
        <v>55</v>
      </c>
      <c r="B50">
        <v>1169.5</v>
      </c>
      <c r="C50">
        <f t="shared" si="3"/>
        <v>1246.7558980472652</v>
      </c>
      <c r="E50">
        <f t="shared" si="2"/>
        <v>77.255898047265191</v>
      </c>
    </row>
    <row r="51" spans="1:5" x14ac:dyDescent="0.2">
      <c r="A51" t="s">
        <v>56</v>
      </c>
      <c r="B51">
        <v>1190.2</v>
      </c>
      <c r="C51">
        <f t="shared" si="3"/>
        <v>1235.4377134313577</v>
      </c>
      <c r="E51">
        <f t="shared" si="2"/>
        <v>45.237713431357633</v>
      </c>
    </row>
    <row r="52" spans="1:5" x14ac:dyDescent="0.2">
      <c r="A52" t="s">
        <v>57</v>
      </c>
      <c r="B52">
        <v>1188.3</v>
      </c>
      <c r="C52">
        <f t="shared" si="3"/>
        <v>1228.8102739068779</v>
      </c>
      <c r="E52">
        <f t="shared" si="2"/>
        <v>40.510273906877956</v>
      </c>
    </row>
    <row r="53" spans="1:5" x14ac:dyDescent="0.2">
      <c r="A53" t="s">
        <v>58</v>
      </c>
      <c r="B53">
        <v>1211.7</v>
      </c>
      <c r="C53">
        <f t="shared" si="3"/>
        <v>1222.8754162389428</v>
      </c>
      <c r="E53">
        <f t="shared" si="2"/>
        <v>11.175416238942717</v>
      </c>
    </row>
    <row r="54" spans="1:5" x14ac:dyDescent="0.2">
      <c r="A54" t="s">
        <v>59</v>
      </c>
      <c r="B54">
        <v>1207.2</v>
      </c>
      <c r="C54">
        <f t="shared" si="3"/>
        <v>1221.238189472456</v>
      </c>
      <c r="E54">
        <f t="shared" si="2"/>
        <v>14.038189472455997</v>
      </c>
    </row>
    <row r="55" spans="1:5" x14ac:dyDescent="0.2">
      <c r="A55" t="s">
        <v>60</v>
      </c>
      <c r="B55">
        <v>1315.3</v>
      </c>
      <c r="C55">
        <f t="shared" si="3"/>
        <v>1219.1815591809391</v>
      </c>
      <c r="E55">
        <f t="shared" si="2"/>
        <v>-96.118440819060879</v>
      </c>
    </row>
    <row r="56" spans="1:5" x14ac:dyDescent="0.2">
      <c r="A56" t="s">
        <v>61</v>
      </c>
      <c r="B56">
        <v>1304.7</v>
      </c>
      <c r="C56">
        <f t="shared" si="3"/>
        <v>1233.2631540582358</v>
      </c>
      <c r="E56">
        <f t="shared" si="2"/>
        <v>-71.436845941764204</v>
      </c>
    </row>
    <row r="57" spans="1:5" x14ac:dyDescent="0.2">
      <c r="A57" t="s">
        <v>62</v>
      </c>
      <c r="B57">
        <v>1241.4000000000001</v>
      </c>
      <c r="C57">
        <f t="shared" si="3"/>
        <v>1243.7288328113632</v>
      </c>
      <c r="E57">
        <f t="shared" si="2"/>
        <v>2.3288328113630996</v>
      </c>
    </row>
    <row r="58" spans="1:5" x14ac:dyDescent="0.2">
      <c r="A58" t="s">
        <v>63</v>
      </c>
      <c r="B58">
        <v>1241.8</v>
      </c>
      <c r="C58">
        <f t="shared" si="3"/>
        <v>1243.387652909701</v>
      </c>
      <c r="E58">
        <f t="shared" si="2"/>
        <v>1.5876529097010916</v>
      </c>
    </row>
    <row r="59" spans="1:5" x14ac:dyDescent="0.2">
      <c r="A59" t="s">
        <v>64</v>
      </c>
      <c r="B59">
        <v>1277.5</v>
      </c>
      <c r="C59">
        <f t="shared" si="3"/>
        <v>1243.1550577397247</v>
      </c>
      <c r="E59">
        <f t="shared" si="2"/>
        <v>-34.344942260275275</v>
      </c>
    </row>
    <row r="60" spans="1:5" x14ac:dyDescent="0.2">
      <c r="A60" t="s">
        <v>65</v>
      </c>
      <c r="B60">
        <v>1222.7</v>
      </c>
      <c r="C60">
        <f t="shared" si="3"/>
        <v>1248.1866787155973</v>
      </c>
      <c r="E60">
        <f t="shared" si="2"/>
        <v>25.486678715597236</v>
      </c>
    </row>
    <row r="61" spans="1:5" x14ac:dyDescent="0.2">
      <c r="A61" t="s">
        <v>66</v>
      </c>
      <c r="B61">
        <v>1229.7</v>
      </c>
      <c r="C61">
        <f t="shared" si="3"/>
        <v>1244.4528157712693</v>
      </c>
      <c r="E61">
        <f t="shared" si="2"/>
        <v>14.752815771269297</v>
      </c>
    </row>
    <row r="62" spans="1:5" x14ac:dyDescent="0.2">
      <c r="A62" t="s">
        <v>67</v>
      </c>
      <c r="B62">
        <v>1161.7</v>
      </c>
      <c r="C62">
        <f t="shared" si="3"/>
        <v>1242.2914909180972</v>
      </c>
      <c r="E62">
        <f t="shared" si="2"/>
        <v>80.591490918097179</v>
      </c>
    </row>
    <row r="63" spans="1:5" x14ac:dyDescent="0.2">
      <c r="A63" t="s">
        <v>68</v>
      </c>
      <c r="B63">
        <v>1180</v>
      </c>
      <c r="C63">
        <f t="shared" si="3"/>
        <v>1230.4846335034802</v>
      </c>
      <c r="E63">
        <f t="shared" si="2"/>
        <v>50.484633503480154</v>
      </c>
    </row>
    <row r="64" spans="1:5" x14ac:dyDescent="0.2">
      <c r="A64" t="s">
        <v>69</v>
      </c>
      <c r="B64">
        <v>1345.4</v>
      </c>
      <c r="C64">
        <f t="shared" si="3"/>
        <v>1223.0885069073045</v>
      </c>
      <c r="E64">
        <f t="shared" si="2"/>
        <v>-122.31149309269563</v>
      </c>
    </row>
    <row r="65" spans="1:5" x14ac:dyDescent="0.2">
      <c r="A65" t="s">
        <v>70</v>
      </c>
      <c r="B65">
        <v>1308.8</v>
      </c>
      <c r="C65">
        <f t="shared" si="3"/>
        <v>1241.0074502431712</v>
      </c>
      <c r="E65">
        <f t="shared" si="2"/>
        <v>-67.792549756828748</v>
      </c>
    </row>
    <row r="66" spans="1:5" x14ac:dyDescent="0.2">
      <c r="A66" t="s">
        <v>71</v>
      </c>
      <c r="B66">
        <v>1235</v>
      </c>
      <c r="C66">
        <f t="shared" si="3"/>
        <v>1250.9392303806758</v>
      </c>
      <c r="E66">
        <f t="shared" ref="E66:E97" si="4">C66-B66</f>
        <v>15.939230380675781</v>
      </c>
    </row>
    <row r="67" spans="1:5" x14ac:dyDescent="0.2">
      <c r="A67" t="s">
        <v>72</v>
      </c>
      <c r="B67">
        <v>1373.2</v>
      </c>
      <c r="C67">
        <f t="shared" si="3"/>
        <v>1248.6040927841443</v>
      </c>
      <c r="E67">
        <f t="shared" si="4"/>
        <v>-124.59590721585573</v>
      </c>
    </row>
    <row r="68" spans="1:5" x14ac:dyDescent="0.2">
      <c r="A68" t="s">
        <v>73</v>
      </c>
      <c r="B68">
        <v>1317.3</v>
      </c>
      <c r="C68">
        <f t="shared" ref="C68:C99" si="5">($H$3*B67)+((1-$H$3)*C67)</f>
        <v>1266.8577085714178</v>
      </c>
      <c r="E68">
        <f t="shared" si="4"/>
        <v>-50.442291428582166</v>
      </c>
    </row>
    <row r="69" spans="1:5" x14ac:dyDescent="0.2">
      <c r="A69" t="s">
        <v>74</v>
      </c>
      <c r="B69">
        <v>1308.3</v>
      </c>
      <c r="C69">
        <f t="shared" si="5"/>
        <v>1274.2476319464438</v>
      </c>
      <c r="E69">
        <f t="shared" si="4"/>
        <v>-34.052368053556165</v>
      </c>
    </row>
    <row r="70" spans="1:5" x14ac:dyDescent="0.2">
      <c r="A70" t="s">
        <v>75</v>
      </c>
      <c r="B70">
        <v>1287.3</v>
      </c>
      <c r="C70">
        <f t="shared" si="5"/>
        <v>1279.2363900604612</v>
      </c>
      <c r="E70">
        <f t="shared" si="4"/>
        <v>-8.0636099395387646</v>
      </c>
    </row>
    <row r="71" spans="1:5" x14ac:dyDescent="0.2">
      <c r="A71" t="s">
        <v>76</v>
      </c>
      <c r="B71">
        <v>1278.3</v>
      </c>
      <c r="C71">
        <f t="shared" si="5"/>
        <v>1280.4177293274067</v>
      </c>
      <c r="E71">
        <f t="shared" si="4"/>
        <v>2.1177293274067779</v>
      </c>
    </row>
    <row r="72" spans="1:5" x14ac:dyDescent="0.2">
      <c r="A72" t="s">
        <v>77</v>
      </c>
      <c r="B72">
        <v>1299.2</v>
      </c>
      <c r="C72">
        <f t="shared" si="5"/>
        <v>1280.1074766204945</v>
      </c>
      <c r="E72">
        <f t="shared" si="4"/>
        <v>-19.092523379505565</v>
      </c>
    </row>
    <row r="73" spans="1:5" x14ac:dyDescent="0.2">
      <c r="A73" t="s">
        <v>78</v>
      </c>
      <c r="B73">
        <v>1375.3</v>
      </c>
      <c r="C73">
        <f t="shared" si="5"/>
        <v>1282.9045796230455</v>
      </c>
      <c r="E73">
        <f t="shared" si="4"/>
        <v>-92.395420376954462</v>
      </c>
    </row>
    <row r="74" spans="1:5" x14ac:dyDescent="0.2">
      <c r="A74" t="s">
        <v>79</v>
      </c>
      <c r="B74">
        <v>1266.4000000000001</v>
      </c>
      <c r="C74">
        <f t="shared" si="5"/>
        <v>1296.4407425817749</v>
      </c>
      <c r="E74">
        <f t="shared" si="4"/>
        <v>30.040742581774794</v>
      </c>
    </row>
    <row r="75" spans="1:5" x14ac:dyDescent="0.2">
      <c r="A75" t="s">
        <v>80</v>
      </c>
      <c r="B75">
        <v>1253.8</v>
      </c>
      <c r="C75">
        <f t="shared" si="5"/>
        <v>1292.0396977536961</v>
      </c>
      <c r="E75">
        <f t="shared" si="4"/>
        <v>38.239697753696191</v>
      </c>
    </row>
    <row r="76" spans="1:5" x14ac:dyDescent="0.2">
      <c r="A76" t="s">
        <v>81</v>
      </c>
      <c r="B76">
        <v>1261.5</v>
      </c>
      <c r="C76">
        <f t="shared" si="5"/>
        <v>1286.437485239539</v>
      </c>
      <c r="E76">
        <f t="shared" si="4"/>
        <v>24.937485239539001</v>
      </c>
    </row>
    <row r="77" spans="1:5" x14ac:dyDescent="0.2">
      <c r="A77" t="s">
        <v>82</v>
      </c>
      <c r="B77">
        <v>1283.4000000000001</v>
      </c>
      <c r="C77">
        <f t="shared" si="5"/>
        <v>1282.7840805295855</v>
      </c>
      <c r="E77">
        <f t="shared" si="4"/>
        <v>-0.61591947041461026</v>
      </c>
    </row>
    <row r="78" spans="1:5" x14ac:dyDescent="0.2">
      <c r="A78" t="s">
        <v>83</v>
      </c>
      <c r="B78">
        <v>1314.3</v>
      </c>
      <c r="C78">
        <f t="shared" si="5"/>
        <v>1282.8743142910314</v>
      </c>
      <c r="E78">
        <f t="shared" si="4"/>
        <v>-31.425685708968558</v>
      </c>
    </row>
    <row r="79" spans="1:5" x14ac:dyDescent="0.2">
      <c r="A79" t="s">
        <v>84</v>
      </c>
      <c r="B79">
        <v>1405.6</v>
      </c>
      <c r="C79">
        <f t="shared" si="5"/>
        <v>1287.4782567928451</v>
      </c>
      <c r="E79">
        <f t="shared" si="4"/>
        <v>-118.12174320715485</v>
      </c>
    </row>
    <row r="80" spans="1:5" x14ac:dyDescent="0.2">
      <c r="A80" t="s">
        <v>85</v>
      </c>
      <c r="B80">
        <v>1300.5999999999999</v>
      </c>
      <c r="C80">
        <f t="shared" si="5"/>
        <v>1304.7833911652847</v>
      </c>
      <c r="E80">
        <f t="shared" si="4"/>
        <v>4.1833911652847746</v>
      </c>
    </row>
    <row r="81" spans="1:5" x14ac:dyDescent="0.2">
      <c r="A81" t="s">
        <v>86</v>
      </c>
      <c r="B81">
        <v>1440.5</v>
      </c>
      <c r="C81">
        <f t="shared" si="5"/>
        <v>1304.1705137704705</v>
      </c>
      <c r="E81">
        <f t="shared" si="4"/>
        <v>-136.32948622952949</v>
      </c>
    </row>
    <row r="82" spans="1:5" x14ac:dyDescent="0.2">
      <c r="A82" t="s">
        <v>87</v>
      </c>
      <c r="B82">
        <v>1361.9</v>
      </c>
      <c r="C82">
        <f t="shared" si="5"/>
        <v>1324.1431285835642</v>
      </c>
      <c r="E82">
        <f t="shared" si="4"/>
        <v>-37.756871416435843</v>
      </c>
    </row>
    <row r="83" spans="1:5" x14ac:dyDescent="0.2">
      <c r="A83" t="s">
        <v>88</v>
      </c>
      <c r="B83">
        <v>1299.7</v>
      </c>
      <c r="C83">
        <f t="shared" si="5"/>
        <v>1329.6746058171711</v>
      </c>
      <c r="E83">
        <f t="shared" si="4"/>
        <v>29.974605817171096</v>
      </c>
    </row>
    <row r="84" spans="1:5" x14ac:dyDescent="0.2">
      <c r="A84" t="s">
        <v>89</v>
      </c>
      <c r="B84">
        <v>1386.2</v>
      </c>
      <c r="C84">
        <f t="shared" si="5"/>
        <v>1325.2832501925141</v>
      </c>
      <c r="E84">
        <f t="shared" si="4"/>
        <v>-60.916749807485985</v>
      </c>
    </row>
    <row r="85" spans="1:5" x14ac:dyDescent="0.2">
      <c r="A85" t="s">
        <v>90</v>
      </c>
      <c r="B85">
        <v>1302.5</v>
      </c>
      <c r="C85">
        <f t="shared" si="5"/>
        <v>1334.2077082332498</v>
      </c>
      <c r="E85">
        <f t="shared" si="4"/>
        <v>31.707708233249832</v>
      </c>
    </row>
    <row r="86" spans="1:5" x14ac:dyDescent="0.2">
      <c r="A86" t="s">
        <v>91</v>
      </c>
      <c r="B86">
        <v>1202.5999999999999</v>
      </c>
      <c r="C86">
        <f t="shared" si="5"/>
        <v>1329.5624487177665</v>
      </c>
      <c r="E86">
        <f t="shared" si="4"/>
        <v>126.96244871776662</v>
      </c>
    </row>
    <row r="87" spans="1:5" x14ac:dyDescent="0.2">
      <c r="A87" t="s">
        <v>92</v>
      </c>
      <c r="B87">
        <v>1344.4</v>
      </c>
      <c r="C87">
        <f t="shared" si="5"/>
        <v>1310.9621286102165</v>
      </c>
      <c r="E87">
        <f t="shared" si="4"/>
        <v>-33.437871389783595</v>
      </c>
    </row>
    <row r="88" spans="1:5" x14ac:dyDescent="0.2">
      <c r="A88" t="s">
        <v>93</v>
      </c>
      <c r="B88">
        <v>1291.5</v>
      </c>
      <c r="C88">
        <f t="shared" si="5"/>
        <v>1315.8608614075624</v>
      </c>
      <c r="E88">
        <f t="shared" si="4"/>
        <v>24.360861407562425</v>
      </c>
    </row>
    <row r="89" spans="1:5" x14ac:dyDescent="0.2">
      <c r="A89" t="s">
        <v>94</v>
      </c>
      <c r="B89">
        <v>1391.3</v>
      </c>
      <c r="C89">
        <f t="shared" si="5"/>
        <v>1312.2919335485576</v>
      </c>
      <c r="E89">
        <f t="shared" si="4"/>
        <v>-79.008066451442346</v>
      </c>
    </row>
    <row r="90" spans="1:5" x14ac:dyDescent="0.2">
      <c r="A90" t="s">
        <v>95</v>
      </c>
      <c r="B90">
        <v>1388.1</v>
      </c>
      <c r="C90">
        <f t="shared" si="5"/>
        <v>1323.866815270808</v>
      </c>
      <c r="E90">
        <f t="shared" si="4"/>
        <v>-64.233184729191862</v>
      </c>
    </row>
    <row r="91" spans="1:5" x14ac:dyDescent="0.2">
      <c r="A91" t="s">
        <v>96</v>
      </c>
      <c r="B91">
        <v>1391.2</v>
      </c>
      <c r="C91">
        <f t="shared" si="5"/>
        <v>1333.2771394222136</v>
      </c>
      <c r="E91">
        <f t="shared" si="4"/>
        <v>-57.922860577786423</v>
      </c>
    </row>
    <row r="92" spans="1:5" x14ac:dyDescent="0.2">
      <c r="A92" t="s">
        <v>97</v>
      </c>
      <c r="B92">
        <v>1375.8</v>
      </c>
      <c r="C92">
        <f t="shared" si="5"/>
        <v>1341.7629851125944</v>
      </c>
      <c r="E92">
        <f t="shared" si="4"/>
        <v>-34.037014887405576</v>
      </c>
    </row>
    <row r="93" spans="1:5" x14ac:dyDescent="0.2">
      <c r="A93" t="s">
        <v>98</v>
      </c>
      <c r="B93">
        <v>1443.2</v>
      </c>
      <c r="C93">
        <f t="shared" si="5"/>
        <v>1346.7494939489084</v>
      </c>
      <c r="E93">
        <f t="shared" si="4"/>
        <v>-96.450506051091679</v>
      </c>
    </row>
    <row r="94" spans="1:5" x14ac:dyDescent="0.2">
      <c r="A94" t="s">
        <v>99</v>
      </c>
      <c r="B94">
        <v>1401.3</v>
      </c>
      <c r="C94">
        <f t="shared" si="5"/>
        <v>1360.8797372232293</v>
      </c>
      <c r="E94">
        <f t="shared" si="4"/>
        <v>-40.420262776770642</v>
      </c>
    </row>
    <row r="95" spans="1:5" x14ac:dyDescent="0.2">
      <c r="A95" t="s">
        <v>100</v>
      </c>
      <c r="B95">
        <v>1378.7</v>
      </c>
      <c r="C95">
        <f t="shared" si="5"/>
        <v>1366.8014080327655</v>
      </c>
      <c r="E95">
        <f t="shared" si="4"/>
        <v>-11.898591967234552</v>
      </c>
    </row>
    <row r="96" spans="1:5" x14ac:dyDescent="0.2">
      <c r="A96" t="s">
        <v>101</v>
      </c>
      <c r="B96">
        <v>1378.8</v>
      </c>
      <c r="C96">
        <f t="shared" si="5"/>
        <v>1368.544581873967</v>
      </c>
      <c r="E96">
        <f t="shared" si="4"/>
        <v>-10.255418126032964</v>
      </c>
    </row>
    <row r="97" spans="1:5" x14ac:dyDescent="0.2">
      <c r="A97" t="s">
        <v>102</v>
      </c>
      <c r="B97">
        <v>1378.9</v>
      </c>
      <c r="C97">
        <f t="shared" si="5"/>
        <v>1370.0470265881913</v>
      </c>
      <c r="E97">
        <f t="shared" si="4"/>
        <v>-8.8529734118087617</v>
      </c>
    </row>
    <row r="98" spans="1:5" x14ac:dyDescent="0.2">
      <c r="A98" t="s">
        <v>103</v>
      </c>
      <c r="B98">
        <v>1383.3</v>
      </c>
      <c r="C98">
        <f t="shared" si="5"/>
        <v>1371.3440096018803</v>
      </c>
      <c r="E98">
        <f t="shared" ref="E98:E129" si="6">C98-B98</f>
        <v>-11.955990398119638</v>
      </c>
    </row>
    <row r="99" spans="1:5" x14ac:dyDescent="0.2">
      <c r="A99" t="s">
        <v>104</v>
      </c>
      <c r="B99">
        <v>1283.3</v>
      </c>
      <c r="C99">
        <f t="shared" si="5"/>
        <v>1373.0955924584948</v>
      </c>
      <c r="E99">
        <f t="shared" si="6"/>
        <v>89.795592458494866</v>
      </c>
    </row>
    <row r="100" spans="1:5" x14ac:dyDescent="0.2">
      <c r="A100" t="s">
        <v>105</v>
      </c>
      <c r="B100">
        <v>1291.0999999999999</v>
      </c>
      <c r="C100">
        <f t="shared" ref="C100:C131" si="7">($H$3*B99)+((1-$H$3)*C99)</f>
        <v>1359.9403108705667</v>
      </c>
      <c r="E100">
        <f t="shared" si="6"/>
        <v>68.840310870566782</v>
      </c>
    </row>
    <row r="101" spans="1:5" x14ac:dyDescent="0.2">
      <c r="A101" t="s">
        <v>106</v>
      </c>
      <c r="B101">
        <v>1406.5</v>
      </c>
      <c r="C101">
        <f t="shared" si="7"/>
        <v>1349.8550310777819</v>
      </c>
      <c r="E101">
        <f t="shared" si="6"/>
        <v>-56.644968922218141</v>
      </c>
    </row>
    <row r="102" spans="1:5" x14ac:dyDescent="0.2">
      <c r="A102" t="s">
        <v>107</v>
      </c>
      <c r="B102">
        <v>1400.9</v>
      </c>
      <c r="C102">
        <f t="shared" si="7"/>
        <v>1358.1536624059918</v>
      </c>
      <c r="E102">
        <f t="shared" si="6"/>
        <v>-42.74633759400831</v>
      </c>
    </row>
    <row r="103" spans="1:5" x14ac:dyDescent="0.2">
      <c r="A103" t="s">
        <v>108</v>
      </c>
      <c r="B103">
        <v>1412.7</v>
      </c>
      <c r="C103">
        <f t="shared" si="7"/>
        <v>1364.4161090640696</v>
      </c>
      <c r="E103">
        <f t="shared" si="6"/>
        <v>-48.283890935930458</v>
      </c>
    </row>
    <row r="104" spans="1:5" x14ac:dyDescent="0.2">
      <c r="A104" t="s">
        <v>109</v>
      </c>
      <c r="B104">
        <v>1466.6</v>
      </c>
      <c r="C104">
        <f t="shared" si="7"/>
        <v>1371.4898213035269</v>
      </c>
      <c r="E104">
        <f t="shared" si="6"/>
        <v>-95.110178696472985</v>
      </c>
    </row>
    <row r="105" spans="1:5" x14ac:dyDescent="0.2">
      <c r="A105" t="s">
        <v>110</v>
      </c>
      <c r="B105">
        <v>1423.7</v>
      </c>
      <c r="C105">
        <f t="shared" si="7"/>
        <v>1385.4237032277274</v>
      </c>
      <c r="E105">
        <f t="shared" si="6"/>
        <v>-38.276296772272644</v>
      </c>
    </row>
    <row r="106" spans="1:5" x14ac:dyDescent="0.2">
      <c r="A106" t="s">
        <v>111</v>
      </c>
      <c r="B106">
        <v>1411.2</v>
      </c>
      <c r="C106">
        <f t="shared" si="7"/>
        <v>1391.0312775907464</v>
      </c>
      <c r="E106">
        <f t="shared" si="6"/>
        <v>-20.168722409253633</v>
      </c>
    </row>
    <row r="107" spans="1:5" x14ac:dyDescent="0.2">
      <c r="A107" t="s">
        <v>112</v>
      </c>
      <c r="B107">
        <v>1411</v>
      </c>
      <c r="C107">
        <f t="shared" si="7"/>
        <v>1393.9860464752564</v>
      </c>
      <c r="E107">
        <f t="shared" si="6"/>
        <v>-17.013953524743556</v>
      </c>
    </row>
    <row r="108" spans="1:5" x14ac:dyDescent="0.2">
      <c r="A108" t="s">
        <v>113</v>
      </c>
      <c r="B108">
        <v>1447.4</v>
      </c>
      <c r="C108">
        <f t="shared" si="7"/>
        <v>1396.4786337327589</v>
      </c>
      <c r="E108">
        <f t="shared" si="6"/>
        <v>-50.921366267241183</v>
      </c>
    </row>
    <row r="109" spans="1:5" x14ac:dyDescent="0.2">
      <c r="A109" t="s">
        <v>114</v>
      </c>
      <c r="B109">
        <v>1381.1</v>
      </c>
      <c r="C109">
        <f t="shared" si="7"/>
        <v>1403.9387427842944</v>
      </c>
      <c r="E109">
        <f t="shared" si="6"/>
        <v>22.838742784294482</v>
      </c>
    </row>
    <row r="110" spans="1:5" x14ac:dyDescent="0.2">
      <c r="A110" t="s">
        <v>115</v>
      </c>
      <c r="B110">
        <v>1354</v>
      </c>
      <c r="C110">
        <f t="shared" si="7"/>
        <v>1400.5928091564213</v>
      </c>
      <c r="E110">
        <f t="shared" si="6"/>
        <v>46.592809156421254</v>
      </c>
    </row>
    <row r="111" spans="1:5" x14ac:dyDescent="0.2">
      <c r="A111" t="s">
        <v>116</v>
      </c>
      <c r="B111">
        <v>1370.3</v>
      </c>
      <c r="C111">
        <f t="shared" si="7"/>
        <v>1393.7668446781688</v>
      </c>
      <c r="E111">
        <f t="shared" si="6"/>
        <v>23.466844678168854</v>
      </c>
    </row>
    <row r="112" spans="1:5" x14ac:dyDescent="0.2">
      <c r="A112" t="s">
        <v>117</v>
      </c>
      <c r="B112">
        <v>1316.5</v>
      </c>
      <c r="C112">
        <f t="shared" si="7"/>
        <v>1390.3288925329766</v>
      </c>
      <c r="E112">
        <f t="shared" si="6"/>
        <v>73.828892532976624</v>
      </c>
    </row>
    <row r="113" spans="1:5" x14ac:dyDescent="0.2">
      <c r="A113" t="s">
        <v>118</v>
      </c>
      <c r="B113">
        <v>1416.3</v>
      </c>
      <c r="C113">
        <f t="shared" si="7"/>
        <v>1379.512772899431</v>
      </c>
      <c r="E113">
        <f t="shared" si="6"/>
        <v>-36.787227100568998</v>
      </c>
    </row>
    <row r="114" spans="1:5" x14ac:dyDescent="0.2">
      <c r="A114" t="s">
        <v>119</v>
      </c>
      <c r="B114">
        <v>1416.9</v>
      </c>
      <c r="C114">
        <f t="shared" si="7"/>
        <v>1384.9021947863766</v>
      </c>
      <c r="E114">
        <f t="shared" si="6"/>
        <v>-31.997805213623451</v>
      </c>
    </row>
    <row r="115" spans="1:5" x14ac:dyDescent="0.2">
      <c r="A115" t="s">
        <v>120</v>
      </c>
      <c r="B115">
        <v>1447.2</v>
      </c>
      <c r="C115">
        <f t="shared" si="7"/>
        <v>1389.5899542437851</v>
      </c>
      <c r="E115">
        <f t="shared" si="6"/>
        <v>-57.610045756214959</v>
      </c>
    </row>
    <row r="116" spans="1:5" x14ac:dyDescent="0.2">
      <c r="A116" t="s">
        <v>121</v>
      </c>
      <c r="B116">
        <v>1451.6</v>
      </c>
      <c r="C116">
        <f t="shared" si="7"/>
        <v>1398.0299717710011</v>
      </c>
      <c r="E116">
        <f t="shared" si="6"/>
        <v>-53.570028228998808</v>
      </c>
    </row>
    <row r="117" spans="1:5" x14ac:dyDescent="0.2">
      <c r="A117" t="s">
        <v>122</v>
      </c>
      <c r="B117">
        <v>1486.1</v>
      </c>
      <c r="C117">
        <f t="shared" si="7"/>
        <v>1405.8781165042908</v>
      </c>
      <c r="E117">
        <f t="shared" si="6"/>
        <v>-80.221883495709108</v>
      </c>
    </row>
    <row r="118" spans="1:5" x14ac:dyDescent="0.2">
      <c r="A118" t="s">
        <v>123</v>
      </c>
      <c r="B118">
        <v>1447.1</v>
      </c>
      <c r="C118">
        <f t="shared" si="7"/>
        <v>1417.630825495969</v>
      </c>
      <c r="E118">
        <f t="shared" si="6"/>
        <v>-29.469174504030889</v>
      </c>
    </row>
    <row r="119" spans="1:5" x14ac:dyDescent="0.2">
      <c r="A119" t="s">
        <v>124</v>
      </c>
      <c r="B119">
        <v>1458</v>
      </c>
      <c r="C119">
        <f t="shared" si="7"/>
        <v>1421.9481341538913</v>
      </c>
      <c r="E119">
        <f t="shared" si="6"/>
        <v>-36.05186584610874</v>
      </c>
    </row>
    <row r="120" spans="1:5" x14ac:dyDescent="0.2">
      <c r="A120" t="s">
        <v>125</v>
      </c>
      <c r="B120">
        <v>1457.4</v>
      </c>
      <c r="C120">
        <f t="shared" si="7"/>
        <v>1427.2298237556943</v>
      </c>
      <c r="E120">
        <f t="shared" si="6"/>
        <v>-30.170176244305821</v>
      </c>
    </row>
    <row r="121" spans="1:5" x14ac:dyDescent="0.2">
      <c r="A121" t="s">
        <v>126</v>
      </c>
      <c r="B121">
        <v>1425.1</v>
      </c>
      <c r="C121">
        <f t="shared" si="7"/>
        <v>1431.6498309429594</v>
      </c>
      <c r="E121">
        <f t="shared" si="6"/>
        <v>6.5498309429594883</v>
      </c>
    </row>
    <row r="122" spans="1:5" x14ac:dyDescent="0.2">
      <c r="A122" t="s">
        <v>127</v>
      </c>
      <c r="B122">
        <v>1412.2</v>
      </c>
      <c r="C122">
        <f t="shared" si="7"/>
        <v>1430.6902641307267</v>
      </c>
      <c r="E122">
        <f t="shared" si="6"/>
        <v>18.4902641307267</v>
      </c>
    </row>
    <row r="123" spans="1:5" x14ac:dyDescent="0.2">
      <c r="A123" t="s">
        <v>128</v>
      </c>
      <c r="B123">
        <v>1335.3</v>
      </c>
      <c r="C123">
        <f t="shared" si="7"/>
        <v>1427.981393632575</v>
      </c>
      <c r="E123">
        <f t="shared" si="6"/>
        <v>92.681393632575009</v>
      </c>
    </row>
    <row r="124" spans="1:5" x14ac:dyDescent="0.2">
      <c r="A124" t="s">
        <v>129</v>
      </c>
      <c r="B124">
        <v>1386.4</v>
      </c>
      <c r="C124">
        <f t="shared" si="7"/>
        <v>1414.403334868035</v>
      </c>
      <c r="E124">
        <f t="shared" si="6"/>
        <v>28.003334868034926</v>
      </c>
    </row>
    <row r="125" spans="1:5" x14ac:dyDescent="0.2">
      <c r="A125" t="s">
        <v>130</v>
      </c>
      <c r="B125">
        <v>1455.8</v>
      </c>
      <c r="C125">
        <f t="shared" si="7"/>
        <v>1410.3007754271546</v>
      </c>
      <c r="E125">
        <f t="shared" si="6"/>
        <v>-45.499224572845378</v>
      </c>
    </row>
    <row r="126" spans="1:5" x14ac:dyDescent="0.2">
      <c r="A126" t="s">
        <v>131</v>
      </c>
      <c r="B126">
        <v>1467.5</v>
      </c>
      <c r="C126">
        <f t="shared" si="7"/>
        <v>1416.9665269958059</v>
      </c>
      <c r="E126">
        <f t="shared" si="6"/>
        <v>-50.533473004194093</v>
      </c>
    </row>
    <row r="127" spans="1:5" x14ac:dyDescent="0.2">
      <c r="A127" t="s">
        <v>132</v>
      </c>
      <c r="B127">
        <v>1491.5</v>
      </c>
      <c r="C127">
        <f t="shared" si="7"/>
        <v>1424.3698087024602</v>
      </c>
      <c r="E127">
        <f t="shared" si="6"/>
        <v>-67.130191297539795</v>
      </c>
    </row>
    <row r="128" spans="1:5" x14ac:dyDescent="0.2">
      <c r="A128" t="s">
        <v>133</v>
      </c>
      <c r="B128">
        <v>1475.4</v>
      </c>
      <c r="C128">
        <f t="shared" si="7"/>
        <v>1434.2045516491012</v>
      </c>
      <c r="E128">
        <f t="shared" si="6"/>
        <v>-41.195448350898914</v>
      </c>
    </row>
    <row r="129" spans="1:5" x14ac:dyDescent="0.2">
      <c r="A129" t="s">
        <v>134</v>
      </c>
      <c r="B129">
        <v>1520.4</v>
      </c>
      <c r="C129">
        <f t="shared" si="7"/>
        <v>1440.2397891074154</v>
      </c>
      <c r="E129">
        <f t="shared" si="6"/>
        <v>-80.160210892584701</v>
      </c>
    </row>
    <row r="130" spans="1:5" x14ac:dyDescent="0.2">
      <c r="A130" t="s">
        <v>135</v>
      </c>
      <c r="B130">
        <v>1486</v>
      </c>
      <c r="C130">
        <f t="shared" si="7"/>
        <v>1451.9834629066288</v>
      </c>
      <c r="E130">
        <f t="shared" ref="E130:E157" si="8">C130-B130</f>
        <v>-34.016537093371198</v>
      </c>
    </row>
    <row r="131" spans="1:5" x14ac:dyDescent="0.2">
      <c r="A131" t="s">
        <v>136</v>
      </c>
      <c r="B131">
        <v>1499.6</v>
      </c>
      <c r="C131">
        <f t="shared" si="7"/>
        <v>1456.9669716942828</v>
      </c>
      <c r="E131">
        <f t="shared" si="8"/>
        <v>-42.633028305717062</v>
      </c>
    </row>
    <row r="132" spans="1:5" x14ac:dyDescent="0.2">
      <c r="A132" t="s">
        <v>137</v>
      </c>
      <c r="B132">
        <v>1506.2</v>
      </c>
      <c r="C132">
        <f t="shared" ref="C132:C157" si="9">($H$3*B131)+((1-$H$3)*C131)</f>
        <v>1463.2128182548149</v>
      </c>
      <c r="E132">
        <f t="shared" si="8"/>
        <v>-42.987181745185126</v>
      </c>
    </row>
    <row r="133" spans="1:5" x14ac:dyDescent="0.2">
      <c r="A133" t="s">
        <v>138</v>
      </c>
      <c r="B133">
        <v>1444.7</v>
      </c>
      <c r="C133">
        <f t="shared" si="9"/>
        <v>1469.5105491906709</v>
      </c>
      <c r="E133">
        <f t="shared" si="8"/>
        <v>24.810549190670827</v>
      </c>
    </row>
    <row r="134" spans="1:5" x14ac:dyDescent="0.2">
      <c r="A134" t="s">
        <v>139</v>
      </c>
      <c r="B134">
        <v>1419.1</v>
      </c>
      <c r="C134">
        <f t="shared" si="9"/>
        <v>1465.8757409331802</v>
      </c>
      <c r="E134">
        <f t="shared" si="8"/>
        <v>46.775740933180259</v>
      </c>
    </row>
    <row r="135" spans="1:5" x14ac:dyDescent="0.2">
      <c r="A135" t="s">
        <v>140</v>
      </c>
      <c r="B135">
        <v>1449</v>
      </c>
      <c r="C135">
        <f t="shared" si="9"/>
        <v>1459.0229764865912</v>
      </c>
      <c r="E135">
        <f t="shared" si="8"/>
        <v>10.022976486591233</v>
      </c>
    </row>
    <row r="136" spans="1:5" x14ac:dyDescent="0.2">
      <c r="A136" t="s">
        <v>141</v>
      </c>
      <c r="B136">
        <v>1383.4</v>
      </c>
      <c r="C136">
        <f t="shared" si="9"/>
        <v>1457.5545850609071</v>
      </c>
      <c r="E136">
        <f t="shared" si="8"/>
        <v>74.154585060907038</v>
      </c>
    </row>
    <row r="137" spans="1:5" x14ac:dyDescent="0.2">
      <c r="A137" t="s">
        <v>142</v>
      </c>
      <c r="B137">
        <v>1504.2</v>
      </c>
      <c r="C137">
        <f t="shared" si="9"/>
        <v>1446.6907506476189</v>
      </c>
      <c r="E137">
        <f t="shared" si="8"/>
        <v>-57.509249352381175</v>
      </c>
    </row>
    <row r="138" spans="1:5" x14ac:dyDescent="0.2">
      <c r="A138" t="s">
        <v>143</v>
      </c>
      <c r="B138">
        <v>1490.3</v>
      </c>
      <c r="C138">
        <f t="shared" si="9"/>
        <v>1455.116001246535</v>
      </c>
      <c r="E138">
        <f t="shared" si="8"/>
        <v>-35.183998753464948</v>
      </c>
    </row>
    <row r="139" spans="1:5" x14ac:dyDescent="0.2">
      <c r="A139" t="s">
        <v>144</v>
      </c>
      <c r="B139">
        <v>1536.4</v>
      </c>
      <c r="C139">
        <f t="shared" si="9"/>
        <v>1460.2705461224998</v>
      </c>
      <c r="E139">
        <f t="shared" si="8"/>
        <v>-76.129453877500282</v>
      </c>
    </row>
    <row r="140" spans="1:5" x14ac:dyDescent="0.2">
      <c r="A140" t="s">
        <v>145</v>
      </c>
      <c r="B140">
        <v>1449.7</v>
      </c>
      <c r="C140">
        <f t="shared" si="9"/>
        <v>1471.4237038162544</v>
      </c>
      <c r="E140">
        <f t="shared" si="8"/>
        <v>21.723703816254329</v>
      </c>
    </row>
    <row r="141" spans="1:5" x14ac:dyDescent="0.2">
      <c r="A141" t="s">
        <v>146</v>
      </c>
      <c r="B141">
        <v>1533.2</v>
      </c>
      <c r="C141">
        <f t="shared" si="9"/>
        <v>1468.2411262196126</v>
      </c>
      <c r="E141">
        <f t="shared" si="8"/>
        <v>-64.958873780387421</v>
      </c>
    </row>
    <row r="142" spans="1:5" x14ac:dyDescent="0.2">
      <c r="A142" t="s">
        <v>147</v>
      </c>
      <c r="B142">
        <v>1464.3</v>
      </c>
      <c r="C142">
        <f t="shared" si="9"/>
        <v>1477.7577656538999</v>
      </c>
      <c r="E142">
        <f t="shared" si="8"/>
        <v>13.457765653899969</v>
      </c>
    </row>
    <row r="143" spans="1:5" x14ac:dyDescent="0.2">
      <c r="A143" t="s">
        <v>148</v>
      </c>
      <c r="B143">
        <v>1493.2</v>
      </c>
      <c r="C143">
        <f t="shared" si="9"/>
        <v>1475.7861689209844</v>
      </c>
      <c r="E143">
        <f t="shared" si="8"/>
        <v>-17.413831079015608</v>
      </c>
    </row>
    <row r="144" spans="1:5" x14ac:dyDescent="0.2">
      <c r="A144" t="s">
        <v>149</v>
      </c>
      <c r="B144">
        <v>1504.4</v>
      </c>
      <c r="C144">
        <f t="shared" si="9"/>
        <v>1478.3373392523674</v>
      </c>
      <c r="E144">
        <f t="shared" si="8"/>
        <v>-26.062660747632663</v>
      </c>
    </row>
    <row r="145" spans="1:5" x14ac:dyDescent="0.2">
      <c r="A145" t="s">
        <v>150</v>
      </c>
      <c r="B145">
        <v>1471</v>
      </c>
      <c r="C145">
        <f t="shared" si="9"/>
        <v>1482.1555850223281</v>
      </c>
      <c r="E145">
        <f t="shared" si="8"/>
        <v>11.155585022328069</v>
      </c>
    </row>
    <row r="146" spans="1:5" x14ac:dyDescent="0.2">
      <c r="A146" t="s">
        <v>151</v>
      </c>
      <c r="B146">
        <v>1459</v>
      </c>
      <c r="C146">
        <f t="shared" si="9"/>
        <v>1480.5212635792727</v>
      </c>
      <c r="E146">
        <f t="shared" si="8"/>
        <v>21.521263579272727</v>
      </c>
    </row>
    <row r="147" spans="1:5" x14ac:dyDescent="0.2">
      <c r="A147" t="s">
        <v>152</v>
      </c>
      <c r="B147">
        <v>1454.4</v>
      </c>
      <c r="C147">
        <f t="shared" si="9"/>
        <v>1477.3683439897704</v>
      </c>
      <c r="E147">
        <f t="shared" si="8"/>
        <v>22.968343989770347</v>
      </c>
    </row>
    <row r="148" spans="1:5" x14ac:dyDescent="0.2">
      <c r="A148" t="s">
        <v>153</v>
      </c>
      <c r="B148">
        <v>1441.8</v>
      </c>
      <c r="C148">
        <f t="shared" si="9"/>
        <v>1474.0034234572456</v>
      </c>
      <c r="E148">
        <f t="shared" si="8"/>
        <v>32.203423457245663</v>
      </c>
    </row>
    <row r="149" spans="1:5" x14ac:dyDescent="0.2">
      <c r="A149" t="s">
        <v>154</v>
      </c>
      <c r="B149">
        <v>1442.2</v>
      </c>
      <c r="C149">
        <f t="shared" si="9"/>
        <v>1469.2855404066809</v>
      </c>
      <c r="E149">
        <f t="shared" si="8"/>
        <v>27.085540406680821</v>
      </c>
    </row>
    <row r="150" spans="1:5" x14ac:dyDescent="0.2">
      <c r="A150" t="s">
        <v>155</v>
      </c>
      <c r="B150">
        <v>1523.6</v>
      </c>
      <c r="C150">
        <f t="shared" si="9"/>
        <v>1465.3174401775323</v>
      </c>
      <c r="E150">
        <f t="shared" si="8"/>
        <v>-58.282559822467647</v>
      </c>
    </row>
    <row r="151" spans="1:5" x14ac:dyDescent="0.2">
      <c r="A151" t="s">
        <v>156</v>
      </c>
      <c r="B151">
        <v>1464.2</v>
      </c>
      <c r="C151">
        <f t="shared" si="9"/>
        <v>1473.855982717738</v>
      </c>
      <c r="E151">
        <f t="shared" si="8"/>
        <v>9.6559827177379702</v>
      </c>
    </row>
    <row r="152" spans="1:5" x14ac:dyDescent="0.2">
      <c r="A152" t="s">
        <v>157</v>
      </c>
      <c r="B152">
        <v>1507.1</v>
      </c>
      <c r="C152">
        <f t="shared" si="9"/>
        <v>1472.4413568081343</v>
      </c>
      <c r="E152">
        <f t="shared" si="8"/>
        <v>-34.658643191865622</v>
      </c>
    </row>
    <row r="153" spans="1:5" x14ac:dyDescent="0.2">
      <c r="A153" t="s">
        <v>158</v>
      </c>
      <c r="B153">
        <v>1644.4</v>
      </c>
      <c r="C153">
        <f t="shared" si="9"/>
        <v>1477.5189357645322</v>
      </c>
      <c r="E153">
        <f t="shared" si="8"/>
        <v>-166.88106423546787</v>
      </c>
    </row>
    <row r="154" spans="1:5" x14ac:dyDescent="0.2">
      <c r="A154" t="s">
        <v>159</v>
      </c>
      <c r="B154">
        <v>1527.1</v>
      </c>
      <c r="C154">
        <f t="shared" si="9"/>
        <v>1501.9674340883835</v>
      </c>
      <c r="E154">
        <f t="shared" si="8"/>
        <v>-25.132565911616439</v>
      </c>
    </row>
    <row r="155" spans="1:5" x14ac:dyDescent="0.2">
      <c r="A155" t="s">
        <v>160</v>
      </c>
      <c r="B155">
        <v>1524</v>
      </c>
      <c r="C155">
        <f t="shared" si="9"/>
        <v>1505.6494186105895</v>
      </c>
      <c r="E155">
        <f t="shared" si="8"/>
        <v>-18.350581389410536</v>
      </c>
    </row>
    <row r="156" spans="1:5" x14ac:dyDescent="0.2">
      <c r="A156" t="s">
        <v>161</v>
      </c>
      <c r="B156">
        <v>1561.6</v>
      </c>
      <c r="C156">
        <f t="shared" si="9"/>
        <v>1508.3378252335701</v>
      </c>
      <c r="E156">
        <f t="shared" si="8"/>
        <v>-53.26217476642978</v>
      </c>
    </row>
    <row r="157" spans="1:5" x14ac:dyDescent="0.2">
      <c r="A157" t="s">
        <v>162</v>
      </c>
      <c r="B157">
        <v>1513.7</v>
      </c>
      <c r="C157">
        <f t="shared" si="9"/>
        <v>1516.1408686553473</v>
      </c>
      <c r="E157">
        <f t="shared" si="8"/>
        <v>2.4408686553472307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FF454-AFA8-470E-A675-0957EF531C6B}">
  <dimension ref="A3:H176"/>
  <sheetViews>
    <sheetView workbookViewId="0">
      <selection activeCell="B8" sqref="B8:B164"/>
    </sheetView>
  </sheetViews>
  <sheetFormatPr baseColWidth="10" defaultColWidth="9.1640625" defaultRowHeight="15" x14ac:dyDescent="0.2"/>
  <cols>
    <col min="1" max="1" width="16.5" style="4" customWidth="1"/>
    <col min="2" max="2" width="15.1640625" style="4" customWidth="1"/>
    <col min="3" max="6" width="9.1640625" style="4"/>
    <col min="7" max="7" width="17.6640625" style="4" customWidth="1"/>
    <col min="8" max="16384" width="9.1640625" style="4"/>
  </cols>
  <sheetData>
    <row r="3" spans="1:7" x14ac:dyDescent="0.2">
      <c r="A3" s="1" t="s">
        <v>164</v>
      </c>
      <c r="B3" s="1">
        <v>0.167662478212869</v>
      </c>
    </row>
    <row r="4" spans="1:7" x14ac:dyDescent="0.2">
      <c r="A4" s="1" t="s">
        <v>167</v>
      </c>
      <c r="B4" s="1">
        <v>0.24372462491697131</v>
      </c>
    </row>
    <row r="5" spans="1:7" x14ac:dyDescent="0.2">
      <c r="A5" s="1" t="s">
        <v>168</v>
      </c>
      <c r="B5" s="1">
        <v>0.24706816974166396</v>
      </c>
    </row>
    <row r="6" spans="1:7" x14ac:dyDescent="0.2">
      <c r="A6" s="1" t="s">
        <v>166</v>
      </c>
      <c r="B6" s="1">
        <f>SQRT(SUMSQ(G22:G164)/COUNT(G22:G164))</f>
        <v>47.488972253752571</v>
      </c>
    </row>
    <row r="8" spans="1:7" x14ac:dyDescent="0.2">
      <c r="A8" s="3" t="s">
        <v>6</v>
      </c>
      <c r="B8" s="3" t="s">
        <v>2</v>
      </c>
      <c r="C8" s="3" t="s">
        <v>169</v>
      </c>
      <c r="D8" s="3" t="s">
        <v>170</v>
      </c>
      <c r="E8" s="3" t="s">
        <v>171</v>
      </c>
      <c r="F8" s="3" t="s">
        <v>172</v>
      </c>
      <c r="G8" s="3" t="s">
        <v>173</v>
      </c>
    </row>
    <row r="9" spans="1:7" x14ac:dyDescent="0.2">
      <c r="A9" s="2" t="s">
        <v>7</v>
      </c>
      <c r="B9" s="2">
        <v>1023.2</v>
      </c>
      <c r="C9" s="2"/>
      <c r="D9" s="2"/>
      <c r="E9" s="2">
        <f>B9/AVERAGE(B9:B20)</f>
        <v>0.93903147847899915</v>
      </c>
      <c r="F9" s="2"/>
      <c r="G9" s="2"/>
    </row>
    <row r="10" spans="1:7" x14ac:dyDescent="0.2">
      <c r="A10" s="2" t="s">
        <v>8</v>
      </c>
      <c r="B10" s="2">
        <v>1036.2</v>
      </c>
      <c r="C10" s="2"/>
      <c r="D10" s="2"/>
      <c r="E10" s="2">
        <f t="shared" ref="E10:E20" si="0">B10/AVERAGE(B10:B21)</f>
        <v>0.94569681482157542</v>
      </c>
      <c r="F10" s="2"/>
      <c r="G10" s="2"/>
    </row>
    <row r="11" spans="1:7" x14ac:dyDescent="0.2">
      <c r="A11" s="2" t="s">
        <v>9</v>
      </c>
      <c r="B11" s="2">
        <v>1022.1</v>
      </c>
      <c r="C11" s="2"/>
      <c r="D11" s="2"/>
      <c r="E11" s="2">
        <f t="shared" si="0"/>
        <v>0.92974530018192858</v>
      </c>
      <c r="F11" s="2"/>
      <c r="G11" s="2"/>
    </row>
    <row r="12" spans="1:7" x14ac:dyDescent="0.2">
      <c r="A12" s="2" t="s">
        <v>10</v>
      </c>
      <c r="B12" s="2">
        <v>1050.0999999999999</v>
      </c>
      <c r="C12" s="2"/>
      <c r="D12" s="2"/>
      <c r="E12" s="2">
        <f t="shared" si="0"/>
        <v>0.94968648257566612</v>
      </c>
      <c r="F12" s="2"/>
      <c r="G12" s="2"/>
    </row>
    <row r="13" spans="1:7" x14ac:dyDescent="0.2">
      <c r="A13" s="2" t="s">
        <v>11</v>
      </c>
      <c r="B13" s="2">
        <v>1105.3</v>
      </c>
      <c r="C13" s="2"/>
      <c r="D13" s="2"/>
      <c r="E13" s="2">
        <f t="shared" si="0"/>
        <v>0.99570596360578945</v>
      </c>
      <c r="F13" s="2"/>
      <c r="G13" s="2"/>
    </row>
    <row r="14" spans="1:7" x14ac:dyDescent="0.2">
      <c r="A14" s="2" t="s">
        <v>12</v>
      </c>
      <c r="B14" s="2">
        <v>1157.3</v>
      </c>
      <c r="C14" s="2"/>
      <c r="D14" s="2"/>
      <c r="E14" s="2">
        <f t="shared" si="0"/>
        <v>1.0372007916651107</v>
      </c>
      <c r="F14" s="2"/>
      <c r="G14" s="2"/>
    </row>
    <row r="15" spans="1:7" x14ac:dyDescent="0.2">
      <c r="A15" s="2" t="s">
        <v>13</v>
      </c>
      <c r="B15" s="2">
        <v>1064.9000000000001</v>
      </c>
      <c r="C15" s="2"/>
      <c r="D15" s="2"/>
      <c r="E15" s="2">
        <f t="shared" si="0"/>
        <v>0.95341411006326848</v>
      </c>
      <c r="F15" s="2"/>
      <c r="G15" s="2"/>
    </row>
    <row r="16" spans="1:7" x14ac:dyDescent="0.2">
      <c r="A16" s="2" t="s">
        <v>14</v>
      </c>
      <c r="B16" s="2">
        <v>1155.9000000000001</v>
      </c>
      <c r="C16" s="2"/>
      <c r="D16" s="2"/>
      <c r="E16" s="2">
        <f t="shared" si="0"/>
        <v>1.0307957551796914</v>
      </c>
      <c r="F16" s="2"/>
      <c r="G16" s="2"/>
    </row>
    <row r="17" spans="1:7" x14ac:dyDescent="0.2">
      <c r="A17" s="2" t="s">
        <v>15</v>
      </c>
      <c r="B17" s="2">
        <v>1140.3</v>
      </c>
      <c r="C17" s="2"/>
      <c r="D17" s="2"/>
      <c r="E17" s="2">
        <f t="shared" si="0"/>
        <v>1.0106354692900823</v>
      </c>
      <c r="F17" s="2"/>
      <c r="G17" s="2"/>
    </row>
    <row r="18" spans="1:7" x14ac:dyDescent="0.2">
      <c r="A18" s="2" t="s">
        <v>16</v>
      </c>
      <c r="B18" s="2">
        <v>1098.8</v>
      </c>
      <c r="C18" s="2"/>
      <c r="D18" s="2"/>
      <c r="E18" s="2">
        <f t="shared" si="0"/>
        <v>0.97212412542300397</v>
      </c>
      <c r="F18" s="2"/>
      <c r="G18" s="2"/>
    </row>
    <row r="19" spans="1:7" x14ac:dyDescent="0.2">
      <c r="A19" s="2" t="s">
        <v>17</v>
      </c>
      <c r="B19" s="2">
        <v>1163.2</v>
      </c>
      <c r="C19" s="2"/>
      <c r="D19" s="2"/>
      <c r="E19" s="2">
        <f t="shared" si="0"/>
        <v>1.0229606232273856</v>
      </c>
      <c r="F19" s="2"/>
      <c r="G19" s="2"/>
    </row>
    <row r="20" spans="1:7" x14ac:dyDescent="0.2">
      <c r="A20" s="2" t="s">
        <v>18</v>
      </c>
      <c r="B20" s="2">
        <v>1058.3</v>
      </c>
      <c r="C20" s="2"/>
      <c r="D20" s="2"/>
      <c r="E20" s="2">
        <f t="shared" si="0"/>
        <v>0.92606555583913652</v>
      </c>
      <c r="F20" s="2"/>
      <c r="G20" s="2"/>
    </row>
    <row r="21" spans="1:7" x14ac:dyDescent="0.2">
      <c r="A21" s="3" t="s">
        <v>19</v>
      </c>
      <c r="B21" s="3">
        <v>1096</v>
      </c>
      <c r="C21" s="3">
        <f>B21/E9</f>
        <v>1167.160020849622</v>
      </c>
      <c r="D21" s="3">
        <f>C21-B20/E20</f>
        <v>24.368354182955272</v>
      </c>
      <c r="E21" s="3">
        <f>B$5*B21/C21+(1-B$5)*E9</f>
        <v>0.93903147847899926</v>
      </c>
      <c r="F21" s="3"/>
      <c r="G21" s="3"/>
    </row>
    <row r="22" spans="1:7" x14ac:dyDescent="0.2">
      <c r="A22" s="3" t="s">
        <v>20</v>
      </c>
      <c r="B22" s="3">
        <v>1079.8</v>
      </c>
      <c r="C22" s="3">
        <f>B$3*B22/E10+(1-B$3)*(C21+D21)</f>
        <v>1183.1913911161062</v>
      </c>
      <c r="D22" s="3">
        <f>B$4*(C22-C21)+(1-B$4)*D21</f>
        <v>22.336425904974526</v>
      </c>
      <c r="E22" s="3">
        <f t="shared" ref="E22:E85" si="1">B$5*B22/C22+(1-B$5)*E10</f>
        <v>0.9375237248677597</v>
      </c>
      <c r="F22" s="3">
        <f>(C21+D21)*E10</f>
        <v>1126.8245890378359</v>
      </c>
      <c r="G22" s="3">
        <f>B22-F22</f>
        <v>-47.024589037835995</v>
      </c>
    </row>
    <row r="23" spans="1:7" x14ac:dyDescent="0.2">
      <c r="A23" s="3" t="s">
        <v>21</v>
      </c>
      <c r="B23" s="3">
        <v>1098.9000000000001</v>
      </c>
      <c r="C23" s="3">
        <f t="shared" ref="C23:C86" si="2">B$3*B23/E11+(1-B$3)*(C22+D22)</f>
        <v>1201.5724552982711</v>
      </c>
      <c r="D23" s="3">
        <f t="shared" ref="D23:D86" si="3">B$4*(C23-C22)+(1-B$4)*D22</f>
        <v>21.372406852671801</v>
      </c>
      <c r="E23" s="3">
        <f t="shared" si="1"/>
        <v>0.92599141811989505</v>
      </c>
      <c r="F23" s="3">
        <f t="shared" ref="F23:F86" si="4">(C22+D22)*E11</f>
        <v>1120.8338221139297</v>
      </c>
      <c r="G23" s="3">
        <f t="shared" ref="G23:G86" si="5">B23-F23</f>
        <v>-21.933822113929637</v>
      </c>
    </row>
    <row r="24" spans="1:7" x14ac:dyDescent="0.2">
      <c r="A24" s="3" t="s">
        <v>22</v>
      </c>
      <c r="B24" s="3">
        <v>1102.0999999999999</v>
      </c>
      <c r="C24" s="3">
        <f t="shared" si="2"/>
        <v>1212.4732310331706</v>
      </c>
      <c r="D24" s="3">
        <f t="shared" si="3"/>
        <v>18.820212486223866</v>
      </c>
      <c r="E24" s="3">
        <f t="shared" si="1"/>
        <v>0.93962637042233588</v>
      </c>
      <c r="F24" s="3">
        <f t="shared" si="4"/>
        <v>1161.4142045201118</v>
      </c>
      <c r="G24" s="3">
        <f t="shared" si="5"/>
        <v>-59.314204520111844</v>
      </c>
    </row>
    <row r="25" spans="1:7" x14ac:dyDescent="0.2">
      <c r="A25" s="3" t="s">
        <v>23</v>
      </c>
      <c r="B25" s="3">
        <v>1174</v>
      </c>
      <c r="C25" s="3">
        <f t="shared" si="2"/>
        <v>1222.5363477221802</v>
      </c>
      <c r="D25" s="3">
        <f t="shared" si="3"/>
        <v>16.685892597685825</v>
      </c>
      <c r="E25" s="3">
        <f t="shared" si="1"/>
        <v>0.98695794257003611</v>
      </c>
      <c r="F25" s="3">
        <f t="shared" si="4"/>
        <v>1226.0062246609693</v>
      </c>
      <c r="G25" s="3">
        <f t="shared" si="5"/>
        <v>-52.006224660969337</v>
      </c>
    </row>
    <row r="26" spans="1:7" x14ac:dyDescent="0.2">
      <c r="A26" s="3" t="s">
        <v>24</v>
      </c>
      <c r="B26" s="3">
        <v>1171</v>
      </c>
      <c r="C26" s="3">
        <f t="shared" si="2"/>
        <v>1220.7421558522196</v>
      </c>
      <c r="D26" s="3">
        <f t="shared" si="3"/>
        <v>12.181840942374773</v>
      </c>
      <c r="E26" s="3">
        <f t="shared" si="1"/>
        <v>1.0179422570216512</v>
      </c>
      <c r="F26" s="3">
        <f t="shared" si="4"/>
        <v>1285.322288708777</v>
      </c>
      <c r="G26" s="3">
        <f t="shared" si="5"/>
        <v>-114.32228870877702</v>
      </c>
    </row>
    <row r="27" spans="1:7" x14ac:dyDescent="0.2">
      <c r="A27" s="3" t="s">
        <v>25</v>
      </c>
      <c r="B27" s="3">
        <v>1118.0999999999999</v>
      </c>
      <c r="C27" s="3">
        <f t="shared" si="2"/>
        <v>1222.8321917749429</v>
      </c>
      <c r="D27" s="3">
        <f t="shared" si="3"/>
        <v>9.7222195492249952</v>
      </c>
      <c r="E27" s="3">
        <f t="shared" si="1"/>
        <v>0.94376329590359054</v>
      </c>
      <c r="F27" s="3">
        <f t="shared" si="4"/>
        <v>1175.4871351795662</v>
      </c>
      <c r="G27" s="3">
        <f t="shared" si="5"/>
        <v>-57.387135179566258</v>
      </c>
    </row>
    <row r="28" spans="1:7" x14ac:dyDescent="0.2">
      <c r="A28" s="3" t="s">
        <v>26</v>
      </c>
      <c r="B28" s="3">
        <v>1239.0999999999999</v>
      </c>
      <c r="C28" s="3">
        <f t="shared" si="2"/>
        <v>1227.4451649335565</v>
      </c>
      <c r="D28" s="3">
        <f t="shared" si="3"/>
        <v>8.4769703890648458</v>
      </c>
      <c r="E28" s="3">
        <f t="shared" si="1"/>
        <v>1.0255330655413248</v>
      </c>
      <c r="F28" s="3">
        <f t="shared" si="4"/>
        <v>1270.5118552209556</v>
      </c>
      <c r="G28" s="3">
        <f t="shared" si="5"/>
        <v>-31.411855220955658</v>
      </c>
    </row>
    <row r="29" spans="1:7" x14ac:dyDescent="0.2">
      <c r="A29" s="3" t="s">
        <v>27</v>
      </c>
      <c r="B29" s="3">
        <v>1164.4000000000001</v>
      </c>
      <c r="C29" s="3">
        <f t="shared" si="2"/>
        <v>1221.8760849954147</v>
      </c>
      <c r="D29" s="3">
        <f t="shared" si="3"/>
        <v>5.0536020415014944</v>
      </c>
      <c r="E29" s="3">
        <f t="shared" si="1"/>
        <v>0.99638589199125327</v>
      </c>
      <c r="F29" s="3">
        <f t="shared" si="4"/>
        <v>1249.0667472377781</v>
      </c>
      <c r="G29" s="3">
        <f t="shared" si="5"/>
        <v>-84.666747237778054</v>
      </c>
    </row>
    <row r="30" spans="1:7" x14ac:dyDescent="0.2">
      <c r="A30" s="3" t="s">
        <v>28</v>
      </c>
      <c r="B30" s="3">
        <v>1180.2</v>
      </c>
      <c r="C30" s="3">
        <f t="shared" si="2"/>
        <v>1224.7689887107665</v>
      </c>
      <c r="D30" s="3">
        <f t="shared" si="3"/>
        <v>4.526986652401944</v>
      </c>
      <c r="E30" s="3">
        <f t="shared" si="1"/>
        <v>0.97002062760796182</v>
      </c>
      <c r="F30" s="3">
        <f t="shared" si="4"/>
        <v>1192.7279489662822</v>
      </c>
      <c r="G30" s="3">
        <f t="shared" si="5"/>
        <v>-12.527948966282111</v>
      </c>
    </row>
    <row r="31" spans="1:7" x14ac:dyDescent="0.2">
      <c r="A31" s="3" t="s">
        <v>29</v>
      </c>
      <c r="B31" s="3">
        <v>1231.5999999999999</v>
      </c>
      <c r="C31" s="3">
        <f t="shared" si="2"/>
        <v>1225.0474811174918</v>
      </c>
      <c r="D31" s="3">
        <f t="shared" si="3"/>
        <v>3.491523985912484</v>
      </c>
      <c r="E31" s="3">
        <f t="shared" si="1"/>
        <v>1.0186092992545339</v>
      </c>
      <c r="F31" s="3">
        <f t="shared" si="4"/>
        <v>1257.5213770884236</v>
      </c>
      <c r="G31" s="3">
        <f t="shared" si="5"/>
        <v>-25.921377088423696</v>
      </c>
    </row>
    <row r="32" spans="1:7" x14ac:dyDescent="0.2">
      <c r="A32" s="3" t="s">
        <v>30</v>
      </c>
      <c r="B32" s="3">
        <v>1130.5</v>
      </c>
      <c r="C32" s="3">
        <f t="shared" si="2"/>
        <v>1227.2340720289956</v>
      </c>
      <c r="D32" s="3">
        <f t="shared" si="3"/>
        <v>3.173479661810477</v>
      </c>
      <c r="E32" s="3">
        <f t="shared" si="1"/>
        <v>0.92485778940460306</v>
      </c>
      <c r="F32" s="3">
        <f t="shared" si="4"/>
        <v>1137.7076566311437</v>
      </c>
      <c r="G32" s="3">
        <f t="shared" si="5"/>
        <v>-7.2076566311436636</v>
      </c>
    </row>
    <row r="33" spans="1:7" x14ac:dyDescent="0.2">
      <c r="A33" s="3" t="s">
        <v>31</v>
      </c>
      <c r="B33" s="3">
        <v>1202.5999999999999</v>
      </c>
      <c r="C33" s="3">
        <f t="shared" si="2"/>
        <v>1238.8365631727438</v>
      </c>
      <c r="D33" s="3">
        <f t="shared" si="3"/>
        <v>5.227837323666602</v>
      </c>
      <c r="E33" s="3">
        <f t="shared" si="1"/>
        <v>0.94686799713317349</v>
      </c>
      <c r="F33" s="3">
        <f t="shared" si="4"/>
        <v>1155.3914223959432</v>
      </c>
      <c r="G33" s="3">
        <f t="shared" si="5"/>
        <v>47.2085776040567</v>
      </c>
    </row>
    <row r="34" spans="1:7" x14ac:dyDescent="0.2">
      <c r="A34" s="3" t="s">
        <v>32</v>
      </c>
      <c r="B34" s="3">
        <v>1098.3</v>
      </c>
      <c r="C34" s="3">
        <f t="shared" si="2"/>
        <v>1231.8964559480974</v>
      </c>
      <c r="D34" s="3">
        <f t="shared" si="3"/>
        <v>2.2622096026184968</v>
      </c>
      <c r="E34" s="3">
        <f t="shared" si="1"/>
        <v>0.92616562526643476</v>
      </c>
      <c r="F34" s="3">
        <f t="shared" si="4"/>
        <v>1166.339890728771</v>
      </c>
      <c r="G34" s="3">
        <f t="shared" si="5"/>
        <v>-68.03989072877107</v>
      </c>
    </row>
    <row r="35" spans="1:7" x14ac:dyDescent="0.2">
      <c r="A35" s="3" t="s">
        <v>33</v>
      </c>
      <c r="B35" s="3">
        <v>1182.4000000000001</v>
      </c>
      <c r="C35" s="3">
        <f t="shared" si="2"/>
        <v>1241.3250657389497</v>
      </c>
      <c r="D35" s="3">
        <f t="shared" si="3"/>
        <v>4.0088378005006948</v>
      </c>
      <c r="E35" s="3">
        <f t="shared" si="1"/>
        <v>0.93254838338651524</v>
      </c>
      <c r="F35" s="3">
        <f t="shared" si="4"/>
        <v>1142.8203328982645</v>
      </c>
      <c r="G35" s="3">
        <f t="shared" si="5"/>
        <v>39.579667101735595</v>
      </c>
    </row>
    <row r="36" spans="1:7" x14ac:dyDescent="0.2">
      <c r="A36" s="3" t="s">
        <v>34</v>
      </c>
      <c r="B36" s="3">
        <v>1180.9000000000001</v>
      </c>
      <c r="C36" s="3">
        <f t="shared" si="2"/>
        <v>1247.2523367501146</v>
      </c>
      <c r="D36" s="3">
        <f t="shared" si="3"/>
        <v>4.4764072151981074</v>
      </c>
      <c r="E36" s="3">
        <f t="shared" si="1"/>
        <v>0.94139904062418878</v>
      </c>
      <c r="F36" s="3">
        <f t="shared" si="4"/>
        <v>1170.148575746653</v>
      </c>
      <c r="G36" s="3">
        <f t="shared" si="5"/>
        <v>10.751424253347068</v>
      </c>
    </row>
    <row r="37" spans="1:7" x14ac:dyDescent="0.2">
      <c r="A37" s="3" t="s">
        <v>35</v>
      </c>
      <c r="B37" s="3">
        <v>1251.2</v>
      </c>
      <c r="C37" s="3">
        <f t="shared" si="2"/>
        <v>1254.4122010114052</v>
      </c>
      <c r="D37" s="3">
        <f t="shared" si="3"/>
        <v>5.130431777237785</v>
      </c>
      <c r="E37" s="3">
        <f t="shared" si="1"/>
        <v>0.98954754691320179</v>
      </c>
      <c r="F37" s="3">
        <f t="shared" si="4"/>
        <v>1235.4036257997807</v>
      </c>
      <c r="G37" s="3">
        <f t="shared" si="5"/>
        <v>15.796374200219361</v>
      </c>
    </row>
    <row r="38" spans="1:7" x14ac:dyDescent="0.2">
      <c r="A38" s="3" t="s">
        <v>36</v>
      </c>
      <c r="B38" s="3">
        <v>1212.5999999999999</v>
      </c>
      <c r="C38" s="3">
        <f t="shared" si="2"/>
        <v>1248.0886149168891</v>
      </c>
      <c r="D38" s="3">
        <f t="shared" si="3"/>
        <v>2.3388055676523001</v>
      </c>
      <c r="E38" s="3">
        <f t="shared" si="1"/>
        <v>1.0064840683780663</v>
      </c>
      <c r="F38" s="3">
        <f t="shared" si="4"/>
        <v>1282.1416704358642</v>
      </c>
      <c r="G38" s="3">
        <f t="shared" si="5"/>
        <v>-69.541670435864262</v>
      </c>
    </row>
    <row r="39" spans="1:7" x14ac:dyDescent="0.2">
      <c r="A39" s="3" t="s">
        <v>37</v>
      </c>
      <c r="B39" s="3">
        <v>1225.2</v>
      </c>
      <c r="C39" s="3">
        <f t="shared" si="2"/>
        <v>1258.4382423935385</v>
      </c>
      <c r="D39" s="3">
        <f t="shared" si="3"/>
        <v>4.2912401326992748</v>
      </c>
      <c r="E39" s="3">
        <f t="shared" si="1"/>
        <v>0.95113195801452244</v>
      </c>
      <c r="F39" s="3">
        <f t="shared" si="4"/>
        <v>1180.1075036447157</v>
      </c>
      <c r="G39" s="3">
        <f t="shared" si="5"/>
        <v>45.092496355284311</v>
      </c>
    </row>
    <row r="40" spans="1:7" x14ac:dyDescent="0.2">
      <c r="A40" s="3" t="s">
        <v>38</v>
      </c>
      <c r="B40" s="3">
        <v>1268.2</v>
      </c>
      <c r="C40" s="3">
        <f t="shared" si="2"/>
        <v>1258.3527685482529</v>
      </c>
      <c r="D40" s="3">
        <f t="shared" si="3"/>
        <v>3.2245271600460441</v>
      </c>
      <c r="E40" s="3">
        <f t="shared" si="1"/>
        <v>1.0211580881345101</v>
      </c>
      <c r="F40" s="3">
        <f t="shared" si="4"/>
        <v>1294.9708371645436</v>
      </c>
      <c r="G40" s="3">
        <f t="shared" si="5"/>
        <v>-26.770837164543536</v>
      </c>
    </row>
    <row r="41" spans="1:7" x14ac:dyDescent="0.2">
      <c r="A41" s="3" t="s">
        <v>39</v>
      </c>
      <c r="B41" s="3">
        <v>1182.2</v>
      </c>
      <c r="C41" s="3">
        <f t="shared" si="2"/>
        <v>1248.9876544200658</v>
      </c>
      <c r="D41" s="3">
        <f t="shared" si="3"/>
        <v>0.15612155923220827</v>
      </c>
      <c r="E41" s="3">
        <f t="shared" si="1"/>
        <v>0.98406724046131577</v>
      </c>
      <c r="F41" s="3">
        <f t="shared" si="4"/>
        <v>1257.0178191002267</v>
      </c>
      <c r="G41" s="3">
        <f t="shared" si="5"/>
        <v>-74.817819100226643</v>
      </c>
    </row>
    <row r="42" spans="1:7" x14ac:dyDescent="0.2">
      <c r="A42" s="3" t="s">
        <v>40</v>
      </c>
      <c r="B42" s="3">
        <v>1253.5</v>
      </c>
      <c r="C42" s="3">
        <f t="shared" si="2"/>
        <v>1256.3694897585849</v>
      </c>
      <c r="D42" s="3">
        <f t="shared" si="3"/>
        <v>1.9172059398462893</v>
      </c>
      <c r="E42" s="3">
        <f t="shared" si="1"/>
        <v>0.97686328401170253</v>
      </c>
      <c r="F42" s="3">
        <f t="shared" si="4"/>
        <v>1211.6952295480178</v>
      </c>
      <c r="G42" s="3">
        <f t="shared" si="5"/>
        <v>41.804770451982222</v>
      </c>
    </row>
    <row r="43" spans="1:7" x14ac:dyDescent="0.2">
      <c r="A43" s="3" t="s">
        <v>41</v>
      </c>
      <c r="B43" s="3">
        <v>1271.4000000000001</v>
      </c>
      <c r="C43" s="3">
        <f t="shared" si="2"/>
        <v>1256.5909055591276</v>
      </c>
      <c r="D43" s="3">
        <f t="shared" si="3"/>
        <v>1.5039001242066168</v>
      </c>
      <c r="E43" s="3">
        <f t="shared" si="1"/>
        <v>1.0169232656746554</v>
      </c>
      <c r="F43" s="3">
        <f t="shared" si="4"/>
        <v>1281.702529366682</v>
      </c>
      <c r="G43" s="3">
        <f t="shared" si="5"/>
        <v>-10.302529366681938</v>
      </c>
    </row>
    <row r="44" spans="1:7" x14ac:dyDescent="0.2">
      <c r="A44" s="3" t="s">
        <v>42</v>
      </c>
      <c r="B44" s="3">
        <v>1192.0999999999999</v>
      </c>
      <c r="C44" s="3">
        <f t="shared" si="2"/>
        <v>1263.2688892986182</v>
      </c>
      <c r="D44" s="3">
        <f t="shared" si="3"/>
        <v>2.7649517126307592</v>
      </c>
      <c r="E44" s="3">
        <f t="shared" si="1"/>
        <v>0.92950393687742372</v>
      </c>
      <c r="F44" s="3">
        <f t="shared" si="4"/>
        <v>1163.5587808457021</v>
      </c>
      <c r="G44" s="3">
        <f t="shared" si="5"/>
        <v>28.541219154297778</v>
      </c>
    </row>
    <row r="45" spans="1:7" x14ac:dyDescent="0.2">
      <c r="A45" s="3" t="s">
        <v>43</v>
      </c>
      <c r="B45" s="3">
        <v>1248.7</v>
      </c>
      <c r="C45" s="3">
        <f t="shared" si="2"/>
        <v>1274.8755198219335</v>
      </c>
      <c r="D45" s="3">
        <f t="shared" si="3"/>
        <v>4.9198865644011791</v>
      </c>
      <c r="E45" s="3">
        <f t="shared" si="1"/>
        <v>0.95492246365381073</v>
      </c>
      <c r="F45" s="3">
        <f t="shared" si="4"/>
        <v>1198.76692734114</v>
      </c>
      <c r="G45" s="3">
        <f t="shared" si="5"/>
        <v>49.933072658860056</v>
      </c>
    </row>
    <row r="46" spans="1:7" x14ac:dyDescent="0.2">
      <c r="A46" s="3" t="s">
        <v>44</v>
      </c>
      <c r="B46" s="3">
        <v>1217.0999999999999</v>
      </c>
      <c r="C46" s="3">
        <f t="shared" si="2"/>
        <v>1285.5516613850805</v>
      </c>
      <c r="D46" s="3">
        <f t="shared" si="3"/>
        <v>6.3228276548969422</v>
      </c>
      <c r="E46" s="3">
        <f t="shared" si="1"/>
        <v>0.93125213100428939</v>
      </c>
      <c r="F46" s="3">
        <f t="shared" si="4"/>
        <v>1185.3025127689107</v>
      </c>
      <c r="G46" s="3">
        <f t="shared" si="5"/>
        <v>31.797487231089235</v>
      </c>
    </row>
    <row r="47" spans="1:7" x14ac:dyDescent="0.2">
      <c r="A47" s="3" t="s">
        <v>45</v>
      </c>
      <c r="B47" s="3">
        <v>1163.0999999999999</v>
      </c>
      <c r="C47" s="3">
        <f t="shared" si="2"/>
        <v>1284.3888662192066</v>
      </c>
      <c r="D47" s="3">
        <f t="shared" si="3"/>
        <v>4.4983970406346643</v>
      </c>
      <c r="E47" s="3">
        <f t="shared" si="1"/>
        <v>0.92588210920983993</v>
      </c>
      <c r="F47" s="3">
        <f t="shared" si="4"/>
        <v>1204.7354662925113</v>
      </c>
      <c r="G47" s="3">
        <f t="shared" si="5"/>
        <v>-41.63546629251141</v>
      </c>
    </row>
    <row r="48" spans="1:7" x14ac:dyDescent="0.2">
      <c r="A48" s="3" t="s">
        <v>46</v>
      </c>
      <c r="B48" s="3">
        <v>1281.4000000000001</v>
      </c>
      <c r="C48" s="3">
        <f t="shared" si="2"/>
        <v>1301.0056301050208</v>
      </c>
      <c r="D48" s="3">
        <f t="shared" si="3"/>
        <v>7.4519414545823022</v>
      </c>
      <c r="E48" s="3">
        <f t="shared" si="1"/>
        <v>0.95215425473542514</v>
      </c>
      <c r="F48" s="3">
        <f t="shared" si="4"/>
        <v>1213.3572331055509</v>
      </c>
      <c r="G48" s="3">
        <f t="shared" si="5"/>
        <v>68.042766894449187</v>
      </c>
    </row>
    <row r="49" spans="1:7" x14ac:dyDescent="0.2">
      <c r="A49" s="3" t="s">
        <v>47</v>
      </c>
      <c r="B49" s="3">
        <v>1249.0999999999999</v>
      </c>
      <c r="C49" s="3">
        <f t="shared" si="2"/>
        <v>1300.7176844086232</v>
      </c>
      <c r="D49" s="3">
        <f t="shared" si="3"/>
        <v>5.565540361810033</v>
      </c>
      <c r="E49" s="3">
        <f t="shared" si="1"/>
        <v>0.98232536139293503</v>
      </c>
      <c r="F49" s="3">
        <f t="shared" si="4"/>
        <v>1294.7809801768105</v>
      </c>
      <c r="G49" s="3">
        <f t="shared" si="5"/>
        <v>-45.680980176810635</v>
      </c>
    </row>
    <row r="50" spans="1:7" x14ac:dyDescent="0.2">
      <c r="A50" s="3" t="s">
        <v>48</v>
      </c>
      <c r="B50" s="3">
        <v>1311.2</v>
      </c>
      <c r="C50" s="3">
        <f t="shared" si="2"/>
        <v>1305.6913152932507</v>
      </c>
      <c r="D50" s="3">
        <f t="shared" si="3"/>
        <v>5.4212774464989151</v>
      </c>
      <c r="E50" s="3">
        <f t="shared" si="1"/>
        <v>1.0059244369795024</v>
      </c>
      <c r="F50" s="3">
        <f t="shared" si="4"/>
        <v>1314.7532545209656</v>
      </c>
      <c r="G50" s="3">
        <f t="shared" si="5"/>
        <v>-3.5532545209655382</v>
      </c>
    </row>
    <row r="51" spans="1:7" x14ac:dyDescent="0.2">
      <c r="A51" s="3" t="s">
        <v>49</v>
      </c>
      <c r="B51" s="3">
        <v>1298.7</v>
      </c>
      <c r="C51" s="3">
        <f t="shared" si="2"/>
        <v>1320.2188594537038</v>
      </c>
      <c r="D51" s="3">
        <f t="shared" si="3"/>
        <v>7.6406988857512967</v>
      </c>
      <c r="E51" s="3">
        <f t="shared" si="1"/>
        <v>0.95917861702800977</v>
      </c>
      <c r="F51" s="3">
        <f t="shared" si="4"/>
        <v>1247.0410875100551</v>
      </c>
      <c r="G51" s="3">
        <f t="shared" si="5"/>
        <v>51.658912489944896</v>
      </c>
    </row>
    <row r="52" spans="1:7" x14ac:dyDescent="0.2">
      <c r="A52" s="3" t="s">
        <v>50</v>
      </c>
      <c r="B52" s="3">
        <v>1190.2</v>
      </c>
      <c r="C52" s="3">
        <f t="shared" si="2"/>
        <v>1300.6445607338105</v>
      </c>
      <c r="D52" s="3">
        <f t="shared" si="3"/>
        <v>1.007733802199307</v>
      </c>
      <c r="E52" s="3">
        <f t="shared" si="1"/>
        <v>0.99495074211072854</v>
      </c>
      <c r="F52" s="3">
        <f t="shared" si="4"/>
        <v>1355.9545279050531</v>
      </c>
      <c r="G52" s="3">
        <f t="shared" si="5"/>
        <v>-165.75452790505301</v>
      </c>
    </row>
    <row r="53" spans="1:7" x14ac:dyDescent="0.2">
      <c r="A53" s="3" t="s">
        <v>51</v>
      </c>
      <c r="B53" s="3">
        <v>1298.5999999999999</v>
      </c>
      <c r="C53" s="3">
        <f t="shared" si="2"/>
        <v>1304.6656885023301</v>
      </c>
      <c r="D53" s="3">
        <f t="shared" si="3"/>
        <v>1.7421721163677826</v>
      </c>
      <c r="E53" s="3">
        <f t="shared" si="1"/>
        <v>0.98685504189894524</v>
      </c>
      <c r="F53" s="3">
        <f t="shared" si="4"/>
        <v>1280.913381524191</v>
      </c>
      <c r="G53" s="3">
        <f t="shared" si="5"/>
        <v>17.686618475808928</v>
      </c>
    </row>
    <row r="54" spans="1:7" x14ac:dyDescent="0.2">
      <c r="A54" s="3" t="s">
        <v>52</v>
      </c>
      <c r="B54" s="3">
        <v>1282.5999999999999</v>
      </c>
      <c r="C54" s="3">
        <f t="shared" si="2"/>
        <v>1307.5094263125061</v>
      </c>
      <c r="D54" s="3">
        <f t="shared" si="3"/>
        <v>2.0106508019125888</v>
      </c>
      <c r="E54" s="3">
        <f t="shared" si="1"/>
        <v>0.97787272224571109</v>
      </c>
      <c r="F54" s="3">
        <f t="shared" si="4"/>
        <v>1276.1818729826837</v>
      </c>
      <c r="G54" s="3">
        <f t="shared" si="5"/>
        <v>6.4181270173162375</v>
      </c>
    </row>
    <row r="55" spans="1:7" x14ac:dyDescent="0.2">
      <c r="A55" s="3" t="s">
        <v>53</v>
      </c>
      <c r="B55" s="3">
        <v>1218.4000000000001</v>
      </c>
      <c r="C55" s="3">
        <f t="shared" si="2"/>
        <v>1290.8431066081048</v>
      </c>
      <c r="D55" s="3">
        <f t="shared" si="3"/>
        <v>-2.5413868293241002</v>
      </c>
      <c r="E55" s="3">
        <f t="shared" si="1"/>
        <v>0.99887640994540017</v>
      </c>
      <c r="F55" s="3">
        <f t="shared" si="4"/>
        <v>1331.6814332857211</v>
      </c>
      <c r="G55" s="3">
        <f t="shared" si="5"/>
        <v>-113.28143328572105</v>
      </c>
    </row>
    <row r="56" spans="1:7" x14ac:dyDescent="0.2">
      <c r="A56" s="3" t="s">
        <v>54</v>
      </c>
      <c r="B56" s="3">
        <v>1245.8</v>
      </c>
      <c r="C56" s="3">
        <f t="shared" si="2"/>
        <v>1297.0173321698589</v>
      </c>
      <c r="D56" s="3">
        <f t="shared" si="3"/>
        <v>-0.41717746838684477</v>
      </c>
      <c r="E56" s="3">
        <f t="shared" si="1"/>
        <v>0.93716490669809915</v>
      </c>
      <c r="F56" s="3">
        <f t="shared" si="4"/>
        <v>1197.4815204203321</v>
      </c>
      <c r="G56" s="3">
        <f t="shared" si="5"/>
        <v>48.318479579667837</v>
      </c>
    </row>
    <row r="57" spans="1:7" x14ac:dyDescent="0.2">
      <c r="A57" s="3" t="s">
        <v>55</v>
      </c>
      <c r="B57" s="3">
        <v>1169.5</v>
      </c>
      <c r="C57" s="3">
        <f t="shared" si="2"/>
        <v>1284.5463305909814</v>
      </c>
      <c r="D57" s="3">
        <f t="shared" si="3"/>
        <v>-3.3549912285313437</v>
      </c>
      <c r="E57" s="3">
        <f t="shared" si="1"/>
        <v>0.94393180861828796</v>
      </c>
      <c r="F57" s="3">
        <f t="shared" si="4"/>
        <v>1238.1526141014419</v>
      </c>
      <c r="G57" s="3">
        <f t="shared" si="5"/>
        <v>-68.652614101441941</v>
      </c>
    </row>
    <row r="58" spans="1:7" x14ac:dyDescent="0.2">
      <c r="A58" s="3" t="s">
        <v>56</v>
      </c>
      <c r="B58" s="3">
        <v>1190.2</v>
      </c>
      <c r="C58" s="3">
        <f t="shared" si="2"/>
        <v>1280.6670336609811</v>
      </c>
      <c r="D58" s="3">
        <f t="shared" si="3"/>
        <v>-3.4827774389636792</v>
      </c>
      <c r="E58" s="3">
        <f t="shared" si="1"/>
        <v>0.93078450783643685</v>
      </c>
      <c r="F58" s="3">
        <f t="shared" si="4"/>
        <v>1193.1121650055213</v>
      </c>
      <c r="G58" s="3">
        <f t="shared" si="5"/>
        <v>-2.912165005521274</v>
      </c>
    </row>
    <row r="59" spans="1:7" x14ac:dyDescent="0.2">
      <c r="A59" s="3" t="s">
        <v>57</v>
      </c>
      <c r="B59" s="3">
        <v>1188.3</v>
      </c>
      <c r="C59" s="3">
        <f t="shared" si="2"/>
        <v>1278.2305502407614</v>
      </c>
      <c r="D59" s="3">
        <f t="shared" si="3"/>
        <v>-3.2277698216924327</v>
      </c>
      <c r="E59" s="3">
        <f t="shared" si="1"/>
        <v>0.92681167606868065</v>
      </c>
      <c r="F59" s="3">
        <f t="shared" si="4"/>
        <v>1182.5220530004422</v>
      </c>
      <c r="G59" s="3">
        <f t="shared" si="5"/>
        <v>5.7779469995577983</v>
      </c>
    </row>
    <row r="60" spans="1:7" x14ac:dyDescent="0.2">
      <c r="A60" s="3" t="s">
        <v>58</v>
      </c>
      <c r="B60" s="3">
        <v>1211.7</v>
      </c>
      <c r="C60" s="3">
        <f t="shared" si="2"/>
        <v>1274.5978984871351</v>
      </c>
      <c r="D60" s="3">
        <f t="shared" si="3"/>
        <v>-3.3264495186886744</v>
      </c>
      <c r="E60" s="3">
        <f t="shared" si="1"/>
        <v>0.95178328122400302</v>
      </c>
      <c r="F60" s="3">
        <f t="shared" si="4"/>
        <v>1213.9993221755135</v>
      </c>
      <c r="G60" s="3">
        <f t="shared" si="5"/>
        <v>-2.2993221755134527</v>
      </c>
    </row>
    <row r="61" spans="1:7" x14ac:dyDescent="0.2">
      <c r="A61" s="3" t="s">
        <v>59</v>
      </c>
      <c r="B61" s="3">
        <v>1207.2</v>
      </c>
      <c r="C61" s="3">
        <f t="shared" si="2"/>
        <v>1264.1708224344618</v>
      </c>
      <c r="D61" s="3">
        <f t="shared" si="3"/>
        <v>-5.0570470573595774</v>
      </c>
      <c r="E61" s="3">
        <f t="shared" si="1"/>
        <v>0.9755578864690847</v>
      </c>
      <c r="F61" s="3">
        <f t="shared" si="4"/>
        <v>1248.8021855364493</v>
      </c>
      <c r="G61" s="3">
        <f t="shared" si="5"/>
        <v>-41.602185536449269</v>
      </c>
    </row>
    <row r="62" spans="1:7" x14ac:dyDescent="0.2">
      <c r="A62" s="3" t="s">
        <v>60</v>
      </c>
      <c r="B62" s="3">
        <v>1315.3</v>
      </c>
      <c r="C62" s="3">
        <f t="shared" si="2"/>
        <v>1267.2352965998268</v>
      </c>
      <c r="D62" s="3">
        <f t="shared" si="3"/>
        <v>-3.0776323435958006</v>
      </c>
      <c r="E62" s="3">
        <f t="shared" si="1"/>
        <v>1.0138316942851728</v>
      </c>
      <c r="F62" s="3">
        <f t="shared" si="4"/>
        <v>1266.5733155893472</v>
      </c>
      <c r="G62" s="3">
        <f t="shared" si="5"/>
        <v>48.726684410652751</v>
      </c>
    </row>
    <row r="63" spans="1:7" x14ac:dyDescent="0.2">
      <c r="A63" s="3" t="s">
        <v>61</v>
      </c>
      <c r="B63" s="3">
        <v>1304.7</v>
      </c>
      <c r="C63" s="3">
        <f t="shared" si="2"/>
        <v>1280.2647730759313</v>
      </c>
      <c r="D63" s="3">
        <f t="shared" si="3"/>
        <v>0.84806671198249362</v>
      </c>
      <c r="E63" s="3">
        <f t="shared" si="1"/>
        <v>0.97397984253001058</v>
      </c>
      <c r="F63" s="3">
        <f t="shared" si="4"/>
        <v>1212.5530001066509</v>
      </c>
      <c r="G63" s="3">
        <f t="shared" si="5"/>
        <v>92.146999893349175</v>
      </c>
    </row>
    <row r="64" spans="1:7" x14ac:dyDescent="0.2">
      <c r="A64" s="3" t="s">
        <v>62</v>
      </c>
      <c r="B64" s="3">
        <v>1241.4000000000001</v>
      </c>
      <c r="C64" s="3">
        <f t="shared" si="2"/>
        <v>1275.5107533674291</v>
      </c>
      <c r="D64" s="3">
        <f t="shared" si="3"/>
        <v>-0.51729969960261024</v>
      </c>
      <c r="E64" s="3">
        <f t="shared" si="1"/>
        <v>0.98959095364140048</v>
      </c>
      <c r="F64" s="3">
        <f t="shared" si="4"/>
        <v>1274.6441706745677</v>
      </c>
      <c r="G64" s="3">
        <f t="shared" si="5"/>
        <v>-33.244170674567613</v>
      </c>
    </row>
    <row r="65" spans="1:7" x14ac:dyDescent="0.2">
      <c r="A65" s="3" t="s">
        <v>63</v>
      </c>
      <c r="B65" s="3">
        <v>1241.8</v>
      </c>
      <c r="C65" s="3">
        <f t="shared" si="2"/>
        <v>1272.2014347869754</v>
      </c>
      <c r="D65" s="3">
        <f t="shared" si="3"/>
        <v>-1.1977834540991421</v>
      </c>
      <c r="E65" s="3">
        <f t="shared" si="1"/>
        <v>0.98419862506308953</v>
      </c>
      <c r="F65" s="3">
        <f t="shared" si="4"/>
        <v>1258.2337181402438</v>
      </c>
      <c r="G65" s="3">
        <f t="shared" si="5"/>
        <v>-16.433718140243855</v>
      </c>
    </row>
    <row r="66" spans="1:7" x14ac:dyDescent="0.2">
      <c r="A66" s="3" t="s">
        <v>64</v>
      </c>
      <c r="B66" s="3">
        <v>1277.5</v>
      </c>
      <c r="C66" s="3">
        <f t="shared" si="2"/>
        <v>1276.9395040365534</v>
      </c>
      <c r="D66" s="3">
        <f t="shared" si="3"/>
        <v>0.24893001966697759</v>
      </c>
      <c r="E66" s="3">
        <f t="shared" si="1"/>
        <v>0.98344811561692946</v>
      </c>
      <c r="F66" s="3">
        <f t="shared" si="4"/>
        <v>1242.8798005131182</v>
      </c>
      <c r="G66" s="3">
        <f t="shared" si="5"/>
        <v>34.620199486881802</v>
      </c>
    </row>
    <row r="67" spans="1:7" x14ac:dyDescent="0.2">
      <c r="A67" s="3" t="s">
        <v>65</v>
      </c>
      <c r="B67" s="3">
        <v>1222.7</v>
      </c>
      <c r="C67" s="3">
        <f t="shared" si="2"/>
        <v>1268.2833642499115</v>
      </c>
      <c r="D67" s="3">
        <f t="shared" si="3"/>
        <v>-1.9214547787351035</v>
      </c>
      <c r="E67" s="3">
        <f t="shared" si="1"/>
        <v>0.99027413778165418</v>
      </c>
      <c r="F67" s="3">
        <f t="shared" si="4"/>
        <v>1275.7533978338649</v>
      </c>
      <c r="G67" s="3">
        <f t="shared" si="5"/>
        <v>-53.053397833864892</v>
      </c>
    </row>
    <row r="68" spans="1:7" x14ac:dyDescent="0.2">
      <c r="A68" s="3" t="s">
        <v>66</v>
      </c>
      <c r="B68" s="3">
        <v>1229.7</v>
      </c>
      <c r="C68" s="3">
        <f t="shared" si="2"/>
        <v>1274.0386874054691</v>
      </c>
      <c r="D68" s="3">
        <f t="shared" si="3"/>
        <v>-5.0434956128741826E-2</v>
      </c>
      <c r="E68" s="3">
        <f t="shared" si="1"/>
        <v>0.94409107067870357</v>
      </c>
      <c r="F68" s="3">
        <f t="shared" si="4"/>
        <v>1186.7899407355817</v>
      </c>
      <c r="G68" s="3">
        <f t="shared" si="5"/>
        <v>42.910059264418351</v>
      </c>
    </row>
    <row r="69" spans="1:7" x14ac:dyDescent="0.2">
      <c r="A69" s="3" t="s">
        <v>67</v>
      </c>
      <c r="B69" s="3">
        <v>1161.7</v>
      </c>
      <c r="C69" s="3">
        <f t="shared" si="2"/>
        <v>1266.7309915014825</v>
      </c>
      <c r="D69" s="3">
        <f t="shared" si="3"/>
        <v>-1.8192081585699678</v>
      </c>
      <c r="E69" s="3">
        <f t="shared" si="1"/>
        <v>0.93729881843842144</v>
      </c>
      <c r="F69" s="3">
        <f t="shared" si="4"/>
        <v>1202.5580352929578</v>
      </c>
      <c r="G69" s="3">
        <f t="shared" si="5"/>
        <v>-40.858035292957766</v>
      </c>
    </row>
    <row r="70" spans="1:7" x14ac:dyDescent="0.2">
      <c r="A70" s="3" t="s">
        <v>68</v>
      </c>
      <c r="B70" s="3">
        <v>1180</v>
      </c>
      <c r="C70" s="3">
        <f t="shared" si="2"/>
        <v>1265.3872747472478</v>
      </c>
      <c r="D70" s="3">
        <f t="shared" si="3"/>
        <v>-1.7033191943971155</v>
      </c>
      <c r="E70" s="3">
        <f t="shared" si="1"/>
        <v>0.93121349939239462</v>
      </c>
      <c r="F70" s="3">
        <f t="shared" si="4"/>
        <v>1177.3602917153423</v>
      </c>
      <c r="G70" s="3">
        <f t="shared" si="5"/>
        <v>2.6397082846576723</v>
      </c>
    </row>
    <row r="71" spans="1:7" x14ac:dyDescent="0.2">
      <c r="A71" s="3" t="s">
        <v>69</v>
      </c>
      <c r="B71" s="3">
        <v>1345.4</v>
      </c>
      <c r="C71" s="3">
        <f t="shared" si="2"/>
        <v>1295.197692295452</v>
      </c>
      <c r="D71" s="3">
        <f t="shared" si="3"/>
        <v>5.9773544729255708</v>
      </c>
      <c r="E71" s="3">
        <f t="shared" si="1"/>
        <v>0.95447062848379094</v>
      </c>
      <c r="F71" s="3">
        <f t="shared" si="4"/>
        <v>1171.1970448670377</v>
      </c>
      <c r="G71" s="3">
        <f t="shared" si="5"/>
        <v>174.20295513296242</v>
      </c>
    </row>
    <row r="72" spans="1:7" x14ac:dyDescent="0.2">
      <c r="A72" s="3" t="s">
        <v>70</v>
      </c>
      <c r="B72" s="3">
        <v>1308.8</v>
      </c>
      <c r="C72" s="3">
        <f t="shared" si="2"/>
        <v>1313.5699826257826</v>
      </c>
      <c r="D72" s="3">
        <f t="shared" si="3"/>
        <v>8.9983055656415161</v>
      </c>
      <c r="E72" s="3">
        <f t="shared" si="1"/>
        <v>0.96279891603853329</v>
      </c>
      <c r="F72" s="3">
        <f t="shared" si="4"/>
        <v>1238.4366554600019</v>
      </c>
      <c r="G72" s="3">
        <f t="shared" si="5"/>
        <v>70.363344539998025</v>
      </c>
    </row>
    <row r="73" spans="1:7" x14ac:dyDescent="0.2">
      <c r="A73" s="3" t="s">
        <v>71</v>
      </c>
      <c r="B73" s="3">
        <v>1235</v>
      </c>
      <c r="C73" s="3">
        <f t="shared" si="2"/>
        <v>1313.0742356115279</v>
      </c>
      <c r="D73" s="3">
        <f t="shared" si="3"/>
        <v>6.6843711616643127</v>
      </c>
      <c r="E73" s="3">
        <f t="shared" si="1"/>
        <v>0.96690629932273553</v>
      </c>
      <c r="F73" s="3">
        <f t="shared" si="4"/>
        <v>1290.2419239390608</v>
      </c>
      <c r="G73" s="3">
        <f t="shared" si="5"/>
        <v>-55.241923939060825</v>
      </c>
    </row>
    <row r="74" spans="1:7" x14ac:dyDescent="0.2">
      <c r="A74" s="3" t="s">
        <v>72</v>
      </c>
      <c r="B74" s="3">
        <v>1373.2</v>
      </c>
      <c r="C74" s="3">
        <f t="shared" si="2"/>
        <v>1325.5776417847874</v>
      </c>
      <c r="D74" s="3">
        <f t="shared" si="3"/>
        <v>8.1026132872440648</v>
      </c>
      <c r="E74" s="3">
        <f t="shared" si="1"/>
        <v>1.0192904298165539</v>
      </c>
      <c r="F74" s="3">
        <f t="shared" si="4"/>
        <v>1338.0131043523047</v>
      </c>
      <c r="G74" s="3">
        <f t="shared" si="5"/>
        <v>35.186895647695337</v>
      </c>
    </row>
    <row r="75" spans="1:7" x14ac:dyDescent="0.2">
      <c r="A75" s="3" t="s">
        <v>73</v>
      </c>
      <c r="B75" s="3">
        <v>1317.3</v>
      </c>
      <c r="C75" s="3">
        <f t="shared" si="2"/>
        <v>1336.8342882824336</v>
      </c>
      <c r="D75" s="3">
        <f t="shared" si="3"/>
        <v>8.8713288484249997</v>
      </c>
      <c r="E75" s="3">
        <f t="shared" si="1"/>
        <v>0.97679834905451646</v>
      </c>
      <c r="F75" s="3">
        <f t="shared" si="4"/>
        <v>1298.9776848204415</v>
      </c>
      <c r="G75" s="3">
        <f t="shared" si="5"/>
        <v>18.322315179558473</v>
      </c>
    </row>
    <row r="76" spans="1:7" x14ac:dyDescent="0.2">
      <c r="A76" s="3" t="s">
        <v>74</v>
      </c>
      <c r="B76" s="3">
        <v>1308.3</v>
      </c>
      <c r="C76" s="3">
        <f t="shared" si="2"/>
        <v>1341.7413688204706</v>
      </c>
      <c r="D76" s="3">
        <f t="shared" si="3"/>
        <v>7.9051439158979493</v>
      </c>
      <c r="E76" s="3">
        <f t="shared" si="1"/>
        <v>0.98600480616065611</v>
      </c>
      <c r="F76" s="3">
        <f t="shared" si="4"/>
        <v>1331.6981049771157</v>
      </c>
      <c r="G76" s="3">
        <f t="shared" si="5"/>
        <v>-23.398104977115736</v>
      </c>
    </row>
    <row r="77" spans="1:7" x14ac:dyDescent="0.2">
      <c r="A77" s="3" t="s">
        <v>75</v>
      </c>
      <c r="B77" s="3">
        <v>1287.3</v>
      </c>
      <c r="C77" s="3">
        <f t="shared" si="2"/>
        <v>1342.6585376654004</v>
      </c>
      <c r="D77" s="3">
        <f t="shared" si="3"/>
        <v>6.2020023127971022</v>
      </c>
      <c r="E77" s="3">
        <f t="shared" si="1"/>
        <v>0.97791588758645787</v>
      </c>
      <c r="F77" s="3">
        <f t="shared" si="4"/>
        <v>1328.3202421563274</v>
      </c>
      <c r="G77" s="3">
        <f t="shared" si="5"/>
        <v>-41.020242156327413</v>
      </c>
    </row>
    <row r="78" spans="1:7" x14ac:dyDescent="0.2">
      <c r="A78" s="3" t="s">
        <v>76</v>
      </c>
      <c r="B78" s="3">
        <v>1278.3</v>
      </c>
      <c r="C78" s="3">
        <f t="shared" si="2"/>
        <v>1340.6373387954645</v>
      </c>
      <c r="D78" s="3">
        <f t="shared" si="3"/>
        <v>4.1978056889187032</v>
      </c>
      <c r="E78" s="3">
        <f t="shared" si="1"/>
        <v>0.97604931290649821</v>
      </c>
      <c r="F78" s="3">
        <f t="shared" si="4"/>
        <v>1326.5343562715923</v>
      </c>
      <c r="G78" s="3">
        <f t="shared" si="5"/>
        <v>-48.234356271592333</v>
      </c>
    </row>
    <row r="79" spans="1:7" x14ac:dyDescent="0.2">
      <c r="A79" s="3" t="s">
        <v>77</v>
      </c>
      <c r="B79" s="3">
        <v>1299.2</v>
      </c>
      <c r="C79" s="3">
        <f t="shared" si="2"/>
        <v>1339.3232065017755</v>
      </c>
      <c r="D79" s="3">
        <f t="shared" si="3"/>
        <v>2.8544106715420332</v>
      </c>
      <c r="E79" s="3">
        <f t="shared" si="1"/>
        <v>0.98527546445629088</v>
      </c>
      <c r="F79" s="3">
        <f t="shared" si="4"/>
        <v>1331.7554631627388</v>
      </c>
      <c r="G79" s="3">
        <f t="shared" si="5"/>
        <v>-32.555463162738761</v>
      </c>
    </row>
    <row r="80" spans="1:7" x14ac:dyDescent="0.2">
      <c r="A80" s="3" t="s">
        <v>78</v>
      </c>
      <c r="B80" s="3">
        <v>1375.3</v>
      </c>
      <c r="C80" s="3">
        <f t="shared" si="2"/>
        <v>1361.3862779561064</v>
      </c>
      <c r="D80" s="3">
        <f t="shared" si="3"/>
        <v>7.5360343159845709</v>
      </c>
      <c r="E80" s="3">
        <f t="shared" si="1"/>
        <v>0.96042948850938981</v>
      </c>
      <c r="F80" s="3">
        <f t="shared" si="4"/>
        <v>1267.1379036381484</v>
      </c>
      <c r="G80" s="3">
        <f t="shared" si="5"/>
        <v>108.16209636185158</v>
      </c>
    </row>
    <row r="81" spans="1:7" x14ac:dyDescent="0.2">
      <c r="A81" s="3" t="s">
        <v>79</v>
      </c>
      <c r="B81" s="3">
        <v>1266.4000000000001</v>
      </c>
      <c r="C81" s="3">
        <f t="shared" si="2"/>
        <v>1365.9369637226212</v>
      </c>
      <c r="D81" s="3">
        <f t="shared" si="3"/>
        <v>6.8084313605186235</v>
      </c>
      <c r="E81" s="3">
        <f t="shared" si="1"/>
        <v>0.93478622138807088</v>
      </c>
      <c r="F81" s="3">
        <f t="shared" si="4"/>
        <v>1283.0892658266227</v>
      </c>
      <c r="G81" s="3">
        <f t="shared" si="5"/>
        <v>-16.689265826622659</v>
      </c>
    </row>
    <row r="82" spans="1:7" x14ac:dyDescent="0.2">
      <c r="A82" s="3" t="s">
        <v>80</v>
      </c>
      <c r="B82" s="3">
        <v>1253.8</v>
      </c>
      <c r="C82" s="3">
        <f t="shared" si="2"/>
        <v>1368.3308075183181</v>
      </c>
      <c r="D82" s="3">
        <f t="shared" si="3"/>
        <v>5.7324876621193397</v>
      </c>
      <c r="E82" s="3">
        <f t="shared" si="1"/>
        <v>0.92752857413262702</v>
      </c>
      <c r="F82" s="3">
        <f t="shared" si="4"/>
        <v>1278.3190431301659</v>
      </c>
      <c r="G82" s="3">
        <f t="shared" si="5"/>
        <v>-24.519043130165983</v>
      </c>
    </row>
    <row r="83" spans="1:7" x14ac:dyDescent="0.2">
      <c r="A83" s="3" t="s">
        <v>81</v>
      </c>
      <c r="B83" s="3">
        <v>1261.5</v>
      </c>
      <c r="C83" s="3">
        <f t="shared" si="2"/>
        <v>1365.2797494195988</v>
      </c>
      <c r="D83" s="3">
        <f t="shared" si="3"/>
        <v>3.5917212661178901</v>
      </c>
      <c r="E83" s="3">
        <f t="shared" si="1"/>
        <v>0.94693896030425551</v>
      </c>
      <c r="F83" s="3">
        <f t="shared" si="4"/>
        <v>1311.5030569273811</v>
      </c>
      <c r="G83" s="3">
        <f t="shared" si="5"/>
        <v>-50.003056927381067</v>
      </c>
    </row>
    <row r="84" spans="1:7" x14ac:dyDescent="0.2">
      <c r="A84" s="3" t="s">
        <v>82</v>
      </c>
      <c r="B84" s="3">
        <v>1283.4000000000001</v>
      </c>
      <c r="C84" s="3">
        <f t="shared" si="2"/>
        <v>1362.8552632882086</v>
      </c>
      <c r="D84" s="3">
        <f t="shared" si="3"/>
        <v>2.1254233747375064</v>
      </c>
      <c r="E84" s="3">
        <f t="shared" si="1"/>
        <v>0.9575859001788436</v>
      </c>
      <c r="F84" s="3">
        <f t="shared" si="4"/>
        <v>1317.947968172281</v>
      </c>
      <c r="G84" s="3">
        <f t="shared" si="5"/>
        <v>-34.547968172280889</v>
      </c>
    </row>
    <row r="85" spans="1:7" x14ac:dyDescent="0.2">
      <c r="A85" s="3" t="s">
        <v>83</v>
      </c>
      <c r="B85" s="3">
        <v>1314.3</v>
      </c>
      <c r="C85" s="3">
        <f t="shared" si="2"/>
        <v>1364.0255205991471</v>
      </c>
      <c r="D85" s="3">
        <f t="shared" si="3"/>
        <v>1.8926258841046728</v>
      </c>
      <c r="E85" s="3">
        <f t="shared" si="1"/>
        <v>0.96607583464055735</v>
      </c>
      <c r="F85" s="3">
        <f t="shared" si="4"/>
        <v>1319.8084243882756</v>
      </c>
      <c r="G85" s="3">
        <f t="shared" si="5"/>
        <v>-5.5084243882756709</v>
      </c>
    </row>
    <row r="86" spans="1:7" x14ac:dyDescent="0.2">
      <c r="A86" s="3" t="s">
        <v>84</v>
      </c>
      <c r="B86" s="3">
        <v>1405.6</v>
      </c>
      <c r="C86" s="3">
        <f t="shared" si="2"/>
        <v>1368.1112352824548</v>
      </c>
      <c r="D86" s="3">
        <f t="shared" si="3"/>
        <v>2.4271356291000519</v>
      </c>
      <c r="E86" s="3">
        <f t="shared" ref="E86:E149" si="6">B$5*B86/C86+(1-B$5)*E74</f>
        <v>1.0212945010026377</v>
      </c>
      <c r="F86" s="3">
        <f t="shared" si="4"/>
        <v>1392.2672946231444</v>
      </c>
      <c r="G86" s="3">
        <f t="shared" si="5"/>
        <v>13.332705376855529</v>
      </c>
    </row>
    <row r="87" spans="1:7" x14ac:dyDescent="0.2">
      <c r="A87" s="3" t="s">
        <v>85</v>
      </c>
      <c r="B87" s="3">
        <v>1300.5999999999999</v>
      </c>
      <c r="C87" s="3">
        <f t="shared" ref="C87:C150" si="7">B$3*B87/E75+(1-B$3)*(C86+D86)</f>
        <v>1363.9918990815233</v>
      </c>
      <c r="D87" s="3">
        <f t="shared" ref="D87:D150" si="8">B$4*(C87-C86)+(1-B$4)*D86</f>
        <v>0.83159923779610367</v>
      </c>
      <c r="E87" s="3">
        <f t="shared" si="6"/>
        <v>0.97104817727026438</v>
      </c>
      <c r="F87" s="3">
        <f t="shared" ref="F87:F150" si="9">(C86+D86)*E75</f>
        <v>1338.7396180222734</v>
      </c>
      <c r="G87" s="3">
        <f t="shared" ref="G87:G150" si="10">B87-F87</f>
        <v>-38.139618022273453</v>
      </c>
    </row>
    <row r="88" spans="1:7" x14ac:dyDescent="0.2">
      <c r="A88" s="3" t="s">
        <v>86</v>
      </c>
      <c r="B88" s="3">
        <v>1440.5</v>
      </c>
      <c r="C88" s="3">
        <f t="shared" si="7"/>
        <v>1380.9396729905209</v>
      </c>
      <c r="D88" s="3">
        <f t="shared" si="8"/>
        <v>4.7595078646310656</v>
      </c>
      <c r="E88" s="3">
        <f t="shared" si="6"/>
        <v>1.0001186946195051</v>
      </c>
      <c r="F88" s="3">
        <f t="shared" si="9"/>
        <v>1345.7225289038493</v>
      </c>
      <c r="G88" s="3">
        <f t="shared" si="10"/>
        <v>94.777471096150748</v>
      </c>
    </row>
    <row r="89" spans="1:7" x14ac:dyDescent="0.2">
      <c r="A89" s="3" t="s">
        <v>87</v>
      </c>
      <c r="B89" s="3">
        <v>1361.9</v>
      </c>
      <c r="C89" s="3">
        <f t="shared" si="7"/>
        <v>1386.8655049546421</v>
      </c>
      <c r="D89" s="3">
        <f t="shared" si="8"/>
        <v>5.0437697683109333</v>
      </c>
      <c r="E89" s="3">
        <f t="shared" si="6"/>
        <v>0.97892459867522574</v>
      </c>
      <c r="F89" s="3">
        <f t="shared" si="9"/>
        <v>1355.0972443737935</v>
      </c>
      <c r="G89" s="3">
        <f t="shared" si="10"/>
        <v>6.80275562620659</v>
      </c>
    </row>
    <row r="90" spans="1:7" x14ac:dyDescent="0.2">
      <c r="A90" s="3" t="s">
        <v>88</v>
      </c>
      <c r="B90" s="3">
        <v>1299.7</v>
      </c>
      <c r="C90" s="3">
        <f t="shared" si="7"/>
        <v>1381.7964242949545</v>
      </c>
      <c r="D90" s="3">
        <f t="shared" si="8"/>
        <v>2.5790190909055477</v>
      </c>
      <c r="E90" s="3">
        <f t="shared" si="6"/>
        <v>0.96728774826552222</v>
      </c>
      <c r="F90" s="3">
        <f t="shared" si="9"/>
        <v>1358.5720912215206</v>
      </c>
      <c r="G90" s="3">
        <f t="shared" si="10"/>
        <v>-58.872091221520577</v>
      </c>
    </row>
    <row r="91" spans="1:7" x14ac:dyDescent="0.2">
      <c r="A91" s="3" t="s">
        <v>89</v>
      </c>
      <c r="B91" s="3">
        <v>1386.2</v>
      </c>
      <c r="C91" s="3">
        <f t="shared" si="7"/>
        <v>1388.1546803894605</v>
      </c>
      <c r="D91" s="3">
        <f t="shared" si="8"/>
        <v>3.5001122120804142</v>
      </c>
      <c r="E91" s="3">
        <f t="shared" si="6"/>
        <v>0.98856552829233824</v>
      </c>
      <c r="F91" s="3">
        <f t="shared" si="9"/>
        <v>1363.991157963887</v>
      </c>
      <c r="G91" s="3">
        <f t="shared" si="10"/>
        <v>22.208842036113083</v>
      </c>
    </row>
    <row r="92" spans="1:7" x14ac:dyDescent="0.2">
      <c r="A92" s="3" t="s">
        <v>90</v>
      </c>
      <c r="B92" s="3">
        <v>1302.5</v>
      </c>
      <c r="C92" s="3">
        <f t="shared" si="7"/>
        <v>1385.7043363663092</v>
      </c>
      <c r="D92" s="3">
        <f t="shared" si="8"/>
        <v>2.0498394980637178</v>
      </c>
      <c r="E92" s="3">
        <f t="shared" si="6"/>
        <v>0.95537094412146506</v>
      </c>
      <c r="F92" s="3">
        <f t="shared" si="9"/>
        <v>1336.5863006399391</v>
      </c>
      <c r="G92" s="3">
        <f t="shared" si="10"/>
        <v>-34.086300639939054</v>
      </c>
    </row>
    <row r="93" spans="1:7" x14ac:dyDescent="0.2">
      <c r="A93" s="3" t="s">
        <v>91</v>
      </c>
      <c r="B93" s="3">
        <v>1202.5999999999999</v>
      </c>
      <c r="C93" s="3">
        <f t="shared" si="7"/>
        <v>1370.777206108017</v>
      </c>
      <c r="D93" s="3">
        <f t="shared" si="8"/>
        <v>-2.0878660880308963</v>
      </c>
      <c r="E93" s="3">
        <f t="shared" si="6"/>
        <v>0.92058629826777905</v>
      </c>
      <c r="F93" s="3">
        <f t="shared" si="9"/>
        <v>1297.2534822717735</v>
      </c>
      <c r="G93" s="3">
        <f t="shared" si="10"/>
        <v>-94.653482271773555</v>
      </c>
    </row>
    <row r="94" spans="1:7" x14ac:dyDescent="0.2">
      <c r="A94" s="3" t="s">
        <v>92</v>
      </c>
      <c r="B94" s="3">
        <v>1344.4</v>
      </c>
      <c r="C94" s="3">
        <f t="shared" si="7"/>
        <v>1382.2287350964459</v>
      </c>
      <c r="D94" s="3">
        <f t="shared" si="8"/>
        <v>1.2120178985819532</v>
      </c>
      <c r="E94" s="3">
        <f t="shared" si="6"/>
        <v>0.93867221305084103</v>
      </c>
      <c r="F94" s="3">
        <f t="shared" si="9"/>
        <v>1269.498471979264</v>
      </c>
      <c r="G94" s="3">
        <f t="shared" si="10"/>
        <v>74.901528020736123</v>
      </c>
    </row>
    <row r="95" spans="1:7" x14ac:dyDescent="0.2">
      <c r="A95" s="3" t="s">
        <v>93</v>
      </c>
      <c r="B95" s="3">
        <v>1291.5</v>
      </c>
      <c r="C95" s="3">
        <f t="shared" si="7"/>
        <v>1380.1591817105311</v>
      </c>
      <c r="D95" s="3">
        <f t="shared" si="8"/>
        <v>0.41221816812968137</v>
      </c>
      <c r="E95" s="3">
        <f t="shared" si="6"/>
        <v>0.94417739677219881</v>
      </c>
      <c r="F95" s="3">
        <f t="shared" si="9"/>
        <v>1310.033948283648</v>
      </c>
      <c r="G95" s="3">
        <f t="shared" si="10"/>
        <v>-18.533948283647987</v>
      </c>
    </row>
    <row r="96" spans="1:7" x14ac:dyDescent="0.2">
      <c r="A96" s="3" t="s">
        <v>94</v>
      </c>
      <c r="B96" s="3">
        <v>1391.3</v>
      </c>
      <c r="C96" s="3">
        <f t="shared" si="7"/>
        <v>1392.7022972857683</v>
      </c>
      <c r="D96" s="3">
        <f t="shared" si="8"/>
        <v>3.3688165885832095</v>
      </c>
      <c r="E96" s="3">
        <f t="shared" si="6"/>
        <v>0.96781630385303052</v>
      </c>
      <c r="F96" s="3">
        <f t="shared" si="9"/>
        <v>1322.0157067139735</v>
      </c>
      <c r="G96" s="3">
        <f t="shared" si="10"/>
        <v>69.284293286026468</v>
      </c>
    </row>
    <row r="97" spans="1:7" x14ac:dyDescent="0.2">
      <c r="A97" s="3" t="s">
        <v>95</v>
      </c>
      <c r="B97" s="3">
        <v>1388.1</v>
      </c>
      <c r="C97" s="3">
        <f t="shared" si="7"/>
        <v>1402.9071507466106</v>
      </c>
      <c r="D97" s="3">
        <f t="shared" si="8"/>
        <v>5.0349271111931388</v>
      </c>
      <c r="E97" s="3">
        <f t="shared" si="6"/>
        <v>0.97184970563830042</v>
      </c>
      <c r="F97" s="3">
        <f t="shared" si="9"/>
        <v>1348.7105665537367</v>
      </c>
      <c r="G97" s="3">
        <f t="shared" si="10"/>
        <v>39.389433446263183</v>
      </c>
    </row>
    <row r="98" spans="1:7" x14ac:dyDescent="0.2">
      <c r="A98" s="3" t="s">
        <v>96</v>
      </c>
      <c r="B98" s="3">
        <v>1391.2</v>
      </c>
      <c r="C98" s="3">
        <f t="shared" si="7"/>
        <v>1400.2716379380147</v>
      </c>
      <c r="D98" s="3">
        <f t="shared" si="8"/>
        <v>3.1654520187943973</v>
      </c>
      <c r="E98" s="3">
        <f t="shared" si="6"/>
        <v>1.0144326803352035</v>
      </c>
      <c r="F98" s="3">
        <f t="shared" si="9"/>
        <v>1437.9235018464026</v>
      </c>
      <c r="G98" s="3">
        <f t="shared" si="10"/>
        <v>-46.723501846402542</v>
      </c>
    </row>
    <row r="99" spans="1:7" x14ac:dyDescent="0.2">
      <c r="A99" s="3" t="s">
        <v>97</v>
      </c>
      <c r="B99" s="3">
        <v>1375.8</v>
      </c>
      <c r="C99" s="3">
        <f t="shared" si="7"/>
        <v>1405.6808191984369</v>
      </c>
      <c r="D99" s="3">
        <f t="shared" si="8"/>
        <v>3.7123040866253745</v>
      </c>
      <c r="E99" s="3">
        <f t="shared" si="6"/>
        <v>0.97294927698405498</v>
      </c>
      <c r="F99" s="3">
        <f t="shared" si="9"/>
        <v>1362.8050281160436</v>
      </c>
      <c r="G99" s="3">
        <f t="shared" si="10"/>
        <v>12.994971883956396</v>
      </c>
    </row>
    <row r="100" spans="1:7" x14ac:dyDescent="0.2">
      <c r="A100" s="3" t="s">
        <v>98</v>
      </c>
      <c r="B100" s="3">
        <v>1443.2</v>
      </c>
      <c r="C100" s="3">
        <f t="shared" si="7"/>
        <v>1415.0325508292306</v>
      </c>
      <c r="D100" s="3">
        <f t="shared" si="8"/>
        <v>5.0867714495742273</v>
      </c>
      <c r="E100" s="3">
        <f t="shared" si="6"/>
        <v>1.0050074749814761</v>
      </c>
      <c r="F100" s="3">
        <f t="shared" si="9"/>
        <v>1409.5604106655637</v>
      </c>
      <c r="G100" s="3">
        <f t="shared" si="10"/>
        <v>33.639589334436323</v>
      </c>
    </row>
    <row r="101" spans="1:7" x14ac:dyDescent="0.2">
      <c r="A101" s="3" t="s">
        <v>99</v>
      </c>
      <c r="B101" s="3">
        <v>1401.3</v>
      </c>
      <c r="C101" s="3">
        <f t="shared" si="7"/>
        <v>1422.0222003192741</v>
      </c>
      <c r="D101" s="3">
        <f t="shared" si="8"/>
        <v>5.5505496862503607</v>
      </c>
      <c r="E101" s="3">
        <f t="shared" si="6"/>
        <v>0.98053129651365234</v>
      </c>
      <c r="F101" s="3">
        <f t="shared" si="9"/>
        <v>1390.1897376327124</v>
      </c>
      <c r="G101" s="3">
        <f t="shared" si="10"/>
        <v>11.110262367287532</v>
      </c>
    </row>
    <row r="102" spans="1:7" x14ac:dyDescent="0.2">
      <c r="A102" s="3" t="s">
        <v>100</v>
      </c>
      <c r="B102" s="3">
        <v>1378.7</v>
      </c>
      <c r="C102" s="3">
        <f t="shared" si="7"/>
        <v>1427.1959889706793</v>
      </c>
      <c r="D102" s="3">
        <f t="shared" si="8"/>
        <v>5.4587237443493883</v>
      </c>
      <c r="E102" s="3">
        <f t="shared" si="6"/>
        <v>0.96697455065389804</v>
      </c>
      <c r="F102" s="3">
        <f t="shared" si="9"/>
        <v>1380.873630838063</v>
      </c>
      <c r="G102" s="3">
        <f t="shared" si="10"/>
        <v>-2.1736308380629907</v>
      </c>
    </row>
    <row r="103" spans="1:7" x14ac:dyDescent="0.2">
      <c r="A103" s="3" t="s">
        <v>101</v>
      </c>
      <c r="B103" s="3">
        <v>1378.8</v>
      </c>
      <c r="C103" s="3">
        <f t="shared" si="7"/>
        <v>1426.2992143507781</v>
      </c>
      <c r="D103" s="3">
        <f t="shared" si="8"/>
        <v>3.9097322893619939</v>
      </c>
      <c r="E103" s="3">
        <f t="shared" si="6"/>
        <v>0.98316265452769536</v>
      </c>
      <c r="F103" s="3">
        <f t="shared" si="9"/>
        <v>1416.2730629356404</v>
      </c>
      <c r="G103" s="3">
        <f t="shared" si="10"/>
        <v>-37.473062935640428</v>
      </c>
    </row>
    <row r="104" spans="1:7" x14ac:dyDescent="0.2">
      <c r="A104" s="3" t="s">
        <v>102</v>
      </c>
      <c r="B104" s="3">
        <v>1378.9</v>
      </c>
      <c r="C104" s="3">
        <f t="shared" si="7"/>
        <v>1432.4061269378797</v>
      </c>
      <c r="D104" s="3">
        <f t="shared" si="8"/>
        <v>4.4452392333035222</v>
      </c>
      <c r="E104" s="3">
        <f t="shared" si="6"/>
        <v>0.95716837395111642</v>
      </c>
      <c r="F104" s="3">
        <f t="shared" si="9"/>
        <v>1366.3800716425567</v>
      </c>
      <c r="G104" s="3">
        <f t="shared" si="10"/>
        <v>12.519928357443405</v>
      </c>
    </row>
    <row r="105" spans="1:7" x14ac:dyDescent="0.2">
      <c r="A105" s="3" t="s">
        <v>103</v>
      </c>
      <c r="B105" s="3">
        <v>1383.3</v>
      </c>
      <c r="C105" s="3">
        <f t="shared" si="7"/>
        <v>1447.8798675936289</v>
      </c>
      <c r="D105" s="3">
        <f t="shared" si="8"/>
        <v>7.1331566058853859</v>
      </c>
      <c r="E105" s="3">
        <f t="shared" si="6"/>
        <v>0.92918690066359211</v>
      </c>
      <c r="F105" s="3">
        <f t="shared" si="9"/>
        <v>1322.7456803445307</v>
      </c>
      <c r="G105" s="3">
        <f t="shared" si="10"/>
        <v>60.554319655469271</v>
      </c>
    </row>
    <row r="106" spans="1:7" x14ac:dyDescent="0.2">
      <c r="A106" s="3" t="s">
        <v>104</v>
      </c>
      <c r="B106" s="3">
        <v>1283.3</v>
      </c>
      <c r="C106" s="3">
        <f t="shared" si="7"/>
        <v>1440.2806708332812</v>
      </c>
      <c r="D106" s="3">
        <f t="shared" si="8"/>
        <v>3.5425193075559491</v>
      </c>
      <c r="E106" s="3">
        <f t="shared" si="6"/>
        <v>0.92689562871073639</v>
      </c>
      <c r="F106" s="3">
        <f t="shared" si="9"/>
        <v>1365.780295443155</v>
      </c>
      <c r="G106" s="3">
        <f t="shared" si="10"/>
        <v>-82.480295443155001</v>
      </c>
    </row>
    <row r="107" spans="1:7" x14ac:dyDescent="0.2">
      <c r="A107" s="3" t="s">
        <v>105</v>
      </c>
      <c r="B107" s="3">
        <v>1291.0999999999999</v>
      </c>
      <c r="C107" s="3">
        <f t="shared" si="7"/>
        <v>1431.0155404904617</v>
      </c>
      <c r="D107" s="3">
        <f t="shared" si="8"/>
        <v>0.42097970045022004</v>
      </c>
      <c r="E107" s="3">
        <f t="shared" si="6"/>
        <v>0.93381264087740679</v>
      </c>
      <c r="F107" s="3">
        <f t="shared" si="9"/>
        <v>1363.2252210665069</v>
      </c>
      <c r="G107" s="3">
        <f t="shared" si="10"/>
        <v>-72.125221066507038</v>
      </c>
    </row>
    <row r="108" spans="1:7" x14ac:dyDescent="0.2">
      <c r="A108" s="3" t="s">
        <v>106</v>
      </c>
      <c r="B108" s="3">
        <v>1406.5</v>
      </c>
      <c r="C108" s="3">
        <f t="shared" si="7"/>
        <v>1435.097452721616</v>
      </c>
      <c r="D108" s="3">
        <f t="shared" si="8"/>
        <v>1.3132391083424153</v>
      </c>
      <c r="E108" s="3">
        <f t="shared" si="6"/>
        <v>0.97084449757991309</v>
      </c>
      <c r="F108" s="3">
        <f t="shared" si="9"/>
        <v>1385.3676021714123</v>
      </c>
      <c r="G108" s="3">
        <f t="shared" si="10"/>
        <v>21.132397828587727</v>
      </c>
    </row>
    <row r="109" spans="1:7" x14ac:dyDescent="0.2">
      <c r="A109" s="3" t="s">
        <v>107</v>
      </c>
      <c r="B109" s="3">
        <v>1400.9</v>
      </c>
      <c r="C109" s="3">
        <f t="shared" si="7"/>
        <v>1437.2602944539294</v>
      </c>
      <c r="D109" s="3">
        <f t="shared" si="8"/>
        <v>1.5203081891982135</v>
      </c>
      <c r="E109" s="3">
        <f t="shared" si="6"/>
        <v>0.97255433366683974</v>
      </c>
      <c r="F109" s="3">
        <f t="shared" si="9"/>
        <v>1395.9753080306527</v>
      </c>
      <c r="G109" s="3">
        <f t="shared" si="10"/>
        <v>4.9246919693473501</v>
      </c>
    </row>
    <row r="110" spans="1:7" x14ac:dyDescent="0.2">
      <c r="A110" s="3" t="s">
        <v>108</v>
      </c>
      <c r="B110" s="3">
        <v>1412.7</v>
      </c>
      <c r="C110" s="3">
        <f t="shared" si="7"/>
        <v>1431.0380217946397</v>
      </c>
      <c r="D110" s="3">
        <f t="shared" si="8"/>
        <v>-0.36674942398883581</v>
      </c>
      <c r="E110" s="3">
        <f t="shared" si="6"/>
        <v>1.0077007719377977</v>
      </c>
      <c r="F110" s="3">
        <f t="shared" si="9"/>
        <v>1459.5460631535673</v>
      </c>
      <c r="G110" s="3">
        <f t="shared" si="10"/>
        <v>-46.846063153567229</v>
      </c>
    </row>
    <row r="111" spans="1:7" x14ac:dyDescent="0.2">
      <c r="A111" s="3" t="s">
        <v>109</v>
      </c>
      <c r="B111" s="3">
        <v>1466.6</v>
      </c>
      <c r="C111" s="3">
        <f t="shared" si="7"/>
        <v>1443.5317100024804</v>
      </c>
      <c r="D111" s="3">
        <f t="shared" si="8"/>
        <v>2.7676559140969221</v>
      </c>
      <c r="E111" s="3">
        <f t="shared" si="6"/>
        <v>0.98358091077320564</v>
      </c>
      <c r="F111" s="3">
        <f t="shared" si="9"/>
        <v>1391.9705800548827</v>
      </c>
      <c r="G111" s="3">
        <f t="shared" si="10"/>
        <v>74.629419945117206</v>
      </c>
    </row>
    <row r="112" spans="1:7" x14ac:dyDescent="0.2">
      <c r="A112" s="3" t="s">
        <v>110</v>
      </c>
      <c r="B112" s="3">
        <v>1423.7</v>
      </c>
      <c r="C112" s="3">
        <f t="shared" si="7"/>
        <v>1441.3209661443611</v>
      </c>
      <c r="D112" s="3">
        <f t="shared" si="8"/>
        <v>1.5542972969267979</v>
      </c>
      <c r="E112" s="3">
        <f t="shared" si="6"/>
        <v>1.0007497388221598</v>
      </c>
      <c r="F112" s="3">
        <f t="shared" si="9"/>
        <v>1453.5416738071292</v>
      </c>
      <c r="G112" s="3">
        <f t="shared" si="10"/>
        <v>-29.841673807129155</v>
      </c>
    </row>
    <row r="113" spans="1:7" x14ac:dyDescent="0.2">
      <c r="A113" s="3" t="s">
        <v>111</v>
      </c>
      <c r="B113" s="3">
        <v>1411.2</v>
      </c>
      <c r="C113" s="3">
        <f t="shared" si="7"/>
        <v>1442.2623697271647</v>
      </c>
      <c r="D113" s="3">
        <f t="shared" si="8"/>
        <v>1.4049200063381422</v>
      </c>
      <c r="E113" s="3">
        <f t="shared" si="6"/>
        <v>0.98002022374080666</v>
      </c>
      <c r="F113" s="3">
        <f t="shared" si="9"/>
        <v>1414.7843527695636</v>
      </c>
      <c r="G113" s="3">
        <f t="shared" si="10"/>
        <v>-3.5843527695635657</v>
      </c>
    </row>
    <row r="114" spans="1:7" x14ac:dyDescent="0.2">
      <c r="A114" s="3" t="s">
        <v>112</v>
      </c>
      <c r="B114" s="3">
        <v>1411</v>
      </c>
      <c r="C114" s="3">
        <f t="shared" si="7"/>
        <v>1446.2699361025843</v>
      </c>
      <c r="D114" s="3">
        <f t="shared" si="8"/>
        <v>2.0392490164340447</v>
      </c>
      <c r="E114" s="3">
        <f t="shared" si="6"/>
        <v>0.96910887903105203</v>
      </c>
      <c r="F114" s="3">
        <f t="shared" si="9"/>
        <v>1395.9895287837849</v>
      </c>
      <c r="G114" s="3">
        <f t="shared" si="10"/>
        <v>15.010471216215137</v>
      </c>
    </row>
    <row r="115" spans="1:7" x14ac:dyDescent="0.2">
      <c r="A115" s="3" t="s">
        <v>113</v>
      </c>
      <c r="B115" s="3">
        <v>1447.4</v>
      </c>
      <c r="C115" s="3">
        <f t="shared" si="7"/>
        <v>1452.3127217114179</v>
      </c>
      <c r="D115" s="3">
        <f t="shared" si="8"/>
        <v>3.0150094707579917</v>
      </c>
      <c r="E115" s="3">
        <f t="shared" si="6"/>
        <v>0.9864868719715465</v>
      </c>
      <c r="F115" s="3">
        <f t="shared" si="9"/>
        <v>1423.9235030184575</v>
      </c>
      <c r="G115" s="3">
        <f t="shared" si="10"/>
        <v>23.476496981542596</v>
      </c>
    </row>
    <row r="116" spans="1:7" x14ac:dyDescent="0.2">
      <c r="A116" s="3" t="s">
        <v>114</v>
      </c>
      <c r="B116" s="3">
        <v>1381.1</v>
      </c>
      <c r="C116" s="3">
        <f t="shared" si="7"/>
        <v>1453.2443740775761</v>
      </c>
      <c r="D116" s="3">
        <f t="shared" si="8"/>
        <v>2.5072440418713078</v>
      </c>
      <c r="E116" s="3">
        <f t="shared" si="6"/>
        <v>0.95548533642997224</v>
      </c>
      <c r="F116" s="3">
        <f t="shared" si="9"/>
        <v>1392.9936780216108</v>
      </c>
      <c r="G116" s="3">
        <f t="shared" si="10"/>
        <v>-11.893678021610867</v>
      </c>
    </row>
    <row r="117" spans="1:7" x14ac:dyDescent="0.2">
      <c r="A117" s="3" t="s">
        <v>115</v>
      </c>
      <c r="B117" s="3">
        <v>1354</v>
      </c>
      <c r="C117" s="3">
        <f t="shared" si="7"/>
        <v>1455.992445211831</v>
      </c>
      <c r="D117" s="3">
        <f t="shared" si="8"/>
        <v>2.5659395346323226</v>
      </c>
      <c r="E117" s="3">
        <f t="shared" si="6"/>
        <v>0.92937540862173784</v>
      </c>
      <c r="F117" s="3">
        <f t="shared" si="9"/>
        <v>1352.6653341764184</v>
      </c>
      <c r="G117" s="3">
        <f t="shared" si="10"/>
        <v>1.3346658235816449</v>
      </c>
    </row>
    <row r="118" spans="1:7" x14ac:dyDescent="0.2">
      <c r="A118" s="3" t="s">
        <v>116</v>
      </c>
      <c r="B118" s="3">
        <v>1370.3</v>
      </c>
      <c r="C118" s="3">
        <f t="shared" si="7"/>
        <v>1461.8810096505115</v>
      </c>
      <c r="D118" s="3">
        <f t="shared" si="8"/>
        <v>3.3757450431112606</v>
      </c>
      <c r="E118" s="3">
        <f t="shared" si="6"/>
        <v>0.92947955734909904</v>
      </c>
      <c r="F118" s="3">
        <f t="shared" si="9"/>
        <v>1351.9313910408894</v>
      </c>
      <c r="G118" s="3">
        <f t="shared" si="10"/>
        <v>18.368608959110588</v>
      </c>
    </row>
    <row r="119" spans="1:7" x14ac:dyDescent="0.2">
      <c r="A119" s="3" t="s">
        <v>117</v>
      </c>
      <c r="B119" s="3">
        <v>1316.5</v>
      </c>
      <c r="C119" s="3">
        <f t="shared" si="7"/>
        <v>1455.9607018039776</v>
      </c>
      <c r="D119" s="3">
        <f t="shared" si="8"/>
        <v>1.1100680393741695</v>
      </c>
      <c r="E119" s="3">
        <f t="shared" si="6"/>
        <v>0.92649975036071175</v>
      </c>
      <c r="F119" s="3">
        <f t="shared" si="9"/>
        <v>1368.2752796639104</v>
      </c>
      <c r="G119" s="3">
        <f t="shared" si="10"/>
        <v>-51.775279663910396</v>
      </c>
    </row>
    <row r="120" spans="1:7" x14ac:dyDescent="0.2">
      <c r="A120" s="3" t="s">
        <v>118</v>
      </c>
      <c r="B120" s="3">
        <v>1416.3</v>
      </c>
      <c r="C120" s="3">
        <f t="shared" si="7"/>
        <v>1457.3662312835827</v>
      </c>
      <c r="D120" s="3">
        <f t="shared" si="8"/>
        <v>1.1820792680718795</v>
      </c>
      <c r="E120" s="3">
        <f t="shared" si="6"/>
        <v>0.97108591142412348</v>
      </c>
      <c r="F120" s="3">
        <f t="shared" si="9"/>
        <v>1414.5891394869461</v>
      </c>
      <c r="G120" s="3">
        <f t="shared" si="10"/>
        <v>1.7108605130538308</v>
      </c>
    </row>
    <row r="121" spans="1:7" x14ac:dyDescent="0.2">
      <c r="A121" s="3" t="s">
        <v>119</v>
      </c>
      <c r="B121" s="3">
        <v>1416.9</v>
      </c>
      <c r="C121" s="3">
        <f t="shared" si="7"/>
        <v>1458.2694667437527</v>
      </c>
      <c r="D121" s="3">
        <f t="shared" si="8"/>
        <v>1.1141181655805692</v>
      </c>
      <c r="E121" s="3">
        <f t="shared" si="6"/>
        <v>0.97232623776336968</v>
      </c>
      <c r="F121" s="3">
        <f t="shared" si="9"/>
        <v>1418.5174802894592</v>
      </c>
      <c r="G121" s="3">
        <f t="shared" si="10"/>
        <v>-1.6174802894590812</v>
      </c>
    </row>
    <row r="122" spans="1:7" x14ac:dyDescent="0.2">
      <c r="A122" s="3" t="s">
        <v>120</v>
      </c>
      <c r="B122" s="3">
        <v>1447.2</v>
      </c>
      <c r="C122" s="3">
        <f t="shared" si="7"/>
        <v>1455.4866099173316</v>
      </c>
      <c r="D122" s="3">
        <f t="shared" si="8"/>
        <v>0.16432939734415997</v>
      </c>
      <c r="E122" s="3">
        <f t="shared" si="6"/>
        <v>1.0043915081605943</v>
      </c>
      <c r="F122" s="3">
        <f t="shared" si="9"/>
        <v>1470.6219650664857</v>
      </c>
      <c r="G122" s="3">
        <f t="shared" si="10"/>
        <v>-23.421965066485654</v>
      </c>
    </row>
    <row r="123" spans="1:7" x14ac:dyDescent="0.2">
      <c r="A123" s="3" t="s">
        <v>121</v>
      </c>
      <c r="B123" s="3">
        <v>1451.6</v>
      </c>
      <c r="C123" s="3">
        <f t="shared" si="7"/>
        <v>1459.0345148174576</v>
      </c>
      <c r="D123" s="3">
        <f t="shared" si="8"/>
        <v>0.98899006763791986</v>
      </c>
      <c r="E123" s="3">
        <f t="shared" si="6"/>
        <v>0.9863786084853009</v>
      </c>
      <c r="F123" s="3">
        <f t="shared" si="9"/>
        <v>1431.7504766590012</v>
      </c>
      <c r="G123" s="3">
        <f t="shared" si="10"/>
        <v>19.849523340998758</v>
      </c>
    </row>
    <row r="124" spans="1:7" x14ac:dyDescent="0.2">
      <c r="A124" s="3" t="s">
        <v>122</v>
      </c>
      <c r="B124" s="3">
        <v>1486.1</v>
      </c>
      <c r="C124" s="3">
        <f t="shared" si="7"/>
        <v>1464.2088873002015</v>
      </c>
      <c r="D124" s="3">
        <f t="shared" si="8"/>
        <v>2.0090708268936925</v>
      </c>
      <c r="E124" s="3">
        <f t="shared" si="6"/>
        <v>1.004258372131942</v>
      </c>
      <c r="F124" s="3">
        <f t="shared" si="9"/>
        <v>1461.1181411879736</v>
      </c>
      <c r="G124" s="3">
        <f t="shared" si="10"/>
        <v>24.981858812026303</v>
      </c>
    </row>
    <row r="125" spans="1:7" x14ac:dyDescent="0.2">
      <c r="A125" s="3" t="s">
        <v>123</v>
      </c>
      <c r="B125" s="3">
        <v>1447.1</v>
      </c>
      <c r="C125" s="3">
        <f t="shared" si="7"/>
        <v>1467.9590027025342</v>
      </c>
      <c r="D125" s="3">
        <f t="shared" si="8"/>
        <v>2.4334062630063085</v>
      </c>
      <c r="E125" s="3">
        <f t="shared" si="6"/>
        <v>0.98144586872839779</v>
      </c>
      <c r="F125" s="3">
        <f t="shared" si="9"/>
        <v>1436.9232513765046</v>
      </c>
      <c r="G125" s="3">
        <f t="shared" si="10"/>
        <v>10.176748623495314</v>
      </c>
    </row>
    <row r="126" spans="1:7" x14ac:dyDescent="0.2">
      <c r="A126" s="3" t="s">
        <v>124</v>
      </c>
      <c r="B126" s="3">
        <v>1458</v>
      </c>
      <c r="C126" s="3">
        <f t="shared" si="7"/>
        <v>1476.1067666667582</v>
      </c>
      <c r="D126" s="3">
        <f t="shared" si="8"/>
        <v>3.8261359503769823</v>
      </c>
      <c r="E126" s="3">
        <f t="shared" si="6"/>
        <v>0.9737104128037728</v>
      </c>
      <c r="F126" s="3">
        <f t="shared" si="9"/>
        <v>1424.9703391883634</v>
      </c>
      <c r="G126" s="3">
        <f t="shared" si="10"/>
        <v>33.029660811636631</v>
      </c>
    </row>
    <row r="127" spans="1:7" x14ac:dyDescent="0.2">
      <c r="A127" s="3" t="s">
        <v>125</v>
      </c>
      <c r="B127" s="3">
        <v>1457.4</v>
      </c>
      <c r="C127" s="3">
        <f t="shared" si="7"/>
        <v>1479.5021615548912</v>
      </c>
      <c r="D127" s="3">
        <f t="shared" si="8"/>
        <v>3.7211537465452467</v>
      </c>
      <c r="E127" s="3">
        <f t="shared" si="6"/>
        <v>0.9861346046390469</v>
      </c>
      <c r="F127" s="3">
        <f t="shared" si="9"/>
        <v>1459.934379830549</v>
      </c>
      <c r="G127" s="3">
        <f t="shared" si="10"/>
        <v>-2.5343798305489145</v>
      </c>
    </row>
    <row r="128" spans="1:7" x14ac:dyDescent="0.2">
      <c r="A128" s="3" t="s">
        <v>126</v>
      </c>
      <c r="B128" s="3">
        <v>1425.1</v>
      </c>
      <c r="C128" s="3">
        <f t="shared" si="7"/>
        <v>1484.6098853730496</v>
      </c>
      <c r="D128" s="3">
        <f t="shared" si="8"/>
        <v>4.0590950171702413</v>
      </c>
      <c r="E128" s="3">
        <f t="shared" si="6"/>
        <v>0.95657988210772715</v>
      </c>
      <c r="F128" s="3">
        <f t="shared" si="9"/>
        <v>1417.1981284215719</v>
      </c>
      <c r="G128" s="3">
        <f t="shared" si="10"/>
        <v>7.9018715784279721</v>
      </c>
    </row>
    <row r="129" spans="1:7" x14ac:dyDescent="0.2">
      <c r="A129" s="3" t="s">
        <v>127</v>
      </c>
      <c r="B129" s="3">
        <v>1412.2</v>
      </c>
      <c r="C129" s="3">
        <f t="shared" si="7"/>
        <v>1493.8407232060781</v>
      </c>
      <c r="D129" s="3">
        <f t="shared" si="8"/>
        <v>5.3195760951323479</v>
      </c>
      <c r="E129" s="3">
        <f t="shared" si="6"/>
        <v>0.93332183669758029</v>
      </c>
      <c r="F129" s="3">
        <f t="shared" si="9"/>
        <v>1383.5323419526662</v>
      </c>
      <c r="G129" s="3">
        <f t="shared" si="10"/>
        <v>28.667658047333816</v>
      </c>
    </row>
    <row r="130" spans="1:7" x14ac:dyDescent="0.2">
      <c r="A130" s="3" t="s">
        <v>128</v>
      </c>
      <c r="B130" s="3">
        <v>1335.3</v>
      </c>
      <c r="C130" s="3">
        <f t="shared" si="7"/>
        <v>1488.6730284113914</v>
      </c>
      <c r="D130" s="3">
        <f t="shared" si="8"/>
        <v>2.7635699311085364</v>
      </c>
      <c r="E130" s="3">
        <f t="shared" si="6"/>
        <v>0.92144830265936639</v>
      </c>
      <c r="F130" s="3">
        <f t="shared" si="9"/>
        <v>1393.4388513898318</v>
      </c>
      <c r="G130" s="3">
        <f t="shared" si="10"/>
        <v>-58.138851389831871</v>
      </c>
    </row>
    <row r="131" spans="1:7" x14ac:dyDescent="0.2">
      <c r="A131" s="3" t="s">
        <v>129</v>
      </c>
      <c r="B131" s="3">
        <v>1386.4</v>
      </c>
      <c r="C131" s="3">
        <f t="shared" si="7"/>
        <v>1492.2662001008759</v>
      </c>
      <c r="D131" s="3">
        <f t="shared" si="8"/>
        <v>2.96576430849918</v>
      </c>
      <c r="E131" s="3">
        <f t="shared" si="6"/>
        <v>0.92713150589944715</v>
      </c>
      <c r="F131" s="3">
        <f t="shared" si="9"/>
        <v>1381.8156360431553</v>
      </c>
      <c r="G131" s="3">
        <f t="shared" si="10"/>
        <v>4.5843639568447543</v>
      </c>
    </row>
    <row r="132" spans="1:7" x14ac:dyDescent="0.2">
      <c r="A132" s="3" t="s">
        <v>130</v>
      </c>
      <c r="B132" s="3">
        <v>1455.8</v>
      </c>
      <c r="C132" s="3">
        <f t="shared" si="7"/>
        <v>1495.888277324435</v>
      </c>
      <c r="D132" s="3">
        <f t="shared" si="8"/>
        <v>3.125723927550303</v>
      </c>
      <c r="E132" s="3">
        <f t="shared" si="6"/>
        <v>0.97160848787501541</v>
      </c>
      <c r="F132" s="3">
        <f t="shared" si="9"/>
        <v>1451.9986949489607</v>
      </c>
      <c r="G132" s="3">
        <f t="shared" si="10"/>
        <v>3.8013050510392077</v>
      </c>
    </row>
    <row r="133" spans="1:7" x14ac:dyDescent="0.2">
      <c r="A133" s="3" t="s">
        <v>131</v>
      </c>
      <c r="B133" s="3">
        <v>1467.5</v>
      </c>
      <c r="C133" s="3">
        <f t="shared" si="7"/>
        <v>1500.7330610037893</v>
      </c>
      <c r="D133" s="3">
        <f t="shared" si="8"/>
        <v>3.5447011207686066</v>
      </c>
      <c r="E133" s="3">
        <f t="shared" si="6"/>
        <v>0.97369232966665409</v>
      </c>
      <c r="F133" s="3">
        <f t="shared" si="9"/>
        <v>1457.5306441919579</v>
      </c>
      <c r="G133" s="3">
        <f t="shared" si="10"/>
        <v>9.9693558080421099</v>
      </c>
    </row>
    <row r="134" spans="1:7" x14ac:dyDescent="0.2">
      <c r="A134" s="3" t="s">
        <v>132</v>
      </c>
      <c r="B134" s="3">
        <v>1491.5</v>
      </c>
      <c r="C134" s="3">
        <f t="shared" si="7"/>
        <v>1501.0420341960405</v>
      </c>
      <c r="D134" s="3">
        <f t="shared" si="8"/>
        <v>2.7560745450573298</v>
      </c>
      <c r="E134" s="3">
        <f t="shared" si="6"/>
        <v>1.0017359087382278</v>
      </c>
      <c r="F134" s="3">
        <f t="shared" si="9"/>
        <v>1510.8838101927286</v>
      </c>
      <c r="G134" s="3">
        <f t="shared" si="10"/>
        <v>-19.383810192728561</v>
      </c>
    </row>
    <row r="135" spans="1:7" x14ac:dyDescent="0.2">
      <c r="A135" s="3" t="s">
        <v>133</v>
      </c>
      <c r="B135" s="3">
        <v>1475.4</v>
      </c>
      <c r="C135" s="3">
        <f t="shared" si="7"/>
        <v>1502.4528557286621</v>
      </c>
      <c r="D135" s="3">
        <f t="shared" si="8"/>
        <v>2.4282032591830154</v>
      </c>
      <c r="E135" s="3">
        <f t="shared" si="6"/>
        <v>0.98529536233359294</v>
      </c>
      <c r="F135" s="3">
        <f t="shared" si="9"/>
        <v>1483.3142859428713</v>
      </c>
      <c r="G135" s="3">
        <f t="shared" si="10"/>
        <v>-7.9142859428711745</v>
      </c>
    </row>
    <row r="136" spans="1:7" x14ac:dyDescent="0.2">
      <c r="A136" s="3" t="s">
        <v>134</v>
      </c>
      <c r="B136" s="3">
        <v>1520.4</v>
      </c>
      <c r="C136" s="3">
        <f t="shared" si="7"/>
        <v>1506.402087229812</v>
      </c>
      <c r="D136" s="3">
        <f t="shared" si="8"/>
        <v>2.7989152969444966</v>
      </c>
      <c r="E136" s="3">
        <f t="shared" si="6"/>
        <v>1.0055020909920076</v>
      </c>
      <c r="F136" s="3">
        <f t="shared" si="9"/>
        <v>1511.2894025513262</v>
      </c>
      <c r="G136" s="3">
        <f t="shared" si="10"/>
        <v>9.1105974486738432</v>
      </c>
    </row>
    <row r="137" spans="1:7" x14ac:dyDescent="0.2">
      <c r="A137" s="3" t="s">
        <v>135</v>
      </c>
      <c r="B137" s="3">
        <v>1486</v>
      </c>
      <c r="C137" s="3">
        <f t="shared" si="7"/>
        <v>1510.0211523279861</v>
      </c>
      <c r="D137" s="3">
        <f t="shared" si="8"/>
        <v>2.9988059996249179</v>
      </c>
      <c r="E137" s="3">
        <f t="shared" si="6"/>
        <v>0.98209968676069848</v>
      </c>
      <c r="F137" s="3">
        <f t="shared" si="9"/>
        <v>1481.1990890106413</v>
      </c>
      <c r="G137" s="3">
        <f t="shared" si="10"/>
        <v>4.8009109893587265</v>
      </c>
    </row>
    <row r="138" spans="1:7" x14ac:dyDescent="0.2">
      <c r="A138" s="3" t="s">
        <v>136</v>
      </c>
      <c r="B138" s="3">
        <v>1499.6</v>
      </c>
      <c r="C138" s="3">
        <f t="shared" si="7"/>
        <v>1517.5583011030722</v>
      </c>
      <c r="D138" s="3">
        <f t="shared" si="8"/>
        <v>4.1049118903188297</v>
      </c>
      <c r="E138" s="3">
        <f t="shared" si="6"/>
        <v>0.97728200704585055</v>
      </c>
      <c r="F138" s="3">
        <f t="shared" si="9"/>
        <v>1473.2432882035253</v>
      </c>
      <c r="G138" s="3">
        <f t="shared" si="10"/>
        <v>26.356711796474656</v>
      </c>
    </row>
    <row r="139" spans="1:7" x14ac:dyDescent="0.2">
      <c r="A139" s="3" t="s">
        <v>137</v>
      </c>
      <c r="B139" s="3">
        <v>1506.2</v>
      </c>
      <c r="C139" s="3">
        <f t="shared" si="7"/>
        <v>1522.6213173114688</v>
      </c>
      <c r="D139" s="3">
        <f t="shared" si="8"/>
        <v>4.3384255058736834</v>
      </c>
      <c r="E139" s="3">
        <f t="shared" si="6"/>
        <v>0.98689569720617254</v>
      </c>
      <c r="F139" s="3">
        <f t="shared" si="9"/>
        <v>1500.5647509390194</v>
      </c>
      <c r="G139" s="3">
        <f t="shared" si="10"/>
        <v>5.6352490609806409</v>
      </c>
    </row>
    <row r="140" spans="1:7" x14ac:dyDescent="0.2">
      <c r="A140" s="3" t="s">
        <v>138</v>
      </c>
      <c r="B140" s="3">
        <v>1444.7</v>
      </c>
      <c r="C140" s="3">
        <f t="shared" si="7"/>
        <v>1524.1625685942097</v>
      </c>
      <c r="D140" s="3">
        <f t="shared" si="8"/>
        <v>3.6566852675132151</v>
      </c>
      <c r="E140" s="3">
        <f t="shared" si="6"/>
        <v>0.95442665490117107</v>
      </c>
      <c r="F140" s="3">
        <f t="shared" si="9"/>
        <v>1460.6589707674589</v>
      </c>
      <c r="G140" s="3">
        <f t="shared" si="10"/>
        <v>-15.958970767458823</v>
      </c>
    </row>
    <row r="141" spans="1:7" x14ac:dyDescent="0.2">
      <c r="A141" s="3" t="s">
        <v>139</v>
      </c>
      <c r="B141" s="3">
        <v>1419.1</v>
      </c>
      <c r="C141" s="3">
        <f t="shared" si="7"/>
        <v>1526.589241832577</v>
      </c>
      <c r="D141" s="3">
        <f t="shared" si="8"/>
        <v>3.3569010470662781</v>
      </c>
      <c r="E141" s="3">
        <f t="shared" si="6"/>
        <v>0.93239947984600058</v>
      </c>
      <c r="F141" s="3">
        <f t="shared" si="9"/>
        <v>1425.9470721561499</v>
      </c>
      <c r="G141" s="3">
        <f t="shared" si="10"/>
        <v>-6.8470721561500341</v>
      </c>
    </row>
    <row r="142" spans="1:7" x14ac:dyDescent="0.2">
      <c r="A142" s="3" t="s">
        <v>140</v>
      </c>
      <c r="B142" s="3">
        <v>1449</v>
      </c>
      <c r="C142" s="3">
        <f t="shared" si="7"/>
        <v>1537.0849300364976</v>
      </c>
      <c r="D142" s="3">
        <f t="shared" si="8"/>
        <v>5.0967992692326671</v>
      </c>
      <c r="E142" s="3">
        <f t="shared" si="6"/>
        <v>0.92669731910348307</v>
      </c>
      <c r="F142" s="3">
        <f t="shared" si="9"/>
        <v>1409.7662765166917</v>
      </c>
      <c r="G142" s="3">
        <f t="shared" si="10"/>
        <v>39.233723483308268</v>
      </c>
    </row>
    <row r="143" spans="1:7" x14ac:dyDescent="0.2">
      <c r="A143" s="3" t="s">
        <v>141</v>
      </c>
      <c r="B143" s="3">
        <v>1383.4</v>
      </c>
      <c r="C143" s="3">
        <f t="shared" si="7"/>
        <v>1533.7897996134109</v>
      </c>
      <c r="D143" s="3">
        <f t="shared" si="8"/>
        <v>3.0514793526425406</v>
      </c>
      <c r="E143" s="3">
        <f t="shared" si="6"/>
        <v>0.92090968191126121</v>
      </c>
      <c r="F143" s="3">
        <f t="shared" si="9"/>
        <v>1429.8052690618351</v>
      </c>
      <c r="G143" s="3">
        <f t="shared" si="10"/>
        <v>-46.405269061835043</v>
      </c>
    </row>
    <row r="144" spans="1:7" x14ac:dyDescent="0.2">
      <c r="A144" s="3" t="s">
        <v>142</v>
      </c>
      <c r="B144" s="3">
        <v>1504.2</v>
      </c>
      <c r="C144" s="3">
        <f t="shared" si="7"/>
        <v>1538.7380725399391</v>
      </c>
      <c r="D144" s="3">
        <f t="shared" si="8"/>
        <v>3.5137746549827593</v>
      </c>
      <c r="E144" s="3">
        <f t="shared" si="6"/>
        <v>0.9730775056817812</v>
      </c>
      <c r="F144" s="3">
        <f t="shared" si="9"/>
        <v>1493.2080311601119</v>
      </c>
      <c r="G144" s="3">
        <f t="shared" si="10"/>
        <v>10.991968839888159</v>
      </c>
    </row>
    <row r="145" spans="1:7" x14ac:dyDescent="0.2">
      <c r="A145" s="3" t="s">
        <v>143</v>
      </c>
      <c r="B145" s="3">
        <v>1490.3</v>
      </c>
      <c r="C145" s="3">
        <f t="shared" si="7"/>
        <v>1540.292504651422</v>
      </c>
      <c r="D145" s="3">
        <f t="shared" si="8"/>
        <v>3.0362346284843698</v>
      </c>
      <c r="E145" s="3">
        <f t="shared" si="6"/>
        <v>0.97217314941859523</v>
      </c>
      <c r="F145" s="3">
        <f t="shared" si="9"/>
        <v>1501.6787940279241</v>
      </c>
      <c r="G145" s="3">
        <f t="shared" si="10"/>
        <v>-11.378794027924187</v>
      </c>
    </row>
    <row r="146" spans="1:7" x14ac:dyDescent="0.2">
      <c r="A146" s="3" t="s">
        <v>144</v>
      </c>
      <c r="B146" s="3">
        <v>1536.4</v>
      </c>
      <c r="C146" s="3">
        <f t="shared" si="7"/>
        <v>1541.7206603289194</v>
      </c>
      <c r="D146" s="3">
        <f t="shared" si="8"/>
        <v>2.644306189318204</v>
      </c>
      <c r="E146" s="3">
        <f t="shared" si="6"/>
        <v>1.0004543594703752</v>
      </c>
      <c r="F146" s="3">
        <f t="shared" si="9"/>
        <v>1546.0078171243804</v>
      </c>
      <c r="G146" s="3">
        <f t="shared" si="10"/>
        <v>-9.6078171243802899</v>
      </c>
    </row>
    <row r="147" spans="1:7" x14ac:dyDescent="0.2">
      <c r="A147" s="3" t="s">
        <v>145</v>
      </c>
      <c r="B147" s="3">
        <v>1449.7</v>
      </c>
      <c r="C147" s="3">
        <f t="shared" si="7"/>
        <v>1532.1206575921308</v>
      </c>
      <c r="D147" s="3">
        <f t="shared" si="8"/>
        <v>-0.33993341106470298</v>
      </c>
      <c r="E147" s="3">
        <f t="shared" si="6"/>
        <v>0.97563734148102843</v>
      </c>
      <c r="F147" s="3">
        <f t="shared" si="9"/>
        <v>1521.6556392608941</v>
      </c>
      <c r="G147" s="3">
        <f t="shared" si="10"/>
        <v>-71.955639260894031</v>
      </c>
    </row>
    <row r="148" spans="1:7" x14ac:dyDescent="0.2">
      <c r="A148" s="3" t="s">
        <v>146</v>
      </c>
      <c r="B148" s="3">
        <v>1533.2</v>
      </c>
      <c r="C148" s="3">
        <f t="shared" si="7"/>
        <v>1530.6120547569574</v>
      </c>
      <c r="D148" s="3">
        <f t="shared" si="8"/>
        <v>-0.62476692810752943</v>
      </c>
      <c r="E148" s="3">
        <f t="shared" si="6"/>
        <v>1.0045604401038866</v>
      </c>
      <c r="F148" s="3">
        <f t="shared" si="9"/>
        <v>1540.2087211053135</v>
      </c>
      <c r="G148" s="3">
        <f t="shared" si="10"/>
        <v>-7.0087211053134979</v>
      </c>
    </row>
    <row r="149" spans="1:7" x14ac:dyDescent="0.2">
      <c r="A149" s="3" t="s">
        <v>147</v>
      </c>
      <c r="B149" s="3">
        <v>1464.3</v>
      </c>
      <c r="C149" s="3">
        <f t="shared" si="7"/>
        <v>1523.4487672908106</v>
      </c>
      <c r="D149" s="3">
        <f t="shared" si="8"/>
        <v>-2.218365393753067</v>
      </c>
      <c r="E149" s="3">
        <f t="shared" si="6"/>
        <v>0.97692972178470217</v>
      </c>
      <c r="F149" s="3">
        <f t="shared" si="9"/>
        <v>1502.6000361245642</v>
      </c>
      <c r="G149" s="3">
        <f t="shared" si="10"/>
        <v>-38.300036124564258</v>
      </c>
    </row>
    <row r="150" spans="1:7" x14ac:dyDescent="0.2">
      <c r="A150" s="3" t="s">
        <v>148</v>
      </c>
      <c r="B150" s="3">
        <v>1493.2</v>
      </c>
      <c r="C150" s="3">
        <f t="shared" si="7"/>
        <v>1522.3504997687546</v>
      </c>
      <c r="D150" s="3">
        <f t="shared" si="8"/>
        <v>-1.9453699601033889</v>
      </c>
      <c r="E150" s="3">
        <f t="shared" ref="E150:E164" si="11">B$5*B150/C150+(1-B$5)*E138</f>
        <v>0.97816395226589381</v>
      </c>
      <c r="F150" s="3">
        <f t="shared" si="9"/>
        <v>1486.6711003451221</v>
      </c>
      <c r="G150" s="3">
        <f t="shared" si="10"/>
        <v>6.5288996548779323</v>
      </c>
    </row>
    <row r="151" spans="1:7" x14ac:dyDescent="0.2">
      <c r="A151" s="3" t="s">
        <v>149</v>
      </c>
      <c r="B151" s="3">
        <v>1504.4</v>
      </c>
      <c r="C151" s="3">
        <f t="shared" ref="C151:C164" si="12">B$3*B151/E139+(1-B$3)*(C150+D150)</f>
        <v>1521.0708761532835</v>
      </c>
      <c r="D151" s="3">
        <f t="shared" ref="D151:D164" si="13">B$4*(C151-C150)+(1-B$4)*D150</f>
        <v>-1.7831111819680419</v>
      </c>
      <c r="E151" s="3">
        <f t="shared" si="11"/>
        <v>0.98742549602411556</v>
      </c>
      <c r="F151" s="3">
        <f t="shared" ref="F151:F164" si="14">(C150+D150)*E139</f>
        <v>1500.4812806183502</v>
      </c>
      <c r="G151" s="3">
        <f t="shared" ref="G151:G164" si="15">B151-F151</f>
        <v>3.9187193816499075</v>
      </c>
    </row>
    <row r="152" spans="1:7" x14ac:dyDescent="0.2">
      <c r="A152" s="3" t="s">
        <v>150</v>
      </c>
      <c r="B152" s="3">
        <v>1471</v>
      </c>
      <c r="C152" s="3">
        <f t="shared" si="12"/>
        <v>1522.9682366592956</v>
      </c>
      <c r="D152" s="3">
        <f t="shared" si="13"/>
        <v>-0.88608960029755146</v>
      </c>
      <c r="E152" s="3">
        <f t="shared" si="11"/>
        <v>0.95725567208338036</v>
      </c>
      <c r="F152" s="3">
        <f t="shared" si="14"/>
        <v>1450.0487393538492</v>
      </c>
      <c r="G152" s="3">
        <f t="shared" si="15"/>
        <v>20.951260646150786</v>
      </c>
    </row>
    <row r="153" spans="1:7" x14ac:dyDescent="0.2">
      <c r="A153" s="3" t="s">
        <v>151</v>
      </c>
      <c r="B153" s="3">
        <v>1459</v>
      </c>
      <c r="C153" s="3">
        <f t="shared" si="12"/>
        <v>1529.2409644547911</v>
      </c>
      <c r="D153" s="3">
        <f t="shared" si="13"/>
        <v>0.85869048434119544</v>
      </c>
      <c r="E153" s="3">
        <f t="shared" si="11"/>
        <v>0.93775310271090939</v>
      </c>
      <c r="F153" s="3">
        <f t="shared" si="14"/>
        <v>1419.1886022006936</v>
      </c>
      <c r="G153" s="3">
        <f t="shared" si="15"/>
        <v>39.811397799306405</v>
      </c>
    </row>
    <row r="154" spans="1:7" x14ac:dyDescent="0.2">
      <c r="A154" s="3" t="s">
        <v>152</v>
      </c>
      <c r="B154" s="3">
        <v>1454.4</v>
      </c>
      <c r="C154" s="3">
        <f t="shared" si="12"/>
        <v>1536.6963072433998</v>
      </c>
      <c r="D154" s="3">
        <f t="shared" si="13"/>
        <v>2.4664570929064751</v>
      </c>
      <c r="E154" s="3">
        <f t="shared" si="11"/>
        <v>0.93157657777754055</v>
      </c>
      <c r="F154" s="3">
        <f t="shared" si="14"/>
        <v>1417.9392481932584</v>
      </c>
      <c r="G154" s="3">
        <f t="shared" si="15"/>
        <v>36.460751806741655</v>
      </c>
    </row>
    <row r="155" spans="1:7" x14ac:dyDescent="0.2">
      <c r="A155" s="3" t="s">
        <v>153</v>
      </c>
      <c r="B155" s="3">
        <v>1441.8</v>
      </c>
      <c r="C155" s="3">
        <f t="shared" si="12"/>
        <v>1543.5996302197934</v>
      </c>
      <c r="D155" s="3">
        <f t="shared" si="13"/>
        <v>3.5478305661662839</v>
      </c>
      <c r="E155" s="3">
        <f t="shared" si="11"/>
        <v>0.9241563587599132</v>
      </c>
      <c r="F155" s="3">
        <f t="shared" si="14"/>
        <v>1417.4298917146052</v>
      </c>
      <c r="G155" s="3">
        <f t="shared" si="15"/>
        <v>24.370108285394736</v>
      </c>
    </row>
    <row r="156" spans="1:7" x14ac:dyDescent="0.2">
      <c r="A156" s="3" t="s">
        <v>154</v>
      </c>
      <c r="B156" s="3">
        <v>1442.2</v>
      </c>
      <c r="C156" s="3">
        <f t="shared" si="12"/>
        <v>1536.2417574186738</v>
      </c>
      <c r="D156" s="3">
        <f t="shared" si="13"/>
        <v>0.88984210351878468</v>
      </c>
      <c r="E156" s="3">
        <f t="shared" si="11"/>
        <v>0.96460480355547829</v>
      </c>
      <c r="F156" s="3">
        <f t="shared" si="14"/>
        <v>1505.494392063503</v>
      </c>
      <c r="G156" s="3">
        <f t="shared" si="15"/>
        <v>-63.294392063502983</v>
      </c>
    </row>
    <row r="157" spans="1:7" x14ac:dyDescent="0.2">
      <c r="A157" s="3" t="s">
        <v>155</v>
      </c>
      <c r="B157" s="3">
        <v>1523.6</v>
      </c>
      <c r="C157" s="3">
        <f t="shared" si="12"/>
        <v>1542.1747081082347</v>
      </c>
      <c r="D157" s="3">
        <f t="shared" si="13"/>
        <v>2.1189718520674354</v>
      </c>
      <c r="E157" s="3">
        <f t="shared" si="11"/>
        <v>0.97607246832028471</v>
      </c>
      <c r="F157" s="3">
        <f t="shared" si="14"/>
        <v>1494.3580681783328</v>
      </c>
      <c r="G157" s="3">
        <f t="shared" si="15"/>
        <v>29.241931821667094</v>
      </c>
    </row>
    <row r="158" spans="1:7" x14ac:dyDescent="0.2">
      <c r="A158" s="3" t="s">
        <v>156</v>
      </c>
      <c r="B158" s="3">
        <v>1464.2</v>
      </c>
      <c r="C158" s="3">
        <f t="shared" si="12"/>
        <v>1530.7534844030606</v>
      </c>
      <c r="D158" s="3">
        <f t="shared" si="13"/>
        <v>-1.1811072314236852</v>
      </c>
      <c r="E158" s="3">
        <f t="shared" si="11"/>
        <v>0.98960017118194865</v>
      </c>
      <c r="F158" s="3">
        <f t="shared" si="14"/>
        <v>1544.9953444188327</v>
      </c>
      <c r="G158" s="3">
        <f t="shared" si="15"/>
        <v>-80.795344418832656</v>
      </c>
    </row>
    <row r="159" spans="1:7" x14ac:dyDescent="0.2">
      <c r="A159" s="3" t="s">
        <v>157</v>
      </c>
      <c r="B159" s="3">
        <v>1507.1</v>
      </c>
      <c r="C159" s="3">
        <f t="shared" si="12"/>
        <v>1532.1143826893478</v>
      </c>
      <c r="D159" s="3">
        <f t="shared" si="13"/>
        <v>-0.56155789008271895</v>
      </c>
      <c r="E159" s="3">
        <f t="shared" si="11"/>
        <v>0.97762276930323111</v>
      </c>
      <c r="F159" s="3">
        <f t="shared" si="14"/>
        <v>1492.3079276665526</v>
      </c>
      <c r="G159" s="3">
        <f t="shared" si="15"/>
        <v>14.792072333447322</v>
      </c>
    </row>
    <row r="160" spans="1:7" x14ac:dyDescent="0.2">
      <c r="A160" s="3" t="s">
        <v>158</v>
      </c>
      <c r="B160" s="3">
        <v>1644.4</v>
      </c>
      <c r="C160" s="3">
        <f t="shared" si="12"/>
        <v>1549.2214374155101</v>
      </c>
      <c r="D160" s="3">
        <f t="shared" si="13"/>
        <v>3.7447180926148489</v>
      </c>
      <c r="E160" s="3">
        <f t="shared" si="11"/>
        <v>1.018612675377617</v>
      </c>
      <c r="F160" s="3">
        <f t="shared" si="14"/>
        <v>1538.5373797227005</v>
      </c>
      <c r="G160" s="3">
        <f t="shared" si="15"/>
        <v>105.86262027729958</v>
      </c>
    </row>
    <row r="161" spans="1:8" x14ac:dyDescent="0.2">
      <c r="A161" s="3" t="s">
        <v>159</v>
      </c>
      <c r="B161" s="3">
        <v>1527.1</v>
      </c>
      <c r="C161" s="3">
        <f t="shared" si="12"/>
        <v>1554.6757159874485</v>
      </c>
      <c r="D161" s="3">
        <f t="shared" si="13"/>
        <v>4.1613800792108595</v>
      </c>
      <c r="E161" s="3">
        <f t="shared" si="11"/>
        <v>0.97824733628968952</v>
      </c>
      <c r="F161" s="3">
        <f t="shared" si="14"/>
        <v>1517.1387942416111</v>
      </c>
      <c r="G161" s="3">
        <f t="shared" si="15"/>
        <v>9.9612057583888145</v>
      </c>
    </row>
    <row r="162" spans="1:8" x14ac:dyDescent="0.2">
      <c r="A162" s="3" t="s">
        <v>160</v>
      </c>
      <c r="B162" s="3">
        <v>1524</v>
      </c>
      <c r="C162" s="3">
        <f t="shared" si="12"/>
        <v>1558.7002709646172</v>
      </c>
      <c r="D162" s="3">
        <f t="shared" si="13"/>
        <v>4.1280324325364059</v>
      </c>
      <c r="E162" s="3">
        <f t="shared" si="11"/>
        <v>0.97805863605786025</v>
      </c>
      <c r="F162" s="3">
        <f t="shared" si="14"/>
        <v>1524.7982548272523</v>
      </c>
      <c r="G162" s="3">
        <f t="shared" si="15"/>
        <v>-0.79825482725232177</v>
      </c>
    </row>
    <row r="163" spans="1:8" x14ac:dyDescent="0.2">
      <c r="A163" s="3" t="s">
        <v>161</v>
      </c>
      <c r="B163" s="3">
        <v>1561.6</v>
      </c>
      <c r="C163" s="3">
        <f t="shared" si="12"/>
        <v>1565.9565673050834</v>
      </c>
      <c r="D163" s="3">
        <f t="shared" si="13"/>
        <v>4.8904673801378884</v>
      </c>
      <c r="E163" s="3">
        <f t="shared" si="11"/>
        <v>0.98984490004648129</v>
      </c>
      <c r="F163" s="3">
        <f t="shared" si="14"/>
        <v>1543.1765126824614</v>
      </c>
      <c r="G163" s="3">
        <f t="shared" si="15"/>
        <v>18.423487317538502</v>
      </c>
    </row>
    <row r="164" spans="1:8" x14ac:dyDescent="0.2">
      <c r="A164" s="3" t="s">
        <v>162</v>
      </c>
      <c r="B164" s="3">
        <v>1513.7</v>
      </c>
      <c r="C164" s="3">
        <f t="shared" si="12"/>
        <v>1572.5981345064545</v>
      </c>
      <c r="D164" s="3">
        <f t="shared" si="13"/>
        <v>5.3172535272601325</v>
      </c>
      <c r="E164" s="3">
        <f t="shared" si="11"/>
        <v>0.95856305102651429</v>
      </c>
      <c r="F164" s="3">
        <f t="shared" si="14"/>
        <v>1503.7022339277864</v>
      </c>
      <c r="G164" s="3">
        <f t="shared" si="15"/>
        <v>9.9977660722136079</v>
      </c>
      <c r="H164" s="4" t="s">
        <v>174</v>
      </c>
    </row>
    <row r="165" spans="1:8" x14ac:dyDescent="0.2">
      <c r="A165" s="3" t="s">
        <v>176</v>
      </c>
      <c r="F165" s="3">
        <f>(C$164+H165*D$164)*E153</f>
        <v>1479.6950509439046</v>
      </c>
      <c r="H165" s="4">
        <v>1</v>
      </c>
    </row>
    <row r="166" spans="1:8" x14ac:dyDescent="0.2">
      <c r="A166" s="3" t="s">
        <v>177</v>
      </c>
      <c r="F166" s="3">
        <f t="shared" ref="F166:F176" si="16">(C$164+H166*D$164)*E154</f>
        <v>1474.9024460510684</v>
      </c>
      <c r="H166" s="4">
        <v>2</v>
      </c>
    </row>
    <row r="167" spans="1:8" x14ac:dyDescent="0.2">
      <c r="A167" s="3" t="s">
        <v>178</v>
      </c>
      <c r="F167" s="3">
        <f t="shared" si="16"/>
        <v>1468.0684867531854</v>
      </c>
      <c r="H167" s="4">
        <v>3</v>
      </c>
    </row>
    <row r="168" spans="1:8" x14ac:dyDescent="0.2">
      <c r="A168" s="3" t="s">
        <v>179</v>
      </c>
      <c r="F168" s="3">
        <f t="shared" si="16"/>
        <v>1537.4519077837797</v>
      </c>
      <c r="H168" s="4">
        <v>4</v>
      </c>
    </row>
    <row r="169" spans="1:8" x14ac:dyDescent="0.2">
      <c r="A169" s="3" t="s">
        <v>180</v>
      </c>
      <c r="F169" s="3">
        <f t="shared" si="16"/>
        <v>1560.9198666987777</v>
      </c>
      <c r="H169" s="4">
        <v>5</v>
      </c>
    </row>
    <row r="170" spans="1:8" x14ac:dyDescent="0.2">
      <c r="A170" s="3" t="s">
        <v>181</v>
      </c>
      <c r="F170" s="3">
        <f t="shared" si="16"/>
        <v>1587.815113112767</v>
      </c>
      <c r="H170" s="4">
        <v>6</v>
      </c>
    </row>
    <row r="171" spans="1:8" x14ac:dyDescent="0.2">
      <c r="A171" s="3" t="s">
        <v>182</v>
      </c>
      <c r="F171" s="3">
        <f t="shared" si="16"/>
        <v>1573.7956200861472</v>
      </c>
      <c r="H171" s="4">
        <v>7</v>
      </c>
    </row>
    <row r="172" spans="1:8" x14ac:dyDescent="0.2">
      <c r="A172" s="3" t="s">
        <v>183</v>
      </c>
      <c r="F172" s="3">
        <f t="shared" si="16"/>
        <v>1645.1981678119773</v>
      </c>
      <c r="H172" s="4">
        <v>8</v>
      </c>
    </row>
    <row r="173" spans="1:8" x14ac:dyDescent="0.2">
      <c r="A173" s="3" t="s">
        <v>184</v>
      </c>
      <c r="F173" s="3">
        <f t="shared" si="16"/>
        <v>1585.2042380298467</v>
      </c>
      <c r="H173" s="4">
        <v>9</v>
      </c>
    </row>
    <row r="174" spans="1:8" x14ac:dyDescent="0.2">
      <c r="A174" s="3" t="s">
        <v>185</v>
      </c>
      <c r="F174" s="3">
        <f t="shared" si="16"/>
        <v>1590.0990438269773</v>
      </c>
      <c r="H174" s="4">
        <v>10</v>
      </c>
    </row>
    <row r="175" spans="1:8" x14ac:dyDescent="0.2">
      <c r="A175" s="3" t="s">
        <v>186</v>
      </c>
      <c r="F175" s="3">
        <f t="shared" si="16"/>
        <v>1614.5240624121632</v>
      </c>
      <c r="H175" s="4">
        <v>11</v>
      </c>
    </row>
    <row r="176" spans="1:8" x14ac:dyDescent="0.2">
      <c r="A176" s="3" t="s">
        <v>175</v>
      </c>
      <c r="F176" s="3">
        <f t="shared" si="16"/>
        <v>1568.5975390211752</v>
      </c>
      <c r="H176" s="4">
        <v>12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56088-2A0D-423D-9AAC-3A5F1BF0C8C8}">
  <dimension ref="A2:M158"/>
  <sheetViews>
    <sheetView workbookViewId="0">
      <selection activeCell="M14" sqref="M14"/>
    </sheetView>
  </sheetViews>
  <sheetFormatPr baseColWidth="10" defaultColWidth="8.83203125" defaultRowHeight="15" x14ac:dyDescent="0.2"/>
  <cols>
    <col min="1" max="1" width="18" bestFit="1" customWidth="1"/>
    <col min="2" max="2" width="16.5" bestFit="1" customWidth="1"/>
    <col min="3" max="3" width="14.5" customWidth="1"/>
    <col min="4" max="4" width="15.83203125" customWidth="1"/>
    <col min="5" max="5" width="12.33203125" customWidth="1"/>
    <col min="6" max="6" width="26.5" customWidth="1"/>
    <col min="9" max="9" width="12" customWidth="1"/>
    <col min="10" max="10" width="17.6640625" customWidth="1"/>
  </cols>
  <sheetData>
    <row r="2" spans="1:13" x14ac:dyDescent="0.2">
      <c r="A2" s="5" t="s">
        <v>187</v>
      </c>
      <c r="B2" s="6" t="s">
        <v>188</v>
      </c>
      <c r="C2" s="6" t="s">
        <v>189</v>
      </c>
      <c r="D2" s="3" t="s">
        <v>2</v>
      </c>
      <c r="E2" s="9" t="s">
        <v>202</v>
      </c>
      <c r="F2" s="9" t="s">
        <v>203</v>
      </c>
      <c r="G2" s="9" t="s">
        <v>173</v>
      </c>
      <c r="I2" s="10" t="s">
        <v>204</v>
      </c>
      <c r="J2" s="3">
        <f>INTERCEPT(D3:D158,A3:A158)</f>
        <v>1101.0573862696444</v>
      </c>
    </row>
    <row r="3" spans="1:13" x14ac:dyDescent="0.2">
      <c r="A3" s="7">
        <v>1</v>
      </c>
      <c r="B3" s="8">
        <v>2005</v>
      </c>
      <c r="C3" s="8" t="s">
        <v>190</v>
      </c>
      <c r="D3" s="2">
        <v>1023.2</v>
      </c>
      <c r="E3">
        <f>J$2+J$3*A3</f>
        <v>1103.8453535848441</v>
      </c>
      <c r="F3" s="11">
        <f>VLOOKUP(C3,I$7:J$18,2,FALSE)*E3</f>
        <v>1054.9174146130679</v>
      </c>
      <c r="G3" s="11">
        <f>D3-F3</f>
        <v>-31.717414613067831</v>
      </c>
      <c r="I3" s="3" t="s">
        <v>205</v>
      </c>
      <c r="J3" s="3">
        <f>SLOPE(D3:D158,A3:A158)</f>
        <v>2.7879673151996975</v>
      </c>
    </row>
    <row r="4" spans="1:13" x14ac:dyDescent="0.2">
      <c r="A4" s="7">
        <v>2</v>
      </c>
      <c r="B4" s="8"/>
      <c r="C4" s="8" t="s">
        <v>191</v>
      </c>
      <c r="D4" s="2">
        <v>1036.2</v>
      </c>
      <c r="E4">
        <f t="shared" ref="E4:E67" si="0">J$2+J$3*A4</f>
        <v>1106.6333209000438</v>
      </c>
      <c r="F4" s="11">
        <f t="shared" ref="F4:F67" si="1">VLOOKUP(C4,I$7:J$18,2,FALSE)*E4</f>
        <v>1049.2109323197569</v>
      </c>
      <c r="G4" s="11">
        <f t="shared" ref="G4:G67" si="2">D4-F4</f>
        <v>-13.010932319756876</v>
      </c>
    </row>
    <row r="5" spans="1:13" x14ac:dyDescent="0.2">
      <c r="A5" s="7">
        <v>3</v>
      </c>
      <c r="B5" s="8"/>
      <c r="C5" s="8" t="s">
        <v>192</v>
      </c>
      <c r="D5" s="2">
        <v>1022.1</v>
      </c>
      <c r="E5">
        <f t="shared" si="0"/>
        <v>1109.4212882152435</v>
      </c>
      <c r="F5" s="11">
        <f t="shared" si="1"/>
        <v>1055.5574755248142</v>
      </c>
      <c r="G5" s="11">
        <f t="shared" si="2"/>
        <v>-33.457475524814186</v>
      </c>
    </row>
    <row r="6" spans="1:13" x14ac:dyDescent="0.2">
      <c r="A6" s="7">
        <v>4</v>
      </c>
      <c r="B6" s="8"/>
      <c r="C6" s="8" t="s">
        <v>193</v>
      </c>
      <c r="D6" s="2">
        <v>1050.0999999999999</v>
      </c>
      <c r="E6">
        <f t="shared" si="0"/>
        <v>1112.2092555304432</v>
      </c>
      <c r="F6" s="11">
        <f t="shared" si="1"/>
        <v>1099.3799250915895</v>
      </c>
      <c r="G6" s="11">
        <f t="shared" si="2"/>
        <v>-49.279925091589575</v>
      </c>
      <c r="I6" s="3" t="s">
        <v>189</v>
      </c>
      <c r="J6" t="s">
        <v>206</v>
      </c>
    </row>
    <row r="7" spans="1:13" x14ac:dyDescent="0.2">
      <c r="A7" s="7">
        <v>5</v>
      </c>
      <c r="B7" s="8"/>
      <c r="C7" s="8" t="s">
        <v>194</v>
      </c>
      <c r="D7" s="2">
        <v>1105.3</v>
      </c>
      <c r="E7">
        <f t="shared" si="0"/>
        <v>1114.9972228456429</v>
      </c>
      <c r="F7" s="11">
        <f t="shared" si="1"/>
        <v>1112.8227194681572</v>
      </c>
      <c r="G7" s="11">
        <f t="shared" si="2"/>
        <v>-7.52271946815722</v>
      </c>
      <c r="I7" s="3" t="s">
        <v>190</v>
      </c>
      <c r="J7" s="11">
        <f>AVERAGEIF(C3:C158,I7,D3:D158)/AVERAGE(D3:D158)</f>
        <v>0.95567500573075925</v>
      </c>
      <c r="L7" t="s">
        <v>166</v>
      </c>
      <c r="M7">
        <f>SQRT(SUMSQ(G3:G158)/COUNT(G3:G158))</f>
        <v>38.550394013954886</v>
      </c>
    </row>
    <row r="8" spans="1:13" x14ac:dyDescent="0.2">
      <c r="A8" s="7">
        <v>6</v>
      </c>
      <c r="B8" s="8"/>
      <c r="C8" s="8" t="s">
        <v>195</v>
      </c>
      <c r="D8" s="2">
        <v>1157.3</v>
      </c>
      <c r="E8">
        <f t="shared" si="0"/>
        <v>1117.7851901608426</v>
      </c>
      <c r="F8" s="11">
        <f t="shared" si="1"/>
        <v>1144.5207746942158</v>
      </c>
      <c r="G8" s="11">
        <f t="shared" si="2"/>
        <v>12.779225305784166</v>
      </c>
      <c r="I8" s="3" t="s">
        <v>191</v>
      </c>
      <c r="J8" s="11">
        <f t="shared" ref="J8:J18" si="3">AVERAGEIF(C4:C159,I8,D4:D159)/AVERAGE(D4:D159)</f>
        <v>0.94811073596303397</v>
      </c>
    </row>
    <row r="9" spans="1:13" x14ac:dyDescent="0.2">
      <c r="A9" s="7">
        <v>7</v>
      </c>
      <c r="B9" s="8"/>
      <c r="C9" s="8" t="s">
        <v>196</v>
      </c>
      <c r="D9" s="2">
        <v>1064.9000000000001</v>
      </c>
      <c r="E9">
        <f t="shared" si="0"/>
        <v>1120.5731574760423</v>
      </c>
      <c r="F9" s="11">
        <f t="shared" si="1"/>
        <v>1124.7624233895092</v>
      </c>
      <c r="G9" s="11">
        <f t="shared" si="2"/>
        <v>-59.862423389509104</v>
      </c>
      <c r="I9" s="3" t="s">
        <v>192</v>
      </c>
      <c r="J9" s="11">
        <f t="shared" si="3"/>
        <v>0.9514487298354608</v>
      </c>
    </row>
    <row r="10" spans="1:13" x14ac:dyDescent="0.2">
      <c r="A10" s="7">
        <v>8</v>
      </c>
      <c r="B10" s="8"/>
      <c r="C10" s="8" t="s">
        <v>197</v>
      </c>
      <c r="D10" s="2">
        <v>1155.9000000000001</v>
      </c>
      <c r="E10">
        <f t="shared" si="0"/>
        <v>1123.361124791242</v>
      </c>
      <c r="F10" s="11">
        <f t="shared" si="1"/>
        <v>1161.0184124332773</v>
      </c>
      <c r="G10" s="11">
        <f t="shared" si="2"/>
        <v>-5.1184124332771717</v>
      </c>
      <c r="I10" s="3" t="s">
        <v>193</v>
      </c>
      <c r="J10" s="11">
        <f t="shared" si="3"/>
        <v>0.98846500298836748</v>
      </c>
    </row>
    <row r="11" spans="1:13" x14ac:dyDescent="0.2">
      <c r="A11" s="7">
        <v>9</v>
      </c>
      <c r="B11" s="8"/>
      <c r="C11" s="8" t="s">
        <v>198</v>
      </c>
      <c r="D11" s="2">
        <v>1140.3</v>
      </c>
      <c r="E11">
        <f t="shared" si="0"/>
        <v>1126.1490921064417</v>
      </c>
      <c r="F11" s="11">
        <f t="shared" si="1"/>
        <v>1131.5979962316328</v>
      </c>
      <c r="G11" s="11">
        <f t="shared" si="2"/>
        <v>8.702003768367149</v>
      </c>
      <c r="I11" s="3" t="s">
        <v>194</v>
      </c>
      <c r="J11" s="11">
        <f t="shared" si="3"/>
        <v>0.99804976789813327</v>
      </c>
    </row>
    <row r="12" spans="1:13" x14ac:dyDescent="0.2">
      <c r="A12" s="7">
        <v>10</v>
      </c>
      <c r="B12" s="8"/>
      <c r="C12" s="8" t="s">
        <v>199</v>
      </c>
      <c r="D12" s="2">
        <v>1098.8</v>
      </c>
      <c r="E12">
        <f t="shared" si="0"/>
        <v>1128.9370594216414</v>
      </c>
      <c r="F12" s="11">
        <f t="shared" si="1"/>
        <v>1134.6904688564352</v>
      </c>
      <c r="G12" s="11">
        <f t="shared" si="2"/>
        <v>-35.890468856435291</v>
      </c>
      <c r="I12" s="3" t="s">
        <v>195</v>
      </c>
      <c r="J12" s="11">
        <f t="shared" si="3"/>
        <v>1.0239183563789445</v>
      </c>
    </row>
    <row r="13" spans="1:13" x14ac:dyDescent="0.2">
      <c r="A13" s="7">
        <v>11</v>
      </c>
      <c r="B13" s="8"/>
      <c r="C13" s="8" t="s">
        <v>200</v>
      </c>
      <c r="D13" s="2">
        <v>1163.2</v>
      </c>
      <c r="E13">
        <f t="shared" si="0"/>
        <v>1131.7250267368411</v>
      </c>
      <c r="F13" s="11">
        <f t="shared" si="1"/>
        <v>1150.0246437325584</v>
      </c>
      <c r="G13" s="11">
        <f t="shared" si="2"/>
        <v>13.175356267441657</v>
      </c>
      <c r="I13" s="3" t="s">
        <v>196</v>
      </c>
      <c r="J13" s="11">
        <f t="shared" si="3"/>
        <v>1.0037385028237717</v>
      </c>
    </row>
    <row r="14" spans="1:13" x14ac:dyDescent="0.2">
      <c r="A14" s="7">
        <v>12</v>
      </c>
      <c r="B14" s="8"/>
      <c r="C14" s="8" t="s">
        <v>201</v>
      </c>
      <c r="D14" s="2">
        <v>1058.3</v>
      </c>
      <c r="E14">
        <f t="shared" si="0"/>
        <v>1134.5129940520408</v>
      </c>
      <c r="F14" s="11">
        <f t="shared" si="1"/>
        <v>1119.2109034968694</v>
      </c>
      <c r="G14" s="11">
        <f t="shared" si="2"/>
        <v>-60.910903496869423</v>
      </c>
      <c r="I14" s="3" t="s">
        <v>197</v>
      </c>
      <c r="J14" s="11">
        <f t="shared" si="3"/>
        <v>1.0335219786504837</v>
      </c>
    </row>
    <row r="15" spans="1:13" x14ac:dyDescent="0.2">
      <c r="A15" s="7">
        <v>13</v>
      </c>
      <c r="B15" s="8">
        <v>2006</v>
      </c>
      <c r="C15" s="8" t="s">
        <v>190</v>
      </c>
      <c r="D15" s="3">
        <v>1096</v>
      </c>
      <c r="E15">
        <f t="shared" si="0"/>
        <v>1137.3009613672405</v>
      </c>
      <c r="F15" s="11">
        <f t="shared" si="1"/>
        <v>1086.8901027722354</v>
      </c>
      <c r="G15" s="11">
        <f t="shared" si="2"/>
        <v>9.1098972277645771</v>
      </c>
      <c r="I15" s="3" t="s">
        <v>198</v>
      </c>
      <c r="J15" s="11">
        <f t="shared" si="3"/>
        <v>1.0048385281872394</v>
      </c>
    </row>
    <row r="16" spans="1:13" x14ac:dyDescent="0.2">
      <c r="A16" s="7">
        <v>14</v>
      </c>
      <c r="B16" s="8"/>
      <c r="C16" s="8" t="s">
        <v>191</v>
      </c>
      <c r="D16" s="3">
        <v>1079.8</v>
      </c>
      <c r="E16">
        <f t="shared" si="0"/>
        <v>1140.0889286824402</v>
      </c>
      <c r="F16" s="11">
        <f t="shared" si="1"/>
        <v>1080.9305532364153</v>
      </c>
      <c r="G16" s="11">
        <f t="shared" si="2"/>
        <v>-1.1305532364153805</v>
      </c>
      <c r="I16" s="3" t="s">
        <v>199</v>
      </c>
      <c r="J16" s="11">
        <f t="shared" si="3"/>
        <v>1.0050963066424106</v>
      </c>
    </row>
    <row r="17" spans="1:10" x14ac:dyDescent="0.2">
      <c r="A17" s="7">
        <v>15</v>
      </c>
      <c r="B17" s="8"/>
      <c r="C17" s="8" t="s">
        <v>192</v>
      </c>
      <c r="D17" s="3">
        <v>1098.9000000000001</v>
      </c>
      <c r="E17">
        <f t="shared" si="0"/>
        <v>1142.8768959976398</v>
      </c>
      <c r="F17" s="11">
        <f t="shared" si="1"/>
        <v>1087.3887710552485</v>
      </c>
      <c r="G17" s="11">
        <f t="shared" si="2"/>
        <v>11.511228944751565</v>
      </c>
      <c r="I17" s="3" t="s">
        <v>200</v>
      </c>
      <c r="J17" s="11">
        <f t="shared" si="3"/>
        <v>1.0161696671571199</v>
      </c>
    </row>
    <row r="18" spans="1:10" x14ac:dyDescent="0.2">
      <c r="A18" s="7">
        <v>16</v>
      </c>
      <c r="B18" s="8"/>
      <c r="C18" s="8" t="s">
        <v>193</v>
      </c>
      <c r="D18" s="3">
        <v>1102.0999999999999</v>
      </c>
      <c r="E18">
        <f t="shared" si="0"/>
        <v>1145.6648633128395</v>
      </c>
      <c r="F18" s="11">
        <f t="shared" si="1"/>
        <v>1132.4496225381936</v>
      </c>
      <c r="G18" s="11">
        <f t="shared" si="2"/>
        <v>-30.349622538193671</v>
      </c>
      <c r="I18" s="3" t="s">
        <v>201</v>
      </c>
      <c r="J18" s="11">
        <f t="shared" si="3"/>
        <v>0.98651219454039185</v>
      </c>
    </row>
    <row r="19" spans="1:10" x14ac:dyDescent="0.2">
      <c r="A19" s="7">
        <v>17</v>
      </c>
      <c r="B19" s="8"/>
      <c r="C19" s="8" t="s">
        <v>194</v>
      </c>
      <c r="D19" s="3">
        <v>1174</v>
      </c>
      <c r="E19">
        <f t="shared" si="0"/>
        <v>1148.4528306280392</v>
      </c>
      <c r="F19" s="11">
        <f t="shared" si="1"/>
        <v>1146.2130810502688</v>
      </c>
      <c r="G19" s="11">
        <f t="shared" si="2"/>
        <v>27.786918949731216</v>
      </c>
    </row>
    <row r="20" spans="1:10" x14ac:dyDescent="0.2">
      <c r="A20" s="7">
        <v>18</v>
      </c>
      <c r="B20" s="8"/>
      <c r="C20" s="8" t="s">
        <v>195</v>
      </c>
      <c r="D20" s="3">
        <v>1171</v>
      </c>
      <c r="E20">
        <f t="shared" si="0"/>
        <v>1151.2407979432389</v>
      </c>
      <c r="F20" s="11">
        <f t="shared" si="1"/>
        <v>1178.7765856264257</v>
      </c>
      <c r="G20" s="11">
        <f t="shared" si="2"/>
        <v>-7.7765856264256854</v>
      </c>
    </row>
    <row r="21" spans="1:10" x14ac:dyDescent="0.2">
      <c r="A21" s="7">
        <v>19</v>
      </c>
      <c r="B21" s="8"/>
      <c r="C21" s="8" t="s">
        <v>196</v>
      </c>
      <c r="D21" s="3">
        <v>1118.0999999999999</v>
      </c>
      <c r="E21">
        <f t="shared" si="0"/>
        <v>1154.0287652584386</v>
      </c>
      <c r="F21" s="11">
        <f t="shared" si="1"/>
        <v>1158.3431050560712</v>
      </c>
      <c r="G21" s="11">
        <f t="shared" si="2"/>
        <v>-40.243105056071272</v>
      </c>
    </row>
    <row r="22" spans="1:10" x14ac:dyDescent="0.2">
      <c r="A22" s="7">
        <v>20</v>
      </c>
      <c r="B22" s="8"/>
      <c r="C22" s="8" t="s">
        <v>197</v>
      </c>
      <c r="D22" s="3">
        <v>1239.0999999999999</v>
      </c>
      <c r="E22">
        <f t="shared" si="0"/>
        <v>1156.8167325736383</v>
      </c>
      <c r="F22" s="11">
        <f t="shared" si="1"/>
        <v>1195.5955183854942</v>
      </c>
      <c r="G22" s="11">
        <f t="shared" si="2"/>
        <v>43.504481614505721</v>
      </c>
    </row>
    <row r="23" spans="1:10" x14ac:dyDescent="0.2">
      <c r="A23" s="7">
        <v>21</v>
      </c>
      <c r="B23" s="8"/>
      <c r="C23" s="8" t="s">
        <v>198</v>
      </c>
      <c r="D23" s="3">
        <v>1164.4000000000001</v>
      </c>
      <c r="E23">
        <f t="shared" si="0"/>
        <v>1159.604699888838</v>
      </c>
      <c r="F23" s="11">
        <f t="shared" si="1"/>
        <v>1165.2154799153054</v>
      </c>
      <c r="G23" s="11">
        <f t="shared" si="2"/>
        <v>-0.81547991530533182</v>
      </c>
    </row>
    <row r="24" spans="1:10" x14ac:dyDescent="0.2">
      <c r="A24" s="7">
        <v>22</v>
      </c>
      <c r="B24" s="8"/>
      <c r="C24" s="8" t="s">
        <v>199</v>
      </c>
      <c r="D24" s="3">
        <v>1180.2</v>
      </c>
      <c r="E24">
        <f t="shared" si="0"/>
        <v>1162.3926672040377</v>
      </c>
      <c r="F24" s="11">
        <f t="shared" si="1"/>
        <v>1168.3165766749989</v>
      </c>
      <c r="G24" s="11">
        <f t="shared" si="2"/>
        <v>11.883423325001104</v>
      </c>
    </row>
    <row r="25" spans="1:10" x14ac:dyDescent="0.2">
      <c r="A25" s="7">
        <v>23</v>
      </c>
      <c r="B25" s="8"/>
      <c r="C25" s="8" t="s">
        <v>200</v>
      </c>
      <c r="D25" s="3">
        <v>1231.5999999999999</v>
      </c>
      <c r="E25">
        <f t="shared" si="0"/>
        <v>1165.1806345192374</v>
      </c>
      <c r="F25" s="11">
        <f t="shared" si="1"/>
        <v>1184.0212175573351</v>
      </c>
      <c r="G25" s="11">
        <f t="shared" si="2"/>
        <v>47.57878244266476</v>
      </c>
    </row>
    <row r="26" spans="1:10" x14ac:dyDescent="0.2">
      <c r="A26" s="7">
        <v>24</v>
      </c>
      <c r="B26" s="8"/>
      <c r="C26" s="8" t="s">
        <v>201</v>
      </c>
      <c r="D26" s="3">
        <v>1130.5</v>
      </c>
      <c r="E26">
        <f t="shared" si="0"/>
        <v>1167.9686018344371</v>
      </c>
      <c r="F26" s="11">
        <f t="shared" si="1"/>
        <v>1152.2152685499636</v>
      </c>
      <c r="G26" s="11">
        <f t="shared" si="2"/>
        <v>-21.715268549963639</v>
      </c>
    </row>
    <row r="27" spans="1:10" x14ac:dyDescent="0.2">
      <c r="A27" s="7">
        <v>25</v>
      </c>
      <c r="B27" s="8">
        <v>2007</v>
      </c>
      <c r="C27" s="8" t="s">
        <v>190</v>
      </c>
      <c r="D27" s="3">
        <v>1202.5999999999999</v>
      </c>
      <c r="E27">
        <f t="shared" si="0"/>
        <v>1170.7565691496368</v>
      </c>
      <c r="F27" s="11">
        <f t="shared" si="1"/>
        <v>1118.8627909314032</v>
      </c>
      <c r="G27" s="11">
        <f t="shared" si="2"/>
        <v>83.737209068596712</v>
      </c>
    </row>
    <row r="28" spans="1:10" x14ac:dyDescent="0.2">
      <c r="A28" s="7">
        <v>26</v>
      </c>
      <c r="B28" s="8"/>
      <c r="C28" s="8" t="s">
        <v>191</v>
      </c>
      <c r="D28" s="3">
        <v>1098.3</v>
      </c>
      <c r="E28">
        <f t="shared" si="0"/>
        <v>1173.5445364648365</v>
      </c>
      <c r="F28" s="11">
        <f t="shared" si="1"/>
        <v>1112.6501741530737</v>
      </c>
      <c r="G28" s="11">
        <f t="shared" si="2"/>
        <v>-14.350174153073795</v>
      </c>
    </row>
    <row r="29" spans="1:10" x14ac:dyDescent="0.2">
      <c r="A29" s="7">
        <v>27</v>
      </c>
      <c r="B29" s="8"/>
      <c r="C29" s="8" t="s">
        <v>192</v>
      </c>
      <c r="D29" s="3">
        <v>1182.4000000000001</v>
      </c>
      <c r="E29">
        <f t="shared" si="0"/>
        <v>1176.3325037800362</v>
      </c>
      <c r="F29" s="11">
        <f t="shared" si="1"/>
        <v>1119.2200665856828</v>
      </c>
      <c r="G29" s="11">
        <f t="shared" si="2"/>
        <v>63.179933414317247</v>
      </c>
    </row>
    <row r="30" spans="1:10" x14ac:dyDescent="0.2">
      <c r="A30" s="7">
        <v>28</v>
      </c>
      <c r="B30" s="8"/>
      <c r="C30" s="8" t="s">
        <v>193</v>
      </c>
      <c r="D30" s="3">
        <v>1180.9000000000001</v>
      </c>
      <c r="E30">
        <f t="shared" si="0"/>
        <v>1179.1204710952359</v>
      </c>
      <c r="F30" s="11">
        <f t="shared" si="1"/>
        <v>1165.5193199847977</v>
      </c>
      <c r="G30" s="11">
        <f t="shared" si="2"/>
        <v>15.380680015202415</v>
      </c>
    </row>
    <row r="31" spans="1:10" x14ac:dyDescent="0.2">
      <c r="A31" s="7">
        <v>29</v>
      </c>
      <c r="B31" s="8"/>
      <c r="C31" s="8" t="s">
        <v>194</v>
      </c>
      <c r="D31" s="3">
        <v>1251.2</v>
      </c>
      <c r="E31">
        <f t="shared" si="0"/>
        <v>1181.9084384104356</v>
      </c>
      <c r="F31" s="11">
        <f t="shared" si="1"/>
        <v>1179.6034426323804</v>
      </c>
      <c r="G31" s="11">
        <f t="shared" si="2"/>
        <v>71.596557367619653</v>
      </c>
    </row>
    <row r="32" spans="1:10" x14ac:dyDescent="0.2">
      <c r="A32" s="7">
        <v>30</v>
      </c>
      <c r="B32" s="8"/>
      <c r="C32" s="8" t="s">
        <v>195</v>
      </c>
      <c r="D32" s="3">
        <v>1212.5999999999999</v>
      </c>
      <c r="E32">
        <f t="shared" si="0"/>
        <v>1184.6964057256355</v>
      </c>
      <c r="F32" s="11">
        <f t="shared" si="1"/>
        <v>1213.0323965586358</v>
      </c>
      <c r="G32" s="11">
        <f t="shared" si="2"/>
        <v>-0.43239655863590087</v>
      </c>
    </row>
    <row r="33" spans="1:7" x14ac:dyDescent="0.2">
      <c r="A33" s="7">
        <v>31</v>
      </c>
      <c r="B33" s="8"/>
      <c r="C33" s="8" t="s">
        <v>196</v>
      </c>
      <c r="D33" s="3">
        <v>1225.2</v>
      </c>
      <c r="E33">
        <f t="shared" si="0"/>
        <v>1187.4843730408352</v>
      </c>
      <c r="F33" s="11">
        <f t="shared" si="1"/>
        <v>1191.9237867226332</v>
      </c>
      <c r="G33" s="11">
        <f t="shared" si="2"/>
        <v>33.276213277366878</v>
      </c>
    </row>
    <row r="34" spans="1:7" x14ac:dyDescent="0.2">
      <c r="A34" s="7">
        <v>32</v>
      </c>
      <c r="B34" s="8"/>
      <c r="C34" s="8" t="s">
        <v>197</v>
      </c>
      <c r="D34" s="3">
        <v>1268.2</v>
      </c>
      <c r="E34">
        <f t="shared" si="0"/>
        <v>1190.2723403560349</v>
      </c>
      <c r="F34" s="11">
        <f t="shared" si="1"/>
        <v>1230.1726243377111</v>
      </c>
      <c r="G34" s="11">
        <f t="shared" si="2"/>
        <v>38.027375662288932</v>
      </c>
    </row>
    <row r="35" spans="1:7" x14ac:dyDescent="0.2">
      <c r="A35" s="7">
        <v>33</v>
      </c>
      <c r="B35" s="8"/>
      <c r="C35" s="8" t="s">
        <v>198</v>
      </c>
      <c r="D35" s="3">
        <v>1182.2</v>
      </c>
      <c r="E35">
        <f t="shared" si="0"/>
        <v>1193.0603076712346</v>
      </c>
      <c r="F35" s="11">
        <f t="shared" si="1"/>
        <v>1198.8329635989783</v>
      </c>
      <c r="G35" s="11">
        <f t="shared" si="2"/>
        <v>-16.632963598978222</v>
      </c>
    </row>
    <row r="36" spans="1:7" x14ac:dyDescent="0.2">
      <c r="A36" s="7">
        <v>34</v>
      </c>
      <c r="B36" s="8"/>
      <c r="C36" s="8" t="s">
        <v>199</v>
      </c>
      <c r="D36" s="3">
        <v>1253.5</v>
      </c>
      <c r="E36">
        <f t="shared" si="0"/>
        <v>1195.8482749864343</v>
      </c>
      <c r="F36" s="11">
        <f t="shared" si="1"/>
        <v>1201.9426844935629</v>
      </c>
      <c r="G36" s="11">
        <f t="shared" si="2"/>
        <v>51.557315506437135</v>
      </c>
    </row>
    <row r="37" spans="1:7" x14ac:dyDescent="0.2">
      <c r="A37" s="7">
        <v>35</v>
      </c>
      <c r="B37" s="8"/>
      <c r="C37" s="8" t="s">
        <v>200</v>
      </c>
      <c r="D37" s="3">
        <v>1271.4000000000001</v>
      </c>
      <c r="E37">
        <f t="shared" si="0"/>
        <v>1198.636242301634</v>
      </c>
      <c r="F37" s="11">
        <f t="shared" si="1"/>
        <v>1218.0177913821124</v>
      </c>
      <c r="G37" s="11">
        <f t="shared" si="2"/>
        <v>53.382208617887727</v>
      </c>
    </row>
    <row r="38" spans="1:7" x14ac:dyDescent="0.2">
      <c r="A38" s="7">
        <v>36</v>
      </c>
      <c r="B38" s="8"/>
      <c r="C38" s="8" t="s">
        <v>201</v>
      </c>
      <c r="D38" s="3">
        <v>1192.0999999999999</v>
      </c>
      <c r="E38">
        <f t="shared" si="0"/>
        <v>1201.4242096168337</v>
      </c>
      <c r="F38" s="11">
        <f t="shared" si="1"/>
        <v>1185.2196336030584</v>
      </c>
      <c r="G38" s="11">
        <f t="shared" si="2"/>
        <v>6.8803663969415538</v>
      </c>
    </row>
    <row r="39" spans="1:7" x14ac:dyDescent="0.2">
      <c r="A39" s="7">
        <v>37</v>
      </c>
      <c r="B39" s="8">
        <v>2008</v>
      </c>
      <c r="C39" s="8" t="s">
        <v>190</v>
      </c>
      <c r="D39" s="3">
        <v>1248.7</v>
      </c>
      <c r="E39">
        <f t="shared" si="0"/>
        <v>1204.2121769320333</v>
      </c>
      <c r="F39" s="11">
        <f t="shared" si="1"/>
        <v>1150.835479090571</v>
      </c>
      <c r="G39" s="11">
        <f t="shared" si="2"/>
        <v>97.864520909429075</v>
      </c>
    </row>
    <row r="40" spans="1:7" x14ac:dyDescent="0.2">
      <c r="A40" s="7">
        <v>38</v>
      </c>
      <c r="B40" s="8"/>
      <c r="C40" s="8" t="s">
        <v>191</v>
      </c>
      <c r="D40" s="3">
        <v>1217.0999999999999</v>
      </c>
      <c r="E40">
        <f t="shared" si="0"/>
        <v>1207.000144247233</v>
      </c>
      <c r="F40" s="11">
        <f t="shared" si="1"/>
        <v>1144.3697950697322</v>
      </c>
      <c r="G40" s="11">
        <f t="shared" si="2"/>
        <v>72.730204930267746</v>
      </c>
    </row>
    <row r="41" spans="1:7" x14ac:dyDescent="0.2">
      <c r="A41" s="7">
        <v>39</v>
      </c>
      <c r="B41" s="8"/>
      <c r="C41" s="8" t="s">
        <v>192</v>
      </c>
      <c r="D41" s="3">
        <v>1163.0999999999999</v>
      </c>
      <c r="E41">
        <f t="shared" si="0"/>
        <v>1209.7881115624327</v>
      </c>
      <c r="F41" s="11">
        <f t="shared" si="1"/>
        <v>1151.0513621161174</v>
      </c>
      <c r="G41" s="11">
        <f t="shared" si="2"/>
        <v>12.04863788388252</v>
      </c>
    </row>
    <row r="42" spans="1:7" x14ac:dyDescent="0.2">
      <c r="A42" s="7">
        <v>40</v>
      </c>
      <c r="B42" s="8"/>
      <c r="C42" s="8" t="s">
        <v>193</v>
      </c>
      <c r="D42" s="3">
        <v>1281.4000000000001</v>
      </c>
      <c r="E42">
        <f t="shared" si="0"/>
        <v>1212.5760788776324</v>
      </c>
      <c r="F42" s="11">
        <f t="shared" si="1"/>
        <v>1198.5890174314018</v>
      </c>
      <c r="G42" s="11">
        <f t="shared" si="2"/>
        <v>82.81098256859832</v>
      </c>
    </row>
    <row r="43" spans="1:7" x14ac:dyDescent="0.2">
      <c r="A43" s="7">
        <v>41</v>
      </c>
      <c r="B43" s="8"/>
      <c r="C43" s="8" t="s">
        <v>194</v>
      </c>
      <c r="D43" s="3">
        <v>1249.0999999999999</v>
      </c>
      <c r="E43">
        <f t="shared" si="0"/>
        <v>1215.3640461928321</v>
      </c>
      <c r="F43" s="11">
        <f t="shared" si="1"/>
        <v>1212.9938042144922</v>
      </c>
      <c r="G43" s="11">
        <f t="shared" si="2"/>
        <v>36.10619578550768</v>
      </c>
    </row>
    <row r="44" spans="1:7" x14ac:dyDescent="0.2">
      <c r="A44" s="7">
        <v>42</v>
      </c>
      <c r="B44" s="8"/>
      <c r="C44" s="8" t="s">
        <v>195</v>
      </c>
      <c r="D44" s="3">
        <v>1311.2</v>
      </c>
      <c r="E44">
        <f t="shared" si="0"/>
        <v>1218.1520135080318</v>
      </c>
      <c r="F44" s="11">
        <f t="shared" si="1"/>
        <v>1247.2882074908457</v>
      </c>
      <c r="G44" s="11">
        <f t="shared" si="2"/>
        <v>63.911792509154338</v>
      </c>
    </row>
    <row r="45" spans="1:7" x14ac:dyDescent="0.2">
      <c r="A45" s="7">
        <v>43</v>
      </c>
      <c r="B45" s="8"/>
      <c r="C45" s="8" t="s">
        <v>196</v>
      </c>
      <c r="D45" s="3">
        <v>1298.7</v>
      </c>
      <c r="E45">
        <f t="shared" si="0"/>
        <v>1220.9399808232315</v>
      </c>
      <c r="F45" s="11">
        <f t="shared" si="1"/>
        <v>1225.5044683891949</v>
      </c>
      <c r="G45" s="11">
        <f t="shared" si="2"/>
        <v>73.195531610805119</v>
      </c>
    </row>
    <row r="46" spans="1:7" x14ac:dyDescent="0.2">
      <c r="A46" s="7">
        <v>44</v>
      </c>
      <c r="B46" s="8"/>
      <c r="C46" s="8" t="s">
        <v>197</v>
      </c>
      <c r="D46" s="3">
        <v>1190.2</v>
      </c>
      <c r="E46">
        <f t="shared" si="0"/>
        <v>1223.7279481384312</v>
      </c>
      <c r="F46" s="11">
        <f t="shared" si="1"/>
        <v>1264.7497302899278</v>
      </c>
      <c r="G46" s="11">
        <f t="shared" si="2"/>
        <v>-74.549730289927766</v>
      </c>
    </row>
    <row r="47" spans="1:7" x14ac:dyDescent="0.2">
      <c r="A47" s="7">
        <v>45</v>
      </c>
      <c r="B47" s="8"/>
      <c r="C47" s="8" t="s">
        <v>198</v>
      </c>
      <c r="D47" s="3">
        <v>1298.5999999999999</v>
      </c>
      <c r="E47">
        <f t="shared" si="0"/>
        <v>1226.5159154536309</v>
      </c>
      <c r="F47" s="11">
        <f t="shared" si="1"/>
        <v>1232.4504472826511</v>
      </c>
      <c r="G47" s="11">
        <f t="shared" si="2"/>
        <v>66.149552717348797</v>
      </c>
    </row>
    <row r="48" spans="1:7" x14ac:dyDescent="0.2">
      <c r="A48" s="7">
        <v>46</v>
      </c>
      <c r="B48" s="8"/>
      <c r="C48" s="8" t="s">
        <v>199</v>
      </c>
      <c r="D48" s="3">
        <v>1282.5999999999999</v>
      </c>
      <c r="E48">
        <f t="shared" si="0"/>
        <v>1229.3038827688306</v>
      </c>
      <c r="F48" s="11">
        <f t="shared" si="1"/>
        <v>1235.5687923121266</v>
      </c>
      <c r="G48" s="11">
        <f t="shared" si="2"/>
        <v>47.031207687873348</v>
      </c>
    </row>
    <row r="49" spans="1:7" x14ac:dyDescent="0.2">
      <c r="A49" s="7">
        <v>47</v>
      </c>
      <c r="B49" s="8"/>
      <c r="C49" s="8" t="s">
        <v>200</v>
      </c>
      <c r="D49" s="3">
        <v>1218.4000000000001</v>
      </c>
      <c r="E49">
        <f t="shared" si="0"/>
        <v>1232.0918500840303</v>
      </c>
      <c r="F49" s="11">
        <f t="shared" si="1"/>
        <v>1252.0143652068891</v>
      </c>
      <c r="G49" s="11">
        <f t="shared" si="2"/>
        <v>-33.614365206889033</v>
      </c>
    </row>
    <row r="50" spans="1:7" x14ac:dyDescent="0.2">
      <c r="A50" s="7">
        <v>48</v>
      </c>
      <c r="B50" s="8"/>
      <c r="C50" s="8" t="s">
        <v>201</v>
      </c>
      <c r="D50" s="3">
        <v>1245.8</v>
      </c>
      <c r="E50">
        <f t="shared" si="0"/>
        <v>1234.87981739923</v>
      </c>
      <c r="F50" s="11">
        <f t="shared" si="1"/>
        <v>1218.2239986561526</v>
      </c>
      <c r="G50" s="11">
        <f t="shared" si="2"/>
        <v>27.576001343847338</v>
      </c>
    </row>
    <row r="51" spans="1:7" x14ac:dyDescent="0.2">
      <c r="A51" s="7">
        <v>49</v>
      </c>
      <c r="B51" s="8">
        <v>2009</v>
      </c>
      <c r="C51" s="8" t="s">
        <v>190</v>
      </c>
      <c r="D51" s="3">
        <v>1169.5</v>
      </c>
      <c r="E51">
        <f t="shared" si="0"/>
        <v>1237.6677847144297</v>
      </c>
      <c r="F51" s="11">
        <f t="shared" si="1"/>
        <v>1182.8081672497387</v>
      </c>
      <c r="G51" s="11">
        <f t="shared" si="2"/>
        <v>-13.308167249738744</v>
      </c>
    </row>
    <row r="52" spans="1:7" x14ac:dyDescent="0.2">
      <c r="A52" s="7">
        <v>50</v>
      </c>
      <c r="B52" s="8"/>
      <c r="C52" s="8" t="s">
        <v>191</v>
      </c>
      <c r="D52" s="3">
        <v>1190.2</v>
      </c>
      <c r="E52">
        <f t="shared" si="0"/>
        <v>1240.4557520296294</v>
      </c>
      <c r="F52" s="11">
        <f t="shared" si="1"/>
        <v>1176.0894159863906</v>
      </c>
      <c r="G52" s="11">
        <f t="shared" si="2"/>
        <v>14.110584013609468</v>
      </c>
    </row>
    <row r="53" spans="1:7" x14ac:dyDescent="0.2">
      <c r="A53" s="7">
        <v>51</v>
      </c>
      <c r="B53" s="8"/>
      <c r="C53" s="8" t="s">
        <v>192</v>
      </c>
      <c r="D53" s="3">
        <v>1188.3</v>
      </c>
      <c r="E53">
        <f t="shared" si="0"/>
        <v>1243.2437193448291</v>
      </c>
      <c r="F53" s="11">
        <f t="shared" si="1"/>
        <v>1182.8826576465517</v>
      </c>
      <c r="G53" s="11">
        <f t="shared" si="2"/>
        <v>5.4173423534482481</v>
      </c>
    </row>
    <row r="54" spans="1:7" x14ac:dyDescent="0.2">
      <c r="A54" s="7">
        <v>52</v>
      </c>
      <c r="B54" s="8"/>
      <c r="C54" s="8" t="s">
        <v>193</v>
      </c>
      <c r="D54" s="3">
        <v>1211.7</v>
      </c>
      <c r="E54">
        <f t="shared" si="0"/>
        <v>1246.0316866600288</v>
      </c>
      <c r="F54" s="11">
        <f t="shared" si="1"/>
        <v>1231.6587148780059</v>
      </c>
      <c r="G54" s="11">
        <f t="shared" si="2"/>
        <v>-19.958714878005821</v>
      </c>
    </row>
    <row r="55" spans="1:7" x14ac:dyDescent="0.2">
      <c r="A55" s="7">
        <v>53</v>
      </c>
      <c r="B55" s="8"/>
      <c r="C55" s="8" t="s">
        <v>194</v>
      </c>
      <c r="D55" s="3">
        <v>1207.2</v>
      </c>
      <c r="E55">
        <f t="shared" si="0"/>
        <v>1248.8196539752284</v>
      </c>
      <c r="F55" s="11">
        <f t="shared" si="1"/>
        <v>1246.3841657966038</v>
      </c>
      <c r="G55" s="11">
        <f t="shared" si="2"/>
        <v>-39.184165796603793</v>
      </c>
    </row>
    <row r="56" spans="1:7" x14ac:dyDescent="0.2">
      <c r="A56" s="7">
        <v>54</v>
      </c>
      <c r="B56" s="8"/>
      <c r="C56" s="8" t="s">
        <v>195</v>
      </c>
      <c r="D56" s="3">
        <v>1315.3</v>
      </c>
      <c r="E56">
        <f t="shared" si="0"/>
        <v>1251.6076212904281</v>
      </c>
      <c r="F56" s="11">
        <f t="shared" si="1"/>
        <v>1281.5440184230556</v>
      </c>
      <c r="G56" s="11">
        <f t="shared" si="2"/>
        <v>33.75598157694435</v>
      </c>
    </row>
    <row r="57" spans="1:7" x14ac:dyDescent="0.2">
      <c r="A57" s="7">
        <v>55</v>
      </c>
      <c r="B57" s="8"/>
      <c r="C57" s="8" t="s">
        <v>196</v>
      </c>
      <c r="D57" s="3">
        <v>1304.7</v>
      </c>
      <c r="E57">
        <f t="shared" si="0"/>
        <v>1254.3955886056278</v>
      </c>
      <c r="F57" s="11">
        <f t="shared" si="1"/>
        <v>1259.0851500557569</v>
      </c>
      <c r="G57" s="11">
        <f t="shared" si="2"/>
        <v>45.614849944243133</v>
      </c>
    </row>
    <row r="58" spans="1:7" x14ac:dyDescent="0.2">
      <c r="A58" s="7">
        <v>56</v>
      </c>
      <c r="B58" s="8"/>
      <c r="C58" s="8" t="s">
        <v>197</v>
      </c>
      <c r="D58" s="3">
        <v>1241.4000000000001</v>
      </c>
      <c r="E58">
        <f t="shared" si="0"/>
        <v>1257.1835559208275</v>
      </c>
      <c r="F58" s="11">
        <f t="shared" si="1"/>
        <v>1299.3268362421447</v>
      </c>
      <c r="G58" s="11">
        <f t="shared" si="2"/>
        <v>-57.926836242144645</v>
      </c>
    </row>
    <row r="59" spans="1:7" x14ac:dyDescent="0.2">
      <c r="A59" s="7">
        <v>57</v>
      </c>
      <c r="B59" s="8"/>
      <c r="C59" s="8" t="s">
        <v>198</v>
      </c>
      <c r="D59" s="3">
        <v>1241.8</v>
      </c>
      <c r="E59">
        <f t="shared" si="0"/>
        <v>1259.9715232360272</v>
      </c>
      <c r="F59" s="11">
        <f t="shared" si="1"/>
        <v>1266.0679309663237</v>
      </c>
      <c r="G59" s="11">
        <f t="shared" si="2"/>
        <v>-24.267930966323775</v>
      </c>
    </row>
    <row r="60" spans="1:7" x14ac:dyDescent="0.2">
      <c r="A60" s="7">
        <v>58</v>
      </c>
      <c r="B60" s="8"/>
      <c r="C60" s="8" t="s">
        <v>199</v>
      </c>
      <c r="D60" s="3">
        <v>1277.5</v>
      </c>
      <c r="E60">
        <f t="shared" si="0"/>
        <v>1262.7594905512269</v>
      </c>
      <c r="F60" s="11">
        <f t="shared" si="1"/>
        <v>1269.19490013069</v>
      </c>
      <c r="G60" s="11">
        <f t="shared" si="2"/>
        <v>8.30509986930997</v>
      </c>
    </row>
    <row r="61" spans="1:7" x14ac:dyDescent="0.2">
      <c r="A61" s="7">
        <v>59</v>
      </c>
      <c r="B61" s="8"/>
      <c r="C61" s="8" t="s">
        <v>200</v>
      </c>
      <c r="D61" s="3">
        <v>1222.7</v>
      </c>
      <c r="E61">
        <f t="shared" si="0"/>
        <v>1265.5474578664266</v>
      </c>
      <c r="F61" s="11">
        <f t="shared" si="1"/>
        <v>1286.0109390316659</v>
      </c>
      <c r="G61" s="11">
        <f t="shared" si="2"/>
        <v>-63.310939031665839</v>
      </c>
    </row>
    <row r="62" spans="1:7" x14ac:dyDescent="0.2">
      <c r="A62" s="7">
        <v>60</v>
      </c>
      <c r="B62" s="8"/>
      <c r="C62" s="8" t="s">
        <v>201</v>
      </c>
      <c r="D62" s="3">
        <v>1229.7</v>
      </c>
      <c r="E62">
        <f t="shared" si="0"/>
        <v>1268.3354251816263</v>
      </c>
      <c r="F62" s="11">
        <f t="shared" si="1"/>
        <v>1251.2283637092471</v>
      </c>
      <c r="G62" s="11">
        <f t="shared" si="2"/>
        <v>-21.52836370924706</v>
      </c>
    </row>
    <row r="63" spans="1:7" x14ac:dyDescent="0.2">
      <c r="A63" s="7">
        <v>61</v>
      </c>
      <c r="B63" s="8">
        <v>2010</v>
      </c>
      <c r="C63" s="8" t="s">
        <v>190</v>
      </c>
      <c r="D63" s="3">
        <v>1161.7</v>
      </c>
      <c r="E63">
        <f t="shared" si="0"/>
        <v>1271.123392496826</v>
      </c>
      <c r="F63" s="11">
        <f t="shared" si="1"/>
        <v>1214.7808554089063</v>
      </c>
      <c r="G63" s="11">
        <f t="shared" si="2"/>
        <v>-53.080855408906245</v>
      </c>
    </row>
    <row r="64" spans="1:7" x14ac:dyDescent="0.2">
      <c r="A64" s="7">
        <v>62</v>
      </c>
      <c r="B64" s="8"/>
      <c r="C64" s="8" t="s">
        <v>191</v>
      </c>
      <c r="D64" s="3">
        <v>1180</v>
      </c>
      <c r="E64">
        <f t="shared" si="0"/>
        <v>1273.9113598120257</v>
      </c>
      <c r="F64" s="11">
        <f t="shared" si="1"/>
        <v>1207.809036903049</v>
      </c>
      <c r="G64" s="11">
        <f t="shared" si="2"/>
        <v>-27.809036903048991</v>
      </c>
    </row>
    <row r="65" spans="1:7" x14ac:dyDescent="0.2">
      <c r="A65" s="7">
        <v>63</v>
      </c>
      <c r="B65" s="8"/>
      <c r="C65" s="8" t="s">
        <v>192</v>
      </c>
      <c r="D65" s="3">
        <v>1345.4</v>
      </c>
      <c r="E65">
        <f t="shared" si="0"/>
        <v>1276.6993271272254</v>
      </c>
      <c r="F65" s="11">
        <f t="shared" si="1"/>
        <v>1214.713953176986</v>
      </c>
      <c r="G65" s="11">
        <f t="shared" si="2"/>
        <v>130.68604682301407</v>
      </c>
    </row>
    <row r="66" spans="1:7" x14ac:dyDescent="0.2">
      <c r="A66" s="7">
        <v>64</v>
      </c>
      <c r="B66" s="8"/>
      <c r="C66" s="8" t="s">
        <v>193</v>
      </c>
      <c r="D66" s="3">
        <v>1308.8</v>
      </c>
      <c r="E66">
        <f t="shared" si="0"/>
        <v>1279.4872944424251</v>
      </c>
      <c r="F66" s="11">
        <f t="shared" si="1"/>
        <v>1264.72841232461</v>
      </c>
      <c r="G66" s="11">
        <f t="shared" si="2"/>
        <v>44.071587675389992</v>
      </c>
    </row>
    <row r="67" spans="1:7" x14ac:dyDescent="0.2">
      <c r="A67" s="7">
        <v>65</v>
      </c>
      <c r="B67" s="8"/>
      <c r="C67" s="8" t="s">
        <v>194</v>
      </c>
      <c r="D67" s="3">
        <v>1235</v>
      </c>
      <c r="E67">
        <f t="shared" si="0"/>
        <v>1282.2752617576248</v>
      </c>
      <c r="F67" s="11">
        <f t="shared" si="1"/>
        <v>1279.7745273787154</v>
      </c>
      <c r="G67" s="11">
        <f t="shared" si="2"/>
        <v>-44.774527378715447</v>
      </c>
    </row>
    <row r="68" spans="1:7" x14ac:dyDescent="0.2">
      <c r="A68" s="7">
        <v>66</v>
      </c>
      <c r="B68" s="8"/>
      <c r="C68" s="8" t="s">
        <v>195</v>
      </c>
      <c r="D68" s="3">
        <v>1373.2</v>
      </c>
      <c r="E68">
        <f t="shared" ref="E68:E131" si="4">J$2+J$3*A68</f>
        <v>1285.0632290728245</v>
      </c>
      <c r="F68" s="11">
        <f t="shared" ref="F68:F131" si="5">VLOOKUP(C68,I$7:J$18,2,FALSE)*E68</f>
        <v>1315.7998293552655</v>
      </c>
      <c r="G68" s="11">
        <f t="shared" ref="G68:G131" si="6">D68-F68</f>
        <v>57.400170644734544</v>
      </c>
    </row>
    <row r="69" spans="1:7" x14ac:dyDescent="0.2">
      <c r="A69" s="7">
        <v>67</v>
      </c>
      <c r="B69" s="8"/>
      <c r="C69" s="8" t="s">
        <v>196</v>
      </c>
      <c r="D69" s="3">
        <v>1317.3</v>
      </c>
      <c r="E69">
        <f t="shared" si="4"/>
        <v>1287.8511963880242</v>
      </c>
      <c r="F69" s="11">
        <f t="shared" si="5"/>
        <v>1292.6658317223187</v>
      </c>
      <c r="G69" s="11">
        <f t="shared" si="6"/>
        <v>24.634168277681283</v>
      </c>
    </row>
    <row r="70" spans="1:7" x14ac:dyDescent="0.2">
      <c r="A70" s="7">
        <v>68</v>
      </c>
      <c r="B70" s="8"/>
      <c r="C70" s="8" t="s">
        <v>197</v>
      </c>
      <c r="D70" s="3">
        <v>1308.3</v>
      </c>
      <c r="E70">
        <f t="shared" si="4"/>
        <v>1290.6391637032239</v>
      </c>
      <c r="F70" s="11">
        <f t="shared" si="5"/>
        <v>1333.9039421943614</v>
      </c>
      <c r="G70" s="11">
        <f t="shared" si="6"/>
        <v>-25.60394219436148</v>
      </c>
    </row>
    <row r="71" spans="1:7" x14ac:dyDescent="0.2">
      <c r="A71" s="7">
        <v>69</v>
      </c>
      <c r="B71" s="8"/>
      <c r="C71" s="8" t="s">
        <v>198</v>
      </c>
      <c r="D71" s="3">
        <v>1287.3</v>
      </c>
      <c r="E71">
        <f t="shared" si="4"/>
        <v>1293.4271310184236</v>
      </c>
      <c r="F71" s="11">
        <f t="shared" si="5"/>
        <v>1299.6854146499963</v>
      </c>
      <c r="G71" s="11">
        <f t="shared" si="6"/>
        <v>-12.385414649996392</v>
      </c>
    </row>
    <row r="72" spans="1:7" x14ac:dyDescent="0.2">
      <c r="A72" s="7">
        <v>70</v>
      </c>
      <c r="B72" s="8"/>
      <c r="C72" s="8" t="s">
        <v>199</v>
      </c>
      <c r="D72" s="3">
        <v>1278.3</v>
      </c>
      <c r="E72">
        <f t="shared" si="4"/>
        <v>1296.2150983336232</v>
      </c>
      <c r="F72" s="11">
        <f t="shared" si="5"/>
        <v>1302.8210079492537</v>
      </c>
      <c r="G72" s="11">
        <f t="shared" si="6"/>
        <v>-24.521007949253772</v>
      </c>
    </row>
    <row r="73" spans="1:7" x14ac:dyDescent="0.2">
      <c r="A73" s="7">
        <v>71</v>
      </c>
      <c r="B73" s="8"/>
      <c r="C73" s="8" t="s">
        <v>200</v>
      </c>
      <c r="D73" s="3">
        <v>1299.2</v>
      </c>
      <c r="E73">
        <f t="shared" si="4"/>
        <v>1299.0030656488229</v>
      </c>
      <c r="F73" s="11">
        <f t="shared" si="5"/>
        <v>1320.0075128564426</v>
      </c>
      <c r="G73" s="11">
        <f t="shared" si="6"/>
        <v>-20.8075128564426</v>
      </c>
    </row>
    <row r="74" spans="1:7" x14ac:dyDescent="0.2">
      <c r="A74" s="7">
        <v>72</v>
      </c>
      <c r="B74" s="8"/>
      <c r="C74" s="8" t="s">
        <v>201</v>
      </c>
      <c r="D74" s="3">
        <v>1375.3</v>
      </c>
      <c r="E74">
        <f t="shared" si="4"/>
        <v>1301.7910329640226</v>
      </c>
      <c r="F74" s="11">
        <f t="shared" si="5"/>
        <v>1284.2327287623416</v>
      </c>
      <c r="G74" s="11">
        <f t="shared" si="6"/>
        <v>91.06727123765836</v>
      </c>
    </row>
    <row r="75" spans="1:7" x14ac:dyDescent="0.2">
      <c r="A75" s="7">
        <v>73</v>
      </c>
      <c r="B75" s="8">
        <v>2011</v>
      </c>
      <c r="C75" s="8" t="s">
        <v>190</v>
      </c>
      <c r="D75" s="3">
        <v>1266.4000000000001</v>
      </c>
      <c r="E75">
        <f t="shared" si="4"/>
        <v>1304.5790002792223</v>
      </c>
      <c r="F75" s="11">
        <f t="shared" si="5"/>
        <v>1246.7535435680741</v>
      </c>
      <c r="G75" s="11">
        <f t="shared" si="6"/>
        <v>19.646456431926026</v>
      </c>
    </row>
    <row r="76" spans="1:7" x14ac:dyDescent="0.2">
      <c r="A76" s="7">
        <v>74</v>
      </c>
      <c r="B76" s="8"/>
      <c r="C76" s="8" t="s">
        <v>191</v>
      </c>
      <c r="D76" s="3">
        <v>1253.8</v>
      </c>
      <c r="E76">
        <f t="shared" si="4"/>
        <v>1307.366967594422</v>
      </c>
      <c r="F76" s="11">
        <f t="shared" si="5"/>
        <v>1239.5286578197074</v>
      </c>
      <c r="G76" s="11">
        <f t="shared" si="6"/>
        <v>14.27134218029255</v>
      </c>
    </row>
    <row r="77" spans="1:7" x14ac:dyDescent="0.2">
      <c r="A77" s="7">
        <v>75</v>
      </c>
      <c r="B77" s="8"/>
      <c r="C77" s="8" t="s">
        <v>192</v>
      </c>
      <c r="D77" s="3">
        <v>1261.5</v>
      </c>
      <c r="E77">
        <f t="shared" si="4"/>
        <v>1310.1549349096217</v>
      </c>
      <c r="F77" s="11">
        <f t="shared" si="5"/>
        <v>1246.5452487074203</v>
      </c>
      <c r="G77" s="11">
        <f t="shared" si="6"/>
        <v>14.954751292579658</v>
      </c>
    </row>
    <row r="78" spans="1:7" x14ac:dyDescent="0.2">
      <c r="A78" s="7">
        <v>76</v>
      </c>
      <c r="B78" s="8"/>
      <c r="C78" s="8" t="s">
        <v>193</v>
      </c>
      <c r="D78" s="3">
        <v>1283.4000000000001</v>
      </c>
      <c r="E78">
        <f t="shared" si="4"/>
        <v>1312.9429022248214</v>
      </c>
      <c r="F78" s="11">
        <f t="shared" si="5"/>
        <v>1297.7981097712141</v>
      </c>
      <c r="G78" s="11">
        <f t="shared" si="6"/>
        <v>-14.398109771213967</v>
      </c>
    </row>
    <row r="79" spans="1:7" x14ac:dyDescent="0.2">
      <c r="A79" s="7">
        <v>77</v>
      </c>
      <c r="B79" s="8"/>
      <c r="C79" s="8" t="s">
        <v>194</v>
      </c>
      <c r="D79" s="3">
        <v>1314.3</v>
      </c>
      <c r="E79">
        <f t="shared" si="4"/>
        <v>1315.7308695400211</v>
      </c>
      <c r="F79" s="11">
        <f t="shared" si="5"/>
        <v>1313.1648889608271</v>
      </c>
      <c r="G79" s="11">
        <f t="shared" si="6"/>
        <v>1.135111039172898</v>
      </c>
    </row>
    <row r="80" spans="1:7" x14ac:dyDescent="0.2">
      <c r="A80" s="7">
        <v>78</v>
      </c>
      <c r="B80" s="8"/>
      <c r="C80" s="8" t="s">
        <v>195</v>
      </c>
      <c r="D80" s="3">
        <v>1405.6</v>
      </c>
      <c r="E80">
        <f t="shared" si="4"/>
        <v>1318.5188368552208</v>
      </c>
      <c r="F80" s="11">
        <f t="shared" si="5"/>
        <v>1350.0556402874754</v>
      </c>
      <c r="G80" s="11">
        <f t="shared" si="6"/>
        <v>55.544359712524511</v>
      </c>
    </row>
    <row r="81" spans="1:7" x14ac:dyDescent="0.2">
      <c r="A81" s="7">
        <v>79</v>
      </c>
      <c r="B81" s="8"/>
      <c r="C81" s="8" t="s">
        <v>196</v>
      </c>
      <c r="D81" s="3">
        <v>1300.5999999999999</v>
      </c>
      <c r="E81">
        <f t="shared" si="4"/>
        <v>1321.3068041704205</v>
      </c>
      <c r="F81" s="11">
        <f t="shared" si="5"/>
        <v>1326.2465133888804</v>
      </c>
      <c r="G81" s="11">
        <f t="shared" si="6"/>
        <v>-25.646513388880521</v>
      </c>
    </row>
    <row r="82" spans="1:7" x14ac:dyDescent="0.2">
      <c r="A82" s="7">
        <v>80</v>
      </c>
      <c r="B82" s="8"/>
      <c r="C82" s="8" t="s">
        <v>197</v>
      </c>
      <c r="D82" s="3">
        <v>1440.5</v>
      </c>
      <c r="E82">
        <f t="shared" si="4"/>
        <v>1324.0947714856202</v>
      </c>
      <c r="F82" s="11">
        <f t="shared" si="5"/>
        <v>1368.4810481465781</v>
      </c>
      <c r="G82" s="11">
        <f t="shared" si="6"/>
        <v>72.018951853421868</v>
      </c>
    </row>
    <row r="83" spans="1:7" x14ac:dyDescent="0.2">
      <c r="A83" s="7">
        <v>81</v>
      </c>
      <c r="B83" s="8"/>
      <c r="C83" s="8" t="s">
        <v>198</v>
      </c>
      <c r="D83" s="3">
        <v>1361.9</v>
      </c>
      <c r="E83">
        <f t="shared" si="4"/>
        <v>1326.8827388008199</v>
      </c>
      <c r="F83" s="11">
        <f t="shared" si="5"/>
        <v>1333.302898333669</v>
      </c>
      <c r="G83" s="11">
        <f t="shared" si="6"/>
        <v>28.597101666331127</v>
      </c>
    </row>
    <row r="84" spans="1:7" x14ac:dyDescent="0.2">
      <c r="A84" s="7">
        <v>82</v>
      </c>
      <c r="B84" s="8"/>
      <c r="C84" s="8" t="s">
        <v>199</v>
      </c>
      <c r="D84" s="3">
        <v>1299.7</v>
      </c>
      <c r="E84">
        <f t="shared" si="4"/>
        <v>1329.6707061160196</v>
      </c>
      <c r="F84" s="11">
        <f t="shared" si="5"/>
        <v>1336.4471157678174</v>
      </c>
      <c r="G84" s="11">
        <f t="shared" si="6"/>
        <v>-36.747115767817377</v>
      </c>
    </row>
    <row r="85" spans="1:7" x14ac:dyDescent="0.2">
      <c r="A85" s="7">
        <v>83</v>
      </c>
      <c r="B85" s="8"/>
      <c r="C85" s="8" t="s">
        <v>200</v>
      </c>
      <c r="D85" s="3">
        <v>1386.2</v>
      </c>
      <c r="E85">
        <f t="shared" si="4"/>
        <v>1332.4586734312193</v>
      </c>
      <c r="F85" s="11">
        <f t="shared" si="5"/>
        <v>1354.0040866812196</v>
      </c>
      <c r="G85" s="11">
        <f t="shared" si="6"/>
        <v>32.195913318780413</v>
      </c>
    </row>
    <row r="86" spans="1:7" x14ac:dyDescent="0.2">
      <c r="A86" s="7">
        <v>84</v>
      </c>
      <c r="B86" s="8"/>
      <c r="C86" s="8" t="s">
        <v>201</v>
      </c>
      <c r="D86" s="3">
        <v>1302.5</v>
      </c>
      <c r="E86">
        <f t="shared" si="4"/>
        <v>1335.246640746419</v>
      </c>
      <c r="F86" s="11">
        <f t="shared" si="5"/>
        <v>1317.2370938154361</v>
      </c>
      <c r="G86" s="11">
        <f t="shared" si="6"/>
        <v>-14.737093815436083</v>
      </c>
    </row>
    <row r="87" spans="1:7" x14ac:dyDescent="0.2">
      <c r="A87" s="7">
        <v>85</v>
      </c>
      <c r="B87" s="8">
        <v>2012</v>
      </c>
      <c r="C87" s="8" t="s">
        <v>190</v>
      </c>
      <c r="D87" s="3">
        <v>1202.5999999999999</v>
      </c>
      <c r="E87">
        <f t="shared" si="4"/>
        <v>1338.0346080616187</v>
      </c>
      <c r="F87" s="11">
        <f t="shared" si="5"/>
        <v>1278.7262317272416</v>
      </c>
      <c r="G87" s="11">
        <f t="shared" si="6"/>
        <v>-76.126231727241702</v>
      </c>
    </row>
    <row r="88" spans="1:7" x14ac:dyDescent="0.2">
      <c r="A88" s="7">
        <v>86</v>
      </c>
      <c r="B88" s="8"/>
      <c r="C88" s="8" t="s">
        <v>191</v>
      </c>
      <c r="D88" s="3">
        <v>1344.4</v>
      </c>
      <c r="E88">
        <f t="shared" si="4"/>
        <v>1340.8225753768183</v>
      </c>
      <c r="F88" s="11">
        <f t="shared" si="5"/>
        <v>1271.2482787363658</v>
      </c>
      <c r="G88" s="11">
        <f t="shared" si="6"/>
        <v>73.151721263634272</v>
      </c>
    </row>
    <row r="89" spans="1:7" x14ac:dyDescent="0.2">
      <c r="A89" s="7">
        <v>87</v>
      </c>
      <c r="B89" s="8"/>
      <c r="C89" s="8" t="s">
        <v>192</v>
      </c>
      <c r="D89" s="3">
        <v>1291.5</v>
      </c>
      <c r="E89">
        <f t="shared" si="4"/>
        <v>1343.610542692018</v>
      </c>
      <c r="F89" s="11">
        <f t="shared" si="5"/>
        <v>1278.3765442378547</v>
      </c>
      <c r="G89" s="11">
        <f t="shared" si="6"/>
        <v>13.12345576214534</v>
      </c>
    </row>
    <row r="90" spans="1:7" x14ac:dyDescent="0.2">
      <c r="A90" s="7">
        <v>88</v>
      </c>
      <c r="B90" s="8"/>
      <c r="C90" s="8" t="s">
        <v>193</v>
      </c>
      <c r="D90" s="3">
        <v>1391.3</v>
      </c>
      <c r="E90">
        <f t="shared" si="4"/>
        <v>1346.3985100072177</v>
      </c>
      <c r="F90" s="11">
        <f t="shared" si="5"/>
        <v>1330.8678072178179</v>
      </c>
      <c r="G90" s="11">
        <f t="shared" si="6"/>
        <v>60.432192782182028</v>
      </c>
    </row>
    <row r="91" spans="1:7" x14ac:dyDescent="0.2">
      <c r="A91" s="7">
        <v>89</v>
      </c>
      <c r="B91" s="8"/>
      <c r="C91" s="8" t="s">
        <v>194</v>
      </c>
      <c r="D91" s="3">
        <v>1388.1</v>
      </c>
      <c r="E91">
        <f t="shared" si="4"/>
        <v>1349.1864773224174</v>
      </c>
      <c r="F91" s="11">
        <f t="shared" si="5"/>
        <v>1346.5552505429387</v>
      </c>
      <c r="G91" s="11">
        <f t="shared" si="6"/>
        <v>41.544749457061243</v>
      </c>
    </row>
    <row r="92" spans="1:7" x14ac:dyDescent="0.2">
      <c r="A92" s="7">
        <v>90</v>
      </c>
      <c r="B92" s="8"/>
      <c r="C92" s="8" t="s">
        <v>195</v>
      </c>
      <c r="D92" s="3">
        <v>1391.2</v>
      </c>
      <c r="E92">
        <f t="shared" si="4"/>
        <v>1351.9744446376171</v>
      </c>
      <c r="F92" s="11">
        <f t="shared" si="5"/>
        <v>1384.3114512196851</v>
      </c>
      <c r="G92" s="11">
        <f t="shared" si="6"/>
        <v>6.8885487803149772</v>
      </c>
    </row>
    <row r="93" spans="1:7" x14ac:dyDescent="0.2">
      <c r="A93" s="7">
        <v>91</v>
      </c>
      <c r="B93" s="8"/>
      <c r="C93" s="8" t="s">
        <v>196</v>
      </c>
      <c r="D93" s="3">
        <v>1375.8</v>
      </c>
      <c r="E93">
        <f t="shared" si="4"/>
        <v>1354.7624119528168</v>
      </c>
      <c r="F93" s="11">
        <f t="shared" si="5"/>
        <v>1359.8271950554422</v>
      </c>
      <c r="G93" s="11">
        <f t="shared" si="6"/>
        <v>15.972804944557765</v>
      </c>
    </row>
    <row r="94" spans="1:7" x14ac:dyDescent="0.2">
      <c r="A94" s="7">
        <v>92</v>
      </c>
      <c r="B94" s="8"/>
      <c r="C94" s="8" t="s">
        <v>197</v>
      </c>
      <c r="D94" s="3">
        <v>1443.2</v>
      </c>
      <c r="E94">
        <f t="shared" si="4"/>
        <v>1357.5503792680165</v>
      </c>
      <c r="F94" s="11">
        <f t="shared" si="5"/>
        <v>1403.0581540987951</v>
      </c>
      <c r="G94" s="11">
        <f t="shared" si="6"/>
        <v>40.141845901204988</v>
      </c>
    </row>
    <row r="95" spans="1:7" x14ac:dyDescent="0.2">
      <c r="A95" s="7">
        <v>93</v>
      </c>
      <c r="B95" s="8"/>
      <c r="C95" s="8" t="s">
        <v>198</v>
      </c>
      <c r="D95" s="3">
        <v>1401.3</v>
      </c>
      <c r="E95">
        <f t="shared" si="4"/>
        <v>1360.3383465832162</v>
      </c>
      <c r="F95" s="11">
        <f t="shared" si="5"/>
        <v>1366.9203820173418</v>
      </c>
      <c r="G95" s="11">
        <f t="shared" si="6"/>
        <v>34.379617982658147</v>
      </c>
    </row>
    <row r="96" spans="1:7" x14ac:dyDescent="0.2">
      <c r="A96" s="7">
        <v>94</v>
      </c>
      <c r="B96" s="8"/>
      <c r="C96" s="8" t="s">
        <v>199</v>
      </c>
      <c r="D96" s="3">
        <v>1378.7</v>
      </c>
      <c r="E96">
        <f t="shared" si="4"/>
        <v>1363.1263138984159</v>
      </c>
      <c r="F96" s="11">
        <f t="shared" si="5"/>
        <v>1370.0732235863811</v>
      </c>
      <c r="G96" s="11">
        <f t="shared" si="6"/>
        <v>8.6267764136189271</v>
      </c>
    </row>
    <row r="97" spans="1:7" x14ac:dyDescent="0.2">
      <c r="A97" s="7">
        <v>95</v>
      </c>
      <c r="B97" s="8"/>
      <c r="C97" s="8" t="s">
        <v>200</v>
      </c>
      <c r="D97" s="3">
        <v>1378.8</v>
      </c>
      <c r="E97">
        <f t="shared" si="4"/>
        <v>1365.9142812136156</v>
      </c>
      <c r="F97" s="11">
        <f t="shared" si="5"/>
        <v>1388.0006605059964</v>
      </c>
      <c r="G97" s="11">
        <f t="shared" si="6"/>
        <v>-9.2006605059964386</v>
      </c>
    </row>
    <row r="98" spans="1:7" x14ac:dyDescent="0.2">
      <c r="A98" s="7">
        <v>96</v>
      </c>
      <c r="B98" s="8"/>
      <c r="C98" s="8" t="s">
        <v>201</v>
      </c>
      <c r="D98" s="3">
        <v>1378.9</v>
      </c>
      <c r="E98">
        <f t="shared" si="4"/>
        <v>1368.7022485288153</v>
      </c>
      <c r="F98" s="11">
        <f t="shared" si="5"/>
        <v>1350.2414588685303</v>
      </c>
      <c r="G98" s="11">
        <f t="shared" si="6"/>
        <v>28.658541131469747</v>
      </c>
    </row>
    <row r="99" spans="1:7" x14ac:dyDescent="0.2">
      <c r="A99" s="7">
        <v>97</v>
      </c>
      <c r="B99" s="8">
        <v>2013</v>
      </c>
      <c r="C99" s="8" t="s">
        <v>190</v>
      </c>
      <c r="D99" s="3">
        <v>1383.3</v>
      </c>
      <c r="E99">
        <f t="shared" si="4"/>
        <v>1371.490215844015</v>
      </c>
      <c r="F99" s="11">
        <f t="shared" si="5"/>
        <v>1310.6989198864092</v>
      </c>
      <c r="G99" s="11">
        <f t="shared" si="6"/>
        <v>72.601080113590797</v>
      </c>
    </row>
    <row r="100" spans="1:7" x14ac:dyDescent="0.2">
      <c r="A100" s="7">
        <v>98</v>
      </c>
      <c r="B100" s="8"/>
      <c r="C100" s="8" t="s">
        <v>191</v>
      </c>
      <c r="D100" s="3">
        <v>1283.3</v>
      </c>
      <c r="E100">
        <f t="shared" si="4"/>
        <v>1374.2781831592147</v>
      </c>
      <c r="F100" s="11">
        <f t="shared" si="5"/>
        <v>1302.9678996530242</v>
      </c>
      <c r="G100" s="11">
        <f t="shared" si="6"/>
        <v>-19.667899653024278</v>
      </c>
    </row>
    <row r="101" spans="1:7" x14ac:dyDescent="0.2">
      <c r="A101" s="7">
        <v>99</v>
      </c>
      <c r="B101" s="8"/>
      <c r="C101" s="8" t="s">
        <v>192</v>
      </c>
      <c r="D101" s="3">
        <v>1291.0999999999999</v>
      </c>
      <c r="E101">
        <f t="shared" si="4"/>
        <v>1377.0661504744144</v>
      </c>
      <c r="F101" s="11">
        <f t="shared" si="5"/>
        <v>1310.2078397682892</v>
      </c>
      <c r="G101" s="11">
        <f t="shared" si="6"/>
        <v>-19.107839768289296</v>
      </c>
    </row>
    <row r="102" spans="1:7" x14ac:dyDescent="0.2">
      <c r="A102" s="7">
        <v>100</v>
      </c>
      <c r="B102" s="8"/>
      <c r="C102" s="8" t="s">
        <v>193</v>
      </c>
      <c r="D102" s="3">
        <v>1406.5</v>
      </c>
      <c r="E102">
        <f t="shared" si="4"/>
        <v>1379.8541177896141</v>
      </c>
      <c r="F102" s="11">
        <f t="shared" si="5"/>
        <v>1363.937504664422</v>
      </c>
      <c r="G102" s="11">
        <f t="shared" si="6"/>
        <v>42.562495335577978</v>
      </c>
    </row>
    <row r="103" spans="1:7" x14ac:dyDescent="0.2">
      <c r="A103" s="7">
        <v>101</v>
      </c>
      <c r="B103" s="8"/>
      <c r="C103" s="8" t="s">
        <v>194</v>
      </c>
      <c r="D103" s="3">
        <v>1400.9</v>
      </c>
      <c r="E103">
        <f t="shared" si="4"/>
        <v>1382.6420851048138</v>
      </c>
      <c r="F103" s="11">
        <f t="shared" si="5"/>
        <v>1379.9456121250505</v>
      </c>
      <c r="G103" s="11">
        <f t="shared" si="6"/>
        <v>20.954387874949589</v>
      </c>
    </row>
    <row r="104" spans="1:7" x14ac:dyDescent="0.2">
      <c r="A104" s="7">
        <v>102</v>
      </c>
      <c r="B104" s="8"/>
      <c r="C104" s="8" t="s">
        <v>195</v>
      </c>
      <c r="D104" s="3">
        <v>1412.7</v>
      </c>
      <c r="E104">
        <f t="shared" si="4"/>
        <v>1385.4300524200135</v>
      </c>
      <c r="F104" s="11">
        <f t="shared" si="5"/>
        <v>1418.567262151895</v>
      </c>
      <c r="G104" s="11">
        <f t="shared" si="6"/>
        <v>-5.86726215189492</v>
      </c>
    </row>
    <row r="105" spans="1:7" x14ac:dyDescent="0.2">
      <c r="A105" s="7">
        <v>103</v>
      </c>
      <c r="B105" s="8"/>
      <c r="C105" s="8" t="s">
        <v>196</v>
      </c>
      <c r="D105" s="3">
        <v>1466.6</v>
      </c>
      <c r="E105">
        <f t="shared" si="4"/>
        <v>1388.2180197352131</v>
      </c>
      <c r="F105" s="11">
        <f t="shared" si="5"/>
        <v>1393.4078767220042</v>
      </c>
      <c r="G105" s="11">
        <f t="shared" si="6"/>
        <v>73.192123277995734</v>
      </c>
    </row>
    <row r="106" spans="1:7" x14ac:dyDescent="0.2">
      <c r="A106" s="7">
        <v>104</v>
      </c>
      <c r="B106" s="8"/>
      <c r="C106" s="8" t="s">
        <v>197</v>
      </c>
      <c r="D106" s="3">
        <v>1423.7</v>
      </c>
      <c r="E106">
        <f t="shared" si="4"/>
        <v>1391.0059870504128</v>
      </c>
      <c r="F106" s="11">
        <f t="shared" si="5"/>
        <v>1437.6352600510118</v>
      </c>
      <c r="G106" s="11">
        <f t="shared" si="6"/>
        <v>-13.93526005101171</v>
      </c>
    </row>
    <row r="107" spans="1:7" x14ac:dyDescent="0.2">
      <c r="A107" s="7">
        <v>105</v>
      </c>
      <c r="B107" s="8"/>
      <c r="C107" s="8" t="s">
        <v>198</v>
      </c>
      <c r="D107" s="3">
        <v>1411.2</v>
      </c>
      <c r="E107">
        <f t="shared" si="4"/>
        <v>1393.7939543656128</v>
      </c>
      <c r="F107" s="11">
        <f t="shared" si="5"/>
        <v>1400.5378657010147</v>
      </c>
      <c r="G107" s="11">
        <f t="shared" si="6"/>
        <v>10.662134298985393</v>
      </c>
    </row>
    <row r="108" spans="1:7" x14ac:dyDescent="0.2">
      <c r="A108" s="7">
        <v>106</v>
      </c>
      <c r="B108" s="8"/>
      <c r="C108" s="8" t="s">
        <v>199</v>
      </c>
      <c r="D108" s="3">
        <v>1411</v>
      </c>
      <c r="E108">
        <f t="shared" si="4"/>
        <v>1396.5819216808125</v>
      </c>
      <c r="F108" s="11">
        <f t="shared" si="5"/>
        <v>1403.6993314049448</v>
      </c>
      <c r="G108" s="11">
        <f t="shared" si="6"/>
        <v>7.3006685950551855</v>
      </c>
    </row>
    <row r="109" spans="1:7" x14ac:dyDescent="0.2">
      <c r="A109" s="7">
        <v>107</v>
      </c>
      <c r="B109" s="8"/>
      <c r="C109" s="8" t="s">
        <v>200</v>
      </c>
      <c r="D109" s="3">
        <v>1447.4</v>
      </c>
      <c r="E109">
        <f t="shared" si="4"/>
        <v>1399.3698889960122</v>
      </c>
      <c r="F109" s="11">
        <f t="shared" si="5"/>
        <v>1421.9972343307734</v>
      </c>
      <c r="G109" s="11">
        <f t="shared" si="6"/>
        <v>25.40276566922671</v>
      </c>
    </row>
    <row r="110" spans="1:7" x14ac:dyDescent="0.2">
      <c r="A110" s="7">
        <v>108</v>
      </c>
      <c r="B110" s="8"/>
      <c r="C110" s="8" t="s">
        <v>201</v>
      </c>
      <c r="D110" s="3">
        <v>1381.1</v>
      </c>
      <c r="E110">
        <f t="shared" si="4"/>
        <v>1402.1578563112118</v>
      </c>
      <c r="F110" s="11">
        <f t="shared" si="5"/>
        <v>1383.2458239216251</v>
      </c>
      <c r="G110" s="11">
        <f t="shared" si="6"/>
        <v>-2.1458239216251513</v>
      </c>
    </row>
    <row r="111" spans="1:7" x14ac:dyDescent="0.2">
      <c r="A111" s="7">
        <v>109</v>
      </c>
      <c r="B111" s="8">
        <v>2014</v>
      </c>
      <c r="C111" s="8" t="s">
        <v>190</v>
      </c>
      <c r="D111" s="3">
        <v>1354</v>
      </c>
      <c r="E111">
        <f t="shared" si="4"/>
        <v>1404.9458236264115</v>
      </c>
      <c r="F111" s="11">
        <f t="shared" si="5"/>
        <v>1342.6716080455772</v>
      </c>
      <c r="G111" s="11">
        <f t="shared" si="6"/>
        <v>11.328391954422841</v>
      </c>
    </row>
    <row r="112" spans="1:7" x14ac:dyDescent="0.2">
      <c r="A112" s="7">
        <v>110</v>
      </c>
      <c r="B112" s="8"/>
      <c r="C112" s="8" t="s">
        <v>191</v>
      </c>
      <c r="D112" s="3">
        <v>1370.3</v>
      </c>
      <c r="E112">
        <f t="shared" si="4"/>
        <v>1407.7337909416112</v>
      </c>
      <c r="F112" s="11">
        <f t="shared" si="5"/>
        <v>1334.6875205696829</v>
      </c>
      <c r="G112" s="11">
        <f t="shared" si="6"/>
        <v>35.61247943031708</v>
      </c>
    </row>
    <row r="113" spans="1:7" x14ac:dyDescent="0.2">
      <c r="A113" s="7">
        <v>111</v>
      </c>
      <c r="B113" s="8"/>
      <c r="C113" s="8" t="s">
        <v>192</v>
      </c>
      <c r="D113" s="3">
        <v>1316.5</v>
      </c>
      <c r="E113">
        <f t="shared" si="4"/>
        <v>1410.5217582568109</v>
      </c>
      <c r="F113" s="11">
        <f t="shared" si="5"/>
        <v>1342.0391352987237</v>
      </c>
      <c r="G113" s="11">
        <f t="shared" si="6"/>
        <v>-25.53913529872375</v>
      </c>
    </row>
    <row r="114" spans="1:7" x14ac:dyDescent="0.2">
      <c r="A114" s="7">
        <v>112</v>
      </c>
      <c r="B114" s="8"/>
      <c r="C114" s="8" t="s">
        <v>193</v>
      </c>
      <c r="D114" s="3">
        <v>1416.3</v>
      </c>
      <c r="E114">
        <f t="shared" si="4"/>
        <v>1413.3097255720106</v>
      </c>
      <c r="F114" s="11">
        <f t="shared" si="5"/>
        <v>1397.0072021110263</v>
      </c>
      <c r="G114" s="11">
        <f t="shared" si="6"/>
        <v>19.29279788897361</v>
      </c>
    </row>
    <row r="115" spans="1:7" x14ac:dyDescent="0.2">
      <c r="A115" s="7">
        <v>113</v>
      </c>
      <c r="B115" s="8"/>
      <c r="C115" s="8" t="s">
        <v>194</v>
      </c>
      <c r="D115" s="3">
        <v>1416.9</v>
      </c>
      <c r="E115">
        <f t="shared" si="4"/>
        <v>1416.0976928872103</v>
      </c>
      <c r="F115" s="11">
        <f t="shared" si="5"/>
        <v>1413.3359737071623</v>
      </c>
      <c r="G115" s="11">
        <f t="shared" si="6"/>
        <v>3.5640262928377524</v>
      </c>
    </row>
    <row r="116" spans="1:7" x14ac:dyDescent="0.2">
      <c r="A116" s="7">
        <v>114</v>
      </c>
      <c r="B116" s="8"/>
      <c r="C116" s="8" t="s">
        <v>195</v>
      </c>
      <c r="D116" s="3">
        <v>1447.2</v>
      </c>
      <c r="E116">
        <f t="shared" si="4"/>
        <v>1418.88566020241</v>
      </c>
      <c r="F116" s="11">
        <f t="shared" si="5"/>
        <v>1452.8230730841051</v>
      </c>
      <c r="G116" s="11">
        <f t="shared" si="6"/>
        <v>-5.6230730841050445</v>
      </c>
    </row>
    <row r="117" spans="1:7" x14ac:dyDescent="0.2">
      <c r="A117" s="7">
        <v>115</v>
      </c>
      <c r="B117" s="8"/>
      <c r="C117" s="8" t="s">
        <v>196</v>
      </c>
      <c r="D117" s="3">
        <v>1451.6</v>
      </c>
      <c r="E117">
        <f t="shared" si="4"/>
        <v>1421.6736275176097</v>
      </c>
      <c r="F117" s="11">
        <f t="shared" si="5"/>
        <v>1426.9885583885662</v>
      </c>
      <c r="G117" s="11">
        <f t="shared" si="6"/>
        <v>24.611441611433747</v>
      </c>
    </row>
    <row r="118" spans="1:7" x14ac:dyDescent="0.2">
      <c r="A118" s="7">
        <v>116</v>
      </c>
      <c r="B118" s="8"/>
      <c r="C118" s="8" t="s">
        <v>197</v>
      </c>
      <c r="D118" s="3">
        <v>1486.1</v>
      </c>
      <c r="E118">
        <f t="shared" si="4"/>
        <v>1424.4615948328094</v>
      </c>
      <c r="F118" s="11">
        <f t="shared" si="5"/>
        <v>1472.2123660032287</v>
      </c>
      <c r="G118" s="11">
        <f t="shared" si="6"/>
        <v>13.887633996771228</v>
      </c>
    </row>
    <row r="119" spans="1:7" x14ac:dyDescent="0.2">
      <c r="A119" s="7">
        <v>117</v>
      </c>
      <c r="B119" s="8"/>
      <c r="C119" s="8" t="s">
        <v>198</v>
      </c>
      <c r="D119" s="3">
        <v>1447.1</v>
      </c>
      <c r="E119">
        <f t="shared" si="4"/>
        <v>1427.2495621480091</v>
      </c>
      <c r="F119" s="11">
        <f t="shared" si="5"/>
        <v>1434.1553493846873</v>
      </c>
      <c r="G119" s="11">
        <f t="shared" si="6"/>
        <v>12.944650615312639</v>
      </c>
    </row>
    <row r="120" spans="1:7" x14ac:dyDescent="0.2">
      <c r="A120" s="7">
        <v>118</v>
      </c>
      <c r="B120" s="8"/>
      <c r="C120" s="8" t="s">
        <v>199</v>
      </c>
      <c r="D120" s="3">
        <v>1458</v>
      </c>
      <c r="E120">
        <f t="shared" si="4"/>
        <v>1430.0375294632088</v>
      </c>
      <c r="F120" s="11">
        <f t="shared" si="5"/>
        <v>1437.3254392235085</v>
      </c>
      <c r="G120" s="11">
        <f t="shared" si="6"/>
        <v>20.674560776491489</v>
      </c>
    </row>
    <row r="121" spans="1:7" x14ac:dyDescent="0.2">
      <c r="A121" s="7">
        <v>119</v>
      </c>
      <c r="B121" s="8"/>
      <c r="C121" s="8" t="s">
        <v>200</v>
      </c>
      <c r="D121" s="3">
        <v>1457.4</v>
      </c>
      <c r="E121">
        <f t="shared" si="4"/>
        <v>1432.8254967784085</v>
      </c>
      <c r="F121" s="11">
        <f t="shared" si="5"/>
        <v>1455.9938081555504</v>
      </c>
      <c r="G121" s="11">
        <f t="shared" si="6"/>
        <v>1.4061918444497223</v>
      </c>
    </row>
    <row r="122" spans="1:7" x14ac:dyDescent="0.2">
      <c r="A122" s="7">
        <v>120</v>
      </c>
      <c r="B122" s="8"/>
      <c r="C122" s="8" t="s">
        <v>201</v>
      </c>
      <c r="D122" s="3">
        <v>1425.1</v>
      </c>
      <c r="E122">
        <f t="shared" si="4"/>
        <v>1435.6134640936082</v>
      </c>
      <c r="F122" s="11">
        <f t="shared" si="5"/>
        <v>1416.2501889747195</v>
      </c>
      <c r="G122" s="11">
        <f t="shared" si="6"/>
        <v>8.8498110252803599</v>
      </c>
    </row>
    <row r="123" spans="1:7" x14ac:dyDescent="0.2">
      <c r="A123" s="7">
        <v>121</v>
      </c>
      <c r="B123" s="8">
        <v>2015</v>
      </c>
      <c r="C123" s="8" t="s">
        <v>190</v>
      </c>
      <c r="D123" s="3">
        <v>1412.2</v>
      </c>
      <c r="E123">
        <f t="shared" si="4"/>
        <v>1438.4014314088079</v>
      </c>
      <c r="F123" s="11">
        <f t="shared" si="5"/>
        <v>1374.6442962047447</v>
      </c>
      <c r="G123" s="11">
        <f t="shared" si="6"/>
        <v>37.55570379525534</v>
      </c>
    </row>
    <row r="124" spans="1:7" x14ac:dyDescent="0.2">
      <c r="A124" s="7">
        <v>122</v>
      </c>
      <c r="B124" s="8"/>
      <c r="C124" s="8" t="s">
        <v>191</v>
      </c>
      <c r="D124" s="3">
        <v>1335.3</v>
      </c>
      <c r="E124">
        <f t="shared" si="4"/>
        <v>1441.1893987240076</v>
      </c>
      <c r="F124" s="11">
        <f t="shared" si="5"/>
        <v>1366.4071414863413</v>
      </c>
      <c r="G124" s="11">
        <f t="shared" si="6"/>
        <v>-31.107141486341334</v>
      </c>
    </row>
    <row r="125" spans="1:7" x14ac:dyDescent="0.2">
      <c r="A125" s="7">
        <v>123</v>
      </c>
      <c r="B125" s="8"/>
      <c r="C125" s="8" t="s">
        <v>192</v>
      </c>
      <c r="D125" s="3">
        <v>1386.4</v>
      </c>
      <c r="E125">
        <f t="shared" si="4"/>
        <v>1443.9773660392073</v>
      </c>
      <c r="F125" s="11">
        <f t="shared" si="5"/>
        <v>1373.8704308291581</v>
      </c>
      <c r="G125" s="11">
        <f t="shared" si="6"/>
        <v>12.529569170842024</v>
      </c>
    </row>
    <row r="126" spans="1:7" x14ac:dyDescent="0.2">
      <c r="A126" s="7">
        <v>124</v>
      </c>
      <c r="B126" s="8"/>
      <c r="C126" s="8" t="s">
        <v>193</v>
      </c>
      <c r="D126" s="3">
        <v>1455.8</v>
      </c>
      <c r="E126">
        <f t="shared" si="4"/>
        <v>1446.7653333544069</v>
      </c>
      <c r="F126" s="11">
        <f t="shared" si="5"/>
        <v>1430.0768995576304</v>
      </c>
      <c r="G126" s="11">
        <f t="shared" si="6"/>
        <v>25.723100442369514</v>
      </c>
    </row>
    <row r="127" spans="1:7" x14ac:dyDescent="0.2">
      <c r="A127" s="7">
        <v>125</v>
      </c>
      <c r="B127" s="8"/>
      <c r="C127" s="8" t="s">
        <v>194</v>
      </c>
      <c r="D127" s="3">
        <v>1467.5</v>
      </c>
      <c r="E127">
        <f t="shared" si="4"/>
        <v>1449.5533006696066</v>
      </c>
      <c r="F127" s="11">
        <f t="shared" si="5"/>
        <v>1446.7263352892739</v>
      </c>
      <c r="G127" s="11">
        <f t="shared" si="6"/>
        <v>20.773664710726052</v>
      </c>
    </row>
    <row r="128" spans="1:7" x14ac:dyDescent="0.2">
      <c r="A128" s="7">
        <v>126</v>
      </c>
      <c r="B128" s="8"/>
      <c r="C128" s="8" t="s">
        <v>195</v>
      </c>
      <c r="D128" s="3">
        <v>1491.5</v>
      </c>
      <c r="E128">
        <f t="shared" si="4"/>
        <v>1452.3412679848063</v>
      </c>
      <c r="F128" s="11">
        <f t="shared" si="5"/>
        <v>1487.078884016315</v>
      </c>
      <c r="G128" s="11">
        <f t="shared" si="6"/>
        <v>4.4211159836850129</v>
      </c>
    </row>
    <row r="129" spans="1:7" x14ac:dyDescent="0.2">
      <c r="A129" s="7">
        <v>127</v>
      </c>
      <c r="B129" s="8"/>
      <c r="C129" s="8" t="s">
        <v>196</v>
      </c>
      <c r="D129" s="3">
        <v>1475.4</v>
      </c>
      <c r="E129">
        <f t="shared" si="4"/>
        <v>1455.129235300006</v>
      </c>
      <c r="F129" s="11">
        <f t="shared" si="5"/>
        <v>1460.5692400551279</v>
      </c>
      <c r="G129" s="11">
        <f t="shared" si="6"/>
        <v>14.83075994487217</v>
      </c>
    </row>
    <row r="130" spans="1:7" x14ac:dyDescent="0.2">
      <c r="A130" s="7">
        <v>128</v>
      </c>
      <c r="B130" s="8"/>
      <c r="C130" s="8" t="s">
        <v>197</v>
      </c>
      <c r="D130" s="3">
        <v>1520.4</v>
      </c>
      <c r="E130">
        <f t="shared" si="4"/>
        <v>1457.9172026152057</v>
      </c>
      <c r="F130" s="11">
        <f t="shared" si="5"/>
        <v>1506.7894719554456</v>
      </c>
      <c r="G130" s="11">
        <f t="shared" si="6"/>
        <v>13.610528044554485</v>
      </c>
    </row>
    <row r="131" spans="1:7" x14ac:dyDescent="0.2">
      <c r="A131" s="7">
        <v>129</v>
      </c>
      <c r="B131" s="8"/>
      <c r="C131" s="8" t="s">
        <v>198</v>
      </c>
      <c r="D131" s="3">
        <v>1486</v>
      </c>
      <c r="E131">
        <f t="shared" si="4"/>
        <v>1460.7051699304054</v>
      </c>
      <c r="F131" s="11">
        <f t="shared" si="5"/>
        <v>1467.7728330683601</v>
      </c>
      <c r="G131" s="11">
        <f t="shared" si="6"/>
        <v>18.227166931639886</v>
      </c>
    </row>
    <row r="132" spans="1:7" x14ac:dyDescent="0.2">
      <c r="A132" s="7">
        <v>130</v>
      </c>
      <c r="B132" s="8"/>
      <c r="C132" s="8" t="s">
        <v>199</v>
      </c>
      <c r="D132" s="3">
        <v>1499.6</v>
      </c>
      <c r="E132">
        <f t="shared" ref="E132:E158" si="7">J$2+J$3*A132</f>
        <v>1463.4931372456051</v>
      </c>
      <c r="F132" s="11">
        <f t="shared" ref="F132:F158" si="8">VLOOKUP(C132,I$7:J$18,2,FALSE)*E132</f>
        <v>1470.9515470420722</v>
      </c>
      <c r="G132" s="11">
        <f t="shared" ref="G132:G158" si="9">D132-F132</f>
        <v>28.648452957927702</v>
      </c>
    </row>
    <row r="133" spans="1:7" x14ac:dyDescent="0.2">
      <c r="A133" s="7">
        <v>131</v>
      </c>
      <c r="B133" s="8"/>
      <c r="C133" s="8" t="s">
        <v>200</v>
      </c>
      <c r="D133" s="3">
        <v>1506.2</v>
      </c>
      <c r="E133">
        <f t="shared" si="7"/>
        <v>1466.2811045608048</v>
      </c>
      <c r="F133" s="11">
        <f t="shared" si="8"/>
        <v>1489.9903819803271</v>
      </c>
      <c r="G133" s="11">
        <f t="shared" si="9"/>
        <v>16.209618019672916</v>
      </c>
    </row>
    <row r="134" spans="1:7" x14ac:dyDescent="0.2">
      <c r="A134" s="7">
        <v>132</v>
      </c>
      <c r="B134" s="8"/>
      <c r="C134" s="8" t="s">
        <v>201</v>
      </c>
      <c r="D134" s="3">
        <v>1444.7</v>
      </c>
      <c r="E134">
        <f t="shared" si="7"/>
        <v>1469.0690718760045</v>
      </c>
      <c r="F134" s="11">
        <f t="shared" si="8"/>
        <v>1449.2545540278138</v>
      </c>
      <c r="G134" s="11">
        <f t="shared" si="9"/>
        <v>-4.5545540278137651</v>
      </c>
    </row>
    <row r="135" spans="1:7" x14ac:dyDescent="0.2">
      <c r="A135" s="7">
        <v>133</v>
      </c>
      <c r="B135" s="8">
        <v>2016</v>
      </c>
      <c r="C135" s="8" t="s">
        <v>190</v>
      </c>
      <c r="D135" s="3">
        <v>1419.1</v>
      </c>
      <c r="E135">
        <f t="shared" si="7"/>
        <v>1471.8570391912042</v>
      </c>
      <c r="F135" s="11">
        <f t="shared" si="8"/>
        <v>1406.6169843639125</v>
      </c>
      <c r="G135" s="11">
        <f t="shared" si="9"/>
        <v>12.48301563608743</v>
      </c>
    </row>
    <row r="136" spans="1:7" x14ac:dyDescent="0.2">
      <c r="A136" s="7">
        <v>134</v>
      </c>
      <c r="B136" s="8"/>
      <c r="C136" s="8" t="s">
        <v>191</v>
      </c>
      <c r="D136" s="3">
        <v>1449</v>
      </c>
      <c r="E136">
        <f t="shared" si="7"/>
        <v>1474.6450065064039</v>
      </c>
      <c r="F136" s="11">
        <f t="shared" si="8"/>
        <v>1398.1267624029997</v>
      </c>
      <c r="G136" s="11">
        <f t="shared" si="9"/>
        <v>50.873237597000298</v>
      </c>
    </row>
    <row r="137" spans="1:7" x14ac:dyDescent="0.2">
      <c r="A137" s="7">
        <v>135</v>
      </c>
      <c r="B137" s="8"/>
      <c r="C137" s="8" t="s">
        <v>192</v>
      </c>
      <c r="D137" s="3">
        <v>1383.4</v>
      </c>
      <c r="E137">
        <f t="shared" si="7"/>
        <v>1477.4329738216036</v>
      </c>
      <c r="F137" s="11">
        <f t="shared" si="8"/>
        <v>1405.7017263595924</v>
      </c>
      <c r="G137" s="11">
        <f t="shared" si="9"/>
        <v>-22.301726359592294</v>
      </c>
    </row>
    <row r="138" spans="1:7" x14ac:dyDescent="0.2">
      <c r="A138" s="7">
        <v>136</v>
      </c>
      <c r="B138" s="8"/>
      <c r="C138" s="8" t="s">
        <v>193</v>
      </c>
      <c r="D138" s="3">
        <v>1504.2</v>
      </c>
      <c r="E138">
        <f t="shared" si="7"/>
        <v>1480.2209411368033</v>
      </c>
      <c r="F138" s="11">
        <f t="shared" si="8"/>
        <v>1463.1465970042343</v>
      </c>
      <c r="G138" s="11">
        <f t="shared" si="9"/>
        <v>41.053402995765737</v>
      </c>
    </row>
    <row r="139" spans="1:7" x14ac:dyDescent="0.2">
      <c r="A139" s="7">
        <v>137</v>
      </c>
      <c r="B139" s="8"/>
      <c r="C139" s="8" t="s">
        <v>194</v>
      </c>
      <c r="D139" s="3">
        <v>1490.3</v>
      </c>
      <c r="E139">
        <f t="shared" si="7"/>
        <v>1483.008908452003</v>
      </c>
      <c r="F139" s="11">
        <f t="shared" si="8"/>
        <v>1480.1166968713856</v>
      </c>
      <c r="G139" s="11">
        <f t="shared" si="9"/>
        <v>10.183303128614398</v>
      </c>
    </row>
    <row r="140" spans="1:7" x14ac:dyDescent="0.2">
      <c r="A140" s="7">
        <v>138</v>
      </c>
      <c r="B140" s="8"/>
      <c r="C140" s="8" t="s">
        <v>195</v>
      </c>
      <c r="D140" s="3">
        <v>1536.4</v>
      </c>
      <c r="E140">
        <f t="shared" si="7"/>
        <v>1485.7968757672027</v>
      </c>
      <c r="F140" s="11">
        <f t="shared" si="8"/>
        <v>1521.3346949485249</v>
      </c>
      <c r="G140" s="11">
        <f t="shared" si="9"/>
        <v>15.065305051475207</v>
      </c>
    </row>
    <row r="141" spans="1:7" x14ac:dyDescent="0.2">
      <c r="A141" s="7">
        <v>139</v>
      </c>
      <c r="B141" s="8"/>
      <c r="C141" s="8" t="s">
        <v>196</v>
      </c>
      <c r="D141" s="3">
        <v>1449.7</v>
      </c>
      <c r="E141">
        <f t="shared" si="7"/>
        <v>1488.5848430824024</v>
      </c>
      <c r="F141" s="11">
        <f t="shared" si="8"/>
        <v>1494.1499217216897</v>
      </c>
      <c r="G141" s="11">
        <f t="shared" si="9"/>
        <v>-44.449921721689634</v>
      </c>
    </row>
    <row r="142" spans="1:7" x14ac:dyDescent="0.2">
      <c r="A142" s="7">
        <v>140</v>
      </c>
      <c r="B142" s="8"/>
      <c r="C142" s="8" t="s">
        <v>197</v>
      </c>
      <c r="D142" s="3">
        <v>1533.2</v>
      </c>
      <c r="E142">
        <f t="shared" si="7"/>
        <v>1491.3728103976021</v>
      </c>
      <c r="F142" s="11">
        <f t="shared" si="8"/>
        <v>1541.3665779076623</v>
      </c>
      <c r="G142" s="11">
        <f t="shared" si="9"/>
        <v>-8.1665779076622584</v>
      </c>
    </row>
    <row r="143" spans="1:7" x14ac:dyDescent="0.2">
      <c r="A143" s="7">
        <v>141</v>
      </c>
      <c r="B143" s="8"/>
      <c r="C143" s="8" t="s">
        <v>198</v>
      </c>
      <c r="D143" s="3">
        <v>1464.3</v>
      </c>
      <c r="E143">
        <f t="shared" si="7"/>
        <v>1494.1607777128017</v>
      </c>
      <c r="F143" s="11">
        <f t="shared" si="8"/>
        <v>1501.3903167520327</v>
      </c>
      <c r="G143" s="11">
        <f t="shared" si="9"/>
        <v>-37.090316752032777</v>
      </c>
    </row>
    <row r="144" spans="1:7" x14ac:dyDescent="0.2">
      <c r="A144" s="7">
        <v>142</v>
      </c>
      <c r="B144" s="8"/>
      <c r="C144" s="8" t="s">
        <v>199</v>
      </c>
      <c r="D144" s="3">
        <v>1493.2</v>
      </c>
      <c r="E144">
        <f t="shared" si="7"/>
        <v>1496.9487450280014</v>
      </c>
      <c r="F144" s="11">
        <f t="shared" si="8"/>
        <v>1504.5776548606359</v>
      </c>
      <c r="G144" s="11">
        <f t="shared" si="9"/>
        <v>-11.377654860635857</v>
      </c>
    </row>
    <row r="145" spans="1:7" x14ac:dyDescent="0.2">
      <c r="A145" s="7">
        <v>143</v>
      </c>
      <c r="B145" s="8"/>
      <c r="C145" s="8" t="s">
        <v>200</v>
      </c>
      <c r="D145" s="3">
        <v>1504.4</v>
      </c>
      <c r="E145">
        <f t="shared" si="7"/>
        <v>1499.7367123432011</v>
      </c>
      <c r="F145" s="11">
        <f t="shared" si="8"/>
        <v>1523.9869558051039</v>
      </c>
      <c r="G145" s="11">
        <f t="shared" si="9"/>
        <v>-19.586955805103798</v>
      </c>
    </row>
    <row r="146" spans="1:7" x14ac:dyDescent="0.2">
      <c r="A146" s="7">
        <v>144</v>
      </c>
      <c r="B146" s="8"/>
      <c r="C146" s="8" t="s">
        <v>201</v>
      </c>
      <c r="D146" s="3">
        <v>1471</v>
      </c>
      <c r="E146">
        <f t="shared" si="7"/>
        <v>1502.5246796584008</v>
      </c>
      <c r="F146" s="11">
        <f t="shared" si="8"/>
        <v>1482.2589190809083</v>
      </c>
      <c r="G146" s="11">
        <f t="shared" si="9"/>
        <v>-11.258919080908299</v>
      </c>
    </row>
    <row r="147" spans="1:7" x14ac:dyDescent="0.2">
      <c r="A147" s="7">
        <v>145</v>
      </c>
      <c r="B147" s="8">
        <v>2017</v>
      </c>
      <c r="C147" s="8" t="s">
        <v>190</v>
      </c>
      <c r="D147" s="3">
        <v>1459</v>
      </c>
      <c r="E147">
        <f t="shared" si="7"/>
        <v>1505.3126469736005</v>
      </c>
      <c r="F147" s="11">
        <f t="shared" si="8"/>
        <v>1438.58967252308</v>
      </c>
      <c r="G147" s="11">
        <f t="shared" si="9"/>
        <v>20.410327476919974</v>
      </c>
    </row>
    <row r="148" spans="1:7" x14ac:dyDescent="0.2">
      <c r="A148" s="7">
        <v>146</v>
      </c>
      <c r="B148" s="8"/>
      <c r="C148" s="8" t="s">
        <v>191</v>
      </c>
      <c r="D148" s="3">
        <v>1454.4</v>
      </c>
      <c r="E148">
        <f t="shared" si="7"/>
        <v>1508.1006142888002</v>
      </c>
      <c r="F148" s="11">
        <f t="shared" si="8"/>
        <v>1429.8463833196579</v>
      </c>
      <c r="G148" s="11">
        <f t="shared" si="9"/>
        <v>24.553616680342202</v>
      </c>
    </row>
    <row r="149" spans="1:7" x14ac:dyDescent="0.2">
      <c r="A149" s="7">
        <v>147</v>
      </c>
      <c r="B149" s="8"/>
      <c r="C149" s="8" t="s">
        <v>192</v>
      </c>
      <c r="D149" s="3">
        <v>1441.8</v>
      </c>
      <c r="E149">
        <f t="shared" si="7"/>
        <v>1510.8885816039999</v>
      </c>
      <c r="F149" s="11">
        <f t="shared" si="8"/>
        <v>1437.5330218900267</v>
      </c>
      <c r="G149" s="11">
        <f t="shared" si="9"/>
        <v>4.2669781099732518</v>
      </c>
    </row>
    <row r="150" spans="1:7" x14ac:dyDescent="0.2">
      <c r="A150" s="7">
        <v>148</v>
      </c>
      <c r="B150" s="8"/>
      <c r="C150" s="8" t="s">
        <v>193</v>
      </c>
      <c r="D150" s="3">
        <v>1442.2</v>
      </c>
      <c r="E150">
        <f t="shared" si="7"/>
        <v>1513.6765489191996</v>
      </c>
      <c r="F150" s="11">
        <f t="shared" si="8"/>
        <v>1496.2162944508384</v>
      </c>
      <c r="G150" s="11">
        <f t="shared" si="9"/>
        <v>-54.016294450838359</v>
      </c>
    </row>
    <row r="151" spans="1:7" x14ac:dyDescent="0.2">
      <c r="A151" s="7">
        <v>149</v>
      </c>
      <c r="B151" s="8"/>
      <c r="C151" s="8" t="s">
        <v>194</v>
      </c>
      <c r="D151" s="3">
        <v>1523.6</v>
      </c>
      <c r="E151">
        <f t="shared" si="7"/>
        <v>1516.4645162343993</v>
      </c>
      <c r="F151" s="11">
        <f t="shared" si="8"/>
        <v>1513.5070584534972</v>
      </c>
      <c r="G151" s="11">
        <f t="shared" si="9"/>
        <v>10.092941546502743</v>
      </c>
    </row>
    <row r="152" spans="1:7" x14ac:dyDescent="0.2">
      <c r="A152" s="7">
        <v>150</v>
      </c>
      <c r="B152" s="8"/>
      <c r="C152" s="8" t="s">
        <v>195</v>
      </c>
      <c r="D152" s="3">
        <v>1464.2</v>
      </c>
      <c r="E152">
        <f t="shared" si="7"/>
        <v>1519.252483549599</v>
      </c>
      <c r="F152" s="11">
        <f t="shared" si="8"/>
        <v>1555.5905058807348</v>
      </c>
      <c r="G152" s="11">
        <f t="shared" si="9"/>
        <v>-91.390505880734736</v>
      </c>
    </row>
    <row r="153" spans="1:7" x14ac:dyDescent="0.2">
      <c r="A153" s="7">
        <v>151</v>
      </c>
      <c r="B153" s="8"/>
      <c r="C153" s="8" t="s">
        <v>196</v>
      </c>
      <c r="D153" s="3">
        <v>1507.1</v>
      </c>
      <c r="E153">
        <f t="shared" si="7"/>
        <v>1522.0404508647987</v>
      </c>
      <c r="F153" s="11">
        <f t="shared" si="8"/>
        <v>1527.7306033882517</v>
      </c>
      <c r="G153" s="11">
        <f t="shared" si="9"/>
        <v>-20.630603388251757</v>
      </c>
    </row>
    <row r="154" spans="1:7" x14ac:dyDescent="0.2">
      <c r="A154" s="7">
        <v>152</v>
      </c>
      <c r="B154" s="8"/>
      <c r="C154" s="8" t="s">
        <v>197</v>
      </c>
      <c r="D154" s="3">
        <v>1644.4</v>
      </c>
      <c r="E154">
        <f t="shared" si="7"/>
        <v>1524.8284181799986</v>
      </c>
      <c r="F154" s="11">
        <f t="shared" si="8"/>
        <v>1575.9436838598792</v>
      </c>
      <c r="G154" s="11">
        <f t="shared" si="9"/>
        <v>68.456316140120862</v>
      </c>
    </row>
    <row r="155" spans="1:7" x14ac:dyDescent="0.2">
      <c r="A155" s="7">
        <v>153</v>
      </c>
      <c r="B155" s="8"/>
      <c r="C155" s="8" t="s">
        <v>198</v>
      </c>
      <c r="D155" s="3">
        <v>1527.1</v>
      </c>
      <c r="E155">
        <f t="shared" si="7"/>
        <v>1527.6163854951983</v>
      </c>
      <c r="F155" s="11">
        <f t="shared" si="8"/>
        <v>1535.0078004357056</v>
      </c>
      <c r="G155" s="11">
        <f t="shared" si="9"/>
        <v>-7.907800435705667</v>
      </c>
    </row>
    <row r="156" spans="1:7" x14ac:dyDescent="0.2">
      <c r="A156" s="7">
        <v>154</v>
      </c>
      <c r="B156" s="8"/>
      <c r="C156" s="8" t="s">
        <v>199</v>
      </c>
      <c r="D156" s="3">
        <v>1524</v>
      </c>
      <c r="E156">
        <f t="shared" si="7"/>
        <v>1530.404352810398</v>
      </c>
      <c r="F156" s="11">
        <f t="shared" si="8"/>
        <v>1538.2037626791996</v>
      </c>
      <c r="G156" s="11">
        <f t="shared" si="9"/>
        <v>-14.203762679199599</v>
      </c>
    </row>
    <row r="157" spans="1:7" x14ac:dyDescent="0.2">
      <c r="A157" s="7">
        <v>155</v>
      </c>
      <c r="B157" s="8"/>
      <c r="C157" s="8" t="s">
        <v>200</v>
      </c>
      <c r="D157" s="3">
        <v>1561.6</v>
      </c>
      <c r="E157">
        <f t="shared" si="7"/>
        <v>1533.1923201255977</v>
      </c>
      <c r="F157" s="11">
        <f t="shared" si="8"/>
        <v>1557.9835296298809</v>
      </c>
      <c r="G157" s="11">
        <f t="shared" si="9"/>
        <v>3.6164703701190319</v>
      </c>
    </row>
    <row r="158" spans="1:7" x14ac:dyDescent="0.2">
      <c r="A158" s="7">
        <v>156</v>
      </c>
      <c r="B158" s="8"/>
      <c r="C158" s="8" t="s">
        <v>201</v>
      </c>
      <c r="D158" s="3">
        <v>1513.7</v>
      </c>
      <c r="E158">
        <f t="shared" si="7"/>
        <v>1535.9802874407974</v>
      </c>
      <c r="F158" s="11">
        <f t="shared" si="8"/>
        <v>1515.263284134003</v>
      </c>
      <c r="G158" s="11">
        <f t="shared" si="9"/>
        <v>-1.5632841340029699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95BBE-4D50-43A8-A5B7-C0AED19A93A4}">
  <dimension ref="A1:B157"/>
  <sheetViews>
    <sheetView workbookViewId="0"/>
  </sheetViews>
  <sheetFormatPr baseColWidth="10" defaultColWidth="8.83203125" defaultRowHeight="15" x14ac:dyDescent="0.2"/>
  <sheetData>
    <row r="1" spans="1:2" x14ac:dyDescent="0.2">
      <c r="A1" t="s">
        <v>212</v>
      </c>
      <c r="B1" s="12" t="s">
        <v>2</v>
      </c>
    </row>
    <row r="2" spans="1:2" x14ac:dyDescent="0.2">
      <c r="A2">
        <v>1</v>
      </c>
      <c r="B2" s="13">
        <v>1023.2</v>
      </c>
    </row>
    <row r="3" spans="1:2" x14ac:dyDescent="0.2">
      <c r="A3">
        <v>2</v>
      </c>
      <c r="B3" s="13">
        <v>1036.2</v>
      </c>
    </row>
    <row r="4" spans="1:2" x14ac:dyDescent="0.2">
      <c r="A4">
        <v>3</v>
      </c>
      <c r="B4" s="13">
        <v>1022.1</v>
      </c>
    </row>
    <row r="5" spans="1:2" x14ac:dyDescent="0.2">
      <c r="A5">
        <v>4</v>
      </c>
      <c r="B5" s="13">
        <v>1050.0999999999999</v>
      </c>
    </row>
    <row r="6" spans="1:2" x14ac:dyDescent="0.2">
      <c r="A6">
        <v>5</v>
      </c>
      <c r="B6" s="13">
        <v>1105.3</v>
      </c>
    </row>
    <row r="7" spans="1:2" x14ac:dyDescent="0.2">
      <c r="A7">
        <v>6</v>
      </c>
      <c r="B7" s="13">
        <v>1157.3</v>
      </c>
    </row>
    <row r="8" spans="1:2" x14ac:dyDescent="0.2">
      <c r="A8">
        <v>7</v>
      </c>
      <c r="B8" s="13">
        <v>1064.9000000000001</v>
      </c>
    </row>
    <row r="9" spans="1:2" x14ac:dyDescent="0.2">
      <c r="A9">
        <v>8</v>
      </c>
      <c r="B9" s="13">
        <v>1155.9000000000001</v>
      </c>
    </row>
    <row r="10" spans="1:2" x14ac:dyDescent="0.2">
      <c r="A10">
        <v>9</v>
      </c>
      <c r="B10" s="13">
        <v>1140.3</v>
      </c>
    </row>
    <row r="11" spans="1:2" x14ac:dyDescent="0.2">
      <c r="A11">
        <v>10</v>
      </c>
      <c r="B11" s="13">
        <v>1098.8</v>
      </c>
    </row>
    <row r="12" spans="1:2" x14ac:dyDescent="0.2">
      <c r="A12">
        <v>11</v>
      </c>
      <c r="B12" s="13">
        <v>1163.2</v>
      </c>
    </row>
    <row r="13" spans="1:2" x14ac:dyDescent="0.2">
      <c r="A13">
        <v>12</v>
      </c>
      <c r="B13" s="13">
        <v>1058.3</v>
      </c>
    </row>
    <row r="14" spans="1:2" x14ac:dyDescent="0.2">
      <c r="A14">
        <v>13</v>
      </c>
      <c r="B14" s="13">
        <v>1096</v>
      </c>
    </row>
    <row r="15" spans="1:2" x14ac:dyDescent="0.2">
      <c r="A15">
        <v>14</v>
      </c>
      <c r="B15" s="13">
        <v>1079.8</v>
      </c>
    </row>
    <row r="16" spans="1:2" x14ac:dyDescent="0.2">
      <c r="A16">
        <v>15</v>
      </c>
      <c r="B16" s="13">
        <v>1098.9000000000001</v>
      </c>
    </row>
    <row r="17" spans="1:2" x14ac:dyDescent="0.2">
      <c r="A17">
        <v>16</v>
      </c>
      <c r="B17" s="13">
        <v>1102.0999999999999</v>
      </c>
    </row>
    <row r="18" spans="1:2" x14ac:dyDescent="0.2">
      <c r="A18">
        <v>17</v>
      </c>
      <c r="B18" s="13">
        <v>1174</v>
      </c>
    </row>
    <row r="19" spans="1:2" x14ac:dyDescent="0.2">
      <c r="A19">
        <v>18</v>
      </c>
      <c r="B19" s="13">
        <v>1171</v>
      </c>
    </row>
    <row r="20" spans="1:2" x14ac:dyDescent="0.2">
      <c r="A20">
        <v>19</v>
      </c>
      <c r="B20" s="13">
        <v>1118.0999999999999</v>
      </c>
    </row>
    <row r="21" spans="1:2" x14ac:dyDescent="0.2">
      <c r="A21">
        <v>20</v>
      </c>
      <c r="B21" s="13">
        <v>1239.0999999999999</v>
      </c>
    </row>
    <row r="22" spans="1:2" x14ac:dyDescent="0.2">
      <c r="A22">
        <v>21</v>
      </c>
      <c r="B22" s="13">
        <v>1164.4000000000001</v>
      </c>
    </row>
    <row r="23" spans="1:2" x14ac:dyDescent="0.2">
      <c r="A23">
        <v>22</v>
      </c>
      <c r="B23" s="13">
        <v>1180.2</v>
      </c>
    </row>
    <row r="24" spans="1:2" x14ac:dyDescent="0.2">
      <c r="A24">
        <v>23</v>
      </c>
      <c r="B24" s="13">
        <v>1231.5999999999999</v>
      </c>
    </row>
    <row r="25" spans="1:2" x14ac:dyDescent="0.2">
      <c r="A25">
        <v>24</v>
      </c>
      <c r="B25" s="13">
        <v>1130.5</v>
      </c>
    </row>
    <row r="26" spans="1:2" x14ac:dyDescent="0.2">
      <c r="A26">
        <v>25</v>
      </c>
      <c r="B26" s="13">
        <v>1202.5999999999999</v>
      </c>
    </row>
    <row r="27" spans="1:2" x14ac:dyDescent="0.2">
      <c r="A27">
        <v>26</v>
      </c>
      <c r="B27" s="13">
        <v>1098.3</v>
      </c>
    </row>
    <row r="28" spans="1:2" x14ac:dyDescent="0.2">
      <c r="A28">
        <v>27</v>
      </c>
      <c r="B28" s="13">
        <v>1182.4000000000001</v>
      </c>
    </row>
    <row r="29" spans="1:2" x14ac:dyDescent="0.2">
      <c r="A29">
        <v>28</v>
      </c>
      <c r="B29" s="13">
        <v>1180.9000000000001</v>
      </c>
    </row>
    <row r="30" spans="1:2" x14ac:dyDescent="0.2">
      <c r="A30">
        <v>29</v>
      </c>
      <c r="B30" s="13">
        <v>1251.2</v>
      </c>
    </row>
    <row r="31" spans="1:2" x14ac:dyDescent="0.2">
      <c r="A31">
        <v>30</v>
      </c>
      <c r="B31" s="13">
        <v>1212.5999999999999</v>
      </c>
    </row>
    <row r="32" spans="1:2" x14ac:dyDescent="0.2">
      <c r="A32">
        <v>31</v>
      </c>
      <c r="B32" s="13">
        <v>1225.2</v>
      </c>
    </row>
    <row r="33" spans="1:2" x14ac:dyDescent="0.2">
      <c r="A33">
        <v>32</v>
      </c>
      <c r="B33" s="13">
        <v>1268.2</v>
      </c>
    </row>
    <row r="34" spans="1:2" x14ac:dyDescent="0.2">
      <c r="A34">
        <v>33</v>
      </c>
      <c r="B34" s="13">
        <v>1182.2</v>
      </c>
    </row>
    <row r="35" spans="1:2" x14ac:dyDescent="0.2">
      <c r="A35">
        <v>34</v>
      </c>
      <c r="B35" s="13">
        <v>1253.5</v>
      </c>
    </row>
    <row r="36" spans="1:2" x14ac:dyDescent="0.2">
      <c r="A36">
        <v>35</v>
      </c>
      <c r="B36" s="13">
        <v>1271.4000000000001</v>
      </c>
    </row>
    <row r="37" spans="1:2" x14ac:dyDescent="0.2">
      <c r="A37">
        <v>36</v>
      </c>
      <c r="B37" s="13">
        <v>1192.0999999999999</v>
      </c>
    </row>
    <row r="38" spans="1:2" x14ac:dyDescent="0.2">
      <c r="A38">
        <v>37</v>
      </c>
      <c r="B38" s="13">
        <v>1248.7</v>
      </c>
    </row>
    <row r="39" spans="1:2" x14ac:dyDescent="0.2">
      <c r="A39">
        <v>38</v>
      </c>
      <c r="B39" s="13">
        <v>1217.0999999999999</v>
      </c>
    </row>
    <row r="40" spans="1:2" x14ac:dyDescent="0.2">
      <c r="A40">
        <v>39</v>
      </c>
      <c r="B40" s="13">
        <v>1163.0999999999999</v>
      </c>
    </row>
    <row r="41" spans="1:2" x14ac:dyDescent="0.2">
      <c r="A41">
        <v>40</v>
      </c>
      <c r="B41" s="13">
        <v>1281.4000000000001</v>
      </c>
    </row>
    <row r="42" spans="1:2" x14ac:dyDescent="0.2">
      <c r="A42">
        <v>41</v>
      </c>
      <c r="B42" s="13">
        <v>1249.0999999999999</v>
      </c>
    </row>
    <row r="43" spans="1:2" x14ac:dyDescent="0.2">
      <c r="A43">
        <v>42</v>
      </c>
      <c r="B43" s="13">
        <v>1311.2</v>
      </c>
    </row>
    <row r="44" spans="1:2" x14ac:dyDescent="0.2">
      <c r="A44">
        <v>43</v>
      </c>
      <c r="B44" s="13">
        <v>1298.7</v>
      </c>
    </row>
    <row r="45" spans="1:2" x14ac:dyDescent="0.2">
      <c r="A45">
        <v>44</v>
      </c>
      <c r="B45" s="13">
        <v>1190.2</v>
      </c>
    </row>
    <row r="46" spans="1:2" x14ac:dyDescent="0.2">
      <c r="A46">
        <v>45</v>
      </c>
      <c r="B46" s="13">
        <v>1298.5999999999999</v>
      </c>
    </row>
    <row r="47" spans="1:2" x14ac:dyDescent="0.2">
      <c r="A47">
        <v>46</v>
      </c>
      <c r="B47" s="13">
        <v>1282.5999999999999</v>
      </c>
    </row>
    <row r="48" spans="1:2" x14ac:dyDescent="0.2">
      <c r="A48">
        <v>47</v>
      </c>
      <c r="B48" s="13">
        <v>1218.4000000000001</v>
      </c>
    </row>
    <row r="49" spans="1:2" x14ac:dyDescent="0.2">
      <c r="A49">
        <v>48</v>
      </c>
      <c r="B49" s="13">
        <v>1245.8</v>
      </c>
    </row>
    <row r="50" spans="1:2" x14ac:dyDescent="0.2">
      <c r="A50">
        <v>49</v>
      </c>
      <c r="B50" s="13">
        <v>1169.5</v>
      </c>
    </row>
    <row r="51" spans="1:2" x14ac:dyDescent="0.2">
      <c r="A51">
        <v>50</v>
      </c>
      <c r="B51" s="13">
        <v>1190.2</v>
      </c>
    </row>
    <row r="52" spans="1:2" x14ac:dyDescent="0.2">
      <c r="A52">
        <v>51</v>
      </c>
      <c r="B52" s="13">
        <v>1188.3</v>
      </c>
    </row>
    <row r="53" spans="1:2" x14ac:dyDescent="0.2">
      <c r="A53">
        <v>52</v>
      </c>
      <c r="B53" s="13">
        <v>1211.7</v>
      </c>
    </row>
    <row r="54" spans="1:2" x14ac:dyDescent="0.2">
      <c r="A54">
        <v>53</v>
      </c>
      <c r="B54" s="13">
        <v>1207.2</v>
      </c>
    </row>
    <row r="55" spans="1:2" x14ac:dyDescent="0.2">
      <c r="A55">
        <v>54</v>
      </c>
      <c r="B55" s="13">
        <v>1315.3</v>
      </c>
    </row>
    <row r="56" spans="1:2" x14ac:dyDescent="0.2">
      <c r="A56">
        <v>55</v>
      </c>
      <c r="B56" s="13">
        <v>1304.7</v>
      </c>
    </row>
    <row r="57" spans="1:2" x14ac:dyDescent="0.2">
      <c r="A57">
        <v>56</v>
      </c>
      <c r="B57" s="13">
        <v>1241.4000000000001</v>
      </c>
    </row>
    <row r="58" spans="1:2" x14ac:dyDescent="0.2">
      <c r="A58">
        <v>57</v>
      </c>
      <c r="B58" s="13">
        <v>1241.8</v>
      </c>
    </row>
    <row r="59" spans="1:2" x14ac:dyDescent="0.2">
      <c r="A59">
        <v>58</v>
      </c>
      <c r="B59" s="13">
        <v>1277.5</v>
      </c>
    </row>
    <row r="60" spans="1:2" x14ac:dyDescent="0.2">
      <c r="A60">
        <v>59</v>
      </c>
      <c r="B60" s="13">
        <v>1222.7</v>
      </c>
    </row>
    <row r="61" spans="1:2" x14ac:dyDescent="0.2">
      <c r="A61">
        <v>60</v>
      </c>
      <c r="B61" s="13">
        <v>1229.7</v>
      </c>
    </row>
    <row r="62" spans="1:2" x14ac:dyDescent="0.2">
      <c r="A62">
        <v>61</v>
      </c>
      <c r="B62" s="13">
        <v>1161.7</v>
      </c>
    </row>
    <row r="63" spans="1:2" x14ac:dyDescent="0.2">
      <c r="A63">
        <v>62</v>
      </c>
      <c r="B63" s="13">
        <v>1180</v>
      </c>
    </row>
    <row r="64" spans="1:2" x14ac:dyDescent="0.2">
      <c r="A64">
        <v>63</v>
      </c>
      <c r="B64" s="13">
        <v>1345.4</v>
      </c>
    </row>
    <row r="65" spans="1:2" x14ac:dyDescent="0.2">
      <c r="A65">
        <v>64</v>
      </c>
      <c r="B65" s="13">
        <v>1308.8</v>
      </c>
    </row>
    <row r="66" spans="1:2" x14ac:dyDescent="0.2">
      <c r="A66">
        <v>65</v>
      </c>
      <c r="B66" s="13">
        <v>1235</v>
      </c>
    </row>
    <row r="67" spans="1:2" x14ac:dyDescent="0.2">
      <c r="A67">
        <v>66</v>
      </c>
      <c r="B67" s="13">
        <v>1373.2</v>
      </c>
    </row>
    <row r="68" spans="1:2" x14ac:dyDescent="0.2">
      <c r="A68">
        <v>67</v>
      </c>
      <c r="B68" s="13">
        <v>1317.3</v>
      </c>
    </row>
    <row r="69" spans="1:2" x14ac:dyDescent="0.2">
      <c r="A69">
        <v>68</v>
      </c>
      <c r="B69" s="13">
        <v>1308.3</v>
      </c>
    </row>
    <row r="70" spans="1:2" x14ac:dyDescent="0.2">
      <c r="A70">
        <v>69</v>
      </c>
      <c r="B70" s="13">
        <v>1287.3</v>
      </c>
    </row>
    <row r="71" spans="1:2" x14ac:dyDescent="0.2">
      <c r="A71">
        <v>70</v>
      </c>
      <c r="B71" s="13">
        <v>1278.3</v>
      </c>
    </row>
    <row r="72" spans="1:2" x14ac:dyDescent="0.2">
      <c r="A72">
        <v>71</v>
      </c>
      <c r="B72" s="13">
        <v>1299.2</v>
      </c>
    </row>
    <row r="73" spans="1:2" x14ac:dyDescent="0.2">
      <c r="A73">
        <v>72</v>
      </c>
      <c r="B73" s="13">
        <v>1375.3</v>
      </c>
    </row>
    <row r="74" spans="1:2" x14ac:dyDescent="0.2">
      <c r="A74">
        <v>73</v>
      </c>
      <c r="B74" s="13">
        <v>1266.4000000000001</v>
      </c>
    </row>
    <row r="75" spans="1:2" x14ac:dyDescent="0.2">
      <c r="A75">
        <v>74</v>
      </c>
      <c r="B75" s="13">
        <v>1253.8</v>
      </c>
    </row>
    <row r="76" spans="1:2" x14ac:dyDescent="0.2">
      <c r="A76">
        <v>75</v>
      </c>
      <c r="B76" s="13">
        <v>1261.5</v>
      </c>
    </row>
    <row r="77" spans="1:2" x14ac:dyDescent="0.2">
      <c r="A77">
        <v>76</v>
      </c>
      <c r="B77" s="13">
        <v>1283.4000000000001</v>
      </c>
    </row>
    <row r="78" spans="1:2" x14ac:dyDescent="0.2">
      <c r="A78">
        <v>77</v>
      </c>
      <c r="B78" s="13">
        <v>1314.3</v>
      </c>
    </row>
    <row r="79" spans="1:2" x14ac:dyDescent="0.2">
      <c r="A79">
        <v>78</v>
      </c>
      <c r="B79" s="13">
        <v>1405.6</v>
      </c>
    </row>
    <row r="80" spans="1:2" x14ac:dyDescent="0.2">
      <c r="A80">
        <v>79</v>
      </c>
      <c r="B80" s="13">
        <v>1300.5999999999999</v>
      </c>
    </row>
    <row r="81" spans="1:2" x14ac:dyDescent="0.2">
      <c r="A81">
        <v>80</v>
      </c>
      <c r="B81" s="13">
        <v>1440.5</v>
      </c>
    </row>
    <row r="82" spans="1:2" x14ac:dyDescent="0.2">
      <c r="A82">
        <v>81</v>
      </c>
      <c r="B82" s="13">
        <v>1361.9</v>
      </c>
    </row>
    <row r="83" spans="1:2" x14ac:dyDescent="0.2">
      <c r="A83">
        <v>82</v>
      </c>
      <c r="B83" s="13">
        <v>1299.7</v>
      </c>
    </row>
    <row r="84" spans="1:2" x14ac:dyDescent="0.2">
      <c r="A84">
        <v>83</v>
      </c>
      <c r="B84" s="13">
        <v>1386.2</v>
      </c>
    </row>
    <row r="85" spans="1:2" x14ac:dyDescent="0.2">
      <c r="A85">
        <v>84</v>
      </c>
      <c r="B85" s="13">
        <v>1302.5</v>
      </c>
    </row>
    <row r="86" spans="1:2" x14ac:dyDescent="0.2">
      <c r="A86">
        <v>85</v>
      </c>
      <c r="B86" s="13">
        <v>1202.5999999999999</v>
      </c>
    </row>
    <row r="87" spans="1:2" x14ac:dyDescent="0.2">
      <c r="A87">
        <v>86</v>
      </c>
      <c r="B87" s="13">
        <v>1344.4</v>
      </c>
    </row>
    <row r="88" spans="1:2" x14ac:dyDescent="0.2">
      <c r="A88">
        <v>87</v>
      </c>
      <c r="B88" s="13">
        <v>1291.5</v>
      </c>
    </row>
    <row r="89" spans="1:2" x14ac:dyDescent="0.2">
      <c r="A89">
        <v>88</v>
      </c>
      <c r="B89" s="13">
        <v>1391.3</v>
      </c>
    </row>
    <row r="90" spans="1:2" x14ac:dyDescent="0.2">
      <c r="A90">
        <v>89</v>
      </c>
      <c r="B90" s="13">
        <v>1388.1</v>
      </c>
    </row>
    <row r="91" spans="1:2" x14ac:dyDescent="0.2">
      <c r="A91">
        <v>90</v>
      </c>
      <c r="B91" s="13">
        <v>1391.2</v>
      </c>
    </row>
    <row r="92" spans="1:2" x14ac:dyDescent="0.2">
      <c r="A92">
        <v>91</v>
      </c>
      <c r="B92" s="13">
        <v>1375.8</v>
      </c>
    </row>
    <row r="93" spans="1:2" x14ac:dyDescent="0.2">
      <c r="A93">
        <v>92</v>
      </c>
      <c r="B93" s="13">
        <v>1443.2</v>
      </c>
    </row>
    <row r="94" spans="1:2" x14ac:dyDescent="0.2">
      <c r="A94">
        <v>93</v>
      </c>
      <c r="B94" s="13">
        <v>1401.3</v>
      </c>
    </row>
    <row r="95" spans="1:2" x14ac:dyDescent="0.2">
      <c r="A95">
        <v>94</v>
      </c>
      <c r="B95" s="13">
        <v>1378.7</v>
      </c>
    </row>
    <row r="96" spans="1:2" x14ac:dyDescent="0.2">
      <c r="A96">
        <v>95</v>
      </c>
      <c r="B96" s="13">
        <v>1378.8</v>
      </c>
    </row>
    <row r="97" spans="1:2" x14ac:dyDescent="0.2">
      <c r="A97">
        <v>96</v>
      </c>
      <c r="B97" s="13">
        <v>1378.9</v>
      </c>
    </row>
    <row r="98" spans="1:2" x14ac:dyDescent="0.2">
      <c r="A98">
        <v>97</v>
      </c>
      <c r="B98" s="13">
        <v>1383.3</v>
      </c>
    </row>
    <row r="99" spans="1:2" x14ac:dyDescent="0.2">
      <c r="A99">
        <v>98</v>
      </c>
      <c r="B99" s="13">
        <v>1283.3</v>
      </c>
    </row>
    <row r="100" spans="1:2" x14ac:dyDescent="0.2">
      <c r="A100">
        <v>99</v>
      </c>
      <c r="B100" s="13">
        <v>1291.0999999999999</v>
      </c>
    </row>
    <row r="101" spans="1:2" x14ac:dyDescent="0.2">
      <c r="A101">
        <v>100</v>
      </c>
      <c r="B101" s="13">
        <v>1406.5</v>
      </c>
    </row>
    <row r="102" spans="1:2" x14ac:dyDescent="0.2">
      <c r="A102">
        <v>101</v>
      </c>
      <c r="B102" s="13">
        <v>1400.9</v>
      </c>
    </row>
    <row r="103" spans="1:2" x14ac:dyDescent="0.2">
      <c r="A103">
        <v>102</v>
      </c>
      <c r="B103" s="13">
        <v>1412.7</v>
      </c>
    </row>
    <row r="104" spans="1:2" x14ac:dyDescent="0.2">
      <c r="A104">
        <v>103</v>
      </c>
      <c r="B104" s="13">
        <v>1466.6</v>
      </c>
    </row>
    <row r="105" spans="1:2" x14ac:dyDescent="0.2">
      <c r="A105">
        <v>104</v>
      </c>
      <c r="B105" s="13">
        <v>1423.7</v>
      </c>
    </row>
    <row r="106" spans="1:2" x14ac:dyDescent="0.2">
      <c r="A106">
        <v>105</v>
      </c>
      <c r="B106" s="13">
        <v>1411.2</v>
      </c>
    </row>
    <row r="107" spans="1:2" x14ac:dyDescent="0.2">
      <c r="A107">
        <v>106</v>
      </c>
      <c r="B107" s="13">
        <v>1411</v>
      </c>
    </row>
    <row r="108" spans="1:2" x14ac:dyDescent="0.2">
      <c r="A108">
        <v>107</v>
      </c>
      <c r="B108" s="13">
        <v>1447.4</v>
      </c>
    </row>
    <row r="109" spans="1:2" x14ac:dyDescent="0.2">
      <c r="A109">
        <v>108</v>
      </c>
      <c r="B109" s="13">
        <v>1381.1</v>
      </c>
    </row>
    <row r="110" spans="1:2" x14ac:dyDescent="0.2">
      <c r="A110">
        <v>109</v>
      </c>
      <c r="B110" s="13">
        <v>1354</v>
      </c>
    </row>
    <row r="111" spans="1:2" x14ac:dyDescent="0.2">
      <c r="A111">
        <v>110</v>
      </c>
      <c r="B111" s="13">
        <v>1370.3</v>
      </c>
    </row>
    <row r="112" spans="1:2" x14ac:dyDescent="0.2">
      <c r="A112">
        <v>111</v>
      </c>
      <c r="B112" s="13">
        <v>1316.5</v>
      </c>
    </row>
    <row r="113" spans="1:2" x14ac:dyDescent="0.2">
      <c r="A113">
        <v>112</v>
      </c>
      <c r="B113" s="13">
        <v>1416.3</v>
      </c>
    </row>
    <row r="114" spans="1:2" x14ac:dyDescent="0.2">
      <c r="A114">
        <v>113</v>
      </c>
      <c r="B114" s="13">
        <v>1416.9</v>
      </c>
    </row>
    <row r="115" spans="1:2" x14ac:dyDescent="0.2">
      <c r="A115">
        <v>114</v>
      </c>
      <c r="B115" s="13">
        <v>1447.2</v>
      </c>
    </row>
    <row r="116" spans="1:2" x14ac:dyDescent="0.2">
      <c r="A116">
        <v>115</v>
      </c>
      <c r="B116" s="13">
        <v>1451.6</v>
      </c>
    </row>
    <row r="117" spans="1:2" x14ac:dyDescent="0.2">
      <c r="A117">
        <v>116</v>
      </c>
      <c r="B117" s="13">
        <v>1486.1</v>
      </c>
    </row>
    <row r="118" spans="1:2" x14ac:dyDescent="0.2">
      <c r="A118">
        <v>117</v>
      </c>
      <c r="B118" s="13">
        <v>1447.1</v>
      </c>
    </row>
    <row r="119" spans="1:2" x14ac:dyDescent="0.2">
      <c r="A119">
        <v>118</v>
      </c>
      <c r="B119" s="13">
        <v>1458</v>
      </c>
    </row>
    <row r="120" spans="1:2" x14ac:dyDescent="0.2">
      <c r="A120">
        <v>119</v>
      </c>
      <c r="B120" s="13">
        <v>1457.4</v>
      </c>
    </row>
    <row r="121" spans="1:2" x14ac:dyDescent="0.2">
      <c r="A121">
        <v>120</v>
      </c>
      <c r="B121" s="13">
        <v>1425.1</v>
      </c>
    </row>
    <row r="122" spans="1:2" x14ac:dyDescent="0.2">
      <c r="A122">
        <v>121</v>
      </c>
      <c r="B122" s="13">
        <v>1412.2</v>
      </c>
    </row>
    <row r="123" spans="1:2" x14ac:dyDescent="0.2">
      <c r="A123">
        <v>122</v>
      </c>
      <c r="B123" s="13">
        <v>1335.3</v>
      </c>
    </row>
    <row r="124" spans="1:2" x14ac:dyDescent="0.2">
      <c r="A124">
        <v>123</v>
      </c>
      <c r="B124" s="13">
        <v>1386.4</v>
      </c>
    </row>
    <row r="125" spans="1:2" x14ac:dyDescent="0.2">
      <c r="A125">
        <v>124</v>
      </c>
      <c r="B125" s="13">
        <v>1455.8</v>
      </c>
    </row>
    <row r="126" spans="1:2" x14ac:dyDescent="0.2">
      <c r="A126">
        <v>125</v>
      </c>
      <c r="B126" s="13">
        <v>1467.5</v>
      </c>
    </row>
    <row r="127" spans="1:2" x14ac:dyDescent="0.2">
      <c r="A127">
        <v>126</v>
      </c>
      <c r="B127" s="13">
        <v>1491.5</v>
      </c>
    </row>
    <row r="128" spans="1:2" x14ac:dyDescent="0.2">
      <c r="A128">
        <v>127</v>
      </c>
      <c r="B128" s="13">
        <v>1475.4</v>
      </c>
    </row>
    <row r="129" spans="1:2" x14ac:dyDescent="0.2">
      <c r="A129">
        <v>128</v>
      </c>
      <c r="B129" s="13">
        <v>1520.4</v>
      </c>
    </row>
    <row r="130" spans="1:2" x14ac:dyDescent="0.2">
      <c r="A130">
        <v>129</v>
      </c>
      <c r="B130" s="13">
        <v>1486</v>
      </c>
    </row>
    <row r="131" spans="1:2" x14ac:dyDescent="0.2">
      <c r="A131">
        <v>130</v>
      </c>
      <c r="B131" s="13">
        <v>1499.6</v>
      </c>
    </row>
    <row r="132" spans="1:2" x14ac:dyDescent="0.2">
      <c r="A132">
        <v>131</v>
      </c>
      <c r="B132" s="13">
        <v>1506.2</v>
      </c>
    </row>
    <row r="133" spans="1:2" x14ac:dyDescent="0.2">
      <c r="A133">
        <v>132</v>
      </c>
      <c r="B133" s="13">
        <v>1444.7</v>
      </c>
    </row>
    <row r="134" spans="1:2" x14ac:dyDescent="0.2">
      <c r="A134">
        <v>133</v>
      </c>
      <c r="B134" s="13">
        <v>1419.1</v>
      </c>
    </row>
    <row r="135" spans="1:2" x14ac:dyDescent="0.2">
      <c r="A135">
        <v>134</v>
      </c>
      <c r="B135" s="13">
        <v>1449</v>
      </c>
    </row>
    <row r="136" spans="1:2" x14ac:dyDescent="0.2">
      <c r="A136">
        <v>135</v>
      </c>
      <c r="B136" s="13">
        <v>1383.4</v>
      </c>
    </row>
    <row r="137" spans="1:2" x14ac:dyDescent="0.2">
      <c r="A137">
        <v>136</v>
      </c>
      <c r="B137" s="13">
        <v>1504.2</v>
      </c>
    </row>
    <row r="138" spans="1:2" x14ac:dyDescent="0.2">
      <c r="A138">
        <v>137</v>
      </c>
      <c r="B138" s="13">
        <v>1490.3</v>
      </c>
    </row>
    <row r="139" spans="1:2" x14ac:dyDescent="0.2">
      <c r="A139">
        <v>138</v>
      </c>
      <c r="B139" s="13">
        <v>1536.4</v>
      </c>
    </row>
    <row r="140" spans="1:2" x14ac:dyDescent="0.2">
      <c r="A140">
        <v>139</v>
      </c>
      <c r="B140" s="13">
        <v>1449.7</v>
      </c>
    </row>
    <row r="141" spans="1:2" x14ac:dyDescent="0.2">
      <c r="A141">
        <v>140</v>
      </c>
      <c r="B141" s="13">
        <v>1533.2</v>
      </c>
    </row>
    <row r="142" spans="1:2" x14ac:dyDescent="0.2">
      <c r="A142">
        <v>141</v>
      </c>
      <c r="B142" s="13">
        <v>1464.3</v>
      </c>
    </row>
    <row r="143" spans="1:2" x14ac:dyDescent="0.2">
      <c r="A143">
        <v>142</v>
      </c>
      <c r="B143" s="13">
        <v>1493.2</v>
      </c>
    </row>
    <row r="144" spans="1:2" x14ac:dyDescent="0.2">
      <c r="A144">
        <v>143</v>
      </c>
      <c r="B144" s="13">
        <v>1504.4</v>
      </c>
    </row>
    <row r="145" spans="1:2" x14ac:dyDescent="0.2">
      <c r="A145">
        <v>144</v>
      </c>
      <c r="B145" s="13">
        <v>1471</v>
      </c>
    </row>
    <row r="146" spans="1:2" x14ac:dyDescent="0.2">
      <c r="A146">
        <v>145</v>
      </c>
      <c r="B146" s="13">
        <v>1459</v>
      </c>
    </row>
    <row r="147" spans="1:2" x14ac:dyDescent="0.2">
      <c r="A147">
        <v>146</v>
      </c>
      <c r="B147" s="13">
        <v>1454.4</v>
      </c>
    </row>
    <row r="148" spans="1:2" x14ac:dyDescent="0.2">
      <c r="A148">
        <v>147</v>
      </c>
      <c r="B148" s="13">
        <v>1441.8</v>
      </c>
    </row>
    <row r="149" spans="1:2" x14ac:dyDescent="0.2">
      <c r="A149">
        <v>148</v>
      </c>
      <c r="B149" s="13">
        <v>1442.2</v>
      </c>
    </row>
    <row r="150" spans="1:2" x14ac:dyDescent="0.2">
      <c r="A150">
        <v>149</v>
      </c>
      <c r="B150" s="13">
        <v>1523.6</v>
      </c>
    </row>
    <row r="151" spans="1:2" x14ac:dyDescent="0.2">
      <c r="A151">
        <v>150</v>
      </c>
      <c r="B151" s="13">
        <v>1464.2</v>
      </c>
    </row>
    <row r="152" spans="1:2" x14ac:dyDescent="0.2">
      <c r="A152">
        <v>151</v>
      </c>
      <c r="B152" s="13">
        <v>1507.1</v>
      </c>
    </row>
    <row r="153" spans="1:2" x14ac:dyDescent="0.2">
      <c r="A153">
        <v>152</v>
      </c>
      <c r="B153" s="13">
        <v>1644.4</v>
      </c>
    </row>
    <row r="154" spans="1:2" x14ac:dyDescent="0.2">
      <c r="A154">
        <v>153</v>
      </c>
      <c r="B154" s="13">
        <v>1527.1</v>
      </c>
    </row>
    <row r="155" spans="1:2" x14ac:dyDescent="0.2">
      <c r="A155">
        <v>154</v>
      </c>
      <c r="B155" s="13">
        <v>1524</v>
      </c>
    </row>
    <row r="156" spans="1:2" x14ac:dyDescent="0.2">
      <c r="A156">
        <v>155</v>
      </c>
      <c r="B156" s="13">
        <v>1561.6</v>
      </c>
    </row>
    <row r="157" spans="1:2" x14ac:dyDescent="0.2">
      <c r="A157">
        <v>156</v>
      </c>
      <c r="B157" s="13">
        <v>1513.7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4FE5E-E0DB-4B51-9585-CDE885CAB7A0}">
  <sheetPr>
    <tabColor rgb="FF007800"/>
  </sheetPr>
  <dimension ref="B1:J330"/>
  <sheetViews>
    <sheetView topLeftCell="A17" zoomScaleNormal="100" workbookViewId="0">
      <selection activeCell="H26" sqref="H26"/>
    </sheetView>
  </sheetViews>
  <sheetFormatPr baseColWidth="10" defaultColWidth="8.83203125" defaultRowHeight="15" x14ac:dyDescent="0.2"/>
  <cols>
    <col min="1" max="1" width="5" customWidth="1"/>
  </cols>
  <sheetData>
    <row r="1" spans="2:9" x14ac:dyDescent="0.2">
      <c r="B1" t="s">
        <v>279</v>
      </c>
    </row>
    <row r="2" spans="2:9" x14ac:dyDescent="0.2">
      <c r="B2" t="s">
        <v>271</v>
      </c>
    </row>
    <row r="3" spans="2:9" x14ac:dyDescent="0.2">
      <c r="B3" t="s">
        <v>272</v>
      </c>
    </row>
    <row r="4" spans="2:9" x14ac:dyDescent="0.2">
      <c r="B4" t="s">
        <v>231</v>
      </c>
    </row>
    <row r="5" spans="2:9" x14ac:dyDescent="0.2">
      <c r="B5" t="s">
        <v>232</v>
      </c>
    </row>
    <row r="6" spans="2:9" x14ac:dyDescent="0.2">
      <c r="B6" t="s">
        <v>275</v>
      </c>
    </row>
    <row r="7" spans="2:9" x14ac:dyDescent="0.2">
      <c r="B7" t="s">
        <v>233</v>
      </c>
    </row>
    <row r="8" spans="2:9" x14ac:dyDescent="0.2">
      <c r="B8" t="s">
        <v>231</v>
      </c>
    </row>
    <row r="9" spans="2:9" x14ac:dyDescent="0.2">
      <c r="B9" t="s">
        <v>278</v>
      </c>
    </row>
    <row r="10" spans="2:9" ht="34.25" customHeight="1" x14ac:dyDescent="0.2"/>
    <row r="14" spans="2:9" x14ac:dyDescent="0.2">
      <c r="B14" t="s">
        <v>210</v>
      </c>
    </row>
    <row r="15" spans="2:9" ht="16" thickBot="1" x14ac:dyDescent="0.25"/>
    <row r="16" spans="2:9" x14ac:dyDescent="0.2">
      <c r="B16" s="15" t="s">
        <v>211</v>
      </c>
      <c r="C16" s="16" t="s">
        <v>212</v>
      </c>
      <c r="D16" s="16" t="s">
        <v>213</v>
      </c>
      <c r="E16" s="16" t="s">
        <v>214</v>
      </c>
      <c r="F16" s="16" t="s">
        <v>215</v>
      </c>
      <c r="G16" s="16" t="s">
        <v>216</v>
      </c>
      <c r="H16" s="16" t="s">
        <v>217</v>
      </c>
      <c r="I16" s="16" t="s">
        <v>218</v>
      </c>
    </row>
    <row r="17" spans="2:9" ht="16" thickBot="1" x14ac:dyDescent="0.25">
      <c r="B17" s="18" t="s">
        <v>2</v>
      </c>
      <c r="C17" s="19">
        <v>156</v>
      </c>
      <c r="D17" s="19">
        <v>0</v>
      </c>
      <c r="E17" s="19">
        <v>156</v>
      </c>
      <c r="F17" s="20">
        <v>1022.1</v>
      </c>
      <c r="G17" s="20">
        <v>1644.4</v>
      </c>
      <c r="H17" s="20">
        <v>1319.9128205128213</v>
      </c>
      <c r="I17" s="20">
        <v>135.59524766529492</v>
      </c>
    </row>
    <row r="20" spans="2:9" x14ac:dyDescent="0.2">
      <c r="B20" s="27" t="s">
        <v>234</v>
      </c>
    </row>
    <row r="22" spans="2:9" x14ac:dyDescent="0.2">
      <c r="B22" t="s">
        <v>235</v>
      </c>
    </row>
    <row r="24" spans="2:9" x14ac:dyDescent="0.2">
      <c r="B24" t="s">
        <v>236</v>
      </c>
    </row>
    <row r="25" spans="2:9" ht="16" thickBot="1" x14ac:dyDescent="0.25"/>
    <row r="26" spans="2:9" x14ac:dyDescent="0.2">
      <c r="B26" s="21" t="s">
        <v>212</v>
      </c>
      <c r="C26" s="21">
        <v>143</v>
      </c>
    </row>
    <row r="27" spans="2:9" x14ac:dyDescent="0.2">
      <c r="B27" s="14" t="s">
        <v>237</v>
      </c>
      <c r="C27" s="14">
        <v>132</v>
      </c>
    </row>
    <row r="28" spans="2:9" x14ac:dyDescent="0.2">
      <c r="B28" s="14" t="s">
        <v>238</v>
      </c>
      <c r="C28" s="14">
        <v>191761.66505431978</v>
      </c>
    </row>
    <row r="29" spans="2:9" x14ac:dyDescent="0.2">
      <c r="B29" s="14" t="s">
        <v>239</v>
      </c>
      <c r="C29" s="14">
        <v>1340.9906647155228</v>
      </c>
    </row>
    <row r="30" spans="2:9" x14ac:dyDescent="0.2">
      <c r="B30" s="36" t="s">
        <v>166</v>
      </c>
      <c r="C30" s="36">
        <v>36.619539384262097</v>
      </c>
    </row>
    <row r="31" spans="2:9" x14ac:dyDescent="0.2">
      <c r="B31" s="14" t="s">
        <v>240</v>
      </c>
      <c r="C31" s="14">
        <v>1340.9906647155228</v>
      </c>
    </row>
    <row r="32" spans="2:9" x14ac:dyDescent="0.2">
      <c r="B32" s="14" t="s">
        <v>241</v>
      </c>
      <c r="C32" s="14">
        <v>116.86920626493502</v>
      </c>
    </row>
    <row r="33" spans="2:9" x14ac:dyDescent="0.2">
      <c r="B33" s="36" t="s">
        <v>242</v>
      </c>
      <c r="C33" s="36">
        <v>1.8588196657752467</v>
      </c>
    </row>
    <row r="34" spans="2:9" x14ac:dyDescent="0.2">
      <c r="B34" s="14" t="s">
        <v>243</v>
      </c>
      <c r="C34" s="14">
        <v>1467.9585617345031</v>
      </c>
    </row>
    <row r="35" spans="2:9" x14ac:dyDescent="0.2">
      <c r="B35" s="14" t="s">
        <v>244</v>
      </c>
      <c r="C35" s="14">
        <v>2346.7336632521651</v>
      </c>
    </row>
    <row r="36" spans="2:9" x14ac:dyDescent="0.2">
      <c r="B36" s="14" t="s">
        <v>245</v>
      </c>
      <c r="C36" s="14">
        <v>1489.9585617345031</v>
      </c>
    </row>
    <row r="37" spans="2:9" x14ac:dyDescent="0.2">
      <c r="B37" s="14" t="s">
        <v>246</v>
      </c>
      <c r="C37" s="14">
        <v>1491.9738289100756</v>
      </c>
    </row>
    <row r="38" spans="2:9" x14ac:dyDescent="0.2">
      <c r="B38" s="14" t="s">
        <v>247</v>
      </c>
      <c r="C38" s="14">
        <v>1522.5498526673621</v>
      </c>
    </row>
    <row r="39" spans="2:9" ht="16" thickBot="1" x14ac:dyDescent="0.25">
      <c r="B39" s="22" t="s">
        <v>248</v>
      </c>
      <c r="C39" s="22">
        <v>534</v>
      </c>
    </row>
    <row r="42" spans="2:9" x14ac:dyDescent="0.2">
      <c r="B42" t="s">
        <v>249</v>
      </c>
    </row>
    <row r="43" spans="2:9" ht="16" thickBot="1" x14ac:dyDescent="0.25"/>
    <row r="44" spans="2:9" x14ac:dyDescent="0.2">
      <c r="B44" s="15" t="s">
        <v>250</v>
      </c>
      <c r="C44" s="16" t="s">
        <v>251</v>
      </c>
      <c r="D44" s="16" t="s">
        <v>252</v>
      </c>
      <c r="E44" s="16" t="s">
        <v>253</v>
      </c>
      <c r="F44" s="16" t="s">
        <v>254</v>
      </c>
    </row>
    <row r="45" spans="2:9" ht="16" thickBot="1" x14ac:dyDescent="0.25">
      <c r="B45" s="18" t="s">
        <v>255</v>
      </c>
      <c r="C45" s="20">
        <v>0</v>
      </c>
      <c r="D45" s="20"/>
      <c r="E45" s="20"/>
      <c r="F45" s="20"/>
    </row>
    <row r="47" spans="2:9" ht="16" thickBot="1" x14ac:dyDescent="0.25"/>
    <row r="48" spans="2:9" x14ac:dyDescent="0.2">
      <c r="B48" s="15" t="s">
        <v>250</v>
      </c>
      <c r="C48" s="16" t="s">
        <v>251</v>
      </c>
      <c r="D48" s="16" t="s">
        <v>252</v>
      </c>
      <c r="E48" s="16" t="s">
        <v>253</v>
      </c>
      <c r="F48" s="16" t="s">
        <v>254</v>
      </c>
      <c r="G48" s="16" t="s">
        <v>256</v>
      </c>
      <c r="H48" s="16" t="s">
        <v>253</v>
      </c>
      <c r="I48" s="16" t="s">
        <v>254</v>
      </c>
    </row>
    <row r="49" spans="2:9" x14ac:dyDescent="0.2">
      <c r="B49" s="17" t="s">
        <v>257</v>
      </c>
      <c r="C49" s="28">
        <v>-0.18576561398902391</v>
      </c>
      <c r="D49" s="28">
        <v>0.12685799657604002</v>
      </c>
      <c r="E49" s="28">
        <v>-0.43440271842896783</v>
      </c>
      <c r="F49" s="28">
        <v>6.287149045091997E-2</v>
      </c>
      <c r="G49" s="28">
        <v>8.389331778697609E-2</v>
      </c>
      <c r="H49" s="28">
        <v>-0.3501934953950705</v>
      </c>
      <c r="I49" s="28">
        <v>-2.1337732582977303E-2</v>
      </c>
    </row>
    <row r="50" spans="2:9" x14ac:dyDescent="0.2">
      <c r="B50" s="14" t="s">
        <v>258</v>
      </c>
      <c r="C50" s="29">
        <v>-7.4010567299486213E-2</v>
      </c>
      <c r="D50" s="29">
        <v>0.12013433408921023</v>
      </c>
      <c r="E50" s="29">
        <v>-0.30946953542104072</v>
      </c>
      <c r="F50" s="29">
        <v>0.16144840082206827</v>
      </c>
      <c r="G50" s="29">
        <v>9.8449185485410692E-2</v>
      </c>
      <c r="H50" s="29">
        <v>-0.2669674251581946</v>
      </c>
      <c r="I50" s="29">
        <v>0.11894629055922215</v>
      </c>
    </row>
    <row r="51" spans="2:9" x14ac:dyDescent="0.2">
      <c r="B51" s="14" t="s">
        <v>273</v>
      </c>
      <c r="C51" s="29">
        <v>0.19632597494074897</v>
      </c>
      <c r="D51" s="29">
        <v>0.1075734035400361</v>
      </c>
      <c r="E51" s="29">
        <v>-1.4514021692115298E-2</v>
      </c>
      <c r="F51" s="29">
        <v>0.40716597157361323</v>
      </c>
      <c r="G51" s="29">
        <v>9.222002249398463E-2</v>
      </c>
      <c r="H51" s="29">
        <v>1.5578052199065467E-2</v>
      </c>
      <c r="I51" s="29">
        <v>0.37707389768243249</v>
      </c>
    </row>
    <row r="52" spans="2:9" x14ac:dyDescent="0.2">
      <c r="B52" s="14" t="s">
        <v>259</v>
      </c>
      <c r="C52" s="29">
        <v>5.8955032847777818E-2</v>
      </c>
      <c r="D52" s="29">
        <v>9.4971974859663855E-2</v>
      </c>
      <c r="E52" s="29">
        <v>-0.12718661741780676</v>
      </c>
      <c r="F52" s="29">
        <v>0.24509668311336238</v>
      </c>
      <c r="G52" s="29">
        <v>0.10193062655765624</v>
      </c>
      <c r="H52" s="29">
        <v>-0.14082532412683033</v>
      </c>
      <c r="I52" s="29">
        <v>0.25873538982238597</v>
      </c>
    </row>
    <row r="53" spans="2:9" x14ac:dyDescent="0.2">
      <c r="B53" s="14" t="s">
        <v>260</v>
      </c>
      <c r="C53" s="29">
        <v>4.7866591934189996E-2</v>
      </c>
      <c r="D53" s="29">
        <v>0.10001169047983084</v>
      </c>
      <c r="E53" s="29">
        <v>-0.14815271943924582</v>
      </c>
      <c r="F53" s="29">
        <v>0.2438859033076258</v>
      </c>
      <c r="G53" s="29">
        <v>8.6601045048518413E-2</v>
      </c>
      <c r="H53" s="29">
        <v>-0.12186833738443684</v>
      </c>
      <c r="I53" s="29">
        <v>0.21760152125281682</v>
      </c>
    </row>
    <row r="54" spans="2:9" x14ac:dyDescent="0.2">
      <c r="B54" s="14" t="s">
        <v>274</v>
      </c>
      <c r="C54" s="29">
        <v>-9.3413161665362385E-2</v>
      </c>
      <c r="D54" s="29">
        <v>9.9296406088255712E-2</v>
      </c>
      <c r="E54" s="29">
        <v>-0.28803054139260731</v>
      </c>
      <c r="F54" s="29">
        <v>0.10120421806188253</v>
      </c>
      <c r="G54" s="29">
        <v>8.6483244216292526E-2</v>
      </c>
      <c r="H54" s="29">
        <v>-0.26291720559547765</v>
      </c>
      <c r="I54" s="29">
        <v>7.6090882264752871E-2</v>
      </c>
    </row>
    <row r="55" spans="2:9" x14ac:dyDescent="0.2">
      <c r="B55" s="14" t="s">
        <v>276</v>
      </c>
      <c r="C55" s="29">
        <v>-0.84573475241836105</v>
      </c>
      <c r="D55" s="29">
        <v>8.4747291725343191E-2</v>
      </c>
      <c r="E55" s="29">
        <v>-1.011836391987343</v>
      </c>
      <c r="F55" s="29">
        <v>-0.67963311284937911</v>
      </c>
      <c r="G55" s="29">
        <v>6.7788112226973007E-2</v>
      </c>
      <c r="H55" s="29">
        <v>-0.97859701096318741</v>
      </c>
      <c r="I55" s="29">
        <v>-0.71287249387353468</v>
      </c>
    </row>
    <row r="56" spans="2:9" ht="16" thickBot="1" x14ac:dyDescent="0.25">
      <c r="B56" s="22" t="s">
        <v>277</v>
      </c>
      <c r="C56" s="30">
        <v>-0.99999997589235223</v>
      </c>
      <c r="D56" s="30">
        <v>0.20390193755828048</v>
      </c>
      <c r="E56" s="30">
        <v>-1.3996404298845169</v>
      </c>
      <c r="F56" s="30">
        <v>-0.6003595219001876</v>
      </c>
      <c r="G56" s="30">
        <v>2.4048629235314868E-5</v>
      </c>
      <c r="H56" s="30">
        <v>-1.000047110339531</v>
      </c>
      <c r="I56" s="30">
        <v>-0.99995284144517349</v>
      </c>
    </row>
    <row r="59" spans="2:9" x14ac:dyDescent="0.2">
      <c r="B59" t="s">
        <v>261</v>
      </c>
    </row>
    <row r="60" spans="2:9" ht="16" thickBot="1" x14ac:dyDescent="0.25"/>
    <row r="61" spans="2:9" x14ac:dyDescent="0.2">
      <c r="B61" s="31" t="s">
        <v>212</v>
      </c>
      <c r="C61" s="16" t="s">
        <v>2</v>
      </c>
      <c r="D61" s="16" t="s">
        <v>262</v>
      </c>
      <c r="E61" s="16" t="s">
        <v>263</v>
      </c>
      <c r="F61" s="16" t="s">
        <v>264</v>
      </c>
    </row>
    <row r="62" spans="2:9" x14ac:dyDescent="0.2">
      <c r="B62" s="32">
        <v>1</v>
      </c>
      <c r="C62" s="28">
        <v>1023.2</v>
      </c>
      <c r="D62" s="28">
        <v>1023.2</v>
      </c>
      <c r="E62" s="28">
        <v>0</v>
      </c>
      <c r="F62" s="28">
        <v>0</v>
      </c>
    </row>
    <row r="63" spans="2:9" x14ac:dyDescent="0.2">
      <c r="B63" s="33">
        <v>2</v>
      </c>
      <c r="C63" s="29">
        <v>1036.2</v>
      </c>
      <c r="D63" s="29">
        <v>1036.2</v>
      </c>
      <c r="E63" s="29">
        <v>0</v>
      </c>
      <c r="F63" s="29">
        <v>0</v>
      </c>
    </row>
    <row r="64" spans="2:9" x14ac:dyDescent="0.2">
      <c r="B64" s="33">
        <v>3</v>
      </c>
      <c r="C64" s="29">
        <v>1022.1</v>
      </c>
      <c r="D64" s="29">
        <v>1022.1</v>
      </c>
      <c r="E64" s="29">
        <v>0</v>
      </c>
      <c r="F64" s="29">
        <v>0</v>
      </c>
    </row>
    <row r="65" spans="2:6" x14ac:dyDescent="0.2">
      <c r="B65" s="33">
        <v>4</v>
      </c>
      <c r="C65" s="29">
        <v>1050.0999999999999</v>
      </c>
      <c r="D65" s="29">
        <v>1050.0999999999999</v>
      </c>
      <c r="E65" s="29">
        <v>0</v>
      </c>
      <c r="F65" s="29">
        <v>0</v>
      </c>
    </row>
    <row r="66" spans="2:6" x14ac:dyDescent="0.2">
      <c r="B66" s="33">
        <v>5</v>
      </c>
      <c r="C66" s="29">
        <v>1105.3</v>
      </c>
      <c r="D66" s="29">
        <v>1105.3</v>
      </c>
      <c r="E66" s="29">
        <v>0</v>
      </c>
      <c r="F66" s="29">
        <v>0</v>
      </c>
    </row>
    <row r="67" spans="2:6" x14ac:dyDescent="0.2">
      <c r="B67" s="33">
        <v>6</v>
      </c>
      <c r="C67" s="29">
        <v>1157.3</v>
      </c>
      <c r="D67" s="29">
        <v>1157.3</v>
      </c>
      <c r="E67" s="29">
        <v>0</v>
      </c>
      <c r="F67" s="29">
        <v>0</v>
      </c>
    </row>
    <row r="68" spans="2:6" x14ac:dyDescent="0.2">
      <c r="B68" s="33">
        <v>7</v>
      </c>
      <c r="C68" s="29">
        <v>1064.9000000000001</v>
      </c>
      <c r="D68" s="29">
        <v>1064.9000000000001</v>
      </c>
      <c r="E68" s="29">
        <v>0</v>
      </c>
      <c r="F68" s="29">
        <v>0</v>
      </c>
    </row>
    <row r="69" spans="2:6" x14ac:dyDescent="0.2">
      <c r="B69" s="33">
        <v>8</v>
      </c>
      <c r="C69" s="29">
        <v>1155.9000000000001</v>
      </c>
      <c r="D69" s="29">
        <v>1155.9000000000001</v>
      </c>
      <c r="E69" s="29">
        <v>0</v>
      </c>
      <c r="F69" s="29">
        <v>0</v>
      </c>
    </row>
    <row r="70" spans="2:6" x14ac:dyDescent="0.2">
      <c r="B70" s="33">
        <v>9</v>
      </c>
      <c r="C70" s="29">
        <v>1140.3</v>
      </c>
      <c r="D70" s="29">
        <v>1140.3</v>
      </c>
      <c r="E70" s="29">
        <v>0</v>
      </c>
      <c r="F70" s="29">
        <v>0</v>
      </c>
    </row>
    <row r="71" spans="2:6" x14ac:dyDescent="0.2">
      <c r="B71" s="33">
        <v>10</v>
      </c>
      <c r="C71" s="29">
        <v>1098.8</v>
      </c>
      <c r="D71" s="29">
        <v>1098.8</v>
      </c>
      <c r="E71" s="29">
        <v>0</v>
      </c>
      <c r="F71" s="29">
        <v>0</v>
      </c>
    </row>
    <row r="72" spans="2:6" x14ac:dyDescent="0.2">
      <c r="B72" s="33">
        <v>11</v>
      </c>
      <c r="C72" s="29">
        <v>1163.2</v>
      </c>
      <c r="D72" s="29">
        <v>1163.2</v>
      </c>
      <c r="E72" s="29">
        <v>0</v>
      </c>
      <c r="F72" s="29">
        <v>0</v>
      </c>
    </row>
    <row r="73" spans="2:6" x14ac:dyDescent="0.2">
      <c r="B73" s="33">
        <v>12</v>
      </c>
      <c r="C73" s="29">
        <v>1058.3</v>
      </c>
      <c r="D73" s="29">
        <v>1058.3</v>
      </c>
      <c r="E73" s="29">
        <v>0</v>
      </c>
      <c r="F73" s="29">
        <v>0</v>
      </c>
    </row>
    <row r="74" spans="2:6" x14ac:dyDescent="0.2">
      <c r="B74" s="33">
        <v>13</v>
      </c>
      <c r="C74" s="29">
        <v>1096</v>
      </c>
      <c r="D74" s="29">
        <v>1096</v>
      </c>
      <c r="E74" s="29">
        <v>0</v>
      </c>
      <c r="F74" s="29">
        <v>0</v>
      </c>
    </row>
    <row r="75" spans="2:6" x14ac:dyDescent="0.2">
      <c r="B75" s="33">
        <v>14</v>
      </c>
      <c r="C75" s="29">
        <v>1079.8</v>
      </c>
      <c r="D75" s="29">
        <v>1094.0038722147497</v>
      </c>
      <c r="E75" s="29">
        <v>-14.203872214749708</v>
      </c>
      <c r="F75" s="29">
        <v>-0.38787686720205106</v>
      </c>
    </row>
    <row r="76" spans="2:6" x14ac:dyDescent="0.2">
      <c r="B76" s="33">
        <v>15</v>
      </c>
      <c r="C76" s="29">
        <v>1098.9000000000001</v>
      </c>
      <c r="D76" s="29">
        <v>1088.8578249238067</v>
      </c>
      <c r="E76" s="29">
        <v>10.042175076193416</v>
      </c>
      <c r="F76" s="29">
        <v>0.27422996698066665</v>
      </c>
    </row>
    <row r="77" spans="2:6" x14ac:dyDescent="0.2">
      <c r="B77" s="33">
        <v>16</v>
      </c>
      <c r="C77" s="29">
        <v>1102.0999999999999</v>
      </c>
      <c r="D77" s="29">
        <v>1110.6966352152615</v>
      </c>
      <c r="E77" s="29">
        <v>-8.5966352152615855</v>
      </c>
      <c r="F77" s="29">
        <v>-0.23475541636539926</v>
      </c>
    </row>
    <row r="78" spans="2:6" x14ac:dyDescent="0.2">
      <c r="B78" s="33">
        <v>17</v>
      </c>
      <c r="C78" s="29">
        <v>1174</v>
      </c>
      <c r="D78" s="29">
        <v>1166.6231327031073</v>
      </c>
      <c r="E78" s="29">
        <v>7.3768672968926694</v>
      </c>
      <c r="F78" s="29">
        <v>0.20144620661348378</v>
      </c>
    </row>
    <row r="79" spans="2:6" x14ac:dyDescent="0.2">
      <c r="B79" s="33">
        <v>18</v>
      </c>
      <c r="C79" s="29">
        <v>1171</v>
      </c>
      <c r="D79" s="29">
        <v>1207.5819484935098</v>
      </c>
      <c r="E79" s="29">
        <v>-36.581948493509799</v>
      </c>
      <c r="F79" s="29">
        <v>-0.99897347450611429</v>
      </c>
    </row>
    <row r="80" spans="2:6" x14ac:dyDescent="0.2">
      <c r="B80" s="33">
        <v>19</v>
      </c>
      <c r="C80" s="29">
        <v>1118.0999999999999</v>
      </c>
      <c r="D80" s="29">
        <v>1122.2515694963408</v>
      </c>
      <c r="E80" s="29">
        <v>-4.151569496340926</v>
      </c>
      <c r="F80" s="29">
        <v>-0.11337033633266118</v>
      </c>
    </row>
    <row r="81" spans="2:6" x14ac:dyDescent="0.2">
      <c r="B81" s="33">
        <v>20</v>
      </c>
      <c r="C81" s="29">
        <v>1239.0999999999999</v>
      </c>
      <c r="D81" s="29">
        <v>1221.6984751946477</v>
      </c>
      <c r="E81" s="29">
        <v>17.40152480535221</v>
      </c>
      <c r="F81" s="29">
        <v>0.47519780690717334</v>
      </c>
    </row>
    <row r="82" spans="2:6" x14ac:dyDescent="0.2">
      <c r="B82" s="33">
        <v>21</v>
      </c>
      <c r="C82" s="29">
        <v>1164.4000000000001</v>
      </c>
      <c r="D82" s="29">
        <v>1178.3031487388905</v>
      </c>
      <c r="E82" s="29">
        <v>-13.903148738890422</v>
      </c>
      <c r="F82" s="29">
        <v>-0.37966476292887369</v>
      </c>
    </row>
    <row r="83" spans="2:6" x14ac:dyDescent="0.2">
      <c r="B83" s="33">
        <v>22</v>
      </c>
      <c r="C83" s="29">
        <v>1180.2</v>
      </c>
      <c r="D83" s="29">
        <v>1161.1418120777812</v>
      </c>
      <c r="E83" s="29">
        <v>19.058187922218849</v>
      </c>
      <c r="F83" s="29">
        <v>0.52043767460410617</v>
      </c>
    </row>
    <row r="84" spans="2:6" x14ac:dyDescent="0.2">
      <c r="B84" s="33">
        <v>23</v>
      </c>
      <c r="C84" s="29">
        <v>1231.5999999999999</v>
      </c>
      <c r="D84" s="29">
        <v>1227.3325003383291</v>
      </c>
      <c r="E84" s="29">
        <v>4.267499661670854</v>
      </c>
      <c r="F84" s="29">
        <v>0.11653613708491616</v>
      </c>
    </row>
    <row r="85" spans="2:6" x14ac:dyDescent="0.2">
      <c r="B85" s="33">
        <v>24</v>
      </c>
      <c r="C85" s="29">
        <v>1130.5</v>
      </c>
      <c r="D85" s="29">
        <v>1112.8277482503672</v>
      </c>
      <c r="E85" s="29">
        <v>17.672251749632778</v>
      </c>
      <c r="F85" s="29">
        <v>0.48259077112334581</v>
      </c>
    </row>
    <row r="86" spans="2:6" x14ac:dyDescent="0.2">
      <c r="B86" s="33">
        <v>25</v>
      </c>
      <c r="C86" s="29">
        <v>1202.5999999999999</v>
      </c>
      <c r="D86" s="29">
        <v>1164.0171659235655</v>
      </c>
      <c r="E86" s="29">
        <v>38.582834076434438</v>
      </c>
      <c r="F86" s="29">
        <v>1.0536133093202178</v>
      </c>
    </row>
    <row r="87" spans="2:6" x14ac:dyDescent="0.2">
      <c r="B87" s="33">
        <v>26</v>
      </c>
      <c r="C87" s="29">
        <v>1098.3</v>
      </c>
      <c r="D87" s="29">
        <v>1141.5756511298891</v>
      </c>
      <c r="E87" s="29">
        <v>-43.275651129889184</v>
      </c>
      <c r="F87" s="29">
        <v>-1.181763939622017</v>
      </c>
    </row>
    <row r="88" spans="2:6" x14ac:dyDescent="0.2">
      <c r="B88" s="33">
        <v>27</v>
      </c>
      <c r="C88" s="29">
        <v>1182.4000000000001</v>
      </c>
      <c r="D88" s="29">
        <v>1164.527808089829</v>
      </c>
      <c r="E88" s="29">
        <v>17.872191910171068</v>
      </c>
      <c r="F88" s="29">
        <v>0.48805070218474572</v>
      </c>
    </row>
    <row r="89" spans="2:6" x14ac:dyDescent="0.2">
      <c r="B89" s="33">
        <v>28</v>
      </c>
      <c r="C89" s="29">
        <v>1180.9000000000001</v>
      </c>
      <c r="D89" s="29">
        <v>1180.8163800679208</v>
      </c>
      <c r="E89" s="29">
        <v>8.3619932079272985E-2</v>
      </c>
      <c r="F89" s="29">
        <v>2.2834785331901294E-3</v>
      </c>
    </row>
    <row r="90" spans="2:6" x14ac:dyDescent="0.2">
      <c r="B90" s="33">
        <v>29</v>
      </c>
      <c r="C90" s="29">
        <v>1251.2</v>
      </c>
      <c r="D90" s="29">
        <v>1226.9477836342378</v>
      </c>
      <c r="E90" s="29">
        <v>24.252216365762251</v>
      </c>
      <c r="F90" s="29">
        <v>0.66227529820282438</v>
      </c>
    </row>
    <row r="91" spans="2:6" x14ac:dyDescent="0.2">
      <c r="B91" s="33">
        <v>30</v>
      </c>
      <c r="C91" s="29">
        <v>1212.5999999999999</v>
      </c>
      <c r="D91" s="29">
        <v>1257.442438165433</v>
      </c>
      <c r="E91" s="29">
        <v>-44.842438165433123</v>
      </c>
      <c r="F91" s="29">
        <v>-1.2245494869524483</v>
      </c>
    </row>
    <row r="92" spans="2:6" x14ac:dyDescent="0.2">
      <c r="B92" s="33">
        <v>31</v>
      </c>
      <c r="C92" s="29">
        <v>1225.2</v>
      </c>
      <c r="D92" s="29">
        <v>1198.3527600409964</v>
      </c>
      <c r="E92" s="29">
        <v>26.847239959003673</v>
      </c>
      <c r="F92" s="29">
        <v>0.73313975026517553</v>
      </c>
    </row>
    <row r="93" spans="2:6" x14ac:dyDescent="0.2">
      <c r="B93" s="33">
        <v>32</v>
      </c>
      <c r="C93" s="29">
        <v>1268.2</v>
      </c>
      <c r="D93" s="29">
        <v>1290.7132960215015</v>
      </c>
      <c r="E93" s="29">
        <v>-22.513296021501446</v>
      </c>
      <c r="F93" s="29">
        <v>-0.6147891644747705</v>
      </c>
    </row>
    <row r="94" spans="2:6" x14ac:dyDescent="0.2">
      <c r="B94" s="33">
        <v>33</v>
      </c>
      <c r="C94" s="29">
        <v>1182.2</v>
      </c>
      <c r="D94" s="29">
        <v>1228.7229554955843</v>
      </c>
      <c r="E94" s="29">
        <v>-46.522955495584256</v>
      </c>
      <c r="F94" s="29">
        <v>-1.2704407613487987</v>
      </c>
    </row>
    <row r="95" spans="2:6" x14ac:dyDescent="0.2">
      <c r="B95" s="33">
        <v>34</v>
      </c>
      <c r="C95" s="29">
        <v>1253.5</v>
      </c>
      <c r="D95" s="29">
        <v>1245.3264942665385</v>
      </c>
      <c r="E95" s="29">
        <v>8.1735057334615249</v>
      </c>
      <c r="F95" s="29">
        <v>0.22320067021307852</v>
      </c>
    </row>
    <row r="96" spans="2:6" x14ac:dyDescent="0.2">
      <c r="B96" s="33">
        <v>35</v>
      </c>
      <c r="C96" s="29">
        <v>1271.4000000000001</v>
      </c>
      <c r="D96" s="29">
        <v>1280.2108609009938</v>
      </c>
      <c r="E96" s="29">
        <v>-8.8108609009937027</v>
      </c>
      <c r="F96" s="29">
        <v>-0.24060545405932462</v>
      </c>
    </row>
    <row r="97" spans="2:6" x14ac:dyDescent="0.2">
      <c r="B97" s="33">
        <v>36</v>
      </c>
      <c r="C97" s="29">
        <v>1192.0999999999999</v>
      </c>
      <c r="D97" s="29">
        <v>1172.5173639855982</v>
      </c>
      <c r="E97" s="29">
        <v>19.582636014401714</v>
      </c>
      <c r="F97" s="29">
        <v>0.5347592117124691</v>
      </c>
    </row>
    <row r="98" spans="2:6" x14ac:dyDescent="0.2">
      <c r="B98" s="33">
        <v>37</v>
      </c>
      <c r="C98" s="29">
        <v>1248.7</v>
      </c>
      <c r="D98" s="29">
        <v>1236.8297286700852</v>
      </c>
      <c r="E98" s="29">
        <v>11.870271329914885</v>
      </c>
      <c r="F98" s="29">
        <v>0.32415130090402905</v>
      </c>
    </row>
    <row r="99" spans="2:6" x14ac:dyDescent="0.2">
      <c r="B99" s="33">
        <v>38</v>
      </c>
      <c r="C99" s="29">
        <v>1217.0999999999999</v>
      </c>
      <c r="D99" s="29">
        <v>1187.2010221998055</v>
      </c>
      <c r="E99" s="29">
        <v>29.898977800194416</v>
      </c>
      <c r="F99" s="29">
        <v>0.81647607542120082</v>
      </c>
    </row>
    <row r="100" spans="2:6" x14ac:dyDescent="0.2">
      <c r="B100" s="33">
        <v>39</v>
      </c>
      <c r="C100" s="29">
        <v>1163.0999999999999</v>
      </c>
      <c r="D100" s="29">
        <v>1216.7576781940695</v>
      </c>
      <c r="E100" s="29">
        <v>-53.657678194069604</v>
      </c>
      <c r="F100" s="29">
        <v>-1.4652745254663129</v>
      </c>
    </row>
    <row r="101" spans="2:6" x14ac:dyDescent="0.2">
      <c r="B101" s="33">
        <v>40</v>
      </c>
      <c r="C101" s="29">
        <v>1281.4000000000001</v>
      </c>
      <c r="D101" s="29">
        <v>1246.6307412832307</v>
      </c>
      <c r="E101" s="29">
        <v>34.7692587167694</v>
      </c>
      <c r="F101" s="29">
        <v>0.94947285797134062</v>
      </c>
    </row>
    <row r="102" spans="2:6" x14ac:dyDescent="0.2">
      <c r="B102" s="33">
        <v>41</v>
      </c>
      <c r="C102" s="29">
        <v>1249.0999999999999</v>
      </c>
      <c r="D102" s="29">
        <v>1295.2464166582824</v>
      </c>
      <c r="E102" s="29">
        <v>-46.146416658282533</v>
      </c>
      <c r="F102" s="29">
        <v>-1.2601583043973181</v>
      </c>
    </row>
    <row r="103" spans="2:6" x14ac:dyDescent="0.2">
      <c r="B103" s="33">
        <v>42</v>
      </c>
      <c r="C103" s="29">
        <v>1311.2</v>
      </c>
      <c r="D103" s="29">
        <v>1287.3543945126876</v>
      </c>
      <c r="E103" s="29">
        <v>23.845605487312469</v>
      </c>
      <c r="F103" s="29">
        <v>0.65117163919217791</v>
      </c>
    </row>
    <row r="104" spans="2:6" x14ac:dyDescent="0.2">
      <c r="B104" s="33">
        <v>43</v>
      </c>
      <c r="C104" s="29">
        <v>1298.7</v>
      </c>
      <c r="D104" s="29">
        <v>1271.7648075239968</v>
      </c>
      <c r="E104" s="29">
        <v>26.935192476003294</v>
      </c>
      <c r="F104" s="29">
        <v>0.73554154227235247</v>
      </c>
    </row>
    <row r="105" spans="2:6" x14ac:dyDescent="0.2">
      <c r="B105" s="33">
        <v>44</v>
      </c>
      <c r="C105" s="29">
        <v>1190.2</v>
      </c>
      <c r="D105" s="29">
        <v>1307.7556263659142</v>
      </c>
      <c r="E105" s="29">
        <v>-117.55562636591412</v>
      </c>
      <c r="F105" s="29">
        <v>-3.2101885589646644</v>
      </c>
    </row>
    <row r="106" spans="2:6" x14ac:dyDescent="0.2">
      <c r="B106" s="33">
        <v>45</v>
      </c>
      <c r="C106" s="29">
        <v>1298.5999999999999</v>
      </c>
      <c r="D106" s="29">
        <v>1289.4870375558412</v>
      </c>
      <c r="E106" s="29">
        <v>9.1129624441587112</v>
      </c>
      <c r="F106" s="29">
        <v>0.2488551903543377</v>
      </c>
    </row>
    <row r="107" spans="2:6" x14ac:dyDescent="0.2">
      <c r="B107" s="33">
        <v>46</v>
      </c>
      <c r="C107" s="29">
        <v>1282.5999999999999</v>
      </c>
      <c r="D107" s="29">
        <v>1295.3328400244295</v>
      </c>
      <c r="E107" s="29">
        <v>-12.732840024429606</v>
      </c>
      <c r="F107" s="29">
        <v>-0.34770617649827057</v>
      </c>
    </row>
    <row r="108" spans="2:6" x14ac:dyDescent="0.2">
      <c r="B108" s="33">
        <v>47</v>
      </c>
      <c r="C108" s="29">
        <v>1218.4000000000001</v>
      </c>
      <c r="D108" s="29">
        <v>1286.0354860047587</v>
      </c>
      <c r="E108" s="29">
        <v>-67.635486004758604</v>
      </c>
      <c r="F108" s="29">
        <v>-1.8469780653173962</v>
      </c>
    </row>
    <row r="109" spans="2:6" x14ac:dyDescent="0.2">
      <c r="B109" s="33">
        <v>48</v>
      </c>
      <c r="C109" s="29">
        <v>1245.8</v>
      </c>
      <c r="D109" s="29">
        <v>1247.0536200880654</v>
      </c>
      <c r="E109" s="29">
        <v>-1.2536200880654178</v>
      </c>
      <c r="F109" s="29">
        <v>-3.4233638902737902E-2</v>
      </c>
    </row>
    <row r="110" spans="2:6" x14ac:dyDescent="0.2">
      <c r="B110" s="33">
        <v>49</v>
      </c>
      <c r="C110" s="29">
        <v>1169.5</v>
      </c>
      <c r="D110" s="29">
        <v>1258.9409396876651</v>
      </c>
      <c r="E110" s="29">
        <v>-89.44093968766515</v>
      </c>
      <c r="F110" s="29">
        <v>-2.4424375945619894</v>
      </c>
    </row>
    <row r="111" spans="2:6" x14ac:dyDescent="0.2">
      <c r="B111" s="33">
        <v>50</v>
      </c>
      <c r="C111" s="29">
        <v>1190.2</v>
      </c>
      <c r="D111" s="29">
        <v>1207.4936925806267</v>
      </c>
      <c r="E111" s="29">
        <v>-17.293692580626612</v>
      </c>
      <c r="F111" s="29">
        <v>-0.47225314330575346</v>
      </c>
    </row>
    <row r="112" spans="2:6" x14ac:dyDescent="0.2">
      <c r="B112" s="33">
        <v>51</v>
      </c>
      <c r="C112" s="29">
        <v>1188.3</v>
      </c>
      <c r="D112" s="29">
        <v>1226.0244892065823</v>
      </c>
      <c r="E112" s="29">
        <v>-37.724489206582348</v>
      </c>
      <c r="F112" s="29">
        <v>-1.0301737771937984</v>
      </c>
    </row>
    <row r="113" spans="2:6" x14ac:dyDescent="0.2">
      <c r="B113" s="33">
        <v>52</v>
      </c>
      <c r="C113" s="29">
        <v>1211.7</v>
      </c>
      <c r="D113" s="29">
        <v>1239.6903295035036</v>
      </c>
      <c r="E113" s="29">
        <v>-27.990329503503517</v>
      </c>
      <c r="F113" s="29">
        <v>-0.76435504034583412</v>
      </c>
    </row>
    <row r="114" spans="2:6" x14ac:dyDescent="0.2">
      <c r="B114" s="33">
        <v>53</v>
      </c>
      <c r="C114" s="29">
        <v>1207.2</v>
      </c>
      <c r="D114" s="29">
        <v>1278.3273854561062</v>
      </c>
      <c r="E114" s="29">
        <v>-71.12738545610614</v>
      </c>
      <c r="F114" s="29">
        <v>-1.9423342470188034</v>
      </c>
    </row>
    <row r="115" spans="2:6" x14ac:dyDescent="0.2">
      <c r="B115" s="33">
        <v>54</v>
      </c>
      <c r="C115" s="29">
        <v>1315.3</v>
      </c>
      <c r="D115" s="29">
        <v>1306.4537624152861</v>
      </c>
      <c r="E115" s="29">
        <v>8.8462375847138901</v>
      </c>
      <c r="F115" s="29">
        <v>0.24157151437343635</v>
      </c>
    </row>
    <row r="116" spans="2:6" x14ac:dyDescent="0.2">
      <c r="B116" s="33">
        <v>55</v>
      </c>
      <c r="C116" s="29">
        <v>1304.7</v>
      </c>
      <c r="D116" s="29">
        <v>1262.1685605355451</v>
      </c>
      <c r="E116" s="29">
        <v>42.531439464454934</v>
      </c>
      <c r="F116" s="29">
        <v>1.1614411371524127</v>
      </c>
    </row>
    <row r="117" spans="2:6" x14ac:dyDescent="0.2">
      <c r="B117" s="33">
        <v>56</v>
      </c>
      <c r="C117" s="29">
        <v>1241.4000000000001</v>
      </c>
      <c r="D117" s="29">
        <v>1261.3836668458837</v>
      </c>
      <c r="E117" s="29">
        <v>-19.98366684588359</v>
      </c>
      <c r="F117" s="29">
        <v>-0.54571049177292297</v>
      </c>
    </row>
    <row r="118" spans="2:6" x14ac:dyDescent="0.2">
      <c r="B118" s="33">
        <v>57</v>
      </c>
      <c r="C118" s="29">
        <v>1241.8</v>
      </c>
      <c r="D118" s="29">
        <v>1282.8018106335583</v>
      </c>
      <c r="E118" s="29">
        <v>-41.001810633558307</v>
      </c>
      <c r="F118" s="29">
        <v>-1.1196702995991143</v>
      </c>
    </row>
    <row r="119" spans="2:6" x14ac:dyDescent="0.2">
      <c r="B119" s="33">
        <v>58</v>
      </c>
      <c r="C119" s="29">
        <v>1277.5</v>
      </c>
      <c r="D119" s="29">
        <v>1292.4656214089739</v>
      </c>
      <c r="E119" s="29">
        <v>-14.965621408973902</v>
      </c>
      <c r="F119" s="29">
        <v>-0.40867858145167291</v>
      </c>
    </row>
    <row r="120" spans="2:6" x14ac:dyDescent="0.2">
      <c r="B120" s="33">
        <v>59</v>
      </c>
      <c r="C120" s="29">
        <v>1222.7</v>
      </c>
      <c r="D120" s="29">
        <v>1273.8934712811656</v>
      </c>
      <c r="E120" s="29">
        <v>-51.193471281165557</v>
      </c>
      <c r="F120" s="29">
        <v>-1.397982392513841</v>
      </c>
    </row>
    <row r="121" spans="2:6" x14ac:dyDescent="0.2">
      <c r="B121" s="33">
        <v>60</v>
      </c>
      <c r="C121" s="29">
        <v>1229.7</v>
      </c>
      <c r="D121" s="29">
        <v>1226.7361249702108</v>
      </c>
      <c r="E121" s="29">
        <v>2.9638750297892784</v>
      </c>
      <c r="F121" s="29">
        <v>8.0936982813690356E-2</v>
      </c>
    </row>
    <row r="122" spans="2:6" x14ac:dyDescent="0.2">
      <c r="B122" s="33">
        <v>61</v>
      </c>
      <c r="C122" s="29">
        <v>1161.7</v>
      </c>
      <c r="D122" s="29">
        <v>1223.5248308390205</v>
      </c>
      <c r="E122" s="29">
        <v>-61.824830839020478</v>
      </c>
      <c r="F122" s="29">
        <v>-1.688301706645464</v>
      </c>
    </row>
    <row r="123" spans="2:6" x14ac:dyDescent="0.2">
      <c r="B123" s="33">
        <v>62</v>
      </c>
      <c r="C123" s="29">
        <v>1180</v>
      </c>
      <c r="D123" s="29">
        <v>1202.4411028257703</v>
      </c>
      <c r="E123" s="29">
        <v>-22.441102825770258</v>
      </c>
      <c r="F123" s="29">
        <v>-0.61281772526649325</v>
      </c>
    </row>
    <row r="124" spans="2:6" x14ac:dyDescent="0.2">
      <c r="B124" s="33">
        <v>63</v>
      </c>
      <c r="C124" s="29">
        <v>1345.4</v>
      </c>
      <c r="D124" s="29">
        <v>1219.4062489510156</v>
      </c>
      <c r="E124" s="29">
        <v>125.99375104898445</v>
      </c>
      <c r="F124" s="29">
        <v>3.4406153973398288</v>
      </c>
    </row>
    <row r="125" spans="2:6" x14ac:dyDescent="0.2">
      <c r="B125" s="33">
        <v>64</v>
      </c>
      <c r="C125" s="29">
        <v>1308.8</v>
      </c>
      <c r="D125" s="29">
        <v>1230.3410406301887</v>
      </c>
      <c r="E125" s="29">
        <v>78.458959369811282</v>
      </c>
      <c r="F125" s="29">
        <v>2.1425435898172553</v>
      </c>
    </row>
    <row r="126" spans="2:6" x14ac:dyDescent="0.2">
      <c r="B126" s="33">
        <v>65</v>
      </c>
      <c r="C126" s="29">
        <v>1235</v>
      </c>
      <c r="D126" s="29">
        <v>1262.7621756267906</v>
      </c>
      <c r="E126" s="29">
        <v>-27.762175626790622</v>
      </c>
      <c r="F126" s="29">
        <v>-0.75812465403980245</v>
      </c>
    </row>
    <row r="127" spans="2:6" x14ac:dyDescent="0.2">
      <c r="B127" s="33">
        <v>66</v>
      </c>
      <c r="C127" s="29">
        <v>1373.2</v>
      </c>
      <c r="D127" s="29">
        <v>1370.2509324596128</v>
      </c>
      <c r="E127" s="29">
        <v>2.9490675403872046</v>
      </c>
      <c r="F127" s="29">
        <v>8.053262247352623E-2</v>
      </c>
    </row>
    <row r="128" spans="2:6" x14ac:dyDescent="0.2">
      <c r="B128" s="33">
        <v>67</v>
      </c>
      <c r="C128" s="29">
        <v>1317.3</v>
      </c>
      <c r="D128" s="29">
        <v>1311.6458578865186</v>
      </c>
      <c r="E128" s="29">
        <v>5.6541421134813845</v>
      </c>
      <c r="F128" s="29">
        <v>0.1544023275156583</v>
      </c>
    </row>
    <row r="129" spans="2:6" x14ac:dyDescent="0.2">
      <c r="B129" s="33">
        <v>68</v>
      </c>
      <c r="C129" s="29">
        <v>1308.3</v>
      </c>
      <c r="D129" s="29">
        <v>1295.1384575848122</v>
      </c>
      <c r="E129" s="29">
        <v>13.161542415187796</v>
      </c>
      <c r="F129" s="29">
        <v>0.35941310667725668</v>
      </c>
    </row>
    <row r="130" spans="2:6" x14ac:dyDescent="0.2">
      <c r="B130" s="33">
        <v>69</v>
      </c>
      <c r="C130" s="29">
        <v>1287.3</v>
      </c>
      <c r="D130" s="29">
        <v>1315.5538981941343</v>
      </c>
      <c r="E130" s="29">
        <v>-28.253898194134308</v>
      </c>
      <c r="F130" s="29">
        <v>-0.77155252821877185</v>
      </c>
    </row>
    <row r="131" spans="2:6" x14ac:dyDescent="0.2">
      <c r="B131" s="33">
        <v>70</v>
      </c>
      <c r="C131" s="29">
        <v>1278.3</v>
      </c>
      <c r="D131" s="29">
        <v>1316.0106427033575</v>
      </c>
      <c r="E131" s="29">
        <v>-37.710642703357507</v>
      </c>
      <c r="F131" s="29">
        <v>-1.0297956592966959</v>
      </c>
    </row>
    <row r="132" spans="2:6" x14ac:dyDescent="0.2">
      <c r="B132" s="33">
        <v>71</v>
      </c>
      <c r="C132" s="29">
        <v>1299.2</v>
      </c>
      <c r="D132" s="29">
        <v>1310.49830819115</v>
      </c>
      <c r="E132" s="29">
        <v>-11.298308191149999</v>
      </c>
      <c r="F132" s="29">
        <v>-0.30853223118381573</v>
      </c>
    </row>
    <row r="133" spans="2:6" x14ac:dyDescent="0.2">
      <c r="B133" s="33">
        <v>72</v>
      </c>
      <c r="C133" s="29">
        <v>1375.3</v>
      </c>
      <c r="D133" s="29">
        <v>1269.9246539554208</v>
      </c>
      <c r="E133" s="29">
        <v>105.37534604457915</v>
      </c>
      <c r="F133" s="29">
        <v>2.8775715865466642</v>
      </c>
    </row>
    <row r="134" spans="2:6" x14ac:dyDescent="0.2">
      <c r="B134" s="33">
        <v>73</v>
      </c>
      <c r="C134" s="29">
        <v>1266.4000000000001</v>
      </c>
      <c r="D134" s="29">
        <v>1242.6828614814799</v>
      </c>
      <c r="E134" s="29">
        <v>23.717138518520187</v>
      </c>
      <c r="F134" s="29">
        <v>0.64766348559569953</v>
      </c>
    </row>
    <row r="135" spans="2:6" x14ac:dyDescent="0.2">
      <c r="B135" s="33">
        <v>74</v>
      </c>
      <c r="C135" s="29">
        <v>1253.8</v>
      </c>
      <c r="D135" s="29">
        <v>1249.1749315394334</v>
      </c>
      <c r="E135" s="29">
        <v>4.6250684605665811</v>
      </c>
      <c r="F135" s="29">
        <v>0.12630056353342028</v>
      </c>
    </row>
    <row r="136" spans="2:6" x14ac:dyDescent="0.2">
      <c r="B136" s="33">
        <v>75</v>
      </c>
      <c r="C136" s="29">
        <v>1261.5</v>
      </c>
      <c r="D136" s="29">
        <v>1322.7901204702741</v>
      </c>
      <c r="E136" s="29">
        <v>-61.290120470274132</v>
      </c>
      <c r="F136" s="29">
        <v>-1.6736999290770616</v>
      </c>
    </row>
    <row r="137" spans="2:6" x14ac:dyDescent="0.2">
      <c r="B137" s="33">
        <v>76</v>
      </c>
      <c r="C137" s="29">
        <v>1283.4000000000001</v>
      </c>
      <c r="D137" s="29">
        <v>1312.9860943610179</v>
      </c>
      <c r="E137" s="29">
        <v>-29.586094361017786</v>
      </c>
      <c r="F137" s="29">
        <v>-0.80793190898880995</v>
      </c>
    </row>
    <row r="138" spans="2:6" x14ac:dyDescent="0.2">
      <c r="B138" s="33">
        <v>77</v>
      </c>
      <c r="C138" s="29">
        <v>1314.3</v>
      </c>
      <c r="D138" s="29">
        <v>1322.1341145059484</v>
      </c>
      <c r="E138" s="29">
        <v>-7.8341145059484916</v>
      </c>
      <c r="F138" s="29">
        <v>-0.21393263371617782</v>
      </c>
    </row>
    <row r="139" spans="2:6" x14ac:dyDescent="0.2">
      <c r="B139" s="33">
        <v>78</v>
      </c>
      <c r="C139" s="29">
        <v>1405.6</v>
      </c>
      <c r="D139" s="29">
        <v>1373.1662983035887</v>
      </c>
      <c r="E139" s="29">
        <v>32.433701696411163</v>
      </c>
      <c r="F139" s="29">
        <v>0.88569387386533116</v>
      </c>
    </row>
    <row r="140" spans="2:6" x14ac:dyDescent="0.2">
      <c r="B140" s="33">
        <v>79</v>
      </c>
      <c r="C140" s="29">
        <v>1300.5999999999999</v>
      </c>
      <c r="D140" s="29">
        <v>1330.1066168178122</v>
      </c>
      <c r="E140" s="29">
        <v>-29.506616817812301</v>
      </c>
      <c r="F140" s="29">
        <v>-0.80576155008911166</v>
      </c>
    </row>
    <row r="141" spans="2:6" x14ac:dyDescent="0.2">
      <c r="B141" s="33">
        <v>80</v>
      </c>
      <c r="C141" s="29">
        <v>1440.5</v>
      </c>
      <c r="D141" s="29">
        <v>1367.9544202157424</v>
      </c>
      <c r="E141" s="29">
        <v>72.545579784257598</v>
      </c>
      <c r="F141" s="29">
        <v>1.9810620505902747</v>
      </c>
    </row>
    <row r="142" spans="2:6" x14ac:dyDescent="0.2">
      <c r="B142" s="33">
        <v>81</v>
      </c>
      <c r="C142" s="29">
        <v>1361.9</v>
      </c>
      <c r="D142" s="29">
        <v>1337.7900715383751</v>
      </c>
      <c r="E142" s="29">
        <v>24.109928461625032</v>
      </c>
      <c r="F142" s="29">
        <v>0.65838972491245218</v>
      </c>
    </row>
    <row r="143" spans="2:6" x14ac:dyDescent="0.2">
      <c r="B143" s="33">
        <v>82</v>
      </c>
      <c r="C143" s="29">
        <v>1299.7</v>
      </c>
      <c r="D143" s="29">
        <v>1335.3273086120789</v>
      </c>
      <c r="E143" s="29">
        <v>-35.627308612078878</v>
      </c>
      <c r="F143" s="29">
        <v>-0.97290433498435402</v>
      </c>
    </row>
    <row r="144" spans="2:6" x14ac:dyDescent="0.2">
      <c r="B144" s="33">
        <v>83</v>
      </c>
      <c r="C144" s="29">
        <v>1386.2</v>
      </c>
      <c r="D144" s="29">
        <v>1386.2617796586221</v>
      </c>
      <c r="E144" s="29">
        <v>-6.177965862207202E-2</v>
      </c>
      <c r="F144" s="29">
        <v>-1.6870681516169734E-3</v>
      </c>
    </row>
    <row r="145" spans="2:6" x14ac:dyDescent="0.2">
      <c r="B145" s="33">
        <v>84</v>
      </c>
      <c r="C145" s="29">
        <v>1302.5</v>
      </c>
      <c r="D145" s="29">
        <v>1336.739868233157</v>
      </c>
      <c r="E145" s="29">
        <v>-34.23986823315704</v>
      </c>
      <c r="F145" s="29">
        <v>-0.93501635489910717</v>
      </c>
    </row>
    <row r="146" spans="2:6" x14ac:dyDescent="0.2">
      <c r="B146" s="33">
        <v>85</v>
      </c>
      <c r="C146" s="29">
        <v>1202.5999999999999</v>
      </c>
      <c r="D146" s="29">
        <v>1299.1483569017878</v>
      </c>
      <c r="E146" s="29">
        <v>-96.548356901787884</v>
      </c>
      <c r="F146" s="29">
        <v>-2.6365257052709206</v>
      </c>
    </row>
    <row r="147" spans="2:6" x14ac:dyDescent="0.2">
      <c r="B147" s="33">
        <v>86</v>
      </c>
      <c r="C147" s="29">
        <v>1344.4</v>
      </c>
      <c r="D147" s="29">
        <v>1308.7527231295389</v>
      </c>
      <c r="E147" s="29">
        <v>35.647276870461155</v>
      </c>
      <c r="F147" s="29">
        <v>0.97344962470448793</v>
      </c>
    </row>
    <row r="148" spans="2:6" x14ac:dyDescent="0.2">
      <c r="B148" s="33">
        <v>87</v>
      </c>
      <c r="C148" s="29">
        <v>1291.5</v>
      </c>
      <c r="D148" s="29">
        <v>1312.8232478706886</v>
      </c>
      <c r="E148" s="29">
        <v>-21.323247870688647</v>
      </c>
      <c r="F148" s="29">
        <v>-0.58229153695616098</v>
      </c>
    </row>
    <row r="149" spans="2:6" x14ac:dyDescent="0.2">
      <c r="B149" s="33">
        <v>88</v>
      </c>
      <c r="C149" s="29">
        <v>1391.3</v>
      </c>
      <c r="D149" s="29">
        <v>1324.626738458576</v>
      </c>
      <c r="E149" s="29">
        <v>66.673261541423926</v>
      </c>
      <c r="F149" s="29">
        <v>1.8207018073547356</v>
      </c>
    </row>
    <row r="150" spans="2:6" x14ac:dyDescent="0.2">
      <c r="B150" s="33">
        <v>89</v>
      </c>
      <c r="C150" s="29">
        <v>1388.1</v>
      </c>
      <c r="D150" s="29">
        <v>1370.5133748922697</v>
      </c>
      <c r="E150" s="29">
        <v>17.586625107730242</v>
      </c>
      <c r="F150" s="29">
        <v>0.48025249370800138</v>
      </c>
    </row>
    <row r="151" spans="2:6" x14ac:dyDescent="0.2">
      <c r="B151" s="33">
        <v>90</v>
      </c>
      <c r="C151" s="29">
        <v>1391.2</v>
      </c>
      <c r="D151" s="29">
        <v>1410.9684406428998</v>
      </c>
      <c r="E151" s="29">
        <v>-19.768440642899805</v>
      </c>
      <c r="F151" s="29">
        <v>-0.53983313212824424</v>
      </c>
    </row>
    <row r="152" spans="2:6" x14ac:dyDescent="0.2">
      <c r="B152" s="33">
        <v>91</v>
      </c>
      <c r="C152" s="29">
        <v>1375.8</v>
      </c>
      <c r="D152" s="29">
        <v>1382.3821448452998</v>
      </c>
      <c r="E152" s="29">
        <v>-6.5821448452998084</v>
      </c>
      <c r="F152" s="29">
        <v>-0.17974406439772431</v>
      </c>
    </row>
    <row r="153" spans="2:6" x14ac:dyDescent="0.2">
      <c r="B153" s="33">
        <v>92</v>
      </c>
      <c r="C153" s="29">
        <v>1443.2</v>
      </c>
      <c r="D153" s="29">
        <v>1421.9387666230348</v>
      </c>
      <c r="E153" s="29">
        <v>21.261233376965265</v>
      </c>
      <c r="F153" s="29">
        <v>0.58059805596852099</v>
      </c>
    </row>
    <row r="154" spans="2:6" x14ac:dyDescent="0.2">
      <c r="B154" s="33">
        <v>93</v>
      </c>
      <c r="C154" s="29">
        <v>1401.3</v>
      </c>
      <c r="D154" s="29">
        <v>1378.5229040456695</v>
      </c>
      <c r="E154" s="29">
        <v>22.777095954330434</v>
      </c>
      <c r="F154" s="29">
        <v>0.62199296706935914</v>
      </c>
    </row>
    <row r="155" spans="2:6" x14ac:dyDescent="0.2">
      <c r="B155" s="33">
        <v>94</v>
      </c>
      <c r="C155" s="29">
        <v>1378.7</v>
      </c>
      <c r="D155" s="29">
        <v>1379.2230162173739</v>
      </c>
      <c r="E155" s="29">
        <v>-0.52301621737387904</v>
      </c>
      <c r="F155" s="29">
        <v>-1.4282435720604794E-2</v>
      </c>
    </row>
    <row r="156" spans="2:6" x14ac:dyDescent="0.2">
      <c r="B156" s="33">
        <v>95</v>
      </c>
      <c r="C156" s="29">
        <v>1378.8</v>
      </c>
      <c r="D156" s="29">
        <v>1414.2523726993938</v>
      </c>
      <c r="E156" s="29">
        <v>-35.452372699393891</v>
      </c>
      <c r="F156" s="29">
        <v>-0.96812721556596593</v>
      </c>
    </row>
    <row r="157" spans="2:6" x14ac:dyDescent="0.2">
      <c r="B157" s="33">
        <v>96</v>
      </c>
      <c r="C157" s="29">
        <v>1378.9</v>
      </c>
      <c r="D157" s="29">
        <v>1374.6145925900264</v>
      </c>
      <c r="E157" s="29">
        <v>4.2854074099736863</v>
      </c>
      <c r="F157" s="29">
        <v>0.11702515875487546</v>
      </c>
    </row>
    <row r="158" spans="2:6" x14ac:dyDescent="0.2">
      <c r="B158" s="33">
        <v>97</v>
      </c>
      <c r="C158" s="29">
        <v>1383.3</v>
      </c>
      <c r="D158" s="29">
        <v>1339.660042287305</v>
      </c>
      <c r="E158" s="29">
        <v>43.639957712694923</v>
      </c>
      <c r="F158" s="29">
        <v>1.1917123602993756</v>
      </c>
    </row>
    <row r="159" spans="2:6" x14ac:dyDescent="0.2">
      <c r="B159" s="33">
        <v>98</v>
      </c>
      <c r="C159" s="29">
        <v>1283.3</v>
      </c>
      <c r="D159" s="29">
        <v>1336.7080916708783</v>
      </c>
      <c r="E159" s="29">
        <v>-53.408091670878321</v>
      </c>
      <c r="F159" s="29">
        <v>-1.4584588601852104</v>
      </c>
    </row>
    <row r="160" spans="2:6" x14ac:dyDescent="0.2">
      <c r="B160" s="33">
        <v>99</v>
      </c>
      <c r="C160" s="29">
        <v>1291.0999999999999</v>
      </c>
      <c r="D160" s="29">
        <v>1351.2031347781467</v>
      </c>
      <c r="E160" s="29">
        <v>-60.103134778146796</v>
      </c>
      <c r="F160" s="29">
        <v>-1.6412859306465553</v>
      </c>
    </row>
    <row r="161" spans="2:6" x14ac:dyDescent="0.2">
      <c r="B161" s="33">
        <v>100</v>
      </c>
      <c r="C161" s="29">
        <v>1406.5</v>
      </c>
      <c r="D161" s="29">
        <v>1402.1836514659692</v>
      </c>
      <c r="E161" s="29">
        <v>4.3163485340307943</v>
      </c>
      <c r="F161" s="29">
        <v>0.1178700935786708</v>
      </c>
    </row>
    <row r="162" spans="2:6" x14ac:dyDescent="0.2">
      <c r="B162" s="33">
        <v>101</v>
      </c>
      <c r="C162" s="29">
        <v>1400.9</v>
      </c>
      <c r="D162" s="29">
        <v>1389.7756405612013</v>
      </c>
      <c r="E162" s="29">
        <v>11.12435943879882</v>
      </c>
      <c r="F162" s="29">
        <v>0.30378206896779569</v>
      </c>
    </row>
    <row r="163" spans="2:6" x14ac:dyDescent="0.2">
      <c r="B163" s="33">
        <v>102</v>
      </c>
      <c r="C163" s="29">
        <v>1412.7</v>
      </c>
      <c r="D163" s="29">
        <v>1433.9395464942058</v>
      </c>
      <c r="E163" s="29">
        <v>-21.239546494205797</v>
      </c>
      <c r="F163" s="29">
        <v>-0.58000583435339093</v>
      </c>
    </row>
    <row r="164" spans="2:6" x14ac:dyDescent="0.2">
      <c r="B164" s="33">
        <v>103</v>
      </c>
      <c r="C164" s="29">
        <v>1466.6</v>
      </c>
      <c r="D164" s="29">
        <v>1415.1351759350953</v>
      </c>
      <c r="E164" s="29">
        <v>51.464824064904633</v>
      </c>
      <c r="F164" s="29">
        <v>1.4053924470448844</v>
      </c>
    </row>
    <row r="165" spans="2:6" x14ac:dyDescent="0.2">
      <c r="B165" s="33">
        <v>104</v>
      </c>
      <c r="C165" s="29">
        <v>1423.7</v>
      </c>
      <c r="D165" s="29">
        <v>1444.0303216556722</v>
      </c>
      <c r="E165" s="29">
        <v>-20.330321655672151</v>
      </c>
      <c r="F165" s="29">
        <v>-0.55517688090881534</v>
      </c>
    </row>
    <row r="166" spans="2:6" x14ac:dyDescent="0.2">
      <c r="B166" s="33">
        <v>105</v>
      </c>
      <c r="C166" s="29">
        <v>1411.2</v>
      </c>
      <c r="D166" s="29">
        <v>1415.9364509519232</v>
      </c>
      <c r="E166" s="29">
        <v>-4.7364509519231888</v>
      </c>
      <c r="F166" s="29">
        <v>-0.12934217719731242</v>
      </c>
    </row>
    <row r="167" spans="2:6" x14ac:dyDescent="0.2">
      <c r="B167" s="33">
        <v>106</v>
      </c>
      <c r="C167" s="29">
        <v>1411</v>
      </c>
      <c r="D167" s="29">
        <v>1428.8641208358724</v>
      </c>
      <c r="E167" s="29">
        <v>-17.864120835872427</v>
      </c>
      <c r="F167" s="29">
        <v>-0.4878302986943045</v>
      </c>
    </row>
    <row r="168" spans="2:6" x14ac:dyDescent="0.2">
      <c r="B168" s="33">
        <v>107</v>
      </c>
      <c r="C168" s="29">
        <v>1447.4</v>
      </c>
      <c r="D168" s="29">
        <v>1425.7700821415046</v>
      </c>
      <c r="E168" s="29">
        <v>21.629917858495446</v>
      </c>
      <c r="F168" s="29">
        <v>0.59066602754133191</v>
      </c>
    </row>
    <row r="169" spans="2:6" x14ac:dyDescent="0.2">
      <c r="B169" s="33">
        <v>108</v>
      </c>
      <c r="C169" s="29">
        <v>1381.1</v>
      </c>
      <c r="D169" s="29">
        <v>1382.6745001258487</v>
      </c>
      <c r="E169" s="29">
        <v>-1.5745001258487719</v>
      </c>
      <c r="F169" s="29">
        <v>-4.2996175056353697E-2</v>
      </c>
    </row>
    <row r="170" spans="2:6" x14ac:dyDescent="0.2">
      <c r="B170" s="33">
        <v>109</v>
      </c>
      <c r="C170" s="29">
        <v>1354</v>
      </c>
      <c r="D170" s="29">
        <v>1369.1620782752082</v>
      </c>
      <c r="E170" s="29">
        <v>-15.16207827520816</v>
      </c>
      <c r="F170" s="29">
        <v>-0.41404339131923473</v>
      </c>
    </row>
    <row r="171" spans="2:6" x14ac:dyDescent="0.2">
      <c r="B171" s="33">
        <v>110</v>
      </c>
      <c r="C171" s="29">
        <v>1370.3</v>
      </c>
      <c r="D171" s="29">
        <v>1369.3477889274625</v>
      </c>
      <c r="E171" s="29">
        <v>0.95221107253746595</v>
      </c>
      <c r="F171" s="29">
        <v>2.6002814031754199E-2</v>
      </c>
    </row>
    <row r="172" spans="2:6" x14ac:dyDescent="0.2">
      <c r="B172" s="33">
        <v>111</v>
      </c>
      <c r="C172" s="29">
        <v>1316.5</v>
      </c>
      <c r="D172" s="29">
        <v>1373.2247500912624</v>
      </c>
      <c r="E172" s="29">
        <v>-56.724750091262422</v>
      </c>
      <c r="F172" s="29">
        <v>-1.5490295903514533</v>
      </c>
    </row>
    <row r="173" spans="2:6" x14ac:dyDescent="0.2">
      <c r="B173" s="33">
        <v>112</v>
      </c>
      <c r="C173" s="29">
        <v>1416.3</v>
      </c>
      <c r="D173" s="29">
        <v>1426.4968191926071</v>
      </c>
      <c r="E173" s="29">
        <v>-10.196819192607109</v>
      </c>
      <c r="F173" s="29">
        <v>-0.27845296156262889</v>
      </c>
    </row>
    <row r="174" spans="2:6" x14ac:dyDescent="0.2">
      <c r="B174" s="33">
        <v>113</v>
      </c>
      <c r="C174" s="29">
        <v>1416.9</v>
      </c>
      <c r="D174" s="29">
        <v>1432.380230536033</v>
      </c>
      <c r="E174" s="29">
        <v>-15.480230536032877</v>
      </c>
      <c r="F174" s="29">
        <v>-0.42273143781502026</v>
      </c>
    </row>
    <row r="175" spans="2:6" x14ac:dyDescent="0.2">
      <c r="B175" s="33">
        <v>114</v>
      </c>
      <c r="C175" s="29">
        <v>1447.2</v>
      </c>
      <c r="D175" s="29">
        <v>1454.3203281471476</v>
      </c>
      <c r="E175" s="29">
        <v>-7.1203281471475748</v>
      </c>
      <c r="F175" s="29">
        <v>-0.19444068021804947</v>
      </c>
    </row>
    <row r="176" spans="2:6" x14ac:dyDescent="0.2">
      <c r="B176" s="33">
        <v>115</v>
      </c>
      <c r="C176" s="29">
        <v>1451.6</v>
      </c>
      <c r="D176" s="29">
        <v>1447.7494154320502</v>
      </c>
      <c r="E176" s="29">
        <v>3.8505845679496815</v>
      </c>
      <c r="F176" s="29">
        <v>0.1051510923593031</v>
      </c>
    </row>
    <row r="177" spans="2:6" x14ac:dyDescent="0.2">
      <c r="B177" s="33">
        <v>116</v>
      </c>
      <c r="C177" s="29">
        <v>1486.1</v>
      </c>
      <c r="D177" s="29">
        <v>1456.8442623638821</v>
      </c>
      <c r="E177" s="29">
        <v>29.255737636117829</v>
      </c>
      <c r="F177" s="29">
        <v>0.79891058511486923</v>
      </c>
    </row>
    <row r="178" spans="2:6" x14ac:dyDescent="0.2">
      <c r="B178" s="33">
        <v>117</v>
      </c>
      <c r="C178" s="29">
        <v>1447.1</v>
      </c>
      <c r="D178" s="29">
        <v>1434.6848353462135</v>
      </c>
      <c r="E178" s="29">
        <v>12.415164653786405</v>
      </c>
      <c r="F178" s="29">
        <v>0.33903115283645663</v>
      </c>
    </row>
    <row r="179" spans="2:6" x14ac:dyDescent="0.2">
      <c r="B179" s="33">
        <v>118</v>
      </c>
      <c r="C179" s="29">
        <v>1458</v>
      </c>
      <c r="D179" s="29">
        <v>1444.5936557895927</v>
      </c>
      <c r="E179" s="29">
        <v>13.406344210407269</v>
      </c>
      <c r="F179" s="29">
        <v>0.36609811144071586</v>
      </c>
    </row>
    <row r="180" spans="2:6" x14ac:dyDescent="0.2">
      <c r="B180" s="33">
        <v>119</v>
      </c>
      <c r="C180" s="29">
        <v>1457.4</v>
      </c>
      <c r="D180" s="29">
        <v>1461.3997926158861</v>
      </c>
      <c r="E180" s="29">
        <v>-3.9997926158860082</v>
      </c>
      <c r="F180" s="29">
        <v>-0.10922563973060215</v>
      </c>
    </row>
    <row r="181" spans="2:6" x14ac:dyDescent="0.2">
      <c r="B181" s="33">
        <v>120</v>
      </c>
      <c r="C181" s="29">
        <v>1425.1</v>
      </c>
      <c r="D181" s="29">
        <v>1426.6803135324055</v>
      </c>
      <c r="E181" s="29">
        <v>-1.5803135324056257</v>
      </c>
      <c r="F181" s="29">
        <v>-4.3154926549534747E-2</v>
      </c>
    </row>
    <row r="182" spans="2:6" x14ac:dyDescent="0.2">
      <c r="B182" s="33">
        <v>121</v>
      </c>
      <c r="C182" s="29">
        <v>1412.2</v>
      </c>
      <c r="D182" s="29">
        <v>1413.6226870038367</v>
      </c>
      <c r="E182" s="29">
        <v>-1.4226870038366997</v>
      </c>
      <c r="F182" s="29">
        <v>-3.8850488776167535E-2</v>
      </c>
    </row>
    <row r="183" spans="2:6" x14ac:dyDescent="0.2">
      <c r="B183" s="33">
        <v>122</v>
      </c>
      <c r="C183" s="29">
        <v>1335.3</v>
      </c>
      <c r="D183" s="29">
        <v>1385.6752617462105</v>
      </c>
      <c r="E183" s="29">
        <v>-50.375261746210526</v>
      </c>
      <c r="F183" s="29">
        <v>-1.375638869118605</v>
      </c>
    </row>
    <row r="184" spans="2:6" x14ac:dyDescent="0.2">
      <c r="B184" s="33">
        <v>123</v>
      </c>
      <c r="C184" s="29">
        <v>1386.4</v>
      </c>
      <c r="D184" s="29">
        <v>1401.4724259886323</v>
      </c>
      <c r="E184" s="29">
        <v>-15.072425988632176</v>
      </c>
      <c r="F184" s="29">
        <v>-0.41159518230067693</v>
      </c>
    </row>
    <row r="185" spans="2:6" x14ac:dyDescent="0.2">
      <c r="B185" s="33">
        <v>124</v>
      </c>
      <c r="C185" s="29">
        <v>1455.8</v>
      </c>
      <c r="D185" s="29">
        <v>1446.198226345763</v>
      </c>
      <c r="E185" s="29">
        <v>9.6017736542369221</v>
      </c>
      <c r="F185" s="29">
        <v>0.26220356169644932</v>
      </c>
    </row>
    <row r="186" spans="2:6" x14ac:dyDescent="0.2">
      <c r="B186" s="33">
        <v>125</v>
      </c>
      <c r="C186" s="29">
        <v>1467.5</v>
      </c>
      <c r="D186" s="29">
        <v>1441.4719135215055</v>
      </c>
      <c r="E186" s="29">
        <v>26.028086478494515</v>
      </c>
      <c r="F186" s="29">
        <v>0.71077044976924397</v>
      </c>
    </row>
    <row r="187" spans="2:6" x14ac:dyDescent="0.2">
      <c r="B187" s="33">
        <v>126</v>
      </c>
      <c r="C187" s="29">
        <v>1491.5</v>
      </c>
      <c r="D187" s="29">
        <v>1498.3471752555681</v>
      </c>
      <c r="E187" s="29">
        <v>-6.8471752555681178</v>
      </c>
      <c r="F187" s="29">
        <v>-0.18698146865579673</v>
      </c>
    </row>
    <row r="188" spans="2:6" x14ac:dyDescent="0.2">
      <c r="B188" s="33">
        <v>127</v>
      </c>
      <c r="C188" s="29">
        <v>1475.4</v>
      </c>
      <c r="D188" s="29">
        <v>1482.2115280310577</v>
      </c>
      <c r="E188" s="29">
        <v>-6.8115280310576054</v>
      </c>
      <c r="F188" s="29">
        <v>-0.18600802046092862</v>
      </c>
    </row>
    <row r="189" spans="2:6" x14ac:dyDescent="0.2">
      <c r="B189" s="33">
        <v>128</v>
      </c>
      <c r="C189" s="29">
        <v>1520.4</v>
      </c>
      <c r="D189" s="29">
        <v>1503.2743727762386</v>
      </c>
      <c r="E189" s="29">
        <v>17.125627223761512</v>
      </c>
      <c r="F189" s="29">
        <v>0.46766364382839715</v>
      </c>
    </row>
    <row r="190" spans="2:6" x14ac:dyDescent="0.2">
      <c r="B190" s="33">
        <v>129</v>
      </c>
      <c r="C190" s="29">
        <v>1486</v>
      </c>
      <c r="D190" s="29">
        <v>1471.9247391294919</v>
      </c>
      <c r="E190" s="29">
        <v>14.075260870508146</v>
      </c>
      <c r="F190" s="29">
        <v>0.38436477102596328</v>
      </c>
    </row>
    <row r="191" spans="2:6" x14ac:dyDescent="0.2">
      <c r="B191" s="33">
        <v>130</v>
      </c>
      <c r="C191" s="29">
        <v>1499.6</v>
      </c>
      <c r="D191" s="29">
        <v>1476.4854550232956</v>
      </c>
      <c r="E191" s="29">
        <v>23.114544976704337</v>
      </c>
      <c r="F191" s="29">
        <v>0.63120796616677888</v>
      </c>
    </row>
    <row r="192" spans="2:6" x14ac:dyDescent="0.2">
      <c r="B192" s="33">
        <v>131</v>
      </c>
      <c r="C192" s="29">
        <v>1506.2</v>
      </c>
      <c r="D192" s="29">
        <v>1500.433385651731</v>
      </c>
      <c r="E192" s="29">
        <v>5.7666143482690586</v>
      </c>
      <c r="F192" s="29">
        <v>0.1574736997032618</v>
      </c>
    </row>
    <row r="193" spans="2:6" x14ac:dyDescent="0.2">
      <c r="B193" s="33">
        <v>132</v>
      </c>
      <c r="C193" s="29">
        <v>1444.7</v>
      </c>
      <c r="D193" s="29">
        <v>1458.6509302814229</v>
      </c>
      <c r="E193" s="29">
        <v>-13.95093028142287</v>
      </c>
      <c r="F193" s="29">
        <v>-0.38096957296569744</v>
      </c>
    </row>
    <row r="194" spans="2:6" x14ac:dyDescent="0.2">
      <c r="B194" s="33">
        <v>133</v>
      </c>
      <c r="C194" s="29">
        <v>1419.1</v>
      </c>
      <c r="D194" s="29">
        <v>1437.5501019191313</v>
      </c>
      <c r="E194" s="29">
        <v>-18.450101919131384</v>
      </c>
      <c r="F194" s="29">
        <v>-0.50383216799992425</v>
      </c>
    </row>
    <row r="195" spans="2:6" x14ac:dyDescent="0.2">
      <c r="B195" s="33">
        <v>134</v>
      </c>
      <c r="C195" s="29">
        <v>1449</v>
      </c>
      <c r="D195" s="29">
        <v>1430.7471874383959</v>
      </c>
      <c r="E195" s="29">
        <v>18.25281256160406</v>
      </c>
      <c r="F195" s="29">
        <v>0.4984446246052055</v>
      </c>
    </row>
    <row r="196" spans="2:6" x14ac:dyDescent="0.2">
      <c r="B196" s="33">
        <v>135</v>
      </c>
      <c r="C196" s="29">
        <v>1383.4</v>
      </c>
      <c r="D196" s="29">
        <v>1433.6811493908911</v>
      </c>
      <c r="E196" s="29">
        <v>-50.28114939089096</v>
      </c>
      <c r="F196" s="29">
        <v>-1.3730688653200314</v>
      </c>
    </row>
    <row r="197" spans="2:6" x14ac:dyDescent="0.2">
      <c r="B197" s="33">
        <v>136</v>
      </c>
      <c r="C197" s="29">
        <v>1504.2</v>
      </c>
      <c r="D197" s="29">
        <v>1487.2631365406064</v>
      </c>
      <c r="E197" s="29">
        <v>16.936863459393635</v>
      </c>
      <c r="F197" s="29">
        <v>0.46250891584596376</v>
      </c>
    </row>
    <row r="198" spans="2:6" x14ac:dyDescent="0.2">
      <c r="B198" s="33">
        <v>137</v>
      </c>
      <c r="C198" s="29">
        <v>1490.3</v>
      </c>
      <c r="D198" s="29">
        <v>1499.3036619152595</v>
      </c>
      <c r="E198" s="29">
        <v>-9.0036619152594994</v>
      </c>
      <c r="F198" s="29">
        <v>-0.2458704305584189</v>
      </c>
    </row>
    <row r="199" spans="2:6" x14ac:dyDescent="0.2">
      <c r="B199" s="33">
        <v>138</v>
      </c>
      <c r="C199" s="29">
        <v>1536.4</v>
      </c>
      <c r="D199" s="29">
        <v>1528.2568352191981</v>
      </c>
      <c r="E199" s="29">
        <v>8.1431647808019534</v>
      </c>
      <c r="F199" s="29">
        <v>0.22237212476521823</v>
      </c>
    </row>
    <row r="200" spans="2:6" x14ac:dyDescent="0.2">
      <c r="B200" s="33">
        <v>139</v>
      </c>
      <c r="C200" s="29">
        <v>1449.7</v>
      </c>
      <c r="D200" s="29">
        <v>1509.9688488733973</v>
      </c>
      <c r="E200" s="29">
        <v>-60.268848873397246</v>
      </c>
      <c r="F200" s="29">
        <v>-1.6458112222814814</v>
      </c>
    </row>
    <row r="201" spans="2:6" x14ac:dyDescent="0.2">
      <c r="B201" s="33">
        <v>140</v>
      </c>
      <c r="C201" s="29">
        <v>1533.2</v>
      </c>
      <c r="D201" s="29">
        <v>1544.6016057932479</v>
      </c>
      <c r="E201" s="29">
        <v>-11.401605793247882</v>
      </c>
      <c r="F201" s="29">
        <v>-0.31135306410074415</v>
      </c>
    </row>
    <row r="202" spans="2:6" x14ac:dyDescent="0.2">
      <c r="B202" s="33">
        <v>141</v>
      </c>
      <c r="C202" s="29">
        <v>1464.3</v>
      </c>
      <c r="D202" s="29">
        <v>1508.008871002133</v>
      </c>
      <c r="E202" s="29">
        <v>-43.708871002133037</v>
      </c>
      <c r="F202" s="29">
        <v>-1.1935942323981745</v>
      </c>
    </row>
    <row r="203" spans="2:6" x14ac:dyDescent="0.2">
      <c r="B203" s="33">
        <v>142</v>
      </c>
      <c r="C203" s="29">
        <v>1493.2</v>
      </c>
      <c r="D203" s="29">
        <v>1496.3603012537924</v>
      </c>
      <c r="E203" s="29">
        <v>-3.1603012537923405</v>
      </c>
      <c r="F203" s="29">
        <v>-8.6300955908542545E-2</v>
      </c>
    </row>
    <row r="204" spans="2:6" x14ac:dyDescent="0.2">
      <c r="B204" s="33">
        <v>143</v>
      </c>
      <c r="C204" s="29">
        <v>1504.4</v>
      </c>
      <c r="D204" s="29">
        <v>1514.309826014319</v>
      </c>
      <c r="E204" s="29">
        <v>-9.9098260143189236</v>
      </c>
      <c r="F204" s="29">
        <v>-0.27061580186281231</v>
      </c>
    </row>
    <row r="205" spans="2:6" x14ac:dyDescent="0.2">
      <c r="B205" s="33">
        <v>144</v>
      </c>
      <c r="C205" s="29">
        <v>1471</v>
      </c>
      <c r="D205" s="29">
        <v>1467.0152183734986</v>
      </c>
      <c r="E205" s="29">
        <v>3.9847816265014444</v>
      </c>
      <c r="F205" s="29">
        <v>0.10881572224837911</v>
      </c>
    </row>
    <row r="206" spans="2:6" x14ac:dyDescent="0.2">
      <c r="B206" s="33">
        <v>145</v>
      </c>
      <c r="C206" s="29">
        <v>1459</v>
      </c>
      <c r="D206" s="29">
        <v>1449.8557049747328</v>
      </c>
      <c r="E206" s="29">
        <v>9.1442950252671835</v>
      </c>
      <c r="F206" s="29">
        <v>0.24971081501907444</v>
      </c>
    </row>
    <row r="207" spans="2:6" x14ac:dyDescent="0.2">
      <c r="B207" s="33">
        <v>146</v>
      </c>
      <c r="C207" s="29">
        <v>1454.4</v>
      </c>
      <c r="D207" s="29">
        <v>1438.3262310047157</v>
      </c>
      <c r="E207" s="29">
        <v>16.073768995284354</v>
      </c>
      <c r="F207" s="29">
        <v>0.4389396826272573</v>
      </c>
    </row>
    <row r="208" spans="2:6" x14ac:dyDescent="0.2">
      <c r="B208" s="33">
        <v>147</v>
      </c>
      <c r="C208" s="29">
        <v>1441.8</v>
      </c>
      <c r="D208" s="29">
        <v>1449.336264408583</v>
      </c>
      <c r="E208" s="29">
        <v>-7.5362644085830652</v>
      </c>
      <c r="F208" s="29">
        <v>-0.20579899516218136</v>
      </c>
    </row>
    <row r="209" spans="2:6" x14ac:dyDescent="0.2">
      <c r="B209" s="33">
        <v>148</v>
      </c>
      <c r="C209" s="29">
        <v>1442.2</v>
      </c>
      <c r="D209" s="29">
        <v>1507.5616406519857</v>
      </c>
      <c r="E209" s="29">
        <v>-65.361640651985681</v>
      </c>
      <c r="F209" s="29">
        <v>-1.7848842926756205</v>
      </c>
    </row>
    <row r="210" spans="2:6" x14ac:dyDescent="0.2">
      <c r="B210" s="33">
        <v>149</v>
      </c>
      <c r="C210" s="29">
        <v>1523.6</v>
      </c>
      <c r="D210" s="29">
        <v>1521.0119688260688</v>
      </c>
      <c r="E210" s="29">
        <v>2.5880311739310855</v>
      </c>
      <c r="F210" s="29">
        <v>7.0673504294358716E-2</v>
      </c>
    </row>
    <row r="211" spans="2:6" x14ac:dyDescent="0.2">
      <c r="B211" s="33">
        <v>150</v>
      </c>
      <c r="C211" s="29">
        <v>1464.2</v>
      </c>
      <c r="D211" s="29">
        <v>1548.8630898898973</v>
      </c>
      <c r="E211" s="29">
        <v>-84.663089889897265</v>
      </c>
      <c r="F211" s="29">
        <v>-2.3119649048967212</v>
      </c>
    </row>
    <row r="212" spans="2:6" x14ac:dyDescent="0.2">
      <c r="B212" s="33">
        <v>151</v>
      </c>
      <c r="C212" s="29">
        <v>1507.1</v>
      </c>
      <c r="D212" s="29">
        <v>1503.9768714382885</v>
      </c>
      <c r="E212" s="29">
        <v>3.1231285617113826</v>
      </c>
      <c r="F212" s="29">
        <v>8.5285850511096356E-2</v>
      </c>
    </row>
    <row r="213" spans="2:6" x14ac:dyDescent="0.2">
      <c r="B213" s="33">
        <v>152</v>
      </c>
      <c r="C213" s="29">
        <v>1644.4</v>
      </c>
      <c r="D213" s="29">
        <v>1552.0150813635391</v>
      </c>
      <c r="E213" s="29">
        <v>92.384918636460952</v>
      </c>
      <c r="F213" s="29">
        <v>2.5228312586631012</v>
      </c>
    </row>
    <row r="214" spans="2:6" x14ac:dyDescent="0.2">
      <c r="B214" s="33">
        <v>153</v>
      </c>
      <c r="C214" s="29">
        <v>1527.1</v>
      </c>
      <c r="D214" s="29">
        <v>1487.9990084600331</v>
      </c>
      <c r="E214" s="29">
        <v>39.100991539966799</v>
      </c>
      <c r="F214" s="29">
        <v>1.0677630630376294</v>
      </c>
    </row>
    <row r="215" spans="2:6" x14ac:dyDescent="0.2">
      <c r="B215" s="33">
        <v>154</v>
      </c>
      <c r="C215" s="29">
        <v>1524</v>
      </c>
      <c r="D215" s="29">
        <v>1519.7223133921736</v>
      </c>
      <c r="E215" s="29">
        <v>4.2776866078263538</v>
      </c>
      <c r="F215" s="29">
        <v>0.11681432043530199</v>
      </c>
    </row>
    <row r="216" spans="2:6" x14ac:dyDescent="0.2">
      <c r="B216" s="33">
        <v>155</v>
      </c>
      <c r="C216" s="29">
        <v>1561.6</v>
      </c>
      <c r="D216" s="29">
        <v>1563.3461184299485</v>
      </c>
      <c r="E216" s="29">
        <v>-1.7461184299486376</v>
      </c>
      <c r="F216" s="29">
        <v>-4.7682697797642518E-2</v>
      </c>
    </row>
    <row r="217" spans="2:6" ht="16" thickBot="1" x14ac:dyDescent="0.25">
      <c r="B217" s="34">
        <v>156</v>
      </c>
      <c r="C217" s="30">
        <v>1513.7</v>
      </c>
      <c r="D217" s="30">
        <v>1504.0368609666505</v>
      </c>
      <c r="E217" s="30">
        <v>9.6631390333495801</v>
      </c>
      <c r="F217" s="30">
        <v>0.26387931677541765</v>
      </c>
    </row>
    <row r="236" spans="2:7" x14ac:dyDescent="0.2">
      <c r="G236" t="s">
        <v>229</v>
      </c>
    </row>
    <row r="239" spans="2:7" x14ac:dyDescent="0.2">
      <c r="B239" t="s">
        <v>265</v>
      </c>
    </row>
    <row r="240" spans="2:7" ht="16" thickBot="1" x14ac:dyDescent="0.25"/>
    <row r="241" spans="2:10" x14ac:dyDescent="0.2">
      <c r="B241" s="16" t="s">
        <v>266</v>
      </c>
      <c r="C241" s="16" t="s">
        <v>267</v>
      </c>
      <c r="D241" s="16" t="s">
        <v>268</v>
      </c>
      <c r="E241" s="16" t="s">
        <v>253</v>
      </c>
      <c r="F241" s="16" t="s">
        <v>254</v>
      </c>
      <c r="G241" s="16" t="s">
        <v>269</v>
      </c>
      <c r="H241" s="16" t="s">
        <v>268</v>
      </c>
      <c r="I241" s="16" t="s">
        <v>253</v>
      </c>
      <c r="J241" s="16" t="s">
        <v>254</v>
      </c>
    </row>
    <row r="242" spans="2:10" x14ac:dyDescent="0.2">
      <c r="B242" s="32">
        <v>0</v>
      </c>
      <c r="C242" s="28">
        <v>1</v>
      </c>
      <c r="D242" s="28">
        <v>0</v>
      </c>
      <c r="E242" s="28"/>
      <c r="F242" s="28"/>
      <c r="G242" s="28">
        <v>1</v>
      </c>
      <c r="H242" s="28">
        <v>0</v>
      </c>
      <c r="I242" s="28"/>
      <c r="J242" s="28"/>
    </row>
    <row r="243" spans="2:10" x14ac:dyDescent="0.2">
      <c r="B243" s="33">
        <v>1</v>
      </c>
      <c r="C243" s="29">
        <v>0.87638240338750084</v>
      </c>
      <c r="D243" s="29">
        <v>8.0064076902543566E-2</v>
      </c>
      <c r="E243" s="29">
        <v>-0.15692270718443055</v>
      </c>
      <c r="F243" s="29">
        <v>0.15692270718443055</v>
      </c>
      <c r="G243" s="29">
        <v>0.87638240338750084</v>
      </c>
      <c r="H243" s="29">
        <v>8.0064076902543566E-2</v>
      </c>
      <c r="I243" s="29">
        <v>-0.15692270718443055</v>
      </c>
      <c r="J243" s="29">
        <v>0.15692270718443055</v>
      </c>
    </row>
    <row r="244" spans="2:10" x14ac:dyDescent="0.2">
      <c r="B244" s="33">
        <v>2</v>
      </c>
      <c r="C244" s="29">
        <v>0.84434847674904945</v>
      </c>
      <c r="D244" s="29">
        <v>0.12750294702311848</v>
      </c>
      <c r="E244" s="29">
        <v>-0.24990118408803066</v>
      </c>
      <c r="F244" s="29">
        <v>0.24990118408803066</v>
      </c>
      <c r="G244" s="29">
        <v>0.32895487147772667</v>
      </c>
      <c r="H244" s="29">
        <v>8.0064076902543566E-2</v>
      </c>
      <c r="I244" s="29">
        <v>-0.15692270718443055</v>
      </c>
      <c r="J244" s="29">
        <v>0.15692270718443055</v>
      </c>
    </row>
    <row r="245" spans="2:10" x14ac:dyDescent="0.2">
      <c r="B245" s="33">
        <v>3</v>
      </c>
      <c r="C245" s="29">
        <v>0.81429970897078663</v>
      </c>
      <c r="D245" s="29">
        <v>0.15936454207641931</v>
      </c>
      <c r="E245" s="29">
        <v>-0.3123487628824998</v>
      </c>
      <c r="F245" s="29">
        <v>0.3123487628824998</v>
      </c>
      <c r="G245" s="29">
        <v>0.14239398187070157</v>
      </c>
      <c r="H245" s="29">
        <v>8.0064076902543566E-2</v>
      </c>
      <c r="I245" s="29">
        <v>-0.15692270718443055</v>
      </c>
      <c r="J245" s="29">
        <v>0.15692270718443055</v>
      </c>
    </row>
    <row r="246" spans="2:10" x14ac:dyDescent="0.2">
      <c r="B246" s="33">
        <v>4</v>
      </c>
      <c r="C246" s="29">
        <v>0.74465653577775581</v>
      </c>
      <c r="D246" s="29">
        <v>0.18411446005084822</v>
      </c>
      <c r="E246" s="29">
        <v>-0.36085771073270101</v>
      </c>
      <c r="F246" s="29">
        <v>0.36085771073270101</v>
      </c>
      <c r="G246" s="29">
        <v>-0.13777618854429718</v>
      </c>
      <c r="H246" s="29">
        <v>8.0064076902543566E-2</v>
      </c>
      <c r="I246" s="29">
        <v>-0.15692270718443055</v>
      </c>
      <c r="J246" s="29">
        <v>0.15692270718443055</v>
      </c>
    </row>
    <row r="247" spans="2:10" x14ac:dyDescent="0.2">
      <c r="B247" s="33">
        <v>5</v>
      </c>
      <c r="C247" s="29">
        <v>0.72102581729974979</v>
      </c>
      <c r="D247" s="29">
        <v>0.20250254317688016</v>
      </c>
      <c r="E247" s="29">
        <v>-0.39689769140445225</v>
      </c>
      <c r="F247" s="29">
        <v>0.39689769140445225</v>
      </c>
      <c r="G247" s="29">
        <v>6.9071398045758431E-2</v>
      </c>
      <c r="H247" s="29">
        <v>8.0064076902543566E-2</v>
      </c>
      <c r="I247" s="29">
        <v>-0.15692270718443055</v>
      </c>
      <c r="J247" s="29">
        <v>0.15692270718443055</v>
      </c>
    </row>
    <row r="248" spans="2:10" x14ac:dyDescent="0.2">
      <c r="B248" s="33">
        <v>6</v>
      </c>
      <c r="C248" s="29">
        <v>0.71114025019614913</v>
      </c>
      <c r="D248" s="29">
        <v>0.21834006846163637</v>
      </c>
      <c r="E248" s="29">
        <v>-0.42793867056681689</v>
      </c>
      <c r="F248" s="29">
        <v>0.42793867056681689</v>
      </c>
      <c r="G248" s="29">
        <v>0.15568328028686448</v>
      </c>
      <c r="H248" s="29">
        <v>8.0064076902543566E-2</v>
      </c>
      <c r="I248" s="29">
        <v>-0.15692270718443055</v>
      </c>
      <c r="J248" s="29">
        <v>0.15692270718443055</v>
      </c>
    </row>
    <row r="249" spans="2:10" x14ac:dyDescent="0.2">
      <c r="B249" s="33">
        <v>7</v>
      </c>
      <c r="C249" s="29">
        <v>0.67420664999665247</v>
      </c>
      <c r="D249" s="29">
        <v>0.23271437660469557</v>
      </c>
      <c r="E249" s="29">
        <v>-0.45611179682989372</v>
      </c>
      <c r="F249" s="29">
        <v>0.45611179682989372</v>
      </c>
      <c r="G249" s="29">
        <v>-4.2184219613372884E-3</v>
      </c>
      <c r="H249" s="29">
        <v>8.0064076902543566E-2</v>
      </c>
      <c r="I249" s="29">
        <v>-0.15692270718443055</v>
      </c>
      <c r="J249" s="29">
        <v>0.15692270718443055</v>
      </c>
    </row>
    <row r="250" spans="2:10" x14ac:dyDescent="0.2">
      <c r="B250" s="33">
        <v>8</v>
      </c>
      <c r="C250" s="29">
        <v>0.69177160474552424</v>
      </c>
      <c r="D250" s="29">
        <v>0.24491550429463008</v>
      </c>
      <c r="E250" s="29">
        <v>-0.48002556767293975</v>
      </c>
      <c r="F250" s="29">
        <v>0.48002556767293975</v>
      </c>
      <c r="G250" s="29">
        <v>0.17579933362155314</v>
      </c>
      <c r="H250" s="29">
        <v>8.0064076902543566E-2</v>
      </c>
      <c r="I250" s="29">
        <v>-0.15692270718443055</v>
      </c>
      <c r="J250" s="29">
        <v>0.15692270718443055</v>
      </c>
    </row>
    <row r="251" spans="2:10" x14ac:dyDescent="0.2">
      <c r="B251" s="33">
        <v>9</v>
      </c>
      <c r="C251" s="29">
        <v>0.70502821617218492</v>
      </c>
      <c r="D251" s="29">
        <v>0.25713582872142587</v>
      </c>
      <c r="E251" s="29">
        <v>-0.50397696342885456</v>
      </c>
      <c r="F251" s="29">
        <v>0.50397696342885456</v>
      </c>
      <c r="G251" s="29">
        <v>0.15455857310293539</v>
      </c>
      <c r="H251" s="29">
        <v>8.0064076902543566E-2</v>
      </c>
      <c r="I251" s="29">
        <v>-0.15692270718443055</v>
      </c>
      <c r="J251" s="29">
        <v>0.15692270718443055</v>
      </c>
    </row>
    <row r="252" spans="2:10" x14ac:dyDescent="0.2">
      <c r="B252" s="33">
        <v>10</v>
      </c>
      <c r="C252" s="29">
        <v>0.68932083410436162</v>
      </c>
      <c r="D252" s="29">
        <v>0.26924238126389211</v>
      </c>
      <c r="E252" s="29">
        <v>-0.5277053703890302</v>
      </c>
      <c r="F252" s="29">
        <v>0.5277053703890302</v>
      </c>
      <c r="G252" s="29">
        <v>-5.2279250729640771E-3</v>
      </c>
      <c r="H252" s="29">
        <v>8.0064076902543566E-2</v>
      </c>
      <c r="I252" s="29">
        <v>-0.15692270718443055</v>
      </c>
      <c r="J252" s="29">
        <v>0.15692270718443055</v>
      </c>
    </row>
    <row r="253" spans="2:10" x14ac:dyDescent="0.2">
      <c r="B253" s="33">
        <v>11</v>
      </c>
      <c r="C253" s="29">
        <v>0.70493132068374942</v>
      </c>
      <c r="D253" s="29">
        <v>0.2803271230619116</v>
      </c>
      <c r="E253" s="29">
        <v>-0.5494310650910742</v>
      </c>
      <c r="F253" s="29">
        <v>0.5494310650910742</v>
      </c>
      <c r="G253" s="29">
        <v>5.5728630282316539E-2</v>
      </c>
      <c r="H253" s="29">
        <v>8.0064076902543566E-2</v>
      </c>
      <c r="I253" s="29">
        <v>-0.15692270718443055</v>
      </c>
      <c r="J253" s="29">
        <v>0.15692270718443055</v>
      </c>
    </row>
    <row r="254" spans="2:10" x14ac:dyDescent="0.2">
      <c r="B254" s="33">
        <v>12</v>
      </c>
      <c r="C254" s="29">
        <v>0.70925804248126456</v>
      </c>
      <c r="D254" s="29">
        <v>0.29146898610064692</v>
      </c>
      <c r="E254" s="29">
        <v>-0.57126871536767343</v>
      </c>
      <c r="F254" s="29">
        <v>0.57126871536767343</v>
      </c>
      <c r="G254" s="29">
        <v>7.4915767610942555E-2</v>
      </c>
      <c r="H254" s="29">
        <v>8.0064076902543566E-2</v>
      </c>
      <c r="I254" s="29">
        <v>-0.15692270718443055</v>
      </c>
      <c r="J254" s="29">
        <v>0.15692270718443055</v>
      </c>
    </row>
    <row r="255" spans="2:10" x14ac:dyDescent="0.2">
      <c r="B255" s="33">
        <v>13</v>
      </c>
      <c r="C255" s="29">
        <v>0.65719733744230036</v>
      </c>
      <c r="D255" s="29">
        <v>0.30233010104406227</v>
      </c>
      <c r="E255" s="29">
        <v>-0.59255610948871729</v>
      </c>
      <c r="F255" s="29">
        <v>0.59255610948871729</v>
      </c>
      <c r="G255" s="29">
        <v>-0.1827961405651142</v>
      </c>
      <c r="H255" s="29">
        <v>8.0064076902543566E-2</v>
      </c>
      <c r="I255" s="29">
        <v>-0.15692270718443055</v>
      </c>
      <c r="J255" s="29">
        <v>0.15692270718443055</v>
      </c>
    </row>
    <row r="256" spans="2:10" x14ac:dyDescent="0.2">
      <c r="B256" s="33">
        <v>14</v>
      </c>
      <c r="C256" s="29">
        <v>0.6397268601824776</v>
      </c>
      <c r="D256" s="29">
        <v>0.31135313779042645</v>
      </c>
      <c r="E256" s="29">
        <v>-0.61024093654277256</v>
      </c>
      <c r="F256" s="29">
        <v>0.61024093654277256</v>
      </c>
      <c r="G256" s="29">
        <v>-7.8944082450227437E-2</v>
      </c>
      <c r="H256" s="29">
        <v>8.0064076902543566E-2</v>
      </c>
      <c r="I256" s="29">
        <v>-0.15692270718443055</v>
      </c>
      <c r="J256" s="29">
        <v>0.15692270718443055</v>
      </c>
    </row>
    <row r="257" spans="2:10" x14ac:dyDescent="0.2">
      <c r="B257" s="33">
        <v>15</v>
      </c>
      <c r="C257" s="29">
        <v>0.58468781070156206</v>
      </c>
      <c r="D257" s="29">
        <v>0.31966791694704666</v>
      </c>
      <c r="E257" s="29">
        <v>-0.6265376042291525</v>
      </c>
      <c r="F257" s="29">
        <v>0.6265376042291525</v>
      </c>
      <c r="G257" s="29">
        <v>-0.15480996064096647</v>
      </c>
      <c r="H257" s="29">
        <v>8.0064076902543566E-2</v>
      </c>
      <c r="I257" s="29">
        <v>-0.15692270718443055</v>
      </c>
      <c r="J257" s="29">
        <v>0.15692270718443055</v>
      </c>
    </row>
    <row r="258" spans="2:10" x14ac:dyDescent="0.2">
      <c r="B258" s="33">
        <v>16</v>
      </c>
      <c r="C258" s="29">
        <v>0.54040927738386413</v>
      </c>
      <c r="D258" s="29">
        <v>0.32645121463290988</v>
      </c>
      <c r="E258" s="29">
        <v>-0.63983262338985825</v>
      </c>
      <c r="F258" s="29">
        <v>0.63983262338985825</v>
      </c>
      <c r="G258" s="29">
        <v>-1.7385516949076359E-2</v>
      </c>
      <c r="H258" s="29">
        <v>8.0064076902543566E-2</v>
      </c>
      <c r="I258" s="29">
        <v>-0.15692270718443055</v>
      </c>
      <c r="J258" s="29">
        <v>0.15692270718443055</v>
      </c>
    </row>
    <row r="259" spans="2:10" x14ac:dyDescent="0.2">
      <c r="B259" s="33">
        <v>17</v>
      </c>
      <c r="C259" s="29">
        <v>0.53142473552587921</v>
      </c>
      <c r="D259" s="29">
        <v>0.33213630656542897</v>
      </c>
      <c r="E259" s="29">
        <v>-0.65097519882639487</v>
      </c>
      <c r="F259" s="29">
        <v>0.65097519882639487</v>
      </c>
      <c r="G259" s="29">
        <v>5.7825249414118242E-2</v>
      </c>
      <c r="H259" s="29">
        <v>8.0064076902543566E-2</v>
      </c>
      <c r="I259" s="29">
        <v>-0.15692270718443055</v>
      </c>
      <c r="J259" s="29">
        <v>0.15692270718443055</v>
      </c>
    </row>
    <row r="260" spans="2:10" x14ac:dyDescent="0.2">
      <c r="B260" s="33">
        <v>18</v>
      </c>
      <c r="C260" s="29">
        <v>0.5027697249299885</v>
      </c>
      <c r="D260" s="29">
        <v>0.3375428802458702</v>
      </c>
      <c r="E260" s="29">
        <v>-0.66157188851982185</v>
      </c>
      <c r="F260" s="29">
        <v>0.66157188851982185</v>
      </c>
      <c r="G260" s="29">
        <v>-7.6028986690506182E-3</v>
      </c>
      <c r="H260" s="29">
        <v>8.0064076902543566E-2</v>
      </c>
      <c r="I260" s="29">
        <v>-0.15692270718443055</v>
      </c>
      <c r="J260" s="29">
        <v>0.15692270718443055</v>
      </c>
    </row>
    <row r="261" spans="2:10" x14ac:dyDescent="0.2">
      <c r="B261" s="33">
        <v>19</v>
      </c>
      <c r="C261" s="29">
        <v>0.46332122224249928</v>
      </c>
      <c r="D261" s="29">
        <v>0.34230970166613311</v>
      </c>
      <c r="E261" s="29">
        <v>-0.67091468682427124</v>
      </c>
      <c r="F261" s="29">
        <v>0.67091468682427124</v>
      </c>
      <c r="G261" s="29">
        <v>-0.13324821435691381</v>
      </c>
      <c r="H261" s="29">
        <v>8.0064076902543566E-2</v>
      </c>
      <c r="I261" s="29">
        <v>-0.15692270718443055</v>
      </c>
      <c r="J261" s="29">
        <v>0.15692270718443055</v>
      </c>
    </row>
    <row r="262" spans="2:10" x14ac:dyDescent="0.2">
      <c r="B262" s="33">
        <v>20</v>
      </c>
      <c r="C262" s="29">
        <v>0.48844231064372878</v>
      </c>
      <c r="D262" s="29">
        <v>0.34630631986005839</v>
      </c>
      <c r="E262" s="29">
        <v>-0.67874791454432226</v>
      </c>
      <c r="F262" s="29">
        <v>0.67874791454432226</v>
      </c>
      <c r="G262" s="29">
        <v>0.11008660028353254</v>
      </c>
      <c r="H262" s="29">
        <v>8.0064076902543566E-2</v>
      </c>
      <c r="I262" s="29">
        <v>-0.15692270718443055</v>
      </c>
      <c r="J262" s="29">
        <v>0.15692270718443055</v>
      </c>
    </row>
    <row r="263" spans="2:10" x14ac:dyDescent="0.2">
      <c r="B263" s="33">
        <v>21</v>
      </c>
      <c r="C263" s="29">
        <v>0.4765564017368078</v>
      </c>
      <c r="D263" s="29">
        <v>0.35069464273357481</v>
      </c>
      <c r="E263" s="29">
        <v>-0.68734886932894779</v>
      </c>
      <c r="F263" s="29">
        <v>0.68734886932894779</v>
      </c>
      <c r="G263" s="29">
        <v>3.074191396857694E-2</v>
      </c>
      <c r="H263" s="29">
        <v>8.0064076902543566E-2</v>
      </c>
      <c r="I263" s="29">
        <v>-0.15692270718443055</v>
      </c>
      <c r="J263" s="29">
        <v>0.15692270718443055</v>
      </c>
    </row>
    <row r="264" spans="2:10" ht="16" thickBot="1" x14ac:dyDescent="0.25">
      <c r="B264" s="34">
        <v>22</v>
      </c>
      <c r="C264" s="30">
        <v>0.48358651768749056</v>
      </c>
      <c r="D264" s="30">
        <v>0.35482157188986263</v>
      </c>
      <c r="E264" s="30">
        <v>-0.69543750184202024</v>
      </c>
      <c r="F264" s="30">
        <v>0.69543750184202024</v>
      </c>
      <c r="G264" s="30">
        <v>8.1858585011084534E-2</v>
      </c>
      <c r="H264" s="30">
        <v>8.0064076902543566E-2</v>
      </c>
      <c r="I264" s="30">
        <v>-0.15692270718443055</v>
      </c>
      <c r="J264" s="30">
        <v>0.15692270718443055</v>
      </c>
    </row>
    <row r="283" spans="2:10" x14ac:dyDescent="0.2">
      <c r="G283" t="s">
        <v>229</v>
      </c>
    </row>
    <row r="286" spans="2:10" x14ac:dyDescent="0.2">
      <c r="B286" t="s">
        <v>270</v>
      </c>
    </row>
    <row r="287" spans="2:10" ht="16" thickBot="1" x14ac:dyDescent="0.25"/>
    <row r="288" spans="2:10" x14ac:dyDescent="0.2">
      <c r="B288" s="16" t="s">
        <v>266</v>
      </c>
      <c r="C288" s="16" t="s">
        <v>267</v>
      </c>
      <c r="D288" s="16" t="s">
        <v>268</v>
      </c>
      <c r="E288" s="16" t="s">
        <v>253</v>
      </c>
      <c r="F288" s="16" t="s">
        <v>254</v>
      </c>
      <c r="G288" s="16" t="s">
        <v>269</v>
      </c>
      <c r="H288" s="16" t="s">
        <v>268</v>
      </c>
      <c r="I288" s="16" t="s">
        <v>253</v>
      </c>
      <c r="J288" s="16" t="s">
        <v>254</v>
      </c>
    </row>
    <row r="289" spans="2:10" x14ac:dyDescent="0.2">
      <c r="B289" s="32">
        <v>0</v>
      </c>
      <c r="C289" s="28">
        <v>1</v>
      </c>
      <c r="D289" s="28">
        <v>0</v>
      </c>
      <c r="E289" s="28"/>
      <c r="F289" s="28"/>
      <c r="G289" s="28">
        <v>1</v>
      </c>
      <c r="H289" s="28">
        <v>0</v>
      </c>
      <c r="I289" s="28"/>
      <c r="J289" s="28"/>
    </row>
    <row r="290" spans="2:10" x14ac:dyDescent="0.2">
      <c r="B290" s="33">
        <v>1</v>
      </c>
      <c r="C290" s="29">
        <v>2.2499445834731238E-3</v>
      </c>
      <c r="D290" s="29">
        <v>8.0064076902543566E-2</v>
      </c>
      <c r="E290" s="29">
        <v>-0.15692270718443055</v>
      </c>
      <c r="F290" s="29">
        <v>0.15692270718443055</v>
      </c>
      <c r="G290" s="29">
        <v>2.2499445834731238E-3</v>
      </c>
      <c r="H290" s="29">
        <v>8.0064076902543566E-2</v>
      </c>
      <c r="I290" s="29">
        <v>-0.15692270718443055</v>
      </c>
      <c r="J290" s="29">
        <v>0.15692270718443055</v>
      </c>
    </row>
    <row r="291" spans="2:10" x14ac:dyDescent="0.2">
      <c r="B291" s="33">
        <v>2</v>
      </c>
      <c r="C291" s="29">
        <v>-3.8276975463946275E-2</v>
      </c>
      <c r="D291" s="29">
        <v>8.0064482205941326E-2</v>
      </c>
      <c r="E291" s="29">
        <v>-0.15692350156449297</v>
      </c>
      <c r="F291" s="29">
        <v>0.15692350156449297</v>
      </c>
      <c r="G291" s="29">
        <v>-3.8282231508825496E-2</v>
      </c>
      <c r="H291" s="29">
        <v>8.0064076902543566E-2</v>
      </c>
      <c r="I291" s="29">
        <v>-0.15692270718443055</v>
      </c>
      <c r="J291" s="29">
        <v>0.15692270718443055</v>
      </c>
    </row>
    <row r="292" spans="2:10" x14ac:dyDescent="0.2">
      <c r="B292" s="33">
        <v>3</v>
      </c>
      <c r="C292" s="29">
        <v>-3.4776257031321547E-2</v>
      </c>
      <c r="D292" s="29">
        <v>8.018169983530006E-2</v>
      </c>
      <c r="E292" s="29">
        <v>-0.15715324389638927</v>
      </c>
      <c r="F292" s="29">
        <v>0.15715324389638927</v>
      </c>
      <c r="G292" s="29">
        <v>-3.4651664337356496E-2</v>
      </c>
      <c r="H292" s="29">
        <v>8.0064076902543566E-2</v>
      </c>
      <c r="I292" s="29">
        <v>-0.15692270718443055</v>
      </c>
      <c r="J292" s="29">
        <v>0.15692270718443055</v>
      </c>
    </row>
    <row r="293" spans="2:10" x14ac:dyDescent="0.2">
      <c r="B293" s="33">
        <v>4</v>
      </c>
      <c r="C293" s="29">
        <v>-8.7567521466103249E-2</v>
      </c>
      <c r="D293" s="29">
        <v>8.0278328106145866E-2</v>
      </c>
      <c r="E293" s="29">
        <v>-0.15734263182713543</v>
      </c>
      <c r="F293" s="29">
        <v>0.15734263182713543</v>
      </c>
      <c r="G293" s="29">
        <v>-8.9154682295760887E-2</v>
      </c>
      <c r="H293" s="29">
        <v>8.0064076902543566E-2</v>
      </c>
      <c r="I293" s="29">
        <v>-0.15692270718443055</v>
      </c>
      <c r="J293" s="29">
        <v>0.15692270718443055</v>
      </c>
    </row>
    <row r="294" spans="2:10" x14ac:dyDescent="0.2">
      <c r="B294" s="33">
        <v>5</v>
      </c>
      <c r="C294" s="29">
        <v>-2.1103089739434214E-2</v>
      </c>
      <c r="D294" s="29">
        <v>8.0888309190633376E-2</v>
      </c>
      <c r="E294" s="29">
        <v>-0.15853817278398163</v>
      </c>
      <c r="F294" s="29">
        <v>0.15853817278398163</v>
      </c>
      <c r="G294" s="29">
        <v>-2.4109967631023885E-2</v>
      </c>
      <c r="H294" s="29">
        <v>8.0064076902543566E-2</v>
      </c>
      <c r="I294" s="29">
        <v>-0.15692270718443055</v>
      </c>
      <c r="J294" s="29">
        <v>0.15692270718443055</v>
      </c>
    </row>
    <row r="295" spans="2:10" x14ac:dyDescent="0.2">
      <c r="B295" s="33">
        <v>6</v>
      </c>
      <c r="C295" s="29">
        <v>-1.9296214410699397E-2</v>
      </c>
      <c r="D295" s="29">
        <v>8.0923593938869109E-2</v>
      </c>
      <c r="E295" s="29">
        <v>-0.15860732961972723</v>
      </c>
      <c r="F295" s="29">
        <v>0.15860732961972723</v>
      </c>
      <c r="G295" s="29">
        <v>-2.8011871008972625E-2</v>
      </c>
      <c r="H295" s="29">
        <v>8.0064076902543566E-2</v>
      </c>
      <c r="I295" s="29">
        <v>-0.15692270718443055</v>
      </c>
      <c r="J295" s="29">
        <v>0.15692270718443055</v>
      </c>
    </row>
    <row r="296" spans="2:10" x14ac:dyDescent="0.2">
      <c r="B296" s="33">
        <v>7</v>
      </c>
      <c r="C296" s="29">
        <v>-9.3570894610927782E-2</v>
      </c>
      <c r="D296" s="29">
        <v>8.0953083298944462E-2</v>
      </c>
      <c r="E296" s="29">
        <v>-0.15866512770340205</v>
      </c>
      <c r="F296" s="29">
        <v>0.15866512770340205</v>
      </c>
      <c r="G296" s="29">
        <v>-0.10305466092232632</v>
      </c>
      <c r="H296" s="29">
        <v>8.0064076902543566E-2</v>
      </c>
      <c r="I296" s="29">
        <v>-0.15692270718443055</v>
      </c>
      <c r="J296" s="29">
        <v>0.15692270718443055</v>
      </c>
    </row>
    <row r="297" spans="2:10" x14ac:dyDescent="0.2">
      <c r="B297" s="33">
        <v>8</v>
      </c>
      <c r="C297" s="29">
        <v>0.17999706111047084</v>
      </c>
      <c r="D297" s="29">
        <v>8.1643443420354497E-2</v>
      </c>
      <c r="E297" s="29">
        <v>-0.16001820867772842</v>
      </c>
      <c r="F297" s="29">
        <v>0.16001820867772842</v>
      </c>
      <c r="G297" s="29">
        <v>0.17111579097150012</v>
      </c>
      <c r="H297" s="29">
        <v>8.0064076902543566E-2</v>
      </c>
      <c r="I297" s="29">
        <v>-0.15692270718443055</v>
      </c>
      <c r="J297" s="29">
        <v>0.15692270718443055</v>
      </c>
    </row>
    <row r="298" spans="2:10" x14ac:dyDescent="0.2">
      <c r="B298" s="33">
        <v>9</v>
      </c>
      <c r="C298" s="29">
        <v>0.2400016084583057</v>
      </c>
      <c r="D298" s="29">
        <v>8.4148814043469772E-2</v>
      </c>
      <c r="E298" s="29">
        <v>-0.16492864486695902</v>
      </c>
      <c r="F298" s="29">
        <v>0.16492864486695902</v>
      </c>
      <c r="G298" s="29">
        <v>0.23709005747856093</v>
      </c>
      <c r="H298" s="29">
        <v>8.0064076902543566E-2</v>
      </c>
      <c r="I298" s="29">
        <v>-0.15692270718443055</v>
      </c>
      <c r="J298" s="29">
        <v>0.15692270718443055</v>
      </c>
    </row>
    <row r="299" spans="2:10" x14ac:dyDescent="0.2">
      <c r="B299" s="33">
        <v>10</v>
      </c>
      <c r="C299" s="29">
        <v>-4.2618672233071822E-2</v>
      </c>
      <c r="D299" s="29">
        <v>8.8427904767794427E-2</v>
      </c>
      <c r="E299" s="29">
        <v>-0.17331550857321476</v>
      </c>
      <c r="F299" s="29">
        <v>0.17331550857321476</v>
      </c>
      <c r="G299" s="29">
        <v>-3.9037816146359906E-2</v>
      </c>
      <c r="H299" s="29">
        <v>8.0064076902543566E-2</v>
      </c>
      <c r="I299" s="29">
        <v>-0.15692270718443055</v>
      </c>
      <c r="J299" s="29">
        <v>0.15692270718443055</v>
      </c>
    </row>
    <row r="300" spans="2:10" x14ac:dyDescent="0.2">
      <c r="B300" s="33">
        <v>11</v>
      </c>
      <c r="C300" s="29">
        <v>-0.1213717158136364</v>
      </c>
      <c r="D300" s="29">
        <v>8.8559476600542253E-2</v>
      </c>
      <c r="E300" s="29">
        <v>-0.17357338462678043</v>
      </c>
      <c r="F300" s="29">
        <v>0.17357338462678043</v>
      </c>
      <c r="G300" s="29">
        <v>-0.12602885141724599</v>
      </c>
      <c r="H300" s="29">
        <v>8.0064076902543566E-2</v>
      </c>
      <c r="I300" s="29">
        <v>-0.15692270718443055</v>
      </c>
      <c r="J300" s="29">
        <v>0.15692270718443055</v>
      </c>
    </row>
    <row r="301" spans="2:10" x14ac:dyDescent="0.2">
      <c r="B301" s="33">
        <v>12</v>
      </c>
      <c r="C301" s="29">
        <v>-5.0025474827872923E-2</v>
      </c>
      <c r="D301" s="29">
        <v>8.9619423494859879E-2</v>
      </c>
      <c r="E301" s="29">
        <v>-0.17565084236516806</v>
      </c>
      <c r="F301" s="29">
        <v>0.17565084236516806</v>
      </c>
      <c r="G301" s="29">
        <v>-1.6366805463871235E-2</v>
      </c>
      <c r="H301" s="29">
        <v>8.0064076902543566E-2</v>
      </c>
      <c r="I301" s="29">
        <v>-0.15692270718443055</v>
      </c>
      <c r="J301" s="29">
        <v>0.15692270718443055</v>
      </c>
    </row>
    <row r="302" spans="2:10" x14ac:dyDescent="0.2">
      <c r="B302" s="33">
        <v>13</v>
      </c>
      <c r="C302" s="29">
        <v>-9.4827115378543728E-2</v>
      </c>
      <c r="D302" s="29">
        <v>8.9798246185313388E-2</v>
      </c>
      <c r="E302" s="29">
        <v>-0.1760013283980755</v>
      </c>
      <c r="F302" s="29">
        <v>0.1760013283980755</v>
      </c>
      <c r="G302" s="29">
        <v>-6.7664242475023437E-2</v>
      </c>
      <c r="H302" s="29">
        <v>8.0064076902543566E-2</v>
      </c>
      <c r="I302" s="29">
        <v>-0.15692270718443055</v>
      </c>
      <c r="J302" s="29">
        <v>0.15692270718443055</v>
      </c>
    </row>
    <row r="303" spans="2:10" x14ac:dyDescent="0.2">
      <c r="B303" s="33">
        <v>14</v>
      </c>
      <c r="C303" s="29">
        <v>3.7449307902721718E-2</v>
      </c>
      <c r="D303" s="29">
        <v>9.0437875915739291E-2</v>
      </c>
      <c r="E303" s="29">
        <v>-0.17725497963315132</v>
      </c>
      <c r="F303" s="29">
        <v>0.17725497963315132</v>
      </c>
      <c r="G303" s="29">
        <v>2.5526459270538527E-2</v>
      </c>
      <c r="H303" s="29">
        <v>8.0064076902543566E-2</v>
      </c>
      <c r="I303" s="29">
        <v>-0.15692270718443055</v>
      </c>
      <c r="J303" s="29">
        <v>0.15692270718443055</v>
      </c>
    </row>
    <row r="304" spans="2:10" x14ac:dyDescent="0.2">
      <c r="B304" s="33">
        <v>15</v>
      </c>
      <c r="C304" s="29">
        <v>1.4087946632609007E-2</v>
      </c>
      <c r="D304" s="29">
        <v>9.0537227353437333E-2</v>
      </c>
      <c r="E304" s="29">
        <v>-0.17744970487285175</v>
      </c>
      <c r="F304" s="29">
        <v>0.17744970487285175</v>
      </c>
      <c r="G304" s="29">
        <v>4.105223351641224E-2</v>
      </c>
      <c r="H304" s="29">
        <v>8.0064076902543566E-2</v>
      </c>
      <c r="I304" s="29">
        <v>-0.15692270718443055</v>
      </c>
      <c r="J304" s="29">
        <v>0.15692270718443055</v>
      </c>
    </row>
    <row r="305" spans="2:10" x14ac:dyDescent="0.2">
      <c r="B305" s="33">
        <v>16</v>
      </c>
      <c r="C305" s="29">
        <v>-2.4127121990495715E-3</v>
      </c>
      <c r="D305" s="29">
        <v>9.0551278439945593E-2</v>
      </c>
      <c r="E305" s="29">
        <v>-0.1774772444963516</v>
      </c>
      <c r="F305" s="29">
        <v>0.1774772444963516</v>
      </c>
      <c r="G305" s="29">
        <v>3.2994179947313492E-3</v>
      </c>
      <c r="H305" s="29">
        <v>8.0064076902543566E-2</v>
      </c>
      <c r="I305" s="29">
        <v>-0.15692270718443055</v>
      </c>
      <c r="J305" s="29">
        <v>0.15692270718443055</v>
      </c>
    </row>
    <row r="306" spans="2:10" x14ac:dyDescent="0.2">
      <c r="B306" s="33">
        <v>17</v>
      </c>
      <c r="C306" s="29">
        <v>8.1952350008673361E-2</v>
      </c>
      <c r="D306" s="29">
        <v>9.0551690528798912E-2</v>
      </c>
      <c r="E306" s="29">
        <v>-0.17747805217566254</v>
      </c>
      <c r="F306" s="29">
        <v>0.17747805217566254</v>
      </c>
      <c r="G306" s="29">
        <v>-2.6566166609361511E-2</v>
      </c>
      <c r="H306" s="29">
        <v>8.0064076902543566E-2</v>
      </c>
      <c r="I306" s="29">
        <v>-0.15692270718443055</v>
      </c>
      <c r="J306" s="29">
        <v>0.15692270718443055</v>
      </c>
    </row>
    <row r="307" spans="2:10" x14ac:dyDescent="0.2">
      <c r="B307" s="33">
        <v>18</v>
      </c>
      <c r="C307" s="29">
        <v>-3.7941550967111408E-3</v>
      </c>
      <c r="D307" s="29">
        <v>9.1025895369265655E-2</v>
      </c>
      <c r="E307" s="29">
        <v>-0.17840747658427192</v>
      </c>
      <c r="F307" s="29">
        <v>0.17840747658427192</v>
      </c>
      <c r="G307" s="29">
        <v>-7.3792023996541264E-2</v>
      </c>
      <c r="H307" s="29">
        <v>8.0064076902543566E-2</v>
      </c>
      <c r="I307" s="29">
        <v>-0.15692270718443055</v>
      </c>
      <c r="J307" s="29">
        <v>0.15692270718443055</v>
      </c>
    </row>
    <row r="308" spans="2:10" x14ac:dyDescent="0.2">
      <c r="B308" s="33">
        <v>19</v>
      </c>
      <c r="C308" s="29">
        <v>-0.23478810886587537</v>
      </c>
      <c r="D308" s="29">
        <v>9.1026909136343939E-2</v>
      </c>
      <c r="E308" s="29">
        <v>-0.17840946353123407</v>
      </c>
      <c r="F308" s="29">
        <v>0.17840946353123407</v>
      </c>
      <c r="G308" s="29">
        <v>-0.2101754798252867</v>
      </c>
      <c r="H308" s="29">
        <v>8.0064076902543566E-2</v>
      </c>
      <c r="I308" s="29">
        <v>-0.15692270718443055</v>
      </c>
      <c r="J308" s="29">
        <v>0.15692270718443055</v>
      </c>
    </row>
    <row r="309" spans="2:10" x14ac:dyDescent="0.2">
      <c r="B309" s="33">
        <v>20</v>
      </c>
      <c r="C309" s="29">
        <v>-2.7467520860935554E-2</v>
      </c>
      <c r="D309" s="29">
        <v>9.4829503864207687E-2</v>
      </c>
      <c r="E309" s="29">
        <v>-0.18586241224564889</v>
      </c>
      <c r="F309" s="29">
        <v>0.18586241224564889</v>
      </c>
      <c r="G309" s="29">
        <v>1.4338452549339124E-2</v>
      </c>
      <c r="H309" s="29">
        <v>8.0064076902543566E-2</v>
      </c>
      <c r="I309" s="29">
        <v>-0.15692270718443055</v>
      </c>
      <c r="J309" s="29">
        <v>0.15692270718443055</v>
      </c>
    </row>
    <row r="310" spans="2:10" x14ac:dyDescent="0.2">
      <c r="B310" s="33">
        <v>21</v>
      </c>
      <c r="C310" s="29">
        <v>-5.5146106335286174E-2</v>
      </c>
      <c r="D310" s="29">
        <v>9.4880490236505161E-2</v>
      </c>
      <c r="E310" s="29">
        <v>-0.18596234369905429</v>
      </c>
      <c r="F310" s="29">
        <v>0.18596234369905429</v>
      </c>
      <c r="G310" s="29">
        <v>-7.6870991786876048E-3</v>
      </c>
      <c r="H310" s="29">
        <v>8.0064076902543566E-2</v>
      </c>
      <c r="I310" s="29">
        <v>-0.15692270718443055</v>
      </c>
      <c r="J310" s="29">
        <v>0.15692270718443055</v>
      </c>
    </row>
    <row r="311" spans="2:10" ht="16" thickBot="1" x14ac:dyDescent="0.25">
      <c r="B311" s="34">
        <v>22</v>
      </c>
      <c r="C311" s="30">
        <v>-0.13404712533227495</v>
      </c>
      <c r="D311" s="30">
        <v>9.5085728686684565E-2</v>
      </c>
      <c r="E311" s="30">
        <v>-0.18636460366964874</v>
      </c>
      <c r="F311" s="30">
        <v>0.18636460366964874</v>
      </c>
      <c r="G311" s="30">
        <v>-0.15604177427883467</v>
      </c>
      <c r="H311" s="30">
        <v>8.0064076902543566E-2</v>
      </c>
      <c r="I311" s="30">
        <v>-0.15692270718443055</v>
      </c>
      <c r="J311" s="30">
        <v>0.15692270718443055</v>
      </c>
    </row>
    <row r="330" spans="7:7" x14ac:dyDescent="0.2">
      <c r="G330" t="s">
        <v>229</v>
      </c>
    </row>
  </sheetData>
  <pageMargins left="0.7" right="0.7" top="0.75" bottom="0.75" header="0.3" footer="0.3"/>
  <ignoredErrors>
    <ignoredError sqref="A1"/>
  </ignoredErrors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43E6E-F7A8-4890-9F80-C07DECF87CB7}">
  <sheetPr>
    <tabColor rgb="FF007800"/>
  </sheetPr>
  <dimension ref="B1:J45"/>
  <sheetViews>
    <sheetView zoomScaleNormal="100" workbookViewId="0">
      <selection activeCell="N16" sqref="N16"/>
    </sheetView>
  </sheetViews>
  <sheetFormatPr baseColWidth="10" defaultColWidth="8.83203125" defaultRowHeight="15" x14ac:dyDescent="0.2"/>
  <cols>
    <col min="1" max="1" width="5" customWidth="1"/>
    <col min="2" max="2" width="9.1640625" customWidth="1"/>
  </cols>
  <sheetData>
    <row r="1" spans="2:9" x14ac:dyDescent="0.2">
      <c r="B1" t="s">
        <v>230</v>
      </c>
    </row>
    <row r="2" spans="2:9" x14ac:dyDescent="0.2">
      <c r="B2" t="s">
        <v>207</v>
      </c>
    </row>
    <row r="3" spans="2:9" x14ac:dyDescent="0.2">
      <c r="B3" t="s">
        <v>208</v>
      </c>
    </row>
    <row r="4" spans="2:9" x14ac:dyDescent="0.2">
      <c r="B4" t="s">
        <v>209</v>
      </c>
    </row>
    <row r="5" spans="2:9" ht="34.25" customHeight="1" x14ac:dyDescent="0.2"/>
    <row r="9" spans="2:9" x14ac:dyDescent="0.2">
      <c r="B9" t="s">
        <v>210</v>
      </c>
    </row>
    <row r="10" spans="2:9" ht="16" thickBot="1" x14ac:dyDescent="0.25"/>
    <row r="11" spans="2:9" x14ac:dyDescent="0.2">
      <c r="B11" s="15" t="s">
        <v>211</v>
      </c>
      <c r="C11" s="16" t="s">
        <v>212</v>
      </c>
      <c r="D11" s="16" t="s">
        <v>213</v>
      </c>
      <c r="E11" s="16" t="s">
        <v>214</v>
      </c>
      <c r="F11" s="16" t="s">
        <v>215</v>
      </c>
      <c r="G11" s="16" t="s">
        <v>216</v>
      </c>
      <c r="H11" s="16" t="s">
        <v>217</v>
      </c>
      <c r="I11" s="16" t="s">
        <v>218</v>
      </c>
    </row>
    <row r="12" spans="2:9" ht="16" thickBot="1" x14ac:dyDescent="0.25">
      <c r="B12" s="18" t="s">
        <v>2</v>
      </c>
      <c r="C12" s="19">
        <v>156</v>
      </c>
      <c r="D12" s="19">
        <v>0</v>
      </c>
      <c r="E12" s="19">
        <v>156</v>
      </c>
      <c r="F12" s="20">
        <v>1022.1</v>
      </c>
      <c r="G12" s="20">
        <v>1644.4</v>
      </c>
      <c r="H12" s="20">
        <v>1319.9128205128213</v>
      </c>
      <c r="I12" s="20">
        <v>135.59524766529492</v>
      </c>
    </row>
    <row r="15" spans="2:9" x14ac:dyDescent="0.2">
      <c r="B15" t="s">
        <v>219</v>
      </c>
    </row>
    <row r="16" spans="2:9" ht="16" thickBot="1" x14ac:dyDescent="0.25"/>
    <row r="17" spans="2:10" x14ac:dyDescent="0.2">
      <c r="B17" s="21" t="s">
        <v>220</v>
      </c>
      <c r="C17" s="23">
        <v>-6.0821438528425285</v>
      </c>
    </row>
    <row r="18" spans="2:10" x14ac:dyDescent="0.2">
      <c r="B18" s="14" t="s">
        <v>221</v>
      </c>
      <c r="C18" s="24">
        <v>-3.4205492831050286</v>
      </c>
    </row>
    <row r="19" spans="2:10" x14ac:dyDescent="0.2">
      <c r="B19" s="14" t="s">
        <v>222</v>
      </c>
      <c r="C19" s="24" t="s">
        <v>224</v>
      </c>
    </row>
    <row r="20" spans="2:10" ht="16" thickBot="1" x14ac:dyDescent="0.25">
      <c r="B20" s="22" t="s">
        <v>223</v>
      </c>
      <c r="C20" s="25">
        <v>0.05</v>
      </c>
    </row>
    <row r="22" spans="2:10" x14ac:dyDescent="0.2">
      <c r="B22" s="26" t="s">
        <v>225</v>
      </c>
    </row>
    <row r="23" spans="2:10" x14ac:dyDescent="0.2">
      <c r="B23" s="26" t="s">
        <v>226</v>
      </c>
    </row>
    <row r="24" spans="2:10" x14ac:dyDescent="0.2">
      <c r="B24" s="26" t="s">
        <v>227</v>
      </c>
    </row>
    <row r="25" spans="2:10" ht="15" customHeight="1" x14ac:dyDescent="0.2">
      <c r="B25" s="35" t="s">
        <v>228</v>
      </c>
      <c r="C25" s="35"/>
      <c r="D25" s="35"/>
      <c r="E25" s="35"/>
      <c r="F25" s="35"/>
      <c r="G25" s="35"/>
      <c r="H25" s="35"/>
      <c r="I25" s="35"/>
      <c r="J25" s="35"/>
    </row>
    <row r="26" spans="2:10" x14ac:dyDescent="0.2">
      <c r="B26" s="35"/>
      <c r="C26" s="35"/>
      <c r="D26" s="35"/>
      <c r="E26" s="35"/>
      <c r="F26" s="35"/>
      <c r="G26" s="35"/>
      <c r="H26" s="35"/>
      <c r="I26" s="35"/>
      <c r="J26" s="35"/>
    </row>
    <row r="45" spans="7:7" x14ac:dyDescent="0.2">
      <c r="G45" t="s">
        <v>229</v>
      </c>
    </row>
  </sheetData>
  <mergeCells count="1">
    <mergeCell ref="B25:J26"/>
  </mergeCells>
  <pageMargins left="0.7" right="0.7" top="0.75" bottom="0.75" header="0.3" footer="0.3"/>
  <ignoredErrors>
    <ignoredError sqref="A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Exponential smoothing</vt:lpstr>
      <vt:lpstr>Holt' Winters </vt:lpstr>
      <vt:lpstr>Decomposition</vt:lpstr>
      <vt:lpstr>Dickey-Fuller_HID</vt:lpstr>
      <vt:lpstr>ARIMA</vt:lpstr>
      <vt:lpstr>Dickey-Fuller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2018-10-15T14:24:44Z</dcterms:modified>
</cp:coreProperties>
</file>