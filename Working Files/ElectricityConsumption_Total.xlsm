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/>
  <workbookPr filterPrivacy="1" codeName="ThisWorkbook"/>
  <xr:revisionPtr revIDLastSave="0" documentId="13_ncr:1_{E5F9C21B-17D3-024C-9079-88FD9DF4D1B6}" xr6:coauthVersionLast="37" xr6:coauthVersionMax="37" xr10:uidLastSave="{00000000-0000-0000-0000-000000000000}"/>
  <bookViews>
    <workbookView xWindow="0" yWindow="460" windowWidth="18440" windowHeight="15600" activeTab="1" xr2:uid="{00000000-000D-0000-FFFF-FFFF00000000}"/>
  </bookViews>
  <sheets>
    <sheet name="Data" sheetId="1" r:id="rId1"/>
    <sheet name="Decomp-Regression" sheetId="28" r:id="rId2"/>
    <sheet name="Decomposition" sheetId="3" r:id="rId3"/>
    <sheet name="Simple Exponential Smoothing" sheetId="6" r:id="rId4"/>
    <sheet name="Holt-Winters" sheetId="16" r:id="rId5"/>
    <sheet name="ARIMA" sheetId="26" r:id="rId6"/>
    <sheet name="Descriptive analysis" sheetId="25" r:id="rId7"/>
  </sheets>
  <externalReferences>
    <externalReference r:id="rId8"/>
  </externalReferences>
  <definedNames>
    <definedName name="_xlnm._FilterDatabase" localSheetId="2" hidden="1">Decomposition!$C$1:$C$157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6" i="28" l="1"/>
  <c r="I27" i="28"/>
  <c r="I28" i="28"/>
  <c r="I29" i="28"/>
  <c r="I30" i="28"/>
  <c r="I31" i="28"/>
  <c r="I32" i="28"/>
  <c r="I33" i="28"/>
  <c r="I34" i="28"/>
  <c r="I35" i="28"/>
  <c r="I36" i="28"/>
  <c r="I37" i="28"/>
  <c r="I38" i="28"/>
  <c r="I39" i="28"/>
  <c r="I40" i="28"/>
  <c r="I41" i="28"/>
  <c r="I42" i="28"/>
  <c r="I43" i="28"/>
  <c r="I44" i="28"/>
  <c r="I45" i="28"/>
  <c r="I46" i="28"/>
  <c r="I47" i="28"/>
  <c r="I48" i="28"/>
  <c r="I49" i="28"/>
  <c r="I50" i="28"/>
  <c r="I51" i="28"/>
  <c r="I52" i="28"/>
  <c r="I53" i="28"/>
  <c r="I54" i="28"/>
  <c r="I55" i="28"/>
  <c r="I56" i="28"/>
  <c r="I57" i="28"/>
  <c r="I58" i="28"/>
  <c r="I59" i="28"/>
  <c r="I60" i="28"/>
  <c r="I61" i="28"/>
  <c r="I62" i="28"/>
  <c r="I63" i="28"/>
  <c r="I64" i="28"/>
  <c r="I65" i="28"/>
  <c r="I66" i="28"/>
  <c r="I67" i="28"/>
  <c r="I68" i="28"/>
  <c r="I69" i="28"/>
  <c r="I70" i="28"/>
  <c r="I71" i="28"/>
  <c r="I72" i="28"/>
  <c r="I73" i="28"/>
  <c r="I74" i="28"/>
  <c r="I75" i="28"/>
  <c r="I76" i="28"/>
  <c r="I77" i="28"/>
  <c r="I78" i="28"/>
  <c r="I79" i="28"/>
  <c r="I80" i="28"/>
  <c r="I81" i="28"/>
  <c r="I82" i="28"/>
  <c r="I83" i="28"/>
  <c r="I84" i="28"/>
  <c r="I85" i="28"/>
  <c r="I86" i="28"/>
  <c r="I87" i="28"/>
  <c r="I88" i="28"/>
  <c r="I89" i="28"/>
  <c r="I90" i="28"/>
  <c r="I91" i="28"/>
  <c r="I92" i="28"/>
  <c r="I93" i="28"/>
  <c r="I94" i="28"/>
  <c r="I95" i="28"/>
  <c r="I96" i="28"/>
  <c r="I97" i="28"/>
  <c r="I98" i="28"/>
  <c r="I99" i="28"/>
  <c r="I100" i="28"/>
  <c r="I101" i="28"/>
  <c r="I102" i="28"/>
  <c r="I103" i="28"/>
  <c r="I104" i="28"/>
  <c r="I105" i="28"/>
  <c r="I106" i="28"/>
  <c r="I107" i="28"/>
  <c r="I108" i="28"/>
  <c r="I109" i="28"/>
  <c r="I110" i="28"/>
  <c r="I111" i="28"/>
  <c r="I112" i="28"/>
  <c r="I113" i="28"/>
  <c r="I114" i="28"/>
  <c r="I115" i="28"/>
  <c r="I116" i="28"/>
  <c r="I117" i="28"/>
  <c r="I118" i="28"/>
  <c r="I119" i="28"/>
  <c r="I120" i="28"/>
  <c r="I121" i="28"/>
  <c r="I122" i="28"/>
  <c r="I123" i="28"/>
  <c r="I124" i="28"/>
  <c r="I125" i="28"/>
  <c r="I126" i="28"/>
  <c r="I127" i="28"/>
  <c r="I128" i="28"/>
  <c r="I129" i="28"/>
  <c r="I130" i="28"/>
  <c r="I131" i="28"/>
  <c r="I132" i="28"/>
  <c r="I133" i="28"/>
  <c r="I134" i="28"/>
  <c r="I135" i="28"/>
  <c r="I136" i="28"/>
  <c r="I137" i="28"/>
  <c r="I138" i="28"/>
  <c r="I139" i="28"/>
  <c r="I140" i="28"/>
  <c r="I141" i="28"/>
  <c r="I142" i="28"/>
  <c r="I143" i="28"/>
  <c r="I144" i="28"/>
  <c r="I145" i="28"/>
  <c r="I146" i="28"/>
  <c r="I147" i="28"/>
  <c r="I148" i="28"/>
  <c r="I149" i="28"/>
  <c r="I150" i="28"/>
  <c r="I151" i="28"/>
  <c r="I152" i="28"/>
  <c r="I153" i="28"/>
  <c r="I154" i="28"/>
  <c r="I155" i="28"/>
  <c r="I156" i="28"/>
  <c r="I157" i="28"/>
  <c r="I158" i="28"/>
  <c r="I159" i="28"/>
  <c r="I160" i="28"/>
  <c r="I161" i="28"/>
  <c r="I162" i="28"/>
  <c r="I163" i="28"/>
  <c r="I164" i="28"/>
  <c r="I165" i="28"/>
  <c r="I166" i="28"/>
  <c r="I167" i="28"/>
  <c r="I168" i="28"/>
  <c r="I169" i="28"/>
  <c r="I170" i="28"/>
  <c r="I171" i="28"/>
  <c r="I172" i="28"/>
  <c r="I173" i="28"/>
  <c r="I174" i="28"/>
  <c r="I175" i="28"/>
  <c r="I176" i="28"/>
  <c r="I177" i="28"/>
  <c r="I178" i="28"/>
  <c r="I179" i="28"/>
  <c r="I180" i="28"/>
  <c r="I25" i="28"/>
  <c r="J25" i="28" s="1"/>
  <c r="M5" i="3"/>
  <c r="M9" i="3"/>
  <c r="M13" i="3"/>
  <c r="M17" i="3"/>
  <c r="M21" i="3"/>
  <c r="M25" i="3"/>
  <c r="M29" i="3"/>
  <c r="M33" i="3"/>
  <c r="M37" i="3"/>
  <c r="M41" i="3"/>
  <c r="M45" i="3"/>
  <c r="M49" i="3"/>
  <c r="M53" i="3"/>
  <c r="M57" i="3"/>
  <c r="M61" i="3"/>
  <c r="M65" i="3"/>
  <c r="M69" i="3"/>
  <c r="M73" i="3"/>
  <c r="M77" i="3"/>
  <c r="M81" i="3"/>
  <c r="M85" i="3"/>
  <c r="M89" i="3"/>
  <c r="M93" i="3"/>
  <c r="M97" i="3"/>
  <c r="M101" i="3"/>
  <c r="M105" i="3"/>
  <c r="M109" i="3"/>
  <c r="M113" i="3"/>
  <c r="M117" i="3"/>
  <c r="M121" i="3"/>
  <c r="M125" i="3"/>
  <c r="M129" i="3"/>
  <c r="M133" i="3"/>
  <c r="M137" i="3"/>
  <c r="M141" i="3"/>
  <c r="M145" i="3"/>
  <c r="M149" i="3"/>
  <c r="M153" i="3"/>
  <c r="M157" i="3"/>
  <c r="L2" i="3"/>
  <c r="M2" i="3" s="1"/>
  <c r="L3" i="3"/>
  <c r="M3" i="3" s="1"/>
  <c r="L4" i="3"/>
  <c r="M4" i="3" s="1"/>
  <c r="L5" i="3"/>
  <c r="L6" i="3"/>
  <c r="M6" i="3" s="1"/>
  <c r="L7" i="3"/>
  <c r="M7" i="3" s="1"/>
  <c r="L8" i="3"/>
  <c r="M8" i="3" s="1"/>
  <c r="L9" i="3"/>
  <c r="L10" i="3"/>
  <c r="M10" i="3" s="1"/>
  <c r="L11" i="3"/>
  <c r="M11" i="3" s="1"/>
  <c r="L12" i="3"/>
  <c r="M12" i="3" s="1"/>
  <c r="L13" i="3"/>
  <c r="L14" i="3"/>
  <c r="M14" i="3" s="1"/>
  <c r="L15" i="3"/>
  <c r="M15" i="3" s="1"/>
  <c r="L16" i="3"/>
  <c r="M16" i="3" s="1"/>
  <c r="L17" i="3"/>
  <c r="L18" i="3"/>
  <c r="M18" i="3" s="1"/>
  <c r="L19" i="3"/>
  <c r="M19" i="3" s="1"/>
  <c r="L20" i="3"/>
  <c r="M20" i="3" s="1"/>
  <c r="L21" i="3"/>
  <c r="L22" i="3"/>
  <c r="M22" i="3" s="1"/>
  <c r="L23" i="3"/>
  <c r="M23" i="3" s="1"/>
  <c r="L24" i="3"/>
  <c r="M24" i="3" s="1"/>
  <c r="L25" i="3"/>
  <c r="L26" i="3"/>
  <c r="M26" i="3" s="1"/>
  <c r="L27" i="3"/>
  <c r="M27" i="3" s="1"/>
  <c r="L28" i="3"/>
  <c r="M28" i="3" s="1"/>
  <c r="L29" i="3"/>
  <c r="L30" i="3"/>
  <c r="M30" i="3" s="1"/>
  <c r="L31" i="3"/>
  <c r="M31" i="3" s="1"/>
  <c r="L32" i="3"/>
  <c r="M32" i="3" s="1"/>
  <c r="L33" i="3"/>
  <c r="L34" i="3"/>
  <c r="M34" i="3" s="1"/>
  <c r="L35" i="3"/>
  <c r="M35" i="3" s="1"/>
  <c r="L36" i="3"/>
  <c r="M36" i="3" s="1"/>
  <c r="L37" i="3"/>
  <c r="L38" i="3"/>
  <c r="M38" i="3" s="1"/>
  <c r="L39" i="3"/>
  <c r="M39" i="3" s="1"/>
  <c r="L40" i="3"/>
  <c r="M40" i="3" s="1"/>
  <c r="L41" i="3"/>
  <c r="L42" i="3"/>
  <c r="M42" i="3" s="1"/>
  <c r="L43" i="3"/>
  <c r="M43" i="3" s="1"/>
  <c r="L44" i="3"/>
  <c r="M44" i="3" s="1"/>
  <c r="L45" i="3"/>
  <c r="L46" i="3"/>
  <c r="M46" i="3" s="1"/>
  <c r="L47" i="3"/>
  <c r="M47" i="3" s="1"/>
  <c r="L48" i="3"/>
  <c r="M48" i="3" s="1"/>
  <c r="L49" i="3"/>
  <c r="L50" i="3"/>
  <c r="M50" i="3" s="1"/>
  <c r="L51" i="3"/>
  <c r="M51" i="3" s="1"/>
  <c r="L52" i="3"/>
  <c r="M52" i="3" s="1"/>
  <c r="L53" i="3"/>
  <c r="L54" i="3"/>
  <c r="M54" i="3" s="1"/>
  <c r="L55" i="3"/>
  <c r="M55" i="3" s="1"/>
  <c r="L56" i="3"/>
  <c r="M56" i="3" s="1"/>
  <c r="L57" i="3"/>
  <c r="L58" i="3"/>
  <c r="M58" i="3" s="1"/>
  <c r="L59" i="3"/>
  <c r="M59" i="3" s="1"/>
  <c r="L60" i="3"/>
  <c r="M60" i="3" s="1"/>
  <c r="L61" i="3"/>
  <c r="L62" i="3"/>
  <c r="M62" i="3" s="1"/>
  <c r="L63" i="3"/>
  <c r="M63" i="3" s="1"/>
  <c r="L64" i="3"/>
  <c r="M64" i="3" s="1"/>
  <c r="L65" i="3"/>
  <c r="L66" i="3"/>
  <c r="M66" i="3" s="1"/>
  <c r="L67" i="3"/>
  <c r="M67" i="3" s="1"/>
  <c r="L68" i="3"/>
  <c r="M68" i="3" s="1"/>
  <c r="L69" i="3"/>
  <c r="L70" i="3"/>
  <c r="M70" i="3" s="1"/>
  <c r="L71" i="3"/>
  <c r="M71" i="3" s="1"/>
  <c r="L72" i="3"/>
  <c r="M72" i="3" s="1"/>
  <c r="L73" i="3"/>
  <c r="L74" i="3"/>
  <c r="M74" i="3" s="1"/>
  <c r="L75" i="3"/>
  <c r="M75" i="3" s="1"/>
  <c r="L76" i="3"/>
  <c r="M76" i="3" s="1"/>
  <c r="L77" i="3"/>
  <c r="L78" i="3"/>
  <c r="M78" i="3" s="1"/>
  <c r="L79" i="3"/>
  <c r="M79" i="3" s="1"/>
  <c r="L80" i="3"/>
  <c r="M80" i="3" s="1"/>
  <c r="L81" i="3"/>
  <c r="L82" i="3"/>
  <c r="M82" i="3" s="1"/>
  <c r="L83" i="3"/>
  <c r="M83" i="3" s="1"/>
  <c r="L84" i="3"/>
  <c r="M84" i="3" s="1"/>
  <c r="L85" i="3"/>
  <c r="L86" i="3"/>
  <c r="M86" i="3" s="1"/>
  <c r="L87" i="3"/>
  <c r="M87" i="3" s="1"/>
  <c r="L88" i="3"/>
  <c r="M88" i="3" s="1"/>
  <c r="L89" i="3"/>
  <c r="L90" i="3"/>
  <c r="M90" i="3" s="1"/>
  <c r="L91" i="3"/>
  <c r="M91" i="3" s="1"/>
  <c r="L92" i="3"/>
  <c r="M92" i="3" s="1"/>
  <c r="L93" i="3"/>
  <c r="L94" i="3"/>
  <c r="M94" i="3" s="1"/>
  <c r="L95" i="3"/>
  <c r="M95" i="3" s="1"/>
  <c r="L96" i="3"/>
  <c r="M96" i="3" s="1"/>
  <c r="L97" i="3"/>
  <c r="L98" i="3"/>
  <c r="M98" i="3" s="1"/>
  <c r="L99" i="3"/>
  <c r="M99" i="3" s="1"/>
  <c r="L100" i="3"/>
  <c r="M100" i="3" s="1"/>
  <c r="L101" i="3"/>
  <c r="L102" i="3"/>
  <c r="M102" i="3" s="1"/>
  <c r="L103" i="3"/>
  <c r="M103" i="3" s="1"/>
  <c r="L104" i="3"/>
  <c r="M104" i="3" s="1"/>
  <c r="L105" i="3"/>
  <c r="L106" i="3"/>
  <c r="M106" i="3" s="1"/>
  <c r="L107" i="3"/>
  <c r="M107" i="3" s="1"/>
  <c r="L108" i="3"/>
  <c r="M108" i="3" s="1"/>
  <c r="L109" i="3"/>
  <c r="L110" i="3"/>
  <c r="M110" i="3" s="1"/>
  <c r="L111" i="3"/>
  <c r="M111" i="3" s="1"/>
  <c r="L112" i="3"/>
  <c r="M112" i="3" s="1"/>
  <c r="L113" i="3"/>
  <c r="L114" i="3"/>
  <c r="M114" i="3" s="1"/>
  <c r="L115" i="3"/>
  <c r="M115" i="3" s="1"/>
  <c r="L116" i="3"/>
  <c r="M116" i="3" s="1"/>
  <c r="L117" i="3"/>
  <c r="L118" i="3"/>
  <c r="M118" i="3" s="1"/>
  <c r="L119" i="3"/>
  <c r="M119" i="3" s="1"/>
  <c r="L120" i="3"/>
  <c r="M120" i="3" s="1"/>
  <c r="L121" i="3"/>
  <c r="L122" i="3"/>
  <c r="M122" i="3" s="1"/>
  <c r="L123" i="3"/>
  <c r="M123" i="3" s="1"/>
  <c r="L124" i="3"/>
  <c r="M124" i="3" s="1"/>
  <c r="L125" i="3"/>
  <c r="L126" i="3"/>
  <c r="M126" i="3" s="1"/>
  <c r="L127" i="3"/>
  <c r="M127" i="3" s="1"/>
  <c r="L128" i="3"/>
  <c r="M128" i="3" s="1"/>
  <c r="L129" i="3"/>
  <c r="L130" i="3"/>
  <c r="M130" i="3" s="1"/>
  <c r="L131" i="3"/>
  <c r="M131" i="3" s="1"/>
  <c r="L132" i="3"/>
  <c r="M132" i="3" s="1"/>
  <c r="L133" i="3"/>
  <c r="L134" i="3"/>
  <c r="M134" i="3" s="1"/>
  <c r="L135" i="3"/>
  <c r="M135" i="3" s="1"/>
  <c r="L136" i="3"/>
  <c r="M136" i="3" s="1"/>
  <c r="L137" i="3"/>
  <c r="L138" i="3"/>
  <c r="M138" i="3" s="1"/>
  <c r="L139" i="3"/>
  <c r="M139" i="3" s="1"/>
  <c r="L140" i="3"/>
  <c r="M140" i="3" s="1"/>
  <c r="L141" i="3"/>
  <c r="L142" i="3"/>
  <c r="M142" i="3" s="1"/>
  <c r="L143" i="3"/>
  <c r="M143" i="3" s="1"/>
  <c r="L144" i="3"/>
  <c r="M144" i="3" s="1"/>
  <c r="L145" i="3"/>
  <c r="L146" i="3"/>
  <c r="M146" i="3" s="1"/>
  <c r="L147" i="3"/>
  <c r="M147" i="3" s="1"/>
  <c r="L148" i="3"/>
  <c r="M148" i="3" s="1"/>
  <c r="L149" i="3"/>
  <c r="L150" i="3"/>
  <c r="M150" i="3" s="1"/>
  <c r="L151" i="3"/>
  <c r="M151" i="3" s="1"/>
  <c r="L152" i="3"/>
  <c r="M152" i="3" s="1"/>
  <c r="L153" i="3"/>
  <c r="L154" i="3"/>
  <c r="M154" i="3" s="1"/>
  <c r="L155" i="3"/>
  <c r="M155" i="3" s="1"/>
  <c r="L156" i="3"/>
  <c r="M156" i="3" s="1"/>
  <c r="L157" i="3"/>
  <c r="F25" i="28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2" i="3"/>
  <c r="I49" i="16" l="1"/>
  <c r="AA7" i="3" l="1"/>
  <c r="AA6" i="3"/>
  <c r="AA5" i="3"/>
  <c r="AA4" i="3"/>
  <c r="AA3" i="3"/>
  <c r="AA2" i="3"/>
  <c r="AA13" i="3"/>
  <c r="AA12" i="3"/>
  <c r="AA11" i="3"/>
  <c r="AA10" i="3"/>
  <c r="AA9" i="3"/>
  <c r="AA8" i="3"/>
  <c r="M2" i="6" l="1"/>
  <c r="L3" i="6"/>
  <c r="L4" i="6" s="1"/>
  <c r="J2" i="6"/>
  <c r="I3" i="6"/>
  <c r="I4" i="6" s="1"/>
  <c r="D2" i="6"/>
  <c r="F3" i="6"/>
  <c r="C3" i="6"/>
  <c r="D3" i="6" s="1"/>
  <c r="J3" i="6" l="1"/>
  <c r="M3" i="6"/>
  <c r="G3" i="6"/>
  <c r="F4" i="6"/>
  <c r="C4" i="6"/>
  <c r="I5" i="6"/>
  <c r="J4" i="6"/>
  <c r="L5" i="6"/>
  <c r="M4" i="6"/>
  <c r="I6" i="6" l="1"/>
  <c r="J5" i="6"/>
  <c r="F5" i="6"/>
  <c r="G4" i="6"/>
  <c r="C5" i="6"/>
  <c r="D4" i="6"/>
  <c r="L6" i="6"/>
  <c r="M5" i="6"/>
  <c r="L7" i="6" l="1"/>
  <c r="M6" i="6"/>
  <c r="C6" i="6"/>
  <c r="D5" i="6"/>
  <c r="F6" i="6"/>
  <c r="G5" i="6"/>
  <c r="I7" i="6"/>
  <c r="J6" i="6"/>
  <c r="AE3" i="3"/>
  <c r="AE4" i="3"/>
  <c r="AE5" i="3"/>
  <c r="AE6" i="3"/>
  <c r="AE7" i="3"/>
  <c r="AE8" i="3"/>
  <c r="AE9" i="3"/>
  <c r="AE10" i="3"/>
  <c r="AE11" i="3"/>
  <c r="AE12" i="3"/>
  <c r="AE13" i="3"/>
  <c r="AE2" i="3"/>
  <c r="AE17" i="3" l="1"/>
  <c r="AF11" i="3" s="1"/>
  <c r="AE15" i="3"/>
  <c r="C7" i="6"/>
  <c r="D6" i="6"/>
  <c r="L8" i="6"/>
  <c r="M7" i="6"/>
  <c r="I8" i="6"/>
  <c r="J7" i="6"/>
  <c r="F7" i="6"/>
  <c r="G6" i="6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AF2" i="3" l="1"/>
  <c r="AF7" i="3"/>
  <c r="AF12" i="3"/>
  <c r="AF8" i="3"/>
  <c r="AF5" i="3"/>
  <c r="AF9" i="3"/>
  <c r="AF13" i="3"/>
  <c r="AF10" i="3"/>
  <c r="AF6" i="3"/>
  <c r="AF3" i="3"/>
  <c r="AF4" i="3"/>
  <c r="G150" i="3"/>
  <c r="H150" i="3" s="1"/>
  <c r="G142" i="3"/>
  <c r="H142" i="3" s="1"/>
  <c r="G134" i="3"/>
  <c r="H134" i="3" s="1"/>
  <c r="G126" i="3"/>
  <c r="H126" i="3" s="1"/>
  <c r="G118" i="3"/>
  <c r="H118" i="3" s="1"/>
  <c r="G110" i="3"/>
  <c r="H110" i="3" s="1"/>
  <c r="G102" i="3"/>
  <c r="H102" i="3" s="1"/>
  <c r="G94" i="3"/>
  <c r="H94" i="3" s="1"/>
  <c r="G86" i="3"/>
  <c r="H86" i="3" s="1"/>
  <c r="G78" i="3"/>
  <c r="H78" i="3" s="1"/>
  <c r="G70" i="3"/>
  <c r="H70" i="3" s="1"/>
  <c r="G62" i="3"/>
  <c r="H62" i="3" s="1"/>
  <c r="G54" i="3"/>
  <c r="H54" i="3" s="1"/>
  <c r="G46" i="3"/>
  <c r="H46" i="3" s="1"/>
  <c r="G38" i="3"/>
  <c r="H38" i="3" s="1"/>
  <c r="G30" i="3"/>
  <c r="H30" i="3" s="1"/>
  <c r="G22" i="3"/>
  <c r="H22" i="3" s="1"/>
  <c r="G14" i="3"/>
  <c r="H14" i="3" s="1"/>
  <c r="G135" i="3"/>
  <c r="H135" i="3" s="1"/>
  <c r="G112" i="3"/>
  <c r="H112" i="3" s="1"/>
  <c r="G80" i="3"/>
  <c r="H80" i="3" s="1"/>
  <c r="G24" i="3"/>
  <c r="H24" i="3" s="1"/>
  <c r="G103" i="3"/>
  <c r="H103" i="3" s="1"/>
  <c r="G71" i="3"/>
  <c r="H71" i="3" s="1"/>
  <c r="G144" i="3"/>
  <c r="H144" i="3" s="1"/>
  <c r="G96" i="3"/>
  <c r="H96" i="3" s="1"/>
  <c r="G72" i="3"/>
  <c r="H72" i="3" s="1"/>
  <c r="G40" i="3"/>
  <c r="H40" i="3" s="1"/>
  <c r="G136" i="3"/>
  <c r="H136" i="3" s="1"/>
  <c r="G88" i="3"/>
  <c r="H88" i="3" s="1"/>
  <c r="G16" i="3"/>
  <c r="H16" i="3" s="1"/>
  <c r="G128" i="3"/>
  <c r="H128" i="3" s="1"/>
  <c r="G56" i="3"/>
  <c r="H56" i="3" s="1"/>
  <c r="G8" i="3"/>
  <c r="H8" i="3" s="1"/>
  <c r="G104" i="3"/>
  <c r="H104" i="3" s="1"/>
  <c r="G64" i="3"/>
  <c r="H64" i="3" s="1"/>
  <c r="G32" i="3"/>
  <c r="H32" i="3" s="1"/>
  <c r="G120" i="3"/>
  <c r="H120" i="3" s="1"/>
  <c r="G48" i="3"/>
  <c r="H48" i="3" s="1"/>
  <c r="G151" i="3"/>
  <c r="H151" i="3" s="1"/>
  <c r="G143" i="3"/>
  <c r="H143" i="3" s="1"/>
  <c r="G127" i="3"/>
  <c r="H127" i="3" s="1"/>
  <c r="G119" i="3"/>
  <c r="H119" i="3" s="1"/>
  <c r="G111" i="3"/>
  <c r="H111" i="3" s="1"/>
  <c r="G95" i="3"/>
  <c r="H95" i="3" s="1"/>
  <c r="G87" i="3"/>
  <c r="H87" i="3" s="1"/>
  <c r="G79" i="3"/>
  <c r="H79" i="3" s="1"/>
  <c r="G63" i="3"/>
  <c r="H63" i="3" s="1"/>
  <c r="G55" i="3"/>
  <c r="H55" i="3" s="1"/>
  <c r="G47" i="3"/>
  <c r="H47" i="3" s="1"/>
  <c r="G31" i="3"/>
  <c r="H31" i="3" s="1"/>
  <c r="G23" i="3"/>
  <c r="H23" i="3" s="1"/>
  <c r="G15" i="3"/>
  <c r="H15" i="3" s="1"/>
  <c r="I9" i="6"/>
  <c r="J8" i="6"/>
  <c r="G148" i="3"/>
  <c r="H148" i="3" s="1"/>
  <c r="G140" i="3"/>
  <c r="H140" i="3" s="1"/>
  <c r="G132" i="3"/>
  <c r="H132" i="3" s="1"/>
  <c r="G124" i="3"/>
  <c r="H124" i="3" s="1"/>
  <c r="G116" i="3"/>
  <c r="H116" i="3" s="1"/>
  <c r="G108" i="3"/>
  <c r="H108" i="3" s="1"/>
  <c r="G100" i="3"/>
  <c r="H100" i="3" s="1"/>
  <c r="G92" i="3"/>
  <c r="H92" i="3" s="1"/>
  <c r="G84" i="3"/>
  <c r="H84" i="3" s="1"/>
  <c r="G76" i="3"/>
  <c r="H76" i="3" s="1"/>
  <c r="G68" i="3"/>
  <c r="H68" i="3" s="1"/>
  <c r="G60" i="3"/>
  <c r="H60" i="3" s="1"/>
  <c r="G52" i="3"/>
  <c r="H52" i="3" s="1"/>
  <c r="G44" i="3"/>
  <c r="H44" i="3" s="1"/>
  <c r="G36" i="3"/>
  <c r="H36" i="3" s="1"/>
  <c r="G28" i="3"/>
  <c r="H28" i="3" s="1"/>
  <c r="G20" i="3"/>
  <c r="H20" i="3" s="1"/>
  <c r="G12" i="3"/>
  <c r="H12" i="3" s="1"/>
  <c r="L9" i="6"/>
  <c r="M8" i="6"/>
  <c r="F8" i="6"/>
  <c r="G7" i="6"/>
  <c r="C8" i="6"/>
  <c r="D7" i="6"/>
  <c r="G39" i="3"/>
  <c r="H39" i="3" s="1"/>
  <c r="G131" i="3"/>
  <c r="H131" i="3" s="1"/>
  <c r="G83" i="3"/>
  <c r="H83" i="3" s="1"/>
  <c r="G35" i="3"/>
  <c r="H35" i="3" s="1"/>
  <c r="G146" i="3"/>
  <c r="H146" i="3" s="1"/>
  <c r="G149" i="3"/>
  <c r="H149" i="3" s="1"/>
  <c r="G141" i="3"/>
  <c r="H141" i="3" s="1"/>
  <c r="G133" i="3"/>
  <c r="H133" i="3" s="1"/>
  <c r="G125" i="3"/>
  <c r="H125" i="3" s="1"/>
  <c r="G117" i="3"/>
  <c r="H117" i="3" s="1"/>
  <c r="G109" i="3"/>
  <c r="H109" i="3" s="1"/>
  <c r="G101" i="3"/>
  <c r="H101" i="3" s="1"/>
  <c r="G93" i="3"/>
  <c r="H93" i="3" s="1"/>
  <c r="G85" i="3"/>
  <c r="H85" i="3" s="1"/>
  <c r="G77" i="3"/>
  <c r="H77" i="3" s="1"/>
  <c r="G69" i="3"/>
  <c r="H69" i="3" s="1"/>
  <c r="G61" i="3"/>
  <c r="H61" i="3" s="1"/>
  <c r="G53" i="3"/>
  <c r="H53" i="3" s="1"/>
  <c r="G45" i="3"/>
  <c r="H45" i="3" s="1"/>
  <c r="G37" i="3"/>
  <c r="H37" i="3" s="1"/>
  <c r="G29" i="3"/>
  <c r="H29" i="3" s="1"/>
  <c r="G21" i="3"/>
  <c r="H21" i="3" s="1"/>
  <c r="G13" i="3"/>
  <c r="H13" i="3" s="1"/>
  <c r="G147" i="3"/>
  <c r="H147" i="3" s="1"/>
  <c r="G115" i="3"/>
  <c r="H115" i="3" s="1"/>
  <c r="G67" i="3"/>
  <c r="H67" i="3" s="1"/>
  <c r="G19" i="3"/>
  <c r="H19" i="3" s="1"/>
  <c r="G138" i="3"/>
  <c r="H138" i="3" s="1"/>
  <c r="G114" i="3"/>
  <c r="H114" i="3" s="1"/>
  <c r="G98" i="3"/>
  <c r="H98" i="3" s="1"/>
  <c r="G82" i="3"/>
  <c r="H82" i="3" s="1"/>
  <c r="G74" i="3"/>
  <c r="H74" i="3" s="1"/>
  <c r="G66" i="3"/>
  <c r="H66" i="3" s="1"/>
  <c r="G58" i="3"/>
  <c r="H58" i="3" s="1"/>
  <c r="G50" i="3"/>
  <c r="H50" i="3" s="1"/>
  <c r="G42" i="3"/>
  <c r="H42" i="3" s="1"/>
  <c r="G34" i="3"/>
  <c r="H34" i="3" s="1"/>
  <c r="G26" i="3"/>
  <c r="H26" i="3" s="1"/>
  <c r="G18" i="3"/>
  <c r="H18" i="3" s="1"/>
  <c r="G10" i="3"/>
  <c r="H10" i="3" s="1"/>
  <c r="G139" i="3"/>
  <c r="H139" i="3" s="1"/>
  <c r="G91" i="3"/>
  <c r="H91" i="3" s="1"/>
  <c r="G59" i="3"/>
  <c r="H59" i="3" s="1"/>
  <c r="G11" i="3"/>
  <c r="H11" i="3" s="1"/>
  <c r="G130" i="3"/>
  <c r="H130" i="3" s="1"/>
  <c r="G90" i="3"/>
  <c r="H90" i="3" s="1"/>
  <c r="G145" i="3"/>
  <c r="H145" i="3" s="1"/>
  <c r="G137" i="3"/>
  <c r="H137" i="3" s="1"/>
  <c r="G129" i="3"/>
  <c r="H129" i="3" s="1"/>
  <c r="G121" i="3"/>
  <c r="H121" i="3" s="1"/>
  <c r="G113" i="3"/>
  <c r="H113" i="3" s="1"/>
  <c r="G105" i="3"/>
  <c r="H105" i="3" s="1"/>
  <c r="G97" i="3"/>
  <c r="H97" i="3" s="1"/>
  <c r="G89" i="3"/>
  <c r="H89" i="3" s="1"/>
  <c r="G81" i="3"/>
  <c r="H81" i="3" s="1"/>
  <c r="G73" i="3"/>
  <c r="H73" i="3" s="1"/>
  <c r="G65" i="3"/>
  <c r="H65" i="3" s="1"/>
  <c r="G57" i="3"/>
  <c r="H57" i="3" s="1"/>
  <c r="G49" i="3"/>
  <c r="H49" i="3" s="1"/>
  <c r="G41" i="3"/>
  <c r="H41" i="3" s="1"/>
  <c r="G33" i="3"/>
  <c r="H33" i="3" s="1"/>
  <c r="G25" i="3"/>
  <c r="H25" i="3" s="1"/>
  <c r="G17" i="3"/>
  <c r="H17" i="3" s="1"/>
  <c r="G9" i="3"/>
  <c r="H9" i="3" s="1"/>
  <c r="G99" i="3"/>
  <c r="H99" i="3" s="1"/>
  <c r="G51" i="3"/>
  <c r="H51" i="3" s="1"/>
  <c r="G106" i="3"/>
  <c r="H106" i="3" s="1"/>
  <c r="G107" i="3"/>
  <c r="H107" i="3" s="1"/>
  <c r="G27" i="3"/>
  <c r="H27" i="3" s="1"/>
  <c r="G122" i="3"/>
  <c r="H122" i="3" s="1"/>
  <c r="G123" i="3"/>
  <c r="H123" i="3" s="1"/>
  <c r="G75" i="3"/>
  <c r="H75" i="3" s="1"/>
  <c r="G43" i="3"/>
  <c r="H43" i="3" s="1"/>
  <c r="N9" i="3" l="1"/>
  <c r="N73" i="3"/>
  <c r="N137" i="3"/>
  <c r="N26" i="3"/>
  <c r="N90" i="3"/>
  <c r="N154" i="3"/>
  <c r="N43" i="3"/>
  <c r="N107" i="3"/>
  <c r="N80" i="3"/>
  <c r="N60" i="3"/>
  <c r="N124" i="3"/>
  <c r="N13" i="3"/>
  <c r="N77" i="3"/>
  <c r="N141" i="3"/>
  <c r="N22" i="3"/>
  <c r="N86" i="3"/>
  <c r="N150" i="3"/>
  <c r="N47" i="3"/>
  <c r="N111" i="3"/>
  <c r="N17" i="3"/>
  <c r="N81" i="3"/>
  <c r="N145" i="3"/>
  <c r="N34" i="3"/>
  <c r="N98" i="3"/>
  <c r="N48" i="3"/>
  <c r="N51" i="3"/>
  <c r="N115" i="3"/>
  <c r="N4" i="3"/>
  <c r="N68" i="3"/>
  <c r="N132" i="3"/>
  <c r="N21" i="3"/>
  <c r="N85" i="3"/>
  <c r="N149" i="3"/>
  <c r="N30" i="3"/>
  <c r="N94" i="3"/>
  <c r="N56" i="3"/>
  <c r="N55" i="3"/>
  <c r="N119" i="3"/>
  <c r="N16" i="3"/>
  <c r="N25" i="3"/>
  <c r="N89" i="3"/>
  <c r="N153" i="3"/>
  <c r="N42" i="3"/>
  <c r="N106" i="3"/>
  <c r="N120" i="3"/>
  <c r="N59" i="3"/>
  <c r="N123" i="3"/>
  <c r="N12" i="3"/>
  <c r="N76" i="3"/>
  <c r="N140" i="3"/>
  <c r="N29" i="3"/>
  <c r="N93" i="3"/>
  <c r="N157" i="3"/>
  <c r="P157" i="3" s="1"/>
  <c r="N38" i="3"/>
  <c r="N102" i="3"/>
  <c r="N152" i="3"/>
  <c r="N63" i="3"/>
  <c r="N127" i="3"/>
  <c r="N40" i="3"/>
  <c r="N33" i="3"/>
  <c r="N97" i="3"/>
  <c r="N32" i="3"/>
  <c r="N50" i="3"/>
  <c r="N114" i="3"/>
  <c r="N3" i="3"/>
  <c r="N67" i="3"/>
  <c r="N131" i="3"/>
  <c r="N20" i="3"/>
  <c r="N84" i="3"/>
  <c r="N148" i="3"/>
  <c r="N37" i="3"/>
  <c r="N101" i="3"/>
  <c r="N24" i="3"/>
  <c r="N46" i="3"/>
  <c r="N110" i="3"/>
  <c r="N7" i="3"/>
  <c r="N71" i="3"/>
  <c r="N135" i="3"/>
  <c r="N72" i="3"/>
  <c r="N41" i="3"/>
  <c r="N105" i="3"/>
  <c r="N96" i="3"/>
  <c r="N58" i="3"/>
  <c r="N122" i="3"/>
  <c r="N11" i="3"/>
  <c r="N75" i="3"/>
  <c r="N139" i="3"/>
  <c r="N28" i="3"/>
  <c r="N92" i="3"/>
  <c r="N156" i="3"/>
  <c r="N45" i="3"/>
  <c r="N109" i="3"/>
  <c r="N88" i="3"/>
  <c r="N54" i="3"/>
  <c r="N118" i="3"/>
  <c r="N15" i="3"/>
  <c r="N79" i="3"/>
  <c r="N143" i="3"/>
  <c r="N104" i="3"/>
  <c r="N49" i="3"/>
  <c r="N113" i="3"/>
  <c r="N2" i="3"/>
  <c r="N66" i="3"/>
  <c r="N130" i="3"/>
  <c r="N19" i="3"/>
  <c r="N83" i="3"/>
  <c r="N147" i="3"/>
  <c r="N36" i="3"/>
  <c r="N100" i="3"/>
  <c r="N64" i="3"/>
  <c r="N53" i="3"/>
  <c r="N117" i="3"/>
  <c r="N144" i="3"/>
  <c r="N62" i="3"/>
  <c r="N126" i="3"/>
  <c r="N23" i="3"/>
  <c r="N87" i="3"/>
  <c r="N151" i="3"/>
  <c r="N128" i="3"/>
  <c r="N57" i="3"/>
  <c r="N121" i="3"/>
  <c r="N10" i="3"/>
  <c r="N74" i="3"/>
  <c r="N138" i="3"/>
  <c r="N27" i="3"/>
  <c r="N91" i="3"/>
  <c r="N155" i="3"/>
  <c r="N44" i="3"/>
  <c r="N108" i="3"/>
  <c r="N112" i="3"/>
  <c r="N61" i="3"/>
  <c r="N125" i="3"/>
  <c r="N6" i="3"/>
  <c r="N70" i="3"/>
  <c r="N134" i="3"/>
  <c r="N31" i="3"/>
  <c r="N95" i="3"/>
  <c r="N136" i="3"/>
  <c r="N65" i="3"/>
  <c r="N129" i="3"/>
  <c r="N18" i="3"/>
  <c r="N82" i="3"/>
  <c r="N146" i="3"/>
  <c r="N35" i="3"/>
  <c r="N99" i="3"/>
  <c r="N8" i="3"/>
  <c r="N52" i="3"/>
  <c r="N116" i="3"/>
  <c r="N5" i="3"/>
  <c r="N69" i="3"/>
  <c r="N133" i="3"/>
  <c r="N14" i="3"/>
  <c r="N78" i="3"/>
  <c r="N142" i="3"/>
  <c r="N39" i="3"/>
  <c r="N103" i="3"/>
  <c r="C9" i="6"/>
  <c r="D8" i="6"/>
  <c r="L10" i="6"/>
  <c r="M9" i="6"/>
  <c r="F9" i="6"/>
  <c r="G8" i="6"/>
  <c r="I10" i="6"/>
  <c r="J9" i="6"/>
  <c r="O3" i="3" l="1"/>
  <c r="P3" i="3" s="1"/>
  <c r="O134" i="3"/>
  <c r="P134" i="3" s="1"/>
  <c r="O143" i="3"/>
  <c r="P143" i="3" s="1"/>
  <c r="O137" i="3"/>
  <c r="P137" i="3" s="1"/>
  <c r="O113" i="3"/>
  <c r="P113" i="3" s="1"/>
  <c r="O79" i="3"/>
  <c r="P79" i="3" s="1"/>
  <c r="O7" i="3"/>
  <c r="P7" i="3" s="1"/>
  <c r="O122" i="3"/>
  <c r="P122" i="3" s="1"/>
  <c r="O101" i="3"/>
  <c r="P101" i="3" s="1"/>
  <c r="O114" i="3"/>
  <c r="P114" i="3" s="1"/>
  <c r="O12" i="3"/>
  <c r="P12" i="3" s="1"/>
  <c r="O147" i="3"/>
  <c r="P147" i="3" s="1"/>
  <c r="O9" i="3"/>
  <c r="P9" i="3" s="1"/>
  <c r="O92" i="3"/>
  <c r="P92" i="3" s="1"/>
  <c r="O6" i="3"/>
  <c r="P6" i="3" s="1"/>
  <c r="O96" i="3"/>
  <c r="P96" i="3" s="1"/>
  <c r="O28" i="3"/>
  <c r="P28" i="3" s="1"/>
  <c r="O145" i="3"/>
  <c r="P145" i="3" s="1"/>
  <c r="O93" i="3"/>
  <c r="P93" i="3" s="1"/>
  <c r="O15" i="3"/>
  <c r="P15" i="3" s="1"/>
  <c r="O36" i="3"/>
  <c r="P36" i="3" s="1"/>
  <c r="O32" i="3"/>
  <c r="P32" i="3" s="1"/>
  <c r="O126" i="3"/>
  <c r="P126" i="3" s="1"/>
  <c r="O139" i="3"/>
  <c r="P139" i="3" s="1"/>
  <c r="O58" i="3"/>
  <c r="P58" i="3" s="1"/>
  <c r="O24" i="3"/>
  <c r="P24" i="3" s="1"/>
  <c r="O37" i="3"/>
  <c r="P37" i="3" s="1"/>
  <c r="O131" i="3"/>
  <c r="P131" i="3" s="1"/>
  <c r="O50" i="3"/>
  <c r="P50" i="3" s="1"/>
  <c r="O16" i="3"/>
  <c r="P16" i="3" s="1"/>
  <c r="O110" i="3"/>
  <c r="P110" i="3" s="1"/>
  <c r="O29" i="3"/>
  <c r="P29" i="3" s="1"/>
  <c r="O123" i="3"/>
  <c r="P123" i="3" s="1"/>
  <c r="O42" i="3"/>
  <c r="P42" i="3" s="1"/>
  <c r="O8" i="3"/>
  <c r="P8" i="3" s="1"/>
  <c r="O102" i="3"/>
  <c r="P102" i="3" s="1"/>
  <c r="O21" i="3"/>
  <c r="P21" i="3" s="1"/>
  <c r="O115" i="3"/>
  <c r="P115" i="3" s="1"/>
  <c r="O34" i="3"/>
  <c r="P34" i="3" s="1"/>
  <c r="O153" i="3"/>
  <c r="P153" i="3" s="1"/>
  <c r="O94" i="3"/>
  <c r="P94" i="3" s="1"/>
  <c r="O13" i="3"/>
  <c r="P13" i="3" s="1"/>
  <c r="O107" i="3"/>
  <c r="P107" i="3" s="1"/>
  <c r="O26" i="3"/>
  <c r="P26" i="3" s="1"/>
  <c r="O57" i="3"/>
  <c r="P57" i="3" s="1"/>
  <c r="O86" i="3"/>
  <c r="P86" i="3" s="1"/>
  <c r="O5" i="3"/>
  <c r="P5" i="3" s="1"/>
  <c r="O99" i="3"/>
  <c r="P99" i="3" s="1"/>
  <c r="O18" i="3"/>
  <c r="P18" i="3" s="1"/>
  <c r="O87" i="3"/>
  <c r="P87" i="3" s="1"/>
  <c r="O14" i="3"/>
  <c r="P14" i="3" s="1"/>
  <c r="O108" i="3"/>
  <c r="P108" i="3" s="1"/>
  <c r="O27" i="3"/>
  <c r="P27" i="3" s="1"/>
  <c r="O40" i="3"/>
  <c r="P40" i="3" s="1"/>
  <c r="O19" i="3"/>
  <c r="P19" i="3" s="1"/>
  <c r="O72" i="3"/>
  <c r="P72" i="3" s="1"/>
  <c r="O104" i="3"/>
  <c r="P104" i="3" s="1"/>
  <c r="O117" i="3"/>
  <c r="P117" i="3" s="1"/>
  <c r="O130" i="3"/>
  <c r="P130" i="3" s="1"/>
  <c r="O45" i="3"/>
  <c r="P45" i="3" s="1"/>
  <c r="O118" i="3"/>
  <c r="P118" i="3" s="1"/>
  <c r="O66" i="3"/>
  <c r="P66" i="3" s="1"/>
  <c r="O135" i="3"/>
  <c r="P135" i="3" s="1"/>
  <c r="O62" i="3"/>
  <c r="P62" i="3" s="1"/>
  <c r="O156" i="3"/>
  <c r="P156" i="3" s="1"/>
  <c r="O75" i="3"/>
  <c r="P75" i="3" s="1"/>
  <c r="O129" i="3"/>
  <c r="P129" i="3" s="1"/>
  <c r="O127" i="3"/>
  <c r="P127" i="3" s="1"/>
  <c r="O54" i="3"/>
  <c r="P54" i="3" s="1"/>
  <c r="O148" i="3"/>
  <c r="P148" i="3" s="1"/>
  <c r="O67" i="3"/>
  <c r="P67" i="3" s="1"/>
  <c r="O105" i="3"/>
  <c r="P105" i="3" s="1"/>
  <c r="O119" i="3"/>
  <c r="P119" i="3" s="1"/>
  <c r="O46" i="3"/>
  <c r="P46" i="3" s="1"/>
  <c r="O140" i="3"/>
  <c r="P140" i="3" s="1"/>
  <c r="O59" i="3"/>
  <c r="P59" i="3" s="1"/>
  <c r="O73" i="3"/>
  <c r="P73" i="3" s="1"/>
  <c r="O111" i="3"/>
  <c r="P111" i="3" s="1"/>
  <c r="O38" i="3"/>
  <c r="P38" i="3" s="1"/>
  <c r="O132" i="3"/>
  <c r="P132" i="3" s="1"/>
  <c r="O51" i="3"/>
  <c r="P51" i="3" s="1"/>
  <c r="O41" i="3"/>
  <c r="P41" i="3" s="1"/>
  <c r="O103" i="3"/>
  <c r="P103" i="3" s="1"/>
  <c r="O30" i="3"/>
  <c r="P30" i="3" s="1"/>
  <c r="O124" i="3"/>
  <c r="P124" i="3" s="1"/>
  <c r="O43" i="3"/>
  <c r="P43" i="3" s="1"/>
  <c r="O17" i="3"/>
  <c r="P17" i="3" s="1"/>
  <c r="O95" i="3"/>
  <c r="P95" i="3" s="1"/>
  <c r="O22" i="3"/>
  <c r="P22" i="3" s="1"/>
  <c r="O116" i="3"/>
  <c r="P116" i="3" s="1"/>
  <c r="O35" i="3"/>
  <c r="P35" i="3" s="1"/>
  <c r="O112" i="3"/>
  <c r="P112" i="3" s="1"/>
  <c r="O23" i="3"/>
  <c r="P23" i="3" s="1"/>
  <c r="O125" i="3"/>
  <c r="P125" i="3" s="1"/>
  <c r="O44" i="3"/>
  <c r="P44" i="3" s="1"/>
  <c r="O138" i="3"/>
  <c r="P138" i="3" s="1"/>
  <c r="O97" i="3"/>
  <c r="P97" i="3" s="1"/>
  <c r="O47" i="3"/>
  <c r="P47" i="3" s="1"/>
  <c r="O149" i="3"/>
  <c r="P149" i="3" s="1"/>
  <c r="O33" i="3"/>
  <c r="P33" i="3" s="1"/>
  <c r="O39" i="3"/>
  <c r="P39" i="3" s="1"/>
  <c r="O141" i="3"/>
  <c r="P141" i="3" s="1"/>
  <c r="O154" i="3"/>
  <c r="P154" i="3" s="1"/>
  <c r="O31" i="3"/>
  <c r="P31" i="3" s="1"/>
  <c r="O133" i="3"/>
  <c r="P133" i="3" s="1"/>
  <c r="O146" i="3"/>
  <c r="P146" i="3" s="1"/>
  <c r="O48" i="3"/>
  <c r="P48" i="3" s="1"/>
  <c r="O142" i="3"/>
  <c r="P142" i="3" s="1"/>
  <c r="O61" i="3"/>
  <c r="P61" i="3" s="1"/>
  <c r="O155" i="3"/>
  <c r="P155" i="3" s="1"/>
  <c r="O53" i="3"/>
  <c r="P53" i="3" s="1"/>
  <c r="O70" i="3"/>
  <c r="P70" i="3" s="1"/>
  <c r="O71" i="3"/>
  <c r="P71" i="3" s="1"/>
  <c r="O11" i="3"/>
  <c r="P11" i="3" s="1"/>
  <c r="O63" i="3"/>
  <c r="P63" i="3" s="1"/>
  <c r="O65" i="3"/>
  <c r="P65" i="3" s="1"/>
  <c r="O84" i="3"/>
  <c r="P84" i="3" s="1"/>
  <c r="O144" i="3"/>
  <c r="P144" i="3" s="1"/>
  <c r="O55" i="3"/>
  <c r="P55" i="3" s="1"/>
  <c r="O76" i="3"/>
  <c r="P76" i="3" s="1"/>
  <c r="O136" i="3"/>
  <c r="P136" i="3" s="1"/>
  <c r="O68" i="3"/>
  <c r="P68" i="3" s="1"/>
  <c r="O128" i="3"/>
  <c r="P128" i="3" s="1"/>
  <c r="O60" i="3"/>
  <c r="P60" i="3" s="1"/>
  <c r="O120" i="3"/>
  <c r="P120" i="3" s="1"/>
  <c r="O52" i="3"/>
  <c r="P52" i="3" s="1"/>
  <c r="O74" i="3"/>
  <c r="P74" i="3" s="1"/>
  <c r="O83" i="3"/>
  <c r="P83" i="3" s="1"/>
  <c r="O152" i="3"/>
  <c r="P152" i="3" s="1"/>
  <c r="O100" i="3"/>
  <c r="P100" i="3" s="1"/>
  <c r="O109" i="3"/>
  <c r="P109" i="3" s="1"/>
  <c r="O88" i="3"/>
  <c r="P88" i="3" s="1"/>
  <c r="O20" i="3"/>
  <c r="P20" i="3" s="1"/>
  <c r="O80" i="3"/>
  <c r="P80" i="3" s="1"/>
  <c r="O89" i="3"/>
  <c r="P89" i="3" s="1"/>
  <c r="O106" i="3"/>
  <c r="P106" i="3" s="1"/>
  <c r="O25" i="3"/>
  <c r="P25" i="3" s="1"/>
  <c r="O85" i="3"/>
  <c r="P85" i="3" s="1"/>
  <c r="O4" i="3"/>
  <c r="P4" i="3" s="1"/>
  <c r="O98" i="3"/>
  <c r="P98" i="3" s="1"/>
  <c r="O64" i="3"/>
  <c r="P64" i="3" s="1"/>
  <c r="O77" i="3"/>
  <c r="P77" i="3" s="1"/>
  <c r="O121" i="3"/>
  <c r="P121" i="3" s="1"/>
  <c r="O90" i="3"/>
  <c r="P90" i="3" s="1"/>
  <c r="O56" i="3"/>
  <c r="P56" i="3" s="1"/>
  <c r="O150" i="3"/>
  <c r="P150" i="3" s="1"/>
  <c r="O69" i="3"/>
  <c r="P69" i="3" s="1"/>
  <c r="O49" i="3"/>
  <c r="P49" i="3" s="1"/>
  <c r="O82" i="3"/>
  <c r="P82" i="3" s="1"/>
  <c r="O151" i="3"/>
  <c r="P151" i="3" s="1"/>
  <c r="O78" i="3"/>
  <c r="P78" i="3" s="1"/>
  <c r="O81" i="3"/>
  <c r="P81" i="3" s="1"/>
  <c r="O91" i="3"/>
  <c r="P91" i="3" s="1"/>
  <c r="O10" i="3"/>
  <c r="P10" i="3" s="1"/>
  <c r="C10" i="6"/>
  <c r="D9" i="6"/>
  <c r="L11" i="6"/>
  <c r="M10" i="6"/>
  <c r="I11" i="6"/>
  <c r="J10" i="6"/>
  <c r="F10" i="6"/>
  <c r="G9" i="6"/>
  <c r="C11" i="6" l="1"/>
  <c r="D10" i="6"/>
  <c r="F11" i="6"/>
  <c r="G10" i="6"/>
  <c r="I12" i="6"/>
  <c r="J11" i="6"/>
  <c r="L12" i="6"/>
  <c r="M11" i="6"/>
  <c r="L13" i="6" l="1"/>
  <c r="M12" i="6"/>
  <c r="C12" i="6"/>
  <c r="D11" i="6"/>
  <c r="I13" i="6"/>
  <c r="J12" i="6"/>
  <c r="F12" i="6"/>
  <c r="G11" i="6"/>
  <c r="L14" i="6" l="1"/>
  <c r="M13" i="6"/>
  <c r="C13" i="6"/>
  <c r="D12" i="6"/>
  <c r="F13" i="6"/>
  <c r="G12" i="6"/>
  <c r="I14" i="6"/>
  <c r="J13" i="6"/>
  <c r="L15" i="6" l="1"/>
  <c r="M14" i="6"/>
  <c r="I15" i="6"/>
  <c r="J14" i="6"/>
  <c r="F14" i="6"/>
  <c r="G13" i="6"/>
  <c r="C14" i="6"/>
  <c r="D13" i="6"/>
  <c r="I16" i="6" l="1"/>
  <c r="J15" i="6"/>
  <c r="L16" i="6"/>
  <c r="M15" i="6"/>
  <c r="C15" i="6"/>
  <c r="D14" i="6"/>
  <c r="F15" i="6"/>
  <c r="G14" i="6"/>
  <c r="L17" i="6" l="1"/>
  <c r="M16" i="6"/>
  <c r="I17" i="6"/>
  <c r="J16" i="6"/>
  <c r="F16" i="6"/>
  <c r="G15" i="6"/>
  <c r="C16" i="6"/>
  <c r="D15" i="6"/>
  <c r="F17" i="6" l="1"/>
  <c r="G16" i="6"/>
  <c r="I18" i="6"/>
  <c r="J17" i="6"/>
  <c r="L18" i="6"/>
  <c r="M17" i="6"/>
  <c r="C17" i="6"/>
  <c r="D16" i="6"/>
  <c r="I19" i="6" l="1"/>
  <c r="J18" i="6"/>
  <c r="F18" i="6"/>
  <c r="G17" i="6"/>
  <c r="C18" i="6"/>
  <c r="D17" i="6"/>
  <c r="L19" i="6"/>
  <c r="M18" i="6"/>
  <c r="L20" i="6" l="1"/>
  <c r="M19" i="6"/>
  <c r="C19" i="6"/>
  <c r="D18" i="6"/>
  <c r="I20" i="6"/>
  <c r="J19" i="6"/>
  <c r="F19" i="6"/>
  <c r="G18" i="6"/>
  <c r="L21" i="6" l="1"/>
  <c r="M20" i="6"/>
  <c r="F20" i="6"/>
  <c r="G19" i="6"/>
  <c r="I21" i="6"/>
  <c r="J20" i="6"/>
  <c r="C20" i="6"/>
  <c r="D19" i="6"/>
  <c r="C21" i="6" l="1"/>
  <c r="D20" i="6"/>
  <c r="I22" i="6"/>
  <c r="J21" i="6"/>
  <c r="F21" i="6"/>
  <c r="G20" i="6"/>
  <c r="L22" i="6"/>
  <c r="M21" i="6"/>
  <c r="L23" i="6" l="1"/>
  <c r="M22" i="6"/>
  <c r="F22" i="6"/>
  <c r="G21" i="6"/>
  <c r="I23" i="6"/>
  <c r="J22" i="6"/>
  <c r="C22" i="6"/>
  <c r="D21" i="6"/>
  <c r="C23" i="6" l="1"/>
  <c r="D22" i="6"/>
  <c r="I24" i="6"/>
  <c r="J23" i="6"/>
  <c r="F23" i="6"/>
  <c r="G22" i="6"/>
  <c r="L24" i="6"/>
  <c r="M23" i="6"/>
  <c r="C24" i="6" l="1"/>
  <c r="D23" i="6"/>
  <c r="L25" i="6"/>
  <c r="M24" i="6"/>
  <c r="F24" i="6"/>
  <c r="G23" i="6"/>
  <c r="I25" i="6"/>
  <c r="J24" i="6"/>
  <c r="I26" i="6" l="1"/>
  <c r="J25" i="6"/>
  <c r="F25" i="6"/>
  <c r="G24" i="6"/>
  <c r="L26" i="6"/>
  <c r="M25" i="6"/>
  <c r="C25" i="6"/>
  <c r="D24" i="6"/>
  <c r="C26" i="6" l="1"/>
  <c r="D25" i="6"/>
  <c r="L27" i="6"/>
  <c r="M26" i="6"/>
  <c r="F26" i="6"/>
  <c r="G25" i="6"/>
  <c r="I27" i="6"/>
  <c r="J26" i="6"/>
  <c r="I28" i="6" l="1"/>
  <c r="J27" i="6"/>
  <c r="F27" i="6"/>
  <c r="G26" i="6"/>
  <c r="L28" i="6"/>
  <c r="M27" i="6"/>
  <c r="C27" i="6"/>
  <c r="D26" i="6"/>
  <c r="C28" i="6" l="1"/>
  <c r="D27" i="6"/>
  <c r="L29" i="6"/>
  <c r="M28" i="6"/>
  <c r="F28" i="6"/>
  <c r="G27" i="6"/>
  <c r="I29" i="6"/>
  <c r="J28" i="6"/>
  <c r="I30" i="6" l="1"/>
  <c r="J29" i="6"/>
  <c r="F29" i="6"/>
  <c r="G28" i="6"/>
  <c r="L30" i="6"/>
  <c r="M29" i="6"/>
  <c r="C29" i="6"/>
  <c r="D28" i="6"/>
  <c r="C30" i="6" l="1"/>
  <c r="D29" i="6"/>
  <c r="L31" i="6"/>
  <c r="M30" i="6"/>
  <c r="F30" i="6"/>
  <c r="G29" i="6"/>
  <c r="I31" i="6"/>
  <c r="J30" i="6"/>
  <c r="I32" i="6" l="1"/>
  <c r="J31" i="6"/>
  <c r="F31" i="6"/>
  <c r="G30" i="6"/>
  <c r="L32" i="6"/>
  <c r="M31" i="6"/>
  <c r="C31" i="6"/>
  <c r="D30" i="6"/>
  <c r="C32" i="6" l="1"/>
  <c r="D31" i="6"/>
  <c r="L33" i="6"/>
  <c r="M32" i="6"/>
  <c r="F32" i="6"/>
  <c r="G31" i="6"/>
  <c r="I33" i="6"/>
  <c r="J32" i="6"/>
  <c r="I34" i="6" l="1"/>
  <c r="J33" i="6"/>
  <c r="F33" i="6"/>
  <c r="G32" i="6"/>
  <c r="L34" i="6"/>
  <c r="M33" i="6"/>
  <c r="C33" i="6"/>
  <c r="D32" i="6"/>
  <c r="C34" i="6" l="1"/>
  <c r="D33" i="6"/>
  <c r="L35" i="6"/>
  <c r="M34" i="6"/>
  <c r="F34" i="6"/>
  <c r="G33" i="6"/>
  <c r="I35" i="6"/>
  <c r="J34" i="6"/>
  <c r="C35" i="6" l="1"/>
  <c r="D34" i="6"/>
  <c r="I36" i="6"/>
  <c r="J35" i="6"/>
  <c r="F35" i="6"/>
  <c r="G34" i="6"/>
  <c r="L36" i="6"/>
  <c r="M35" i="6"/>
  <c r="L37" i="6" l="1"/>
  <c r="M36" i="6"/>
  <c r="F36" i="6"/>
  <c r="G35" i="6"/>
  <c r="I37" i="6"/>
  <c r="J36" i="6"/>
  <c r="C36" i="6"/>
  <c r="D35" i="6"/>
  <c r="C37" i="6" l="1"/>
  <c r="D36" i="6"/>
  <c r="I38" i="6"/>
  <c r="J37" i="6"/>
  <c r="F37" i="6"/>
  <c r="G36" i="6"/>
  <c r="L38" i="6"/>
  <c r="M37" i="6"/>
  <c r="L39" i="6" l="1"/>
  <c r="M38" i="6"/>
  <c r="F38" i="6"/>
  <c r="G37" i="6"/>
  <c r="I39" i="6"/>
  <c r="J38" i="6"/>
  <c r="C38" i="6"/>
  <c r="D37" i="6"/>
  <c r="L40" i="6" l="1"/>
  <c r="M39" i="6"/>
  <c r="C39" i="6"/>
  <c r="D38" i="6"/>
  <c r="I40" i="6"/>
  <c r="J39" i="6"/>
  <c r="F39" i="6"/>
  <c r="G38" i="6"/>
  <c r="L41" i="6" l="1"/>
  <c r="M40" i="6"/>
  <c r="F40" i="6"/>
  <c r="G39" i="6"/>
  <c r="I41" i="6"/>
  <c r="J40" i="6"/>
  <c r="C40" i="6"/>
  <c r="D39" i="6"/>
  <c r="C41" i="6" l="1"/>
  <c r="D40" i="6"/>
  <c r="I42" i="6"/>
  <c r="J41" i="6"/>
  <c r="F41" i="6"/>
  <c r="G40" i="6"/>
  <c r="L42" i="6"/>
  <c r="M41" i="6"/>
  <c r="C42" i="6" l="1"/>
  <c r="D41" i="6"/>
  <c r="L43" i="6"/>
  <c r="M42" i="6"/>
  <c r="F42" i="6"/>
  <c r="G41" i="6"/>
  <c r="I43" i="6"/>
  <c r="J42" i="6"/>
  <c r="I44" i="6" l="1"/>
  <c r="J43" i="6"/>
  <c r="F43" i="6"/>
  <c r="G42" i="6"/>
  <c r="L44" i="6"/>
  <c r="M43" i="6"/>
  <c r="C43" i="6"/>
  <c r="D42" i="6"/>
  <c r="I45" i="6" l="1"/>
  <c r="J44" i="6"/>
  <c r="C44" i="6"/>
  <c r="D43" i="6"/>
  <c r="L45" i="6"/>
  <c r="M44" i="6"/>
  <c r="F44" i="6"/>
  <c r="G43" i="6"/>
  <c r="F45" i="6" l="1"/>
  <c r="G44" i="6"/>
  <c r="L46" i="6"/>
  <c r="M45" i="6"/>
  <c r="C45" i="6"/>
  <c r="D44" i="6"/>
  <c r="I46" i="6"/>
  <c r="J45" i="6"/>
  <c r="F46" i="6" l="1"/>
  <c r="G45" i="6"/>
  <c r="I47" i="6"/>
  <c r="J46" i="6"/>
  <c r="C46" i="6"/>
  <c r="D45" i="6"/>
  <c r="L47" i="6"/>
  <c r="M46" i="6"/>
  <c r="L48" i="6" l="1"/>
  <c r="M47" i="6"/>
  <c r="C47" i="6"/>
  <c r="D46" i="6"/>
  <c r="I48" i="6"/>
  <c r="J47" i="6"/>
  <c r="F47" i="6"/>
  <c r="G46" i="6"/>
  <c r="F48" i="6" l="1"/>
  <c r="G47" i="6"/>
  <c r="I49" i="6"/>
  <c r="J48" i="6"/>
  <c r="C48" i="6"/>
  <c r="D47" i="6"/>
  <c r="L49" i="6"/>
  <c r="M48" i="6"/>
  <c r="L50" i="6" l="1"/>
  <c r="M49" i="6"/>
  <c r="C49" i="6"/>
  <c r="D48" i="6"/>
  <c r="I50" i="6"/>
  <c r="J49" i="6"/>
  <c r="F49" i="6"/>
  <c r="G48" i="6"/>
  <c r="F50" i="6" l="1"/>
  <c r="G49" i="6"/>
  <c r="I51" i="6"/>
  <c r="J50" i="6"/>
  <c r="C50" i="6"/>
  <c r="D49" i="6"/>
  <c r="L51" i="6"/>
  <c r="M50" i="6"/>
  <c r="L52" i="6" l="1"/>
  <c r="M51" i="6"/>
  <c r="C51" i="6"/>
  <c r="D50" i="6"/>
  <c r="I52" i="6"/>
  <c r="J51" i="6"/>
  <c r="F51" i="6"/>
  <c r="G50" i="6"/>
  <c r="F52" i="6" l="1"/>
  <c r="G51" i="6"/>
  <c r="I53" i="6"/>
  <c r="J52" i="6"/>
  <c r="C52" i="6"/>
  <c r="D51" i="6"/>
  <c r="L53" i="6"/>
  <c r="M52" i="6"/>
  <c r="L54" i="6" l="1"/>
  <c r="M53" i="6"/>
  <c r="C53" i="6"/>
  <c r="D52" i="6"/>
  <c r="I54" i="6"/>
  <c r="J53" i="6"/>
  <c r="F53" i="6"/>
  <c r="G52" i="6"/>
  <c r="F54" i="6" l="1"/>
  <c r="G53" i="6"/>
  <c r="I55" i="6"/>
  <c r="J54" i="6"/>
  <c r="C54" i="6"/>
  <c r="D53" i="6"/>
  <c r="L55" i="6"/>
  <c r="M54" i="6"/>
  <c r="L56" i="6" l="1"/>
  <c r="M55" i="6"/>
  <c r="C55" i="6"/>
  <c r="D54" i="6"/>
  <c r="I56" i="6"/>
  <c r="J55" i="6"/>
  <c r="F55" i="6"/>
  <c r="G54" i="6"/>
  <c r="F56" i="6" l="1"/>
  <c r="G55" i="6"/>
  <c r="I57" i="6"/>
  <c r="J56" i="6"/>
  <c r="C56" i="6"/>
  <c r="D55" i="6"/>
  <c r="L57" i="6"/>
  <c r="M56" i="6"/>
  <c r="L58" i="6" l="1"/>
  <c r="M57" i="6"/>
  <c r="C57" i="6"/>
  <c r="D56" i="6"/>
  <c r="I58" i="6"/>
  <c r="J57" i="6"/>
  <c r="F57" i="6"/>
  <c r="G56" i="6"/>
  <c r="F58" i="6" l="1"/>
  <c r="G57" i="6"/>
  <c r="I59" i="6"/>
  <c r="J58" i="6"/>
  <c r="C58" i="6"/>
  <c r="D57" i="6"/>
  <c r="L59" i="6"/>
  <c r="M58" i="6"/>
  <c r="L60" i="6" l="1"/>
  <c r="M59" i="6"/>
  <c r="C59" i="6"/>
  <c r="D58" i="6"/>
  <c r="I60" i="6"/>
  <c r="J59" i="6"/>
  <c r="F59" i="6"/>
  <c r="G58" i="6"/>
  <c r="F60" i="6" l="1"/>
  <c r="G59" i="6"/>
  <c r="I61" i="6"/>
  <c r="J60" i="6"/>
  <c r="C60" i="6"/>
  <c r="D59" i="6"/>
  <c r="L61" i="6"/>
  <c r="M60" i="6"/>
  <c r="L62" i="6" l="1"/>
  <c r="M61" i="6"/>
  <c r="C61" i="6"/>
  <c r="D60" i="6"/>
  <c r="I62" i="6"/>
  <c r="J61" i="6"/>
  <c r="F61" i="6"/>
  <c r="G60" i="6"/>
  <c r="F62" i="6" l="1"/>
  <c r="G61" i="6"/>
  <c r="I63" i="6"/>
  <c r="J62" i="6"/>
  <c r="C62" i="6"/>
  <c r="D61" i="6"/>
  <c r="L63" i="6"/>
  <c r="M62" i="6"/>
  <c r="L64" i="6" l="1"/>
  <c r="M63" i="6"/>
  <c r="C63" i="6"/>
  <c r="D62" i="6"/>
  <c r="I64" i="6"/>
  <c r="J63" i="6"/>
  <c r="F63" i="6"/>
  <c r="G62" i="6"/>
  <c r="F64" i="6" l="1"/>
  <c r="G63" i="6"/>
  <c r="I65" i="6"/>
  <c r="J64" i="6"/>
  <c r="C64" i="6"/>
  <c r="D63" i="6"/>
  <c r="L65" i="6"/>
  <c r="M64" i="6"/>
  <c r="L66" i="6" l="1"/>
  <c r="M65" i="6"/>
  <c r="C65" i="6"/>
  <c r="D64" i="6"/>
  <c r="I66" i="6"/>
  <c r="J65" i="6"/>
  <c r="F65" i="6"/>
  <c r="G64" i="6"/>
  <c r="F66" i="6" l="1"/>
  <c r="G65" i="6"/>
  <c r="I67" i="6"/>
  <c r="J66" i="6"/>
  <c r="C66" i="6"/>
  <c r="D65" i="6"/>
  <c r="L67" i="6"/>
  <c r="M66" i="6"/>
  <c r="C67" i="6" l="1"/>
  <c r="D66" i="6"/>
  <c r="L68" i="6"/>
  <c r="M67" i="6"/>
  <c r="I68" i="6"/>
  <c r="J67" i="6"/>
  <c r="F67" i="6"/>
  <c r="G66" i="6"/>
  <c r="F68" i="6" l="1"/>
  <c r="G67" i="6"/>
  <c r="I69" i="6"/>
  <c r="J68" i="6"/>
  <c r="L69" i="6"/>
  <c r="M68" i="6"/>
  <c r="C68" i="6"/>
  <c r="D67" i="6"/>
  <c r="C69" i="6" l="1"/>
  <c r="D68" i="6"/>
  <c r="L70" i="6"/>
  <c r="M69" i="6"/>
  <c r="I70" i="6"/>
  <c r="J69" i="6"/>
  <c r="F69" i="6"/>
  <c r="G68" i="6"/>
  <c r="F70" i="6" l="1"/>
  <c r="G69" i="6"/>
  <c r="I71" i="6"/>
  <c r="J70" i="6"/>
  <c r="L71" i="6"/>
  <c r="M70" i="6"/>
  <c r="C70" i="6"/>
  <c r="D69" i="6"/>
  <c r="C71" i="6" l="1"/>
  <c r="D70" i="6"/>
  <c r="L72" i="6"/>
  <c r="M71" i="6"/>
  <c r="I72" i="6"/>
  <c r="J71" i="6"/>
  <c r="F71" i="6"/>
  <c r="G70" i="6"/>
  <c r="F72" i="6" l="1"/>
  <c r="G71" i="6"/>
  <c r="I73" i="6"/>
  <c r="J72" i="6"/>
  <c r="L73" i="6"/>
  <c r="M72" i="6"/>
  <c r="C72" i="6"/>
  <c r="D71" i="6"/>
  <c r="C73" i="6" l="1"/>
  <c r="D72" i="6"/>
  <c r="L74" i="6"/>
  <c r="M73" i="6"/>
  <c r="I74" i="6"/>
  <c r="J73" i="6"/>
  <c r="F73" i="6"/>
  <c r="G72" i="6"/>
  <c r="F74" i="6" l="1"/>
  <c r="G73" i="6"/>
  <c r="I75" i="6"/>
  <c r="J74" i="6"/>
  <c r="L75" i="6"/>
  <c r="M74" i="6"/>
  <c r="C74" i="6"/>
  <c r="D73" i="6"/>
  <c r="C75" i="6" l="1"/>
  <c r="D74" i="6"/>
  <c r="L76" i="6"/>
  <c r="M75" i="6"/>
  <c r="I76" i="6"/>
  <c r="J75" i="6"/>
  <c r="F75" i="6"/>
  <c r="G74" i="6"/>
  <c r="F76" i="6" l="1"/>
  <c r="G75" i="6"/>
  <c r="I77" i="6"/>
  <c r="J76" i="6"/>
  <c r="L77" i="6"/>
  <c r="M76" i="6"/>
  <c r="C76" i="6"/>
  <c r="D75" i="6"/>
  <c r="C77" i="6" l="1"/>
  <c r="D76" i="6"/>
  <c r="L78" i="6"/>
  <c r="M77" i="6"/>
  <c r="I78" i="6"/>
  <c r="J77" i="6"/>
  <c r="F77" i="6"/>
  <c r="G76" i="6"/>
  <c r="F78" i="6" l="1"/>
  <c r="G77" i="6"/>
  <c r="I79" i="6"/>
  <c r="J78" i="6"/>
  <c r="L79" i="6"/>
  <c r="M78" i="6"/>
  <c r="C78" i="6"/>
  <c r="D77" i="6"/>
  <c r="C79" i="6" l="1"/>
  <c r="D78" i="6"/>
  <c r="L80" i="6"/>
  <c r="M79" i="6"/>
  <c r="I80" i="6"/>
  <c r="J79" i="6"/>
  <c r="F79" i="6"/>
  <c r="G78" i="6"/>
  <c r="F80" i="6" l="1"/>
  <c r="G79" i="6"/>
  <c r="I81" i="6"/>
  <c r="J80" i="6"/>
  <c r="L81" i="6"/>
  <c r="M80" i="6"/>
  <c r="C80" i="6"/>
  <c r="D79" i="6"/>
  <c r="C81" i="6" l="1"/>
  <c r="D80" i="6"/>
  <c r="L82" i="6"/>
  <c r="M81" i="6"/>
  <c r="I82" i="6"/>
  <c r="J81" i="6"/>
  <c r="F81" i="6"/>
  <c r="G80" i="6"/>
  <c r="F82" i="6" l="1"/>
  <c r="G81" i="6"/>
  <c r="I83" i="6"/>
  <c r="J82" i="6"/>
  <c r="L83" i="6"/>
  <c r="M82" i="6"/>
  <c r="C82" i="6"/>
  <c r="D81" i="6"/>
  <c r="C83" i="6" l="1"/>
  <c r="D82" i="6"/>
  <c r="L84" i="6"/>
  <c r="M83" i="6"/>
  <c r="I84" i="6"/>
  <c r="J83" i="6"/>
  <c r="F83" i="6"/>
  <c r="G82" i="6"/>
  <c r="F84" i="6" l="1"/>
  <c r="G83" i="6"/>
  <c r="I85" i="6"/>
  <c r="J84" i="6"/>
  <c r="L85" i="6"/>
  <c r="M84" i="6"/>
  <c r="C84" i="6"/>
  <c r="D83" i="6"/>
  <c r="C85" i="6" l="1"/>
  <c r="D84" i="6"/>
  <c r="L86" i="6"/>
  <c r="M85" i="6"/>
  <c r="I86" i="6"/>
  <c r="J85" i="6"/>
  <c r="F85" i="6"/>
  <c r="G84" i="6"/>
  <c r="F86" i="6" l="1"/>
  <c r="G85" i="6"/>
  <c r="I87" i="6"/>
  <c r="J86" i="6"/>
  <c r="L87" i="6"/>
  <c r="M86" i="6"/>
  <c r="C86" i="6"/>
  <c r="D85" i="6"/>
  <c r="C87" i="6" l="1"/>
  <c r="D86" i="6"/>
  <c r="L88" i="6"/>
  <c r="M87" i="6"/>
  <c r="I88" i="6"/>
  <c r="J87" i="6"/>
  <c r="F87" i="6"/>
  <c r="G86" i="6"/>
  <c r="F88" i="6" l="1"/>
  <c r="G87" i="6"/>
  <c r="I89" i="6"/>
  <c r="J88" i="6"/>
  <c r="L89" i="6"/>
  <c r="M88" i="6"/>
  <c r="C88" i="6"/>
  <c r="D87" i="6"/>
  <c r="C89" i="6" l="1"/>
  <c r="D88" i="6"/>
  <c r="L90" i="6"/>
  <c r="M89" i="6"/>
  <c r="I90" i="6"/>
  <c r="J89" i="6"/>
  <c r="F89" i="6"/>
  <c r="G88" i="6"/>
  <c r="F90" i="6" l="1"/>
  <c r="G89" i="6"/>
  <c r="I91" i="6"/>
  <c r="J90" i="6"/>
  <c r="L91" i="6"/>
  <c r="M90" i="6"/>
  <c r="C90" i="6"/>
  <c r="D89" i="6"/>
  <c r="C91" i="6" l="1"/>
  <c r="D90" i="6"/>
  <c r="L92" i="6"/>
  <c r="M91" i="6"/>
  <c r="I92" i="6"/>
  <c r="J91" i="6"/>
  <c r="F91" i="6"/>
  <c r="G90" i="6"/>
  <c r="F92" i="6" l="1"/>
  <c r="G91" i="6"/>
  <c r="I93" i="6"/>
  <c r="J92" i="6"/>
  <c r="L93" i="6"/>
  <c r="M92" i="6"/>
  <c r="C92" i="6"/>
  <c r="D91" i="6"/>
  <c r="C93" i="6" l="1"/>
  <c r="D92" i="6"/>
  <c r="L94" i="6"/>
  <c r="M93" i="6"/>
  <c r="I94" i="6"/>
  <c r="J93" i="6"/>
  <c r="F93" i="6"/>
  <c r="G92" i="6"/>
  <c r="F94" i="6" l="1"/>
  <c r="G93" i="6"/>
  <c r="I95" i="6"/>
  <c r="J94" i="6"/>
  <c r="L95" i="6"/>
  <c r="M94" i="6"/>
  <c r="C94" i="6"/>
  <c r="D93" i="6"/>
  <c r="C95" i="6" l="1"/>
  <c r="D94" i="6"/>
  <c r="L96" i="6"/>
  <c r="M95" i="6"/>
  <c r="I96" i="6"/>
  <c r="J95" i="6"/>
  <c r="F95" i="6"/>
  <c r="G94" i="6"/>
  <c r="F96" i="6" l="1"/>
  <c r="G95" i="6"/>
  <c r="I97" i="6"/>
  <c r="J96" i="6"/>
  <c r="L97" i="6"/>
  <c r="M96" i="6"/>
  <c r="C96" i="6"/>
  <c r="D95" i="6"/>
  <c r="C97" i="6" l="1"/>
  <c r="D96" i="6"/>
  <c r="L98" i="6"/>
  <c r="M97" i="6"/>
  <c r="I98" i="6"/>
  <c r="J97" i="6"/>
  <c r="F97" i="6"/>
  <c r="G96" i="6"/>
  <c r="F98" i="6" l="1"/>
  <c r="G97" i="6"/>
  <c r="I99" i="6"/>
  <c r="J98" i="6"/>
  <c r="L99" i="6"/>
  <c r="M98" i="6"/>
  <c r="C98" i="6"/>
  <c r="D97" i="6"/>
  <c r="C99" i="6" l="1"/>
  <c r="D98" i="6"/>
  <c r="L100" i="6"/>
  <c r="M99" i="6"/>
  <c r="I100" i="6"/>
  <c r="J99" i="6"/>
  <c r="F99" i="6"/>
  <c r="G98" i="6"/>
  <c r="I101" i="6" l="1"/>
  <c r="J100" i="6"/>
  <c r="F100" i="6"/>
  <c r="G99" i="6"/>
  <c r="L101" i="6"/>
  <c r="M100" i="6"/>
  <c r="C100" i="6"/>
  <c r="D99" i="6"/>
  <c r="C101" i="6" l="1"/>
  <c r="D100" i="6"/>
  <c r="L102" i="6"/>
  <c r="M101" i="6"/>
  <c r="F101" i="6"/>
  <c r="G100" i="6"/>
  <c r="I102" i="6"/>
  <c r="J101" i="6"/>
  <c r="I103" i="6" l="1"/>
  <c r="J102" i="6"/>
  <c r="F102" i="6"/>
  <c r="G101" i="6"/>
  <c r="L103" i="6"/>
  <c r="M102" i="6"/>
  <c r="C102" i="6"/>
  <c r="D101" i="6"/>
  <c r="C103" i="6" l="1"/>
  <c r="D102" i="6"/>
  <c r="L104" i="6"/>
  <c r="M103" i="6"/>
  <c r="F103" i="6"/>
  <c r="G102" i="6"/>
  <c r="I104" i="6"/>
  <c r="J103" i="6"/>
  <c r="I105" i="6" l="1"/>
  <c r="J104" i="6"/>
  <c r="F104" i="6"/>
  <c r="G103" i="6"/>
  <c r="L105" i="6"/>
  <c r="M104" i="6"/>
  <c r="C104" i="6"/>
  <c r="D103" i="6"/>
  <c r="C105" i="6" l="1"/>
  <c r="D104" i="6"/>
  <c r="L106" i="6"/>
  <c r="M105" i="6"/>
  <c r="F105" i="6"/>
  <c r="G104" i="6"/>
  <c r="I106" i="6"/>
  <c r="J105" i="6"/>
  <c r="I107" i="6" l="1"/>
  <c r="J106" i="6"/>
  <c r="F106" i="6"/>
  <c r="G105" i="6"/>
  <c r="L107" i="6"/>
  <c r="M106" i="6"/>
  <c r="C106" i="6"/>
  <c r="D105" i="6"/>
  <c r="C107" i="6" l="1"/>
  <c r="D106" i="6"/>
  <c r="L108" i="6"/>
  <c r="M107" i="6"/>
  <c r="F107" i="6"/>
  <c r="G106" i="6"/>
  <c r="I108" i="6"/>
  <c r="J107" i="6"/>
  <c r="I109" i="6" l="1"/>
  <c r="J108" i="6"/>
  <c r="F108" i="6"/>
  <c r="G107" i="6"/>
  <c r="L109" i="6"/>
  <c r="M108" i="6"/>
  <c r="C108" i="6"/>
  <c r="D107" i="6"/>
  <c r="C109" i="6" l="1"/>
  <c r="D108" i="6"/>
  <c r="L110" i="6"/>
  <c r="M109" i="6"/>
  <c r="F109" i="6"/>
  <c r="G108" i="6"/>
  <c r="I110" i="6"/>
  <c r="J109" i="6"/>
  <c r="I111" i="6" l="1"/>
  <c r="J110" i="6"/>
  <c r="F110" i="6"/>
  <c r="G109" i="6"/>
  <c r="L111" i="6"/>
  <c r="M110" i="6"/>
  <c r="C110" i="6"/>
  <c r="D109" i="6"/>
  <c r="C111" i="6" l="1"/>
  <c r="D110" i="6"/>
  <c r="L112" i="6"/>
  <c r="M111" i="6"/>
  <c r="F111" i="6"/>
  <c r="G110" i="6"/>
  <c r="I112" i="6"/>
  <c r="J111" i="6"/>
  <c r="I113" i="6" l="1"/>
  <c r="J112" i="6"/>
  <c r="F112" i="6"/>
  <c r="G111" i="6"/>
  <c r="L113" i="6"/>
  <c r="M112" i="6"/>
  <c r="C112" i="6"/>
  <c r="D111" i="6"/>
  <c r="C113" i="6" l="1"/>
  <c r="D112" i="6"/>
  <c r="L114" i="6"/>
  <c r="M113" i="6"/>
  <c r="F113" i="6"/>
  <c r="G112" i="6"/>
  <c r="I114" i="6"/>
  <c r="J113" i="6"/>
  <c r="I115" i="6" l="1"/>
  <c r="J114" i="6"/>
  <c r="F114" i="6"/>
  <c r="G113" i="6"/>
  <c r="L115" i="6"/>
  <c r="M114" i="6"/>
  <c r="C114" i="6"/>
  <c r="D113" i="6"/>
  <c r="C115" i="6" l="1"/>
  <c r="D114" i="6"/>
  <c r="L116" i="6"/>
  <c r="M115" i="6"/>
  <c r="F115" i="6"/>
  <c r="G114" i="6"/>
  <c r="I116" i="6"/>
  <c r="J115" i="6"/>
  <c r="I117" i="6" l="1"/>
  <c r="J116" i="6"/>
  <c r="F116" i="6"/>
  <c r="G115" i="6"/>
  <c r="L117" i="6"/>
  <c r="M116" i="6"/>
  <c r="C116" i="6"/>
  <c r="D115" i="6"/>
  <c r="C117" i="6" l="1"/>
  <c r="D116" i="6"/>
  <c r="L118" i="6"/>
  <c r="M117" i="6"/>
  <c r="F117" i="6"/>
  <c r="G116" i="6"/>
  <c r="I118" i="6"/>
  <c r="J117" i="6"/>
  <c r="I119" i="6" l="1"/>
  <c r="J118" i="6"/>
  <c r="F118" i="6"/>
  <c r="G117" i="6"/>
  <c r="L119" i="6"/>
  <c r="M118" i="6"/>
  <c r="C118" i="6"/>
  <c r="D117" i="6"/>
  <c r="C119" i="6" l="1"/>
  <c r="D118" i="6"/>
  <c r="L120" i="6"/>
  <c r="M119" i="6"/>
  <c r="F119" i="6"/>
  <c r="G118" i="6"/>
  <c r="I120" i="6"/>
  <c r="J119" i="6"/>
  <c r="I121" i="6" l="1"/>
  <c r="J120" i="6"/>
  <c r="F120" i="6"/>
  <c r="G119" i="6"/>
  <c r="L121" i="6"/>
  <c r="M120" i="6"/>
  <c r="C120" i="6"/>
  <c r="D119" i="6"/>
  <c r="C121" i="6" l="1"/>
  <c r="D120" i="6"/>
  <c r="L122" i="6"/>
  <c r="M121" i="6"/>
  <c r="F121" i="6"/>
  <c r="G120" i="6"/>
  <c r="I122" i="6"/>
  <c r="J121" i="6"/>
  <c r="I123" i="6" l="1"/>
  <c r="J122" i="6"/>
  <c r="F122" i="6"/>
  <c r="G121" i="6"/>
  <c r="L123" i="6"/>
  <c r="M122" i="6"/>
  <c r="C122" i="6"/>
  <c r="D121" i="6"/>
  <c r="C123" i="6" l="1"/>
  <c r="D122" i="6"/>
  <c r="L124" i="6"/>
  <c r="M123" i="6"/>
  <c r="F123" i="6"/>
  <c r="G122" i="6"/>
  <c r="I124" i="6"/>
  <c r="J123" i="6"/>
  <c r="I125" i="6" l="1"/>
  <c r="J124" i="6"/>
  <c r="F124" i="6"/>
  <c r="G123" i="6"/>
  <c r="L125" i="6"/>
  <c r="M124" i="6"/>
  <c r="C124" i="6"/>
  <c r="D123" i="6"/>
  <c r="C125" i="6" l="1"/>
  <c r="D124" i="6"/>
  <c r="L126" i="6"/>
  <c r="M125" i="6"/>
  <c r="F125" i="6"/>
  <c r="G124" i="6"/>
  <c r="I126" i="6"/>
  <c r="J125" i="6"/>
  <c r="F126" i="6" l="1"/>
  <c r="G125" i="6"/>
  <c r="I127" i="6"/>
  <c r="J126" i="6"/>
  <c r="L127" i="6"/>
  <c r="M126" i="6"/>
  <c r="C126" i="6"/>
  <c r="D125" i="6"/>
  <c r="C127" i="6" l="1"/>
  <c r="D126" i="6"/>
  <c r="L128" i="6"/>
  <c r="M127" i="6"/>
  <c r="I128" i="6"/>
  <c r="J127" i="6"/>
  <c r="F127" i="6"/>
  <c r="G126" i="6"/>
  <c r="F128" i="6" l="1"/>
  <c r="G127" i="6"/>
  <c r="I129" i="6"/>
  <c r="J128" i="6"/>
  <c r="L129" i="6"/>
  <c r="M128" i="6"/>
  <c r="C128" i="6"/>
  <c r="D127" i="6"/>
  <c r="C129" i="6" l="1"/>
  <c r="D128" i="6"/>
  <c r="L130" i="6"/>
  <c r="M129" i="6"/>
  <c r="I130" i="6"/>
  <c r="J129" i="6"/>
  <c r="F129" i="6"/>
  <c r="G128" i="6"/>
  <c r="F130" i="6" l="1"/>
  <c r="G129" i="6"/>
  <c r="I131" i="6"/>
  <c r="J130" i="6"/>
  <c r="L131" i="6"/>
  <c r="M130" i="6"/>
  <c r="C130" i="6"/>
  <c r="D129" i="6"/>
  <c r="C131" i="6" l="1"/>
  <c r="D130" i="6"/>
  <c r="L132" i="6"/>
  <c r="M131" i="6"/>
  <c r="I132" i="6"/>
  <c r="J131" i="6"/>
  <c r="F131" i="6"/>
  <c r="G130" i="6"/>
  <c r="F132" i="6" l="1"/>
  <c r="G131" i="6"/>
  <c r="I133" i="6"/>
  <c r="J132" i="6"/>
  <c r="L133" i="6"/>
  <c r="M132" i="6"/>
  <c r="C132" i="6"/>
  <c r="D131" i="6"/>
  <c r="C133" i="6" l="1"/>
  <c r="D132" i="6"/>
  <c r="L134" i="6"/>
  <c r="M133" i="6"/>
  <c r="I134" i="6"/>
  <c r="J133" i="6"/>
  <c r="F133" i="6"/>
  <c r="G132" i="6"/>
  <c r="F134" i="6" l="1"/>
  <c r="G133" i="6"/>
  <c r="I135" i="6"/>
  <c r="J134" i="6"/>
  <c r="L135" i="6"/>
  <c r="M134" i="6"/>
  <c r="C134" i="6"/>
  <c r="D133" i="6"/>
  <c r="C135" i="6" l="1"/>
  <c r="D134" i="6"/>
  <c r="L136" i="6"/>
  <c r="M135" i="6"/>
  <c r="I136" i="6"/>
  <c r="J135" i="6"/>
  <c r="F135" i="6"/>
  <c r="G134" i="6"/>
  <c r="F136" i="6" l="1"/>
  <c r="G135" i="6"/>
  <c r="I137" i="6"/>
  <c r="J136" i="6"/>
  <c r="L137" i="6"/>
  <c r="M136" i="6"/>
  <c r="C136" i="6"/>
  <c r="D135" i="6"/>
  <c r="C137" i="6" l="1"/>
  <c r="D136" i="6"/>
  <c r="L138" i="6"/>
  <c r="M137" i="6"/>
  <c r="I138" i="6"/>
  <c r="J137" i="6"/>
  <c r="F137" i="6"/>
  <c r="G136" i="6"/>
  <c r="F138" i="6" l="1"/>
  <c r="G137" i="6"/>
  <c r="I139" i="6"/>
  <c r="J138" i="6"/>
  <c r="L139" i="6"/>
  <c r="M138" i="6"/>
  <c r="C138" i="6"/>
  <c r="D137" i="6"/>
  <c r="C139" i="6" l="1"/>
  <c r="D138" i="6"/>
  <c r="L140" i="6"/>
  <c r="M139" i="6"/>
  <c r="I140" i="6"/>
  <c r="J139" i="6"/>
  <c r="F139" i="6"/>
  <c r="G138" i="6"/>
  <c r="F140" i="6" l="1"/>
  <c r="G139" i="6"/>
  <c r="I141" i="6"/>
  <c r="J140" i="6"/>
  <c r="L141" i="6"/>
  <c r="M140" i="6"/>
  <c r="C140" i="6"/>
  <c r="D139" i="6"/>
  <c r="C141" i="6" l="1"/>
  <c r="D140" i="6"/>
  <c r="L142" i="6"/>
  <c r="M141" i="6"/>
  <c r="I142" i="6"/>
  <c r="J141" i="6"/>
  <c r="F141" i="6"/>
  <c r="G140" i="6"/>
  <c r="F142" i="6" l="1"/>
  <c r="G141" i="6"/>
  <c r="I143" i="6"/>
  <c r="J142" i="6"/>
  <c r="L143" i="6"/>
  <c r="M142" i="6"/>
  <c r="C142" i="6"/>
  <c r="D141" i="6"/>
  <c r="C143" i="6" l="1"/>
  <c r="D142" i="6"/>
  <c r="L144" i="6"/>
  <c r="M143" i="6"/>
  <c r="I144" i="6"/>
  <c r="J143" i="6"/>
  <c r="F143" i="6"/>
  <c r="G142" i="6"/>
  <c r="F144" i="6" l="1"/>
  <c r="G143" i="6"/>
  <c r="I145" i="6"/>
  <c r="J144" i="6"/>
  <c r="L145" i="6"/>
  <c r="M144" i="6"/>
  <c r="C144" i="6"/>
  <c r="D143" i="6"/>
  <c r="C145" i="6" l="1"/>
  <c r="D144" i="6"/>
  <c r="L146" i="6"/>
  <c r="M145" i="6"/>
  <c r="I146" i="6"/>
  <c r="J145" i="6"/>
  <c r="F145" i="6"/>
  <c r="G144" i="6"/>
  <c r="I147" i="6" l="1"/>
  <c r="J146" i="6"/>
  <c r="F146" i="6"/>
  <c r="G145" i="6"/>
  <c r="L147" i="6"/>
  <c r="M146" i="6"/>
  <c r="C146" i="6"/>
  <c r="D145" i="6"/>
  <c r="C147" i="6" l="1"/>
  <c r="D146" i="6"/>
  <c r="L148" i="6"/>
  <c r="M147" i="6"/>
  <c r="F147" i="6"/>
  <c r="G146" i="6"/>
  <c r="I148" i="6"/>
  <c r="J147" i="6"/>
  <c r="I149" i="6" l="1"/>
  <c r="J148" i="6"/>
  <c r="F148" i="6"/>
  <c r="G147" i="6"/>
  <c r="L149" i="6"/>
  <c r="M148" i="6"/>
  <c r="C148" i="6"/>
  <c r="D147" i="6"/>
  <c r="C149" i="6" l="1"/>
  <c r="D148" i="6"/>
  <c r="L150" i="6"/>
  <c r="M149" i="6"/>
  <c r="F149" i="6"/>
  <c r="G148" i="6"/>
  <c r="I150" i="6"/>
  <c r="J149" i="6"/>
  <c r="I151" i="6" l="1"/>
  <c r="J150" i="6"/>
  <c r="F150" i="6"/>
  <c r="G149" i="6"/>
  <c r="L151" i="6"/>
  <c r="M150" i="6"/>
  <c r="C150" i="6"/>
  <c r="D149" i="6"/>
  <c r="C151" i="6" l="1"/>
  <c r="D150" i="6"/>
  <c r="L152" i="6"/>
  <c r="M151" i="6"/>
  <c r="F151" i="6"/>
  <c r="G150" i="6"/>
  <c r="I152" i="6"/>
  <c r="J151" i="6"/>
  <c r="I153" i="6" l="1"/>
  <c r="J152" i="6"/>
  <c r="F152" i="6"/>
  <c r="G151" i="6"/>
  <c r="L153" i="6"/>
  <c r="M152" i="6"/>
  <c r="C152" i="6"/>
  <c r="D151" i="6"/>
  <c r="C153" i="6" l="1"/>
  <c r="D152" i="6"/>
  <c r="L154" i="6"/>
  <c r="M153" i="6"/>
  <c r="F153" i="6"/>
  <c r="G152" i="6"/>
  <c r="I154" i="6"/>
  <c r="J153" i="6"/>
  <c r="I155" i="6" l="1"/>
  <c r="J154" i="6"/>
  <c r="F154" i="6"/>
  <c r="G153" i="6"/>
  <c r="L155" i="6"/>
  <c r="M154" i="6"/>
  <c r="C154" i="6"/>
  <c r="D153" i="6"/>
  <c r="C155" i="6" l="1"/>
  <c r="D154" i="6"/>
  <c r="L156" i="6"/>
  <c r="M155" i="6"/>
  <c r="F155" i="6"/>
  <c r="G154" i="6"/>
  <c r="I156" i="6"/>
  <c r="J155" i="6"/>
  <c r="I157" i="6" l="1"/>
  <c r="J157" i="6" s="1"/>
  <c r="K2" i="6" s="1"/>
  <c r="J156" i="6"/>
  <c r="F156" i="6"/>
  <c r="G155" i="6"/>
  <c r="L157" i="6"/>
  <c r="M157" i="6" s="1"/>
  <c r="N2" i="6" s="1"/>
  <c r="M156" i="6"/>
  <c r="C156" i="6"/>
  <c r="D155" i="6"/>
  <c r="C157" i="6" l="1"/>
  <c r="D157" i="6" s="1"/>
  <c r="D156" i="6"/>
  <c r="F157" i="6"/>
  <c r="G157" i="6" s="1"/>
  <c r="H2" i="6" s="1"/>
  <c r="G156" i="6"/>
  <c r="E2" i="6" l="1"/>
</calcChain>
</file>

<file path=xl/sharedStrings.xml><?xml version="1.0" encoding="utf-8"?>
<sst xmlns="http://schemas.openxmlformats.org/spreadsheetml/2006/main" count="406" uniqueCount="322">
  <si>
    <t>Total Consumption</t>
  </si>
  <si>
    <t>Date</t>
  </si>
  <si>
    <t>2005 Jan</t>
  </si>
  <si>
    <t>2005 Feb</t>
  </si>
  <si>
    <t>2005 Mar</t>
  </si>
  <si>
    <t>2005 Apr</t>
  </si>
  <si>
    <t>2005 May</t>
  </si>
  <si>
    <t>2005 Jun</t>
  </si>
  <si>
    <t>2005 Jul</t>
  </si>
  <si>
    <t>2005 Aug</t>
  </si>
  <si>
    <t>2005 Sep</t>
  </si>
  <si>
    <t>2005 Oct</t>
  </si>
  <si>
    <t>2005 Nov</t>
  </si>
  <si>
    <t>2005 Dec</t>
  </si>
  <si>
    <t>2006 Jan</t>
  </si>
  <si>
    <t>2006 Feb</t>
  </si>
  <si>
    <t>2006 Mar</t>
  </si>
  <si>
    <t>2006 Apr</t>
  </si>
  <si>
    <t>2006 May</t>
  </si>
  <si>
    <t>2006 Jun</t>
  </si>
  <si>
    <t>2006 Jul</t>
  </si>
  <si>
    <t>2006 Aug</t>
  </si>
  <si>
    <t>2006 Sep</t>
  </si>
  <si>
    <t>2006 Oct</t>
  </si>
  <si>
    <t>2006 Nov</t>
  </si>
  <si>
    <t>2006 Dec</t>
  </si>
  <si>
    <t>2007 Jan</t>
  </si>
  <si>
    <t>2007 Feb</t>
  </si>
  <si>
    <t>2007 Mar</t>
  </si>
  <si>
    <t>2007 Apr</t>
  </si>
  <si>
    <t>2007 May</t>
  </si>
  <si>
    <t>2007 Jun</t>
  </si>
  <si>
    <t>2007 Jul</t>
  </si>
  <si>
    <t>2007 Aug</t>
  </si>
  <si>
    <t>2007 Sep</t>
  </si>
  <si>
    <t>2007 Oct</t>
  </si>
  <si>
    <t>2007 Nov</t>
  </si>
  <si>
    <t>2007 Dec</t>
  </si>
  <si>
    <t>2008 Jan</t>
  </si>
  <si>
    <t>2008 Feb</t>
  </si>
  <si>
    <t>2008 Mar</t>
  </si>
  <si>
    <t>2008 Apr</t>
  </si>
  <si>
    <t>2008 May</t>
  </si>
  <si>
    <t>2008 Jun</t>
  </si>
  <si>
    <t>2008 Jul</t>
  </si>
  <si>
    <t>2008 Aug</t>
  </si>
  <si>
    <t>2008 Sep</t>
  </si>
  <si>
    <t>2008 Oct</t>
  </si>
  <si>
    <t>2008 Nov</t>
  </si>
  <si>
    <t>2008 Dec</t>
  </si>
  <si>
    <t>2009 Jan</t>
  </si>
  <si>
    <t>2009 Feb</t>
  </si>
  <si>
    <t>2009 Mar</t>
  </si>
  <si>
    <t>2009 Apr</t>
  </si>
  <si>
    <t>2009 May</t>
  </si>
  <si>
    <t>2009 Jun</t>
  </si>
  <si>
    <t>2009 Jul</t>
  </si>
  <si>
    <t>2009 Aug</t>
  </si>
  <si>
    <t>2009 Sep</t>
  </si>
  <si>
    <t>2009 Oct</t>
  </si>
  <si>
    <t>2009 Nov</t>
  </si>
  <si>
    <t>2009 Dec</t>
  </si>
  <si>
    <t>2010 Jan</t>
  </si>
  <si>
    <t>2010 Feb</t>
  </si>
  <si>
    <t>2010 Mar</t>
  </si>
  <si>
    <t>2010 Apr</t>
  </si>
  <si>
    <t>2010 May</t>
  </si>
  <si>
    <t>2010 Jun</t>
  </si>
  <si>
    <t>2010 Jul</t>
  </si>
  <si>
    <t>2010 Aug</t>
  </si>
  <si>
    <t>2010 Sep</t>
  </si>
  <si>
    <t>2010 Oct</t>
  </si>
  <si>
    <t>2010 Nov</t>
  </si>
  <si>
    <t>2010 Dec</t>
  </si>
  <si>
    <t>2011 Jan</t>
  </si>
  <si>
    <t>2011 Feb</t>
  </si>
  <si>
    <t>2011 Mar</t>
  </si>
  <si>
    <t>2011 Apr</t>
  </si>
  <si>
    <t>2011 May</t>
  </si>
  <si>
    <t>2011 Jun</t>
  </si>
  <si>
    <t>2011 Jul</t>
  </si>
  <si>
    <t>2011 Aug</t>
  </si>
  <si>
    <t>2011 Sep</t>
  </si>
  <si>
    <t>2011 Oct</t>
  </si>
  <si>
    <t>2011 Nov</t>
  </si>
  <si>
    <t>2011 Dec</t>
  </si>
  <si>
    <t>2012 Jan</t>
  </si>
  <si>
    <t>2012 Feb</t>
  </si>
  <si>
    <t>2012 Mar</t>
  </si>
  <si>
    <t>2012 Apr</t>
  </si>
  <si>
    <t>2012 May</t>
  </si>
  <si>
    <t>2012 Jun</t>
  </si>
  <si>
    <t>2012 Jul</t>
  </si>
  <si>
    <t>2012 Aug</t>
  </si>
  <si>
    <t>2012 Sep</t>
  </si>
  <si>
    <t>2012 Oct</t>
  </si>
  <si>
    <t>2012 Nov</t>
  </si>
  <si>
    <t>2012 Dec</t>
  </si>
  <si>
    <t>2013 Jan</t>
  </si>
  <si>
    <t>2013 Feb</t>
  </si>
  <si>
    <t>2013 Mar</t>
  </si>
  <si>
    <t>2013 Apr</t>
  </si>
  <si>
    <t>2013 May</t>
  </si>
  <si>
    <t>2013 Jun</t>
  </si>
  <si>
    <t>2013 Jul</t>
  </si>
  <si>
    <t>2013 Aug</t>
  </si>
  <si>
    <t>2013 Sep</t>
  </si>
  <si>
    <t>2013 Oct</t>
  </si>
  <si>
    <t>2013 Nov</t>
  </si>
  <si>
    <t>2013 Dec</t>
  </si>
  <si>
    <t>2014 Jan</t>
  </si>
  <si>
    <t>2014 Feb</t>
  </si>
  <si>
    <t>2014 Mar</t>
  </si>
  <si>
    <t>2014 Apr</t>
  </si>
  <si>
    <t>2014 May</t>
  </si>
  <si>
    <t>2014 Jun</t>
  </si>
  <si>
    <t>2014 Jul</t>
  </si>
  <si>
    <t>2014 Aug</t>
  </si>
  <si>
    <t>2014 Sep</t>
  </si>
  <si>
    <t>2014 Oct</t>
  </si>
  <si>
    <t>2014 Nov</t>
  </si>
  <si>
    <t>2014 Dec</t>
  </si>
  <si>
    <t>2015 Jan</t>
  </si>
  <si>
    <t>2015 Feb</t>
  </si>
  <si>
    <t>2015 Mar</t>
  </si>
  <si>
    <t>2015 Apr</t>
  </si>
  <si>
    <t>2015 May</t>
  </si>
  <si>
    <t>2015 Jun</t>
  </si>
  <si>
    <t>2015 Jul</t>
  </si>
  <si>
    <t>2015 Aug</t>
  </si>
  <si>
    <t>2015 Sep</t>
  </si>
  <si>
    <t>2015 Oct</t>
  </si>
  <si>
    <t>2015 Nov</t>
  </si>
  <si>
    <t>2015 Dec</t>
  </si>
  <si>
    <t>2016 Jan</t>
  </si>
  <si>
    <t>2016 Feb</t>
  </si>
  <si>
    <t>2016 Mar</t>
  </si>
  <si>
    <t>2016 Apr</t>
  </si>
  <si>
    <t>2016 May</t>
  </si>
  <si>
    <t>2016 Jun</t>
  </si>
  <si>
    <t>2016 Jul</t>
  </si>
  <si>
    <t>2016 Aug</t>
  </si>
  <si>
    <t>2016 Sep</t>
  </si>
  <si>
    <t>2016 Oct</t>
  </si>
  <si>
    <t>2016 Nov</t>
  </si>
  <si>
    <t>2016 Dec</t>
  </si>
  <si>
    <t>2017 Jan</t>
  </si>
  <si>
    <t>2017 Feb</t>
  </si>
  <si>
    <t>2017 Mar</t>
  </si>
  <si>
    <t>2017 Apr</t>
  </si>
  <si>
    <t>2017 May</t>
  </si>
  <si>
    <t>2017 Jun</t>
  </si>
  <si>
    <t>2017 Jul</t>
  </si>
  <si>
    <t>2017 Aug</t>
  </si>
  <si>
    <t>2017 Sep</t>
  </si>
  <si>
    <t>2017 Oct</t>
  </si>
  <si>
    <t>2017 Nov</t>
  </si>
  <si>
    <t>2017 Dec</t>
  </si>
  <si>
    <t>Index</t>
  </si>
  <si>
    <t>Moving Average</t>
  </si>
  <si>
    <t>CMA</t>
  </si>
  <si>
    <t>Year1</t>
  </si>
  <si>
    <t>Year</t>
  </si>
  <si>
    <t>Year2</t>
  </si>
  <si>
    <t>Year3</t>
  </si>
  <si>
    <t>Year4</t>
  </si>
  <si>
    <t>Year5</t>
  </si>
  <si>
    <t>Year6</t>
  </si>
  <si>
    <t>Year7</t>
  </si>
  <si>
    <t>Year8</t>
  </si>
  <si>
    <t>Year9</t>
  </si>
  <si>
    <t>Year10</t>
  </si>
  <si>
    <t>Year11</t>
  </si>
  <si>
    <t>Year12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</si>
  <si>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</si>
  <si>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</si>
  <si>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</si>
  <si>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</si>
  <si>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</si>
  <si>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</si>
  <si>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</si>
  <si>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</si>
  <si>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</si>
  <si>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</si>
  <si>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</si>
  <si>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</si>
  <si>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Average SN</t>
  </si>
  <si>
    <t xml:space="preserve"> </t>
  </si>
  <si>
    <t>SN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</si>
  <si>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</si>
  <si>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</si>
  <si>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</si>
  <si>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</si>
  <si>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</si>
  <si>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</si>
  <si>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</si>
  <si>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</si>
  <si>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</si>
  <si>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</si>
  <si>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</si>
  <si>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</si>
  <si>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</si>
  <si>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</si>
  <si>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</si>
  <si>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</si>
  <si>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</si>
  <si>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</si>
  <si>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</si>
  <si>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</si>
  <si>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</si>
  <si>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</si>
  <si>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</si>
  <si>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</si>
  <si>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</si>
  <si>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RESIDUAL OUTPUT</t>
  </si>
  <si>
    <t>Observation</t>
  </si>
  <si>
    <t>Predicted Y</t>
  </si>
  <si>
    <t>Residuals</t>
  </si>
  <si>
    <t>Standard Residuals</t>
  </si>
  <si>
    <t>CL</t>
  </si>
  <si>
    <t>IR</t>
  </si>
  <si>
    <t>RMSE</t>
  </si>
  <si>
    <t>Aplha=0.3</t>
  </si>
  <si>
    <t>Difference</t>
  </si>
  <si>
    <t>Alpha=0.5</t>
  </si>
  <si>
    <t>Aplha=0.7</t>
  </si>
  <si>
    <t>Diff</t>
  </si>
  <si>
    <t>Confidence intervals (%): 95</t>
  </si>
  <si>
    <t>Summary statistics:</t>
  </si>
  <si>
    <t>Variable</t>
  </si>
  <si>
    <t>Obs. with missing data</t>
  </si>
  <si>
    <t>Obs. without missing data</t>
  </si>
  <si>
    <t>Minimum</t>
  </si>
  <si>
    <t>Maximum</t>
  </si>
  <si>
    <t>Mean</t>
  </si>
  <si>
    <t>Std. deviation</t>
  </si>
  <si>
    <t>Goodness of fit statistics:</t>
  </si>
  <si>
    <t>DF</t>
  </si>
  <si>
    <t>SSE</t>
  </si>
  <si>
    <t>MSE</t>
  </si>
  <si>
    <t>WN Variance</t>
  </si>
  <si>
    <t>MAPE(Diff)</t>
  </si>
  <si>
    <t>MAPE</t>
  </si>
  <si>
    <t>-2Log(Like.)</t>
  </si>
  <si>
    <t>FPE</t>
  </si>
  <si>
    <t>AIC</t>
  </si>
  <si>
    <t>AICC</t>
  </si>
  <si>
    <t>SBC</t>
  </si>
  <si>
    <t>Iterations</t>
  </si>
  <si>
    <t>Model parameters:</t>
  </si>
  <si>
    <t>Parameter</t>
  </si>
  <si>
    <t>Value</t>
  </si>
  <si>
    <t>Hessian standard error</t>
  </si>
  <si>
    <t>Lower bound (95%)</t>
  </si>
  <si>
    <t>Upper bound (95%)</t>
  </si>
  <si>
    <t>Constant</t>
  </si>
  <si>
    <t>Asympt. standard error</t>
  </si>
  <si>
    <t>AR(1)</t>
  </si>
  <si>
    <t>Predictions and residuals:</t>
  </si>
  <si>
    <t>Standardized residuals</t>
  </si>
  <si>
    <t>Lag</t>
  </si>
  <si>
    <t>Autocorrelation</t>
  </si>
  <si>
    <t>Standard error</t>
  </si>
  <si>
    <t>Partial autocorrelation</t>
  </si>
  <si>
    <t>Alpha=0.8</t>
  </si>
  <si>
    <t>SN+IR</t>
  </si>
  <si>
    <t>Sum</t>
  </si>
  <si>
    <t>Average</t>
  </si>
  <si>
    <t>TR+SN</t>
  </si>
  <si>
    <t>CL+IR</t>
  </si>
  <si>
    <t>Alpha=0.</t>
  </si>
  <si>
    <t>Time series: Workbook = Electricity Consumption.xlsx / Sheet = Exponential Smoothing / Range = 'Exponential Smoothing'!$B:$B / 156 rows and 1 column</t>
  </si>
  <si>
    <t>Smoothing: Holt-Winters</t>
  </si>
  <si>
    <t>Method: Seasonal additive</t>
  </si>
  <si>
    <t>S1: Y(p+1)</t>
  </si>
  <si>
    <t>Alpha: Optimized / Beta: Optimized / Gamma: Optimized / Period = 12</t>
  </si>
  <si>
    <t>Optimize (Convergence = 0.00001 / Iterations = 500)</t>
  </si>
  <si>
    <t>Prediction: 1</t>
  </si>
  <si>
    <t>Goodness of fit statistics (Total Consumption):</t>
  </si>
  <si>
    <t>Statistic</t>
  </si>
  <si>
    <t>MPE</t>
  </si>
  <si>
    <t>MAE</t>
  </si>
  <si>
    <t>R²</t>
  </si>
  <si>
    <t>Convergence</t>
  </si>
  <si>
    <t>Yes</t>
  </si>
  <si>
    <t>Model parameters (Total Consumption):</t>
  </si>
  <si>
    <t>alpha</t>
  </si>
  <si>
    <t>Beta</t>
  </si>
  <si>
    <t>Gamma</t>
  </si>
  <si>
    <t>S1</t>
  </si>
  <si>
    <t>T1</t>
  </si>
  <si>
    <t>Series before and after smoothing (Total Consumption):</t>
  </si>
  <si>
    <t>Holt-Winters(Total Consumption)</t>
  </si>
  <si>
    <r>
      <t>XLSTAT 2018.6.53677  - Smoothing - Start time: 10/9/2018 at 4:42:23 PM / End time: 10/9/2018 at 4:42:24 PM</t>
    </r>
    <r>
      <rPr>
        <sz val="11"/>
        <color rgb="FFFFFFFF"/>
        <rFont val="Calibri"/>
        <family val="2"/>
        <scheme val="minor"/>
      </rPr>
      <t xml:space="preserve"> / Microsoft Excel 16.09126</t>
    </r>
  </si>
  <si>
    <t>Optimize: Least Squares (Convergence = 0.00001 / Iterations = 500)</t>
  </si>
  <si>
    <t>Time series: Workbook = Electricity Consumption.xlsx / Sheet = Data / Range = 'Data'!$A$2:$A$157 / 156 rows and 1 column</t>
  </si>
  <si>
    <t>Center: Yes</t>
  </si>
  <si>
    <t>Series1</t>
  </si>
  <si>
    <t>Results of ARIMA modeling of the Series1 series:</t>
  </si>
  <si>
    <t>White noise tests: h1: 6 / h2: 12 / s: 6</t>
  </si>
  <si>
    <t>Results of the analysis of the Series1 series:</t>
  </si>
  <si>
    <t>Normality test and white noise tests (Series1):</t>
  </si>
  <si>
    <t>p-value</t>
  </si>
  <si>
    <t>Jarque-Bera</t>
  </si>
  <si>
    <t>Box-Pierce</t>
  </si>
  <si>
    <t>Ljung-Box</t>
  </si>
  <si>
    <t>McLeod-Li</t>
  </si>
  <si>
    <t>&lt; 0.0001</t>
  </si>
  <si>
    <t>Descriptive analysis (Series1):</t>
  </si>
  <si>
    <t>Results after optimization (Series1):</t>
  </si>
  <si>
    <t>SAR(1)</t>
  </si>
  <si>
    <t>ARIMA(Series1)</t>
  </si>
  <si>
    <t>AR(2)</t>
  </si>
  <si>
    <t>SAR(2)</t>
  </si>
  <si>
    <r>
      <t>XLSTAT 2018.6.53677  - Descriptive analysis - Start time: 10/13/2018 at 5:38:32 PM / End time: 10/13/2018 at 5:38:32 PM</t>
    </r>
    <r>
      <rPr>
        <sz val="11"/>
        <color rgb="FFFFFFFF"/>
        <rFont val="Calibri"/>
        <family val="2"/>
        <scheme val="minor"/>
      </rPr>
      <t xml:space="preserve"> / Microsoft Excel 16.09126</t>
    </r>
  </si>
  <si>
    <t>XLSTAT 2018.6.53677  - ARIMA - Start time: 10/13/2018 at 5:40:05 PM</t>
  </si>
  <si>
    <t>Model parameters: p = 3 / d = 1 / q = 0 / P = 3 / D = 1 / Q = 0 / s = 12</t>
  </si>
  <si>
    <t>AR(3)</t>
  </si>
  <si>
    <t>SAR(3)</t>
  </si>
  <si>
    <t>deseasonalize</t>
  </si>
  <si>
    <t>TR=2908+8.25*t</t>
  </si>
  <si>
    <t>Residuals +SN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</si>
</sst>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20000"/>
      <name val="Calibri"/>
      <family val="2"/>
      <scheme val="minor"/>
    </font>
    <font>
      <sz val="1"/>
      <color rgb="FFFF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Fill="1" applyBorder="1" applyAlignment="1"/>
    <xf numFmtId="0" fontId="0" fillId="0" borderId="2" xfId="0" applyFill="1" applyBorder="1" applyAlignment="1"/>
    <xf numFmtId="0" fontId="2" fillId="0" borderId="3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Continuous"/>
    </xf>
    <xf numFmtId="0" fontId="0" fillId="0" borderId="0" xfId="0" applyAlignment="1"/>
    <xf numFmtId="0" fontId="0" fillId="0" borderId="1" xfId="0" applyFont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0" fillId="0" borderId="5" xfId="0" applyBorder="1" applyAlignment="1"/>
    <xf numFmtId="0" fontId="0" fillId="0" borderId="5" xfId="0" applyNumberFormat="1" applyBorder="1" applyAlignment="1"/>
    <xf numFmtId="164" fontId="0" fillId="0" borderId="5" xfId="0" applyNumberFormat="1" applyBorder="1" applyAlignment="1"/>
    <xf numFmtId="0" fontId="1" fillId="0" borderId="0" xfId="0" applyFont="1"/>
    <xf numFmtId="0" fontId="0" fillId="0" borderId="1" xfId="0" applyBorder="1" applyAlignment="1"/>
    <xf numFmtId="0" fontId="0" fillId="0" borderId="2" xfId="0" applyBorder="1" applyAlignment="1"/>
    <xf numFmtId="164" fontId="0" fillId="0" borderId="4" xfId="0" applyNumberFormat="1" applyBorder="1" applyAlignment="1"/>
    <xf numFmtId="164" fontId="0" fillId="0" borderId="0" xfId="0" applyNumberFormat="1" applyAlignment="1"/>
    <xf numFmtId="164" fontId="0" fillId="0" borderId="2" xfId="0" applyNumberFormat="1" applyBorder="1" applyAlignment="1"/>
    <xf numFmtId="0" fontId="0" fillId="0" borderId="1" xfId="0" applyNumberFormat="1" applyFont="1" applyBorder="1" applyAlignment="1">
      <alignment horizontal="center"/>
    </xf>
    <xf numFmtId="0" fontId="0" fillId="0" borderId="4" xfId="0" applyNumberFormat="1" applyBorder="1" applyAlignment="1"/>
    <xf numFmtId="0" fontId="0" fillId="0" borderId="0" xfId="0" applyNumberFormat="1" applyAlignment="1"/>
    <xf numFmtId="0" fontId="0" fillId="0" borderId="2" xfId="0" applyNumberFormat="1" applyBorder="1" applyAlignment="1"/>
    <xf numFmtId="0" fontId="0" fillId="0" borderId="0" xfId="0" applyFont="1"/>
    <xf numFmtId="49" fontId="0" fillId="0" borderId="0" xfId="0" applyNumberFormat="1" applyAlignment="1"/>
    <xf numFmtId="49" fontId="4" fillId="0" borderId="5" xfId="0" applyNumberFormat="1" applyFont="1" applyBorder="1" applyAlignment="1"/>
    <xf numFmtId="0" fontId="4" fillId="0" borderId="5" xfId="0" applyNumberFormat="1" applyFont="1" applyBorder="1" applyAlignment="1"/>
    <xf numFmtId="164" fontId="4" fillId="0" borderId="5" xfId="0" applyNumberFormat="1" applyFont="1" applyBorder="1" applyAlignment="1"/>
    <xf numFmtId="49" fontId="0" fillId="0" borderId="4" xfId="0" applyNumberFormat="1" applyBorder="1" applyAlignment="1"/>
    <xf numFmtId="49" fontId="0" fillId="0" borderId="2" xfId="0" applyNumberFormat="1" applyBorder="1" applyAlignment="1"/>
    <xf numFmtId="164" fontId="0" fillId="0" borderId="2" xfId="0" applyNumberFormat="1" applyBorder="1" applyAlignment="1">
      <alignment horizontal="right"/>
    </xf>
    <xf numFmtId="0" fontId="5" fillId="0" borderId="0" xfId="0" applyFont="1"/>
    <xf numFmtId="49" fontId="0" fillId="0" borderId="0" xfId="0" applyNumberFormat="1" applyFont="1" applyFill="1" applyBorder="1" applyAlignment="1">
      <alignment horizontal="center"/>
    </xf>
    <xf numFmtId="0" fontId="0" fillId="0" borderId="4" xfId="0" applyBorder="1" applyAlignment="1"/>
    <xf numFmtId="164" fontId="0" fillId="0" borderId="0" xfId="0" applyNumberFormat="1" applyAlignment="1">
      <alignment horizontal="right"/>
    </xf>
    <xf numFmtId="0" fontId="0" fillId="0" borderId="0" xfId="0" applyBorder="1" applyAlignment="1"/>
    <xf numFmtId="0" fontId="0" fillId="0" borderId="0" xfId="0" applyNumberFormat="1" applyBorder="1" applyAlignment="1"/>
    <xf numFmtId="164" fontId="0" fillId="0" borderId="0" xfId="0" applyNumberFormat="1" applyBorder="1" applyAlignment="1"/>
    <xf numFmtId="164" fontId="0" fillId="0" borderId="0" xfId="0" applyNumberFormat="1" applyBorder="1" applyAlignment="1">
      <alignment horizontal="right"/>
    </xf>
    <xf numFmtId="164" fontId="0" fillId="0" borderId="4" xfId="0" applyNumberFormat="1" applyBorder="1" applyAlignment="1">
      <alignment horizontal="right"/>
    </xf>
    <xf numFmtId="49" fontId="0" fillId="2" borderId="0" xfId="0" applyNumberFormat="1" applyFill="1" applyAlignment="1"/>
    <xf numFmtId="164" fontId="0" fillId="2" borderId="0" xfId="0" applyNumberFormat="1" applyFill="1" applyAlignment="1"/>
    <xf numFmtId="0" fontId="0" fillId="2" borderId="0" xfId="0" applyFill="1" applyAlignme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61570428696413"/>
          <c:y val="0.17171296296296298"/>
          <c:w val="0.87753018372703417"/>
          <c:h val="0.70841097987751533"/>
        </c:manualLayout>
      </c:layout>
      <c:lineChart>
        <c:grouping val="standar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Total Consumption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Data!$B$2:$B$157</c:f>
              <c:numCache>
                <c:formatCode>General</c:formatCode>
                <c:ptCount val="156"/>
                <c:pt idx="0">
                  <c:v>2796.8</c:v>
                </c:pt>
                <c:pt idx="1">
                  <c:v>2791</c:v>
                </c:pt>
                <c:pt idx="2">
                  <c:v>2754.2</c:v>
                </c:pt>
                <c:pt idx="3">
                  <c:v>2968.7</c:v>
                </c:pt>
                <c:pt idx="4">
                  <c:v>2957.3</c:v>
                </c:pt>
                <c:pt idx="5">
                  <c:v>3097.4</c:v>
                </c:pt>
                <c:pt idx="6">
                  <c:v>2994.9</c:v>
                </c:pt>
                <c:pt idx="7">
                  <c:v>3116.5</c:v>
                </c:pt>
                <c:pt idx="8">
                  <c:v>3037.8</c:v>
                </c:pt>
                <c:pt idx="9">
                  <c:v>2916.7</c:v>
                </c:pt>
                <c:pt idx="10">
                  <c:v>3156.6</c:v>
                </c:pt>
                <c:pt idx="11">
                  <c:v>2901.3</c:v>
                </c:pt>
                <c:pt idx="12">
                  <c:v>2975.3</c:v>
                </c:pt>
                <c:pt idx="13">
                  <c:v>2887.4</c:v>
                </c:pt>
                <c:pt idx="14">
                  <c:v>2893.8</c:v>
                </c:pt>
                <c:pt idx="15">
                  <c:v>3023.6</c:v>
                </c:pt>
                <c:pt idx="16">
                  <c:v>3092.5</c:v>
                </c:pt>
                <c:pt idx="17">
                  <c:v>3182.1</c:v>
                </c:pt>
                <c:pt idx="18">
                  <c:v>3007.5</c:v>
                </c:pt>
                <c:pt idx="19">
                  <c:v>3264</c:v>
                </c:pt>
                <c:pt idx="20">
                  <c:v>3114</c:v>
                </c:pt>
                <c:pt idx="21">
                  <c:v>3107.1</c:v>
                </c:pt>
                <c:pt idx="22">
                  <c:v>3215</c:v>
                </c:pt>
                <c:pt idx="23">
                  <c:v>3039.4</c:v>
                </c:pt>
                <c:pt idx="24">
                  <c:v>3166.4</c:v>
                </c:pt>
                <c:pt idx="25">
                  <c:v>2938.6</c:v>
                </c:pt>
                <c:pt idx="26">
                  <c:v>3018.8</c:v>
                </c:pt>
                <c:pt idx="27">
                  <c:v>3150</c:v>
                </c:pt>
                <c:pt idx="28">
                  <c:v>3271.1</c:v>
                </c:pt>
                <c:pt idx="29">
                  <c:v>3222.5</c:v>
                </c:pt>
                <c:pt idx="30">
                  <c:v>3288.9</c:v>
                </c:pt>
                <c:pt idx="31">
                  <c:v>3277.4</c:v>
                </c:pt>
                <c:pt idx="32">
                  <c:v>3205.8</c:v>
                </c:pt>
                <c:pt idx="33">
                  <c:v>3268.2</c:v>
                </c:pt>
                <c:pt idx="34">
                  <c:v>3378.1</c:v>
                </c:pt>
                <c:pt idx="35">
                  <c:v>3119.2</c:v>
                </c:pt>
                <c:pt idx="36">
                  <c:v>3149.8</c:v>
                </c:pt>
                <c:pt idx="37">
                  <c:v>3166.2</c:v>
                </c:pt>
                <c:pt idx="38">
                  <c:v>2987.2</c:v>
                </c:pt>
                <c:pt idx="39">
                  <c:v>3289</c:v>
                </c:pt>
                <c:pt idx="40">
                  <c:v>3279.6</c:v>
                </c:pt>
                <c:pt idx="41">
                  <c:v>3396.1</c:v>
                </c:pt>
                <c:pt idx="42">
                  <c:v>3368.5</c:v>
                </c:pt>
                <c:pt idx="43">
                  <c:v>3176.1</c:v>
                </c:pt>
                <c:pt idx="44">
                  <c:v>3381.5</c:v>
                </c:pt>
                <c:pt idx="45">
                  <c:v>3364.9</c:v>
                </c:pt>
                <c:pt idx="46">
                  <c:v>3249</c:v>
                </c:pt>
                <c:pt idx="47">
                  <c:v>3179.2</c:v>
                </c:pt>
                <c:pt idx="48">
                  <c:v>3005.9</c:v>
                </c:pt>
                <c:pt idx="49">
                  <c:v>3004.8</c:v>
                </c:pt>
                <c:pt idx="50">
                  <c:v>2931.1</c:v>
                </c:pt>
                <c:pt idx="51">
                  <c:v>3103.5</c:v>
                </c:pt>
                <c:pt idx="52">
                  <c:v>3054.9</c:v>
                </c:pt>
                <c:pt idx="53">
                  <c:v>3425.6</c:v>
                </c:pt>
                <c:pt idx="54">
                  <c:v>3414.1</c:v>
                </c:pt>
                <c:pt idx="55">
                  <c:v>3342.7</c:v>
                </c:pt>
                <c:pt idx="56">
                  <c:v>3395.7</c:v>
                </c:pt>
                <c:pt idx="57">
                  <c:v>3419.5</c:v>
                </c:pt>
                <c:pt idx="58">
                  <c:v>3379.9</c:v>
                </c:pt>
                <c:pt idx="59">
                  <c:v>3345.1</c:v>
                </c:pt>
                <c:pt idx="60">
                  <c:v>3242.9</c:v>
                </c:pt>
                <c:pt idx="61">
                  <c:v>3287.1</c:v>
                </c:pt>
                <c:pt idx="62">
                  <c:v>3420.6</c:v>
                </c:pt>
                <c:pt idx="63">
                  <c:v>3588.8</c:v>
                </c:pt>
                <c:pt idx="64">
                  <c:v>3479.4</c:v>
                </c:pt>
                <c:pt idx="65">
                  <c:v>3718.7</c:v>
                </c:pt>
                <c:pt idx="66">
                  <c:v>3571.7</c:v>
                </c:pt>
                <c:pt idx="67">
                  <c:v>3601.5</c:v>
                </c:pt>
                <c:pt idx="68">
                  <c:v>3555.8</c:v>
                </c:pt>
                <c:pt idx="69">
                  <c:v>3514.9</c:v>
                </c:pt>
                <c:pt idx="70">
                  <c:v>3614.4</c:v>
                </c:pt>
                <c:pt idx="71">
                  <c:v>3656</c:v>
                </c:pt>
                <c:pt idx="72">
                  <c:v>3470.4</c:v>
                </c:pt>
                <c:pt idx="73">
                  <c:v>3426.5</c:v>
                </c:pt>
                <c:pt idx="74">
                  <c:v>3308</c:v>
                </c:pt>
                <c:pt idx="75">
                  <c:v>3489.2</c:v>
                </c:pt>
                <c:pt idx="76">
                  <c:v>3552</c:v>
                </c:pt>
                <c:pt idx="77">
                  <c:v>3859.7</c:v>
                </c:pt>
                <c:pt idx="78">
                  <c:v>3639.9</c:v>
                </c:pt>
                <c:pt idx="79">
                  <c:v>3854.2</c:v>
                </c:pt>
                <c:pt idx="80">
                  <c:v>3697.8</c:v>
                </c:pt>
                <c:pt idx="81">
                  <c:v>3582</c:v>
                </c:pt>
                <c:pt idx="82">
                  <c:v>3652.8</c:v>
                </c:pt>
                <c:pt idx="83">
                  <c:v>3474.7</c:v>
                </c:pt>
                <c:pt idx="84">
                  <c:v>3413.9</c:v>
                </c:pt>
                <c:pt idx="85">
                  <c:v>3520.9</c:v>
                </c:pt>
                <c:pt idx="86">
                  <c:v>3464.8</c:v>
                </c:pt>
                <c:pt idx="87">
                  <c:v>3713.5</c:v>
                </c:pt>
                <c:pt idx="88">
                  <c:v>3689.9</c:v>
                </c:pt>
                <c:pt idx="89">
                  <c:v>3820</c:v>
                </c:pt>
                <c:pt idx="90">
                  <c:v>3736</c:v>
                </c:pt>
                <c:pt idx="91">
                  <c:v>3869.3</c:v>
                </c:pt>
                <c:pt idx="92">
                  <c:v>3833.2</c:v>
                </c:pt>
                <c:pt idx="93">
                  <c:v>3716.3</c:v>
                </c:pt>
                <c:pt idx="94">
                  <c:v>3772.2</c:v>
                </c:pt>
                <c:pt idx="95">
                  <c:v>3650.8</c:v>
                </c:pt>
                <c:pt idx="96">
                  <c:v>3711</c:v>
                </c:pt>
                <c:pt idx="97">
                  <c:v>3470.8</c:v>
                </c:pt>
                <c:pt idx="98">
                  <c:v>3397.3</c:v>
                </c:pt>
                <c:pt idx="99">
                  <c:v>3772</c:v>
                </c:pt>
                <c:pt idx="100">
                  <c:v>3793.3</c:v>
                </c:pt>
                <c:pt idx="101">
                  <c:v>3853.7</c:v>
                </c:pt>
                <c:pt idx="102">
                  <c:v>3904.5</c:v>
                </c:pt>
                <c:pt idx="103">
                  <c:v>3911.2</c:v>
                </c:pt>
                <c:pt idx="104">
                  <c:v>3832.5</c:v>
                </c:pt>
                <c:pt idx="105">
                  <c:v>3717.4</c:v>
                </c:pt>
                <c:pt idx="106">
                  <c:v>3884.6</c:v>
                </c:pt>
                <c:pt idx="107">
                  <c:v>3700.4</c:v>
                </c:pt>
                <c:pt idx="108">
                  <c:v>3726.7</c:v>
                </c:pt>
                <c:pt idx="109">
                  <c:v>3680.6</c:v>
                </c:pt>
                <c:pt idx="110">
                  <c:v>3491.4</c:v>
                </c:pt>
                <c:pt idx="111">
                  <c:v>3874.3</c:v>
                </c:pt>
                <c:pt idx="112">
                  <c:v>3931.1</c:v>
                </c:pt>
                <c:pt idx="113">
                  <c:v>3973</c:v>
                </c:pt>
                <c:pt idx="114">
                  <c:v>3971.4</c:v>
                </c:pt>
                <c:pt idx="115">
                  <c:v>4103.6000000000004</c:v>
                </c:pt>
                <c:pt idx="116">
                  <c:v>3945.7</c:v>
                </c:pt>
                <c:pt idx="117">
                  <c:v>3977.8</c:v>
                </c:pt>
                <c:pt idx="118">
                  <c:v>3931.2</c:v>
                </c:pt>
                <c:pt idx="119">
                  <c:v>3796.3</c:v>
                </c:pt>
                <c:pt idx="120">
                  <c:v>3897.3</c:v>
                </c:pt>
                <c:pt idx="121">
                  <c:v>3685.9</c:v>
                </c:pt>
                <c:pt idx="122">
                  <c:v>3687</c:v>
                </c:pt>
                <c:pt idx="123">
                  <c:v>3973.2</c:v>
                </c:pt>
                <c:pt idx="124">
                  <c:v>3981.6</c:v>
                </c:pt>
                <c:pt idx="125">
                  <c:v>4030.6</c:v>
                </c:pt>
                <c:pt idx="126">
                  <c:v>4030.6</c:v>
                </c:pt>
                <c:pt idx="127">
                  <c:v>4148.3</c:v>
                </c:pt>
                <c:pt idx="128">
                  <c:v>4068.8</c:v>
                </c:pt>
                <c:pt idx="129">
                  <c:v>4045.7</c:v>
                </c:pt>
                <c:pt idx="130">
                  <c:v>4043.5</c:v>
                </c:pt>
                <c:pt idx="131">
                  <c:v>3921.4</c:v>
                </c:pt>
                <c:pt idx="132">
                  <c:v>3876.3</c:v>
                </c:pt>
                <c:pt idx="133">
                  <c:v>3928.4</c:v>
                </c:pt>
                <c:pt idx="134">
                  <c:v>3727.7</c:v>
                </c:pt>
                <c:pt idx="135">
                  <c:v>4044.9</c:v>
                </c:pt>
                <c:pt idx="136">
                  <c:v>4068.6</c:v>
                </c:pt>
                <c:pt idx="137">
                  <c:v>4240.1000000000004</c:v>
                </c:pt>
                <c:pt idx="138">
                  <c:v>4052.5</c:v>
                </c:pt>
                <c:pt idx="139">
                  <c:v>4230.7</c:v>
                </c:pt>
                <c:pt idx="140">
                  <c:v>4093</c:v>
                </c:pt>
                <c:pt idx="141">
                  <c:v>4174.1000000000004</c:v>
                </c:pt>
                <c:pt idx="142">
                  <c:v>4192.3</c:v>
                </c:pt>
                <c:pt idx="143">
                  <c:v>3998.1</c:v>
                </c:pt>
                <c:pt idx="144">
                  <c:v>4115.8</c:v>
                </c:pt>
                <c:pt idx="145">
                  <c:v>4048.7</c:v>
                </c:pt>
                <c:pt idx="146">
                  <c:v>3854.8</c:v>
                </c:pt>
                <c:pt idx="147">
                  <c:v>3930.9</c:v>
                </c:pt>
                <c:pt idx="148">
                  <c:v>4169.3</c:v>
                </c:pt>
                <c:pt idx="149">
                  <c:v>4070.6</c:v>
                </c:pt>
                <c:pt idx="150">
                  <c:v>4223.5</c:v>
                </c:pt>
                <c:pt idx="151">
                  <c:v>4369.3</c:v>
                </c:pt>
                <c:pt idx="152">
                  <c:v>4112.6000000000004</c:v>
                </c:pt>
                <c:pt idx="153">
                  <c:v>4165.6000000000004</c:v>
                </c:pt>
                <c:pt idx="154">
                  <c:v>4212.6000000000004</c:v>
                </c:pt>
                <c:pt idx="155">
                  <c:v>4163.5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A8-47CC-A6AD-74BF4E2DC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7005520"/>
        <c:axId val="407009456"/>
      </c:lineChart>
      <c:catAx>
        <c:axId val="4070055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09456"/>
        <c:crosses val="autoZero"/>
        <c:auto val="1"/>
        <c:lblAlgn val="ctr"/>
        <c:lblOffset val="100"/>
        <c:noMultiLvlLbl val="0"/>
      </c:catAx>
      <c:valAx>
        <c:axId val="40700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0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SG"/>
              <a:t>X Variable 1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Decomposition!$B$2:$B$157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'Decomp-Regression'!$C$25:$C$180</c:f>
              <c:numCache>
                <c:formatCode>General</c:formatCode>
                <c:ptCount val="156"/>
                <c:pt idx="0">
                  <c:v>-28.769652136981222</c:v>
                </c:pt>
                <c:pt idx="1">
                  <c:v>-3.1192933030015411</c:v>
                </c:pt>
                <c:pt idx="2">
                  <c:v>-0.90921224679959778</c:v>
                </c:pt>
                <c:pt idx="3">
                  <c:v>31.242188253846507</c:v>
                </c:pt>
                <c:pt idx="4">
                  <c:v>0.70018597671560201</c:v>
                </c:pt>
                <c:pt idx="5">
                  <c:v>10.897072588472838</c:v>
                </c:pt>
                <c:pt idx="6">
                  <c:v>-35.081388021992097</c:v>
                </c:pt>
                <c:pt idx="7">
                  <c:v>28.73910970087627</c:v>
                </c:pt>
                <c:pt idx="8">
                  <c:v>-0.81990646514395848</c:v>
                </c:pt>
                <c:pt idx="9">
                  <c:v>-111.84558929783134</c:v>
                </c:pt>
                <c:pt idx="10">
                  <c:v>95.586366758370332</c:v>
                </c:pt>
                <c:pt idx="11">
                  <c:v>-41.183760518760664</c:v>
                </c:pt>
                <c:pt idx="12">
                  <c:v>50.663820537440643</c:v>
                </c:pt>
                <c:pt idx="13">
                  <c:v>-5.7858206285800406</c:v>
                </c:pt>
                <c:pt idx="14">
                  <c:v>39.62426042762263</c:v>
                </c:pt>
                <c:pt idx="15">
                  <c:v>-12.924339071731538</c:v>
                </c:pt>
                <c:pt idx="16">
                  <c:v>36.83365865113683</c:v>
                </c:pt>
                <c:pt idx="17">
                  <c:v>-3.4694547371054796</c:v>
                </c:pt>
                <c:pt idx="18">
                  <c:v>-121.54791534757032</c:v>
                </c:pt>
                <c:pt idx="19">
                  <c:v>77.172582375298134</c:v>
                </c:pt>
                <c:pt idx="20">
                  <c:v>-23.686433790722731</c:v>
                </c:pt>
                <c:pt idx="21">
                  <c:v>-20.512116623409383</c:v>
                </c:pt>
                <c:pt idx="22">
                  <c:v>54.919839432792287</c:v>
                </c:pt>
                <c:pt idx="23">
                  <c:v>-2.1502878443393456</c:v>
                </c:pt>
                <c:pt idx="24">
                  <c:v>142.69729321186242</c:v>
                </c:pt>
                <c:pt idx="25">
                  <c:v>-53.652347954158358</c:v>
                </c:pt>
                <c:pt idx="26">
                  <c:v>65.55773310204404</c:v>
                </c:pt>
                <c:pt idx="27">
                  <c:v>14.409133602690417</c:v>
                </c:pt>
                <c:pt idx="28">
                  <c:v>116.3671313255586</c:v>
                </c:pt>
                <c:pt idx="29">
                  <c:v>-62.135982062683979</c:v>
                </c:pt>
                <c:pt idx="30">
                  <c:v>60.785557326851631</c:v>
                </c:pt>
                <c:pt idx="31">
                  <c:v>-8.4939449502799107</c:v>
                </c:pt>
                <c:pt idx="32">
                  <c:v>-30.952961116300685</c:v>
                </c:pt>
                <c:pt idx="33">
                  <c:v>41.521356051011935</c:v>
                </c:pt>
                <c:pt idx="34">
                  <c:v>118.95331210721406</c:v>
                </c:pt>
                <c:pt idx="35">
                  <c:v>-21.416815169917754</c:v>
                </c:pt>
                <c:pt idx="36">
                  <c:v>27.030765886283916</c:v>
                </c:pt>
                <c:pt idx="37">
                  <c:v>74.881124720263415</c:v>
                </c:pt>
                <c:pt idx="38">
                  <c:v>-65.10879422353446</c:v>
                </c:pt>
                <c:pt idx="39">
                  <c:v>54.342606277111827</c:v>
                </c:pt>
                <c:pt idx="40">
                  <c:v>25.800603999980467</c:v>
                </c:pt>
                <c:pt idx="41">
                  <c:v>12.397490611737794</c:v>
                </c:pt>
                <c:pt idx="42">
                  <c:v>41.319030001272949</c:v>
                </c:pt>
                <c:pt idx="43">
                  <c:v>-208.86047227585823</c:v>
                </c:pt>
                <c:pt idx="44">
                  <c:v>45.680511558120998</c:v>
                </c:pt>
                <c:pt idx="45">
                  <c:v>39.154828725434072</c:v>
                </c:pt>
                <c:pt idx="46">
                  <c:v>-109.21321521836444</c:v>
                </c:pt>
                <c:pt idx="47">
                  <c:v>-60.48334249549589</c:v>
                </c:pt>
                <c:pt idx="48">
                  <c:v>-215.93576143929431</c:v>
                </c:pt>
                <c:pt idx="49">
                  <c:v>-185.58540260531481</c:v>
                </c:pt>
                <c:pt idx="50">
                  <c:v>-220.2753215491125</c:v>
                </c:pt>
                <c:pt idx="51">
                  <c:v>-230.22392104846631</c:v>
                </c:pt>
                <c:pt idx="52">
                  <c:v>-297.96592332559794</c:v>
                </c:pt>
                <c:pt idx="53">
                  <c:v>-57.169036713840342</c:v>
                </c:pt>
                <c:pt idx="54">
                  <c:v>-12.147497324305277</c:v>
                </c:pt>
                <c:pt idx="55">
                  <c:v>-141.32699960143691</c:v>
                </c:pt>
                <c:pt idx="56">
                  <c:v>-39.18601576745732</c:v>
                </c:pt>
                <c:pt idx="57">
                  <c:v>-5.3116986001441546</c:v>
                </c:pt>
                <c:pt idx="58">
                  <c:v>-77.379742543942484</c:v>
                </c:pt>
                <c:pt idx="59">
                  <c:v>6.3501301789256104</c:v>
                </c:pt>
                <c:pt idx="60">
                  <c:v>-78.002288764872446</c:v>
                </c:pt>
                <c:pt idx="61">
                  <c:v>-2.3519299308932204</c:v>
                </c:pt>
                <c:pt idx="62">
                  <c:v>170.15815112530936</c:v>
                </c:pt>
                <c:pt idx="63">
                  <c:v>156.00955162595574</c:v>
                </c:pt>
                <c:pt idx="64">
                  <c:v>27.467549348823923</c:v>
                </c:pt>
                <c:pt idx="65">
                  <c:v>136.86443596058098</c:v>
                </c:pt>
                <c:pt idx="66">
                  <c:v>46.385975350116496</c:v>
                </c:pt>
                <c:pt idx="67">
                  <c:v>18.406473072985136</c:v>
                </c:pt>
                <c:pt idx="68">
                  <c:v>21.847456906964453</c:v>
                </c:pt>
                <c:pt idx="69">
                  <c:v>-8.9782259257221995</c:v>
                </c:pt>
                <c:pt idx="70">
                  <c:v>58.05373013047938</c:v>
                </c:pt>
                <c:pt idx="71">
                  <c:v>218.18360285334757</c:v>
                </c:pt>
                <c:pt idx="72">
                  <c:v>50.431183909548963</c:v>
                </c:pt>
                <c:pt idx="73">
                  <c:v>37.981542743528735</c:v>
                </c:pt>
                <c:pt idx="74">
                  <c:v>-41.50837620026914</c:v>
                </c:pt>
                <c:pt idx="75">
                  <c:v>-42.656975699622762</c:v>
                </c:pt>
                <c:pt idx="76">
                  <c:v>1.0010220232456959</c:v>
                </c:pt>
                <c:pt idx="77">
                  <c:v>178.79790863500284</c:v>
                </c:pt>
                <c:pt idx="78">
                  <c:v>15.519448024538178</c:v>
                </c:pt>
                <c:pt idx="79">
                  <c:v>172.03994574740682</c:v>
                </c:pt>
                <c:pt idx="80">
                  <c:v>64.780929581386317</c:v>
                </c:pt>
                <c:pt idx="81">
                  <c:v>-40.944753251300881</c:v>
                </c:pt>
                <c:pt idx="82">
                  <c:v>-2.6127971950986648</c:v>
                </c:pt>
                <c:pt idx="83">
                  <c:v>-62.182924472230752</c:v>
                </c:pt>
                <c:pt idx="84">
                  <c:v>-105.13534341602917</c:v>
                </c:pt>
                <c:pt idx="85">
                  <c:v>33.315015417950235</c:v>
                </c:pt>
                <c:pt idx="86">
                  <c:v>16.225096474152906</c:v>
                </c:pt>
                <c:pt idx="87">
                  <c:v>82.576496974798829</c:v>
                </c:pt>
                <c:pt idx="88">
                  <c:v>39.834494697667651</c:v>
                </c:pt>
                <c:pt idx="89">
                  <c:v>40.031381309424887</c:v>
                </c:pt>
                <c:pt idx="90">
                  <c:v>12.552920698959952</c:v>
                </c:pt>
                <c:pt idx="91">
                  <c:v>88.073418421828592</c:v>
                </c:pt>
                <c:pt idx="92">
                  <c:v>101.11440225580782</c:v>
                </c:pt>
                <c:pt idx="93">
                  <c:v>-5.7112805768788348</c:v>
                </c:pt>
                <c:pt idx="94">
                  <c:v>17.720675479322381</c:v>
                </c:pt>
                <c:pt idx="95">
                  <c:v>14.850548202191476</c:v>
                </c:pt>
                <c:pt idx="96">
                  <c:v>92.898129258392601</c:v>
                </c:pt>
                <c:pt idx="97">
                  <c:v>-115.85151190762781</c:v>
                </c:pt>
                <c:pt idx="98">
                  <c:v>-150.34143085142568</c:v>
                </c:pt>
                <c:pt idx="99">
                  <c:v>42.009969649220693</c:v>
                </c:pt>
                <c:pt idx="100">
                  <c:v>44.167967372089151</c:v>
                </c:pt>
                <c:pt idx="101">
                  <c:v>-25.335146016153431</c:v>
                </c:pt>
                <c:pt idx="102">
                  <c:v>81.986393373381816</c:v>
                </c:pt>
                <c:pt idx="103">
                  <c:v>30.906891096250092</c:v>
                </c:pt>
                <c:pt idx="104">
                  <c:v>1.3478749302294091</c:v>
                </c:pt>
                <c:pt idx="105">
                  <c:v>-103.67780790245706</c:v>
                </c:pt>
                <c:pt idx="106">
                  <c:v>31.054148153744336</c:v>
                </c:pt>
                <c:pt idx="107">
                  <c:v>-34.615979123387206</c:v>
                </c:pt>
                <c:pt idx="108">
                  <c:v>9.5316019328142829</c:v>
                </c:pt>
                <c:pt idx="109">
                  <c:v>-5.1180392332062183</c:v>
                </c:pt>
                <c:pt idx="110">
                  <c:v>-155.30795817700391</c:v>
                </c:pt>
                <c:pt idx="111">
                  <c:v>45.243442323642284</c:v>
                </c:pt>
                <c:pt idx="112">
                  <c:v>82.901440046510743</c:v>
                </c:pt>
                <c:pt idx="113">
                  <c:v>-5.1016733417318392</c:v>
                </c:pt>
                <c:pt idx="114">
                  <c:v>49.819866047803771</c:v>
                </c:pt>
                <c:pt idx="115">
                  <c:v>124.2403637706725</c:v>
                </c:pt>
                <c:pt idx="116">
                  <c:v>15.481347604651091</c:v>
                </c:pt>
                <c:pt idx="117">
                  <c:v>57.655664771964439</c:v>
                </c:pt>
                <c:pt idx="118">
                  <c:v>-21.412379171833891</c:v>
                </c:pt>
                <c:pt idx="119">
                  <c:v>-37.78250644896525</c:v>
                </c:pt>
                <c:pt idx="120">
                  <c:v>81.065074607236056</c:v>
                </c:pt>
                <c:pt idx="121">
                  <c:v>-98.884566558784172</c:v>
                </c:pt>
                <c:pt idx="122">
                  <c:v>-58.774485502582138</c:v>
                </c:pt>
                <c:pt idx="123">
                  <c:v>45.076914998063785</c:v>
                </c:pt>
                <c:pt idx="124">
                  <c:v>34.334912720932152</c:v>
                </c:pt>
                <c:pt idx="125">
                  <c:v>-46.568200667310066</c:v>
                </c:pt>
                <c:pt idx="126">
                  <c:v>9.9533387222249985</c:v>
                </c:pt>
                <c:pt idx="127">
                  <c:v>69.873836445094184</c:v>
                </c:pt>
                <c:pt idx="128">
                  <c:v>39.514820279073319</c:v>
                </c:pt>
                <c:pt idx="129">
                  <c:v>26.489137446385939</c:v>
                </c:pt>
                <c:pt idx="130">
                  <c:v>-8.1789064974122994</c:v>
                </c:pt>
                <c:pt idx="131">
                  <c:v>-11.749033774543932</c:v>
                </c:pt>
                <c:pt idx="132">
                  <c:v>-39.00145271834208</c:v>
                </c:pt>
                <c:pt idx="133">
                  <c:v>44.548906115637692</c:v>
                </c:pt>
                <c:pt idx="134">
                  <c:v>-117.14101282816046</c:v>
                </c:pt>
                <c:pt idx="135">
                  <c:v>17.710387672485922</c:v>
                </c:pt>
                <c:pt idx="136">
                  <c:v>22.268385395354017</c:v>
                </c:pt>
                <c:pt idx="137">
                  <c:v>63.865272007111344</c:v>
                </c:pt>
                <c:pt idx="138">
                  <c:v>-67.213188603353046</c:v>
                </c:pt>
                <c:pt idx="139">
                  <c:v>53.207309119514775</c:v>
                </c:pt>
                <c:pt idx="140">
                  <c:v>-35.351707046504998</c:v>
                </c:pt>
                <c:pt idx="141">
                  <c:v>55.822610120808349</c:v>
                </c:pt>
                <c:pt idx="142">
                  <c:v>41.554566177009292</c:v>
                </c:pt>
                <c:pt idx="143">
                  <c:v>-34.11556110012225</c:v>
                </c:pt>
                <c:pt idx="144">
                  <c:v>101.43201995607888</c:v>
                </c:pt>
                <c:pt idx="145">
                  <c:v>65.782378790059738</c:v>
                </c:pt>
                <c:pt idx="146">
                  <c:v>-89.107540153738228</c:v>
                </c:pt>
                <c:pt idx="147">
                  <c:v>-195.35613965309221</c:v>
                </c:pt>
                <c:pt idx="148">
                  <c:v>23.901858069775699</c:v>
                </c:pt>
                <c:pt idx="149">
                  <c:v>-204.70125531846679</c:v>
                </c:pt>
                <c:pt idx="150">
                  <c:v>4.7202840710679084</c:v>
                </c:pt>
                <c:pt idx="151">
                  <c:v>92.740781793936549</c:v>
                </c:pt>
                <c:pt idx="152">
                  <c:v>-114.81823437208368</c:v>
                </c:pt>
                <c:pt idx="153">
                  <c:v>-51.743917204769787</c:v>
                </c:pt>
                <c:pt idx="154">
                  <c:v>-37.211961148568662</c:v>
                </c:pt>
                <c:pt idx="155">
                  <c:v>32.217911574299251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BE5-4EF6-BD50-026363AB0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5425936"/>
        <c:axId val="905426592"/>
      </c:scatterChart>
      <c:valAx>
        <c:axId val="905425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SG"/>
                  <a:t>X Variable 1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5426592"/>
        <c:crosses val="autoZero"/>
        <c:crossBetween val="midCat"/>
      </c:valAx>
      <c:valAx>
        <c:axId val="9054265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SG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5425936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SG"/>
              <a:t>X Variable 1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19050">
              <a:noFill/>
            </a:ln>
          </c:spPr>
          <c:xVal>
            <c:numRef>
              <c:f>Decomposition!$B$2:$B$157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Decomposition!$K$2:$K$157</c:f>
              <c:numCache>
                <c:formatCode>General</c:formatCode>
                <c:ptCount val="156"/>
                <c:pt idx="0">
                  <c:v>2887.8051793981481</c:v>
                </c:pt>
                <c:pt idx="1">
                  <c:v>2921.7110821759256</c:v>
                </c:pt>
                <c:pt idx="2">
                  <c:v>2932.1767071759259</c:v>
                </c:pt>
                <c:pt idx="3">
                  <c:v>2972.5836516203703</c:v>
                </c:pt>
                <c:pt idx="4">
                  <c:v>2950.2971932870373</c:v>
                </c:pt>
                <c:pt idx="5">
                  <c:v>2968.7496238425929</c:v>
                </c:pt>
                <c:pt idx="6">
                  <c:v>2931.0267071759263</c:v>
                </c:pt>
                <c:pt idx="7">
                  <c:v>3003.102748842593</c:v>
                </c:pt>
                <c:pt idx="8">
                  <c:v>2981.7992766203706</c:v>
                </c:pt>
                <c:pt idx="9">
                  <c:v>2879.0291377314816</c:v>
                </c:pt>
                <c:pt idx="10">
                  <c:v>3094.7166377314816</c:v>
                </c:pt>
                <c:pt idx="11">
                  <c:v>2966.2020543981484</c:v>
                </c:pt>
                <c:pt idx="12">
                  <c:v>3066.3051793981481</c:v>
                </c:pt>
                <c:pt idx="13">
                  <c:v>3018.1110821759257</c:v>
                </c:pt>
                <c:pt idx="14">
                  <c:v>3071.7767071759263</c:v>
                </c:pt>
                <c:pt idx="15">
                  <c:v>3027.4836516203704</c:v>
                </c:pt>
                <c:pt idx="16">
                  <c:v>3085.4971932870371</c:v>
                </c:pt>
                <c:pt idx="17">
                  <c:v>3053.4496238425927</c:v>
                </c:pt>
                <c:pt idx="18">
                  <c:v>2943.6267071759262</c:v>
                </c:pt>
                <c:pt idx="19">
                  <c:v>3150.602748842593</c:v>
                </c:pt>
                <c:pt idx="20">
                  <c:v>3057.9992766203704</c:v>
                </c:pt>
                <c:pt idx="21">
                  <c:v>3069.4291377314817</c:v>
                </c:pt>
                <c:pt idx="22">
                  <c:v>3153.1166377314817</c:v>
                </c:pt>
                <c:pt idx="23">
                  <c:v>3104.3020543981484</c:v>
                </c:pt>
                <c:pt idx="24">
                  <c:v>3257.405179398148</c:v>
                </c:pt>
                <c:pt idx="25">
                  <c:v>3069.3110821759255</c:v>
                </c:pt>
                <c:pt idx="26">
                  <c:v>3196.7767071759263</c:v>
                </c:pt>
                <c:pt idx="27">
                  <c:v>3153.8836516203705</c:v>
                </c:pt>
                <c:pt idx="28">
                  <c:v>3264.097193287037</c:v>
                </c:pt>
                <c:pt idx="29">
                  <c:v>3093.8496238425928</c:v>
                </c:pt>
                <c:pt idx="30">
                  <c:v>3225.0267071759263</c:v>
                </c:pt>
                <c:pt idx="31">
                  <c:v>3164.0027488425931</c:v>
                </c:pt>
                <c:pt idx="32">
                  <c:v>3149.7992766203706</c:v>
                </c:pt>
                <c:pt idx="33">
                  <c:v>3230.5291377314816</c:v>
                </c:pt>
                <c:pt idx="34">
                  <c:v>3316.2166377314816</c:v>
                </c:pt>
                <c:pt idx="35">
                  <c:v>3184.1020543981481</c:v>
                </c:pt>
                <c:pt idx="36">
                  <c:v>3240.8051793981481</c:v>
                </c:pt>
                <c:pt idx="37">
                  <c:v>3296.9110821759255</c:v>
                </c:pt>
                <c:pt idx="38">
                  <c:v>3165.1767071759259</c:v>
                </c:pt>
                <c:pt idx="39">
                  <c:v>3292.8836516203705</c:v>
                </c:pt>
                <c:pt idx="40">
                  <c:v>3272.597193287037</c:v>
                </c:pt>
                <c:pt idx="41">
                  <c:v>3267.4496238425927</c:v>
                </c:pt>
                <c:pt idx="42">
                  <c:v>3304.6267071759262</c:v>
                </c:pt>
                <c:pt idx="43">
                  <c:v>3062.7027488425929</c:v>
                </c:pt>
                <c:pt idx="44">
                  <c:v>3325.4992766203704</c:v>
                </c:pt>
                <c:pt idx="45">
                  <c:v>3327.2291377314818</c:v>
                </c:pt>
                <c:pt idx="46">
                  <c:v>3187.1166377314817</c:v>
                </c:pt>
                <c:pt idx="47">
                  <c:v>3244.1020543981481</c:v>
                </c:pt>
                <c:pt idx="48">
                  <c:v>3096.905179398148</c:v>
                </c:pt>
                <c:pt idx="49">
                  <c:v>3135.5110821759258</c:v>
                </c:pt>
                <c:pt idx="50">
                  <c:v>3109.076707175926</c:v>
                </c:pt>
                <c:pt idx="51">
                  <c:v>3107.3836516203705</c:v>
                </c:pt>
                <c:pt idx="52">
                  <c:v>3047.8971932870372</c:v>
                </c:pt>
                <c:pt idx="53">
                  <c:v>3296.9496238425927</c:v>
                </c:pt>
                <c:pt idx="54">
                  <c:v>3350.2267071759261</c:v>
                </c:pt>
                <c:pt idx="55">
                  <c:v>3229.3027488425928</c:v>
                </c:pt>
                <c:pt idx="56">
                  <c:v>3339.6992766203703</c:v>
                </c:pt>
                <c:pt idx="57">
                  <c:v>3381.8291377314818</c:v>
                </c:pt>
                <c:pt idx="58">
                  <c:v>3318.0166377314818</c:v>
                </c:pt>
                <c:pt idx="59">
                  <c:v>3410.0020543981482</c:v>
                </c:pt>
                <c:pt idx="60">
                  <c:v>3333.905179398148</c:v>
                </c:pt>
                <c:pt idx="61">
                  <c:v>3417.8110821759255</c:v>
                </c:pt>
                <c:pt idx="62">
                  <c:v>3598.576707175926</c:v>
                </c:pt>
                <c:pt idx="63">
                  <c:v>3592.6836516203707</c:v>
                </c:pt>
                <c:pt idx="64">
                  <c:v>3472.3971932870372</c:v>
                </c:pt>
                <c:pt idx="65">
                  <c:v>3590.0496238425926</c:v>
                </c:pt>
                <c:pt idx="66">
                  <c:v>3507.826707175926</c:v>
                </c:pt>
                <c:pt idx="67">
                  <c:v>3488.102748842593</c:v>
                </c:pt>
                <c:pt idx="68">
                  <c:v>3499.7992766203706</c:v>
                </c:pt>
                <c:pt idx="69">
                  <c:v>3477.2291377314818</c:v>
                </c:pt>
                <c:pt idx="70">
                  <c:v>3552.5166377314818</c:v>
                </c:pt>
                <c:pt idx="71">
                  <c:v>3720.9020543981483</c:v>
                </c:pt>
                <c:pt idx="72">
                  <c:v>3561.405179398148</c:v>
                </c:pt>
                <c:pt idx="73">
                  <c:v>3557.2110821759256</c:v>
                </c:pt>
                <c:pt idx="74">
                  <c:v>3485.9767071759261</c:v>
                </c:pt>
                <c:pt idx="75">
                  <c:v>3493.0836516203703</c:v>
                </c:pt>
                <c:pt idx="76">
                  <c:v>3544.9971932870371</c:v>
                </c:pt>
                <c:pt idx="77">
                  <c:v>3731.0496238425926</c:v>
                </c:pt>
                <c:pt idx="78">
                  <c:v>3576.0267071759263</c:v>
                </c:pt>
                <c:pt idx="79">
                  <c:v>3740.8027488425928</c:v>
                </c:pt>
                <c:pt idx="80">
                  <c:v>3641.7992766203706</c:v>
                </c:pt>
                <c:pt idx="81">
                  <c:v>3544.3291377314818</c:v>
                </c:pt>
                <c:pt idx="82">
                  <c:v>3590.9166377314818</c:v>
                </c:pt>
                <c:pt idx="83">
                  <c:v>3539.6020543981481</c:v>
                </c:pt>
                <c:pt idx="84">
                  <c:v>3504.905179398148</c:v>
                </c:pt>
                <c:pt idx="85">
                  <c:v>3651.6110821759257</c:v>
                </c:pt>
                <c:pt idx="86">
                  <c:v>3642.7767071759263</c:v>
                </c:pt>
                <c:pt idx="87">
                  <c:v>3717.3836516203705</c:v>
                </c:pt>
                <c:pt idx="88">
                  <c:v>3682.8971932870372</c:v>
                </c:pt>
                <c:pt idx="89">
                  <c:v>3691.3496238425928</c:v>
                </c:pt>
                <c:pt idx="90">
                  <c:v>3672.1267071759262</c:v>
                </c:pt>
                <c:pt idx="91">
                  <c:v>3755.9027488425932</c:v>
                </c:pt>
                <c:pt idx="92">
                  <c:v>3777.1992766203703</c:v>
                </c:pt>
                <c:pt idx="93">
                  <c:v>3678.6291377314819</c:v>
                </c:pt>
                <c:pt idx="94">
                  <c:v>3710.3166377314815</c:v>
                </c:pt>
                <c:pt idx="95">
                  <c:v>3715.7020543981484</c:v>
                </c:pt>
                <c:pt idx="96">
                  <c:v>3802.0051793981479</c:v>
                </c:pt>
                <c:pt idx="97">
                  <c:v>3601.5110821759258</c:v>
                </c:pt>
                <c:pt idx="98">
                  <c:v>3575.2767071759263</c:v>
                </c:pt>
                <c:pt idx="99">
                  <c:v>3775.8836516203705</c:v>
                </c:pt>
                <c:pt idx="100">
                  <c:v>3786.2971932870373</c:v>
                </c:pt>
                <c:pt idx="101">
                  <c:v>3725.0496238425926</c:v>
                </c:pt>
                <c:pt idx="102">
                  <c:v>3840.6267071759262</c:v>
                </c:pt>
                <c:pt idx="103">
                  <c:v>3797.8027488425928</c:v>
                </c:pt>
                <c:pt idx="104">
                  <c:v>3776.4992766203704</c:v>
                </c:pt>
                <c:pt idx="105">
                  <c:v>3679.7291377314818</c:v>
                </c:pt>
                <c:pt idx="106">
                  <c:v>3822.7166377314816</c:v>
                </c:pt>
                <c:pt idx="107">
                  <c:v>3765.3020543981484</c:v>
                </c:pt>
                <c:pt idx="108">
                  <c:v>3817.7051793981477</c:v>
                </c:pt>
                <c:pt idx="109">
                  <c:v>3811.3110821759255</c:v>
                </c:pt>
                <c:pt idx="110">
                  <c:v>3669.3767071759262</c:v>
                </c:pt>
                <c:pt idx="111">
                  <c:v>3878.1836516203707</c:v>
                </c:pt>
                <c:pt idx="112">
                  <c:v>3924.097193287037</c:v>
                </c:pt>
                <c:pt idx="113">
                  <c:v>3844.3496238425928</c:v>
                </c:pt>
                <c:pt idx="114">
                  <c:v>3907.5267071759263</c:v>
                </c:pt>
                <c:pt idx="115">
                  <c:v>3990.2027488425933</c:v>
                </c:pt>
                <c:pt idx="116">
                  <c:v>3889.6992766203703</c:v>
                </c:pt>
                <c:pt idx="117">
                  <c:v>3940.1291377314819</c:v>
                </c:pt>
                <c:pt idx="118">
                  <c:v>3869.3166377314815</c:v>
                </c:pt>
                <c:pt idx="119">
                  <c:v>3861.2020543981484</c:v>
                </c:pt>
                <c:pt idx="120">
                  <c:v>3988.3051793981481</c:v>
                </c:pt>
                <c:pt idx="121">
                  <c:v>3816.6110821759257</c:v>
                </c:pt>
                <c:pt idx="122">
                  <c:v>3864.9767071759261</c:v>
                </c:pt>
                <c:pt idx="123">
                  <c:v>3977.0836516203703</c:v>
                </c:pt>
                <c:pt idx="124">
                  <c:v>3974.597193287037</c:v>
                </c:pt>
                <c:pt idx="125">
                  <c:v>3901.9496238425927</c:v>
                </c:pt>
                <c:pt idx="126">
                  <c:v>3966.7267071759261</c:v>
                </c:pt>
                <c:pt idx="127">
                  <c:v>4034.9027488425932</c:v>
                </c:pt>
                <c:pt idx="128">
                  <c:v>4012.7992766203706</c:v>
                </c:pt>
                <c:pt idx="129">
                  <c:v>4008.0291377314816</c:v>
                </c:pt>
                <c:pt idx="130">
                  <c:v>3981.6166377314817</c:v>
                </c:pt>
                <c:pt idx="131">
                  <c:v>3986.3020543981484</c:v>
                </c:pt>
                <c:pt idx="132">
                  <c:v>3967.3051793981481</c:v>
                </c:pt>
                <c:pt idx="133">
                  <c:v>4059.1110821759257</c:v>
                </c:pt>
                <c:pt idx="134">
                  <c:v>3905.6767071759259</c:v>
                </c:pt>
                <c:pt idx="135">
                  <c:v>4048.7836516203706</c:v>
                </c:pt>
                <c:pt idx="136">
                  <c:v>4061.597193287037</c:v>
                </c:pt>
                <c:pt idx="137">
                  <c:v>4111.4496238425927</c:v>
                </c:pt>
                <c:pt idx="138">
                  <c:v>3988.6267071759262</c:v>
                </c:pt>
                <c:pt idx="139">
                  <c:v>4117.3027488425923</c:v>
                </c:pt>
                <c:pt idx="140">
                  <c:v>4036.9992766203704</c:v>
                </c:pt>
                <c:pt idx="141">
                  <c:v>4136.4291377314821</c:v>
                </c:pt>
                <c:pt idx="142">
                  <c:v>4130.4166377314814</c:v>
                </c:pt>
                <c:pt idx="143">
                  <c:v>4063.0020543981482</c:v>
                </c:pt>
                <c:pt idx="144">
                  <c:v>4206.8051793981476</c:v>
                </c:pt>
                <c:pt idx="145">
                  <c:v>4179.4110821759259</c:v>
                </c:pt>
                <c:pt idx="146">
                  <c:v>4032.7767071759263</c:v>
                </c:pt>
                <c:pt idx="147">
                  <c:v>3934.7836516203706</c:v>
                </c:pt>
                <c:pt idx="148">
                  <c:v>4162.2971932870369</c:v>
                </c:pt>
                <c:pt idx="149">
                  <c:v>3941.9496238425927</c:v>
                </c:pt>
                <c:pt idx="150">
                  <c:v>4159.6267071759257</c:v>
                </c:pt>
                <c:pt idx="151">
                  <c:v>4255.9027488425927</c:v>
                </c:pt>
                <c:pt idx="152">
                  <c:v>4056.5992766203708</c:v>
                </c:pt>
                <c:pt idx="153">
                  <c:v>4127.9291377314821</c:v>
                </c:pt>
                <c:pt idx="154">
                  <c:v>4150.7166377314816</c:v>
                </c:pt>
                <c:pt idx="155">
                  <c:v>4228.4020543981478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F63-4F8B-BA46-89396803AD19}"/>
            </c:ext>
          </c:extLst>
        </c:ser>
        <c:ser>
          <c:idx val="1"/>
          <c:order val="1"/>
          <c:tx>
            <c:v>Predicted Y</c:v>
          </c:tx>
          <c:spPr>
            <a:ln w="19050">
              <a:noFill/>
            </a:ln>
          </c:spPr>
          <c:xVal>
            <c:numRef>
              <c:f>Decomposition!$B$2:$B$157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'Decomp-Regression'!$B$25:$B$180</c:f>
              <c:numCache>
                <c:formatCode>General</c:formatCode>
                <c:ptCount val="156"/>
                <c:pt idx="0">
                  <c:v>2916.5748315351293</c:v>
                </c:pt>
                <c:pt idx="1">
                  <c:v>2924.8303754789272</c:v>
                </c:pt>
                <c:pt idx="2">
                  <c:v>2933.0859194227255</c:v>
                </c:pt>
                <c:pt idx="3">
                  <c:v>2941.3414633665238</c:v>
                </c:pt>
                <c:pt idx="4">
                  <c:v>2949.5970073103217</c:v>
                </c:pt>
                <c:pt idx="5">
                  <c:v>2957.85255125412</c:v>
                </c:pt>
                <c:pt idx="6">
                  <c:v>2966.1080951979184</c:v>
                </c:pt>
                <c:pt idx="7">
                  <c:v>2974.3636391417167</c:v>
                </c:pt>
                <c:pt idx="8">
                  <c:v>2982.6191830855146</c:v>
                </c:pt>
                <c:pt idx="9">
                  <c:v>2990.8747270293129</c:v>
                </c:pt>
                <c:pt idx="10">
                  <c:v>2999.1302709731112</c:v>
                </c:pt>
                <c:pt idx="11">
                  <c:v>3007.3858149169091</c:v>
                </c:pt>
                <c:pt idx="12">
                  <c:v>3015.6413588607074</c:v>
                </c:pt>
                <c:pt idx="13">
                  <c:v>3023.8969028045058</c:v>
                </c:pt>
                <c:pt idx="14">
                  <c:v>3032.1524467483036</c:v>
                </c:pt>
                <c:pt idx="15">
                  <c:v>3040.407990692102</c:v>
                </c:pt>
                <c:pt idx="16">
                  <c:v>3048.6635346359003</c:v>
                </c:pt>
                <c:pt idx="17">
                  <c:v>3056.9190785796982</c:v>
                </c:pt>
                <c:pt idx="18">
                  <c:v>3065.1746225234965</c:v>
                </c:pt>
                <c:pt idx="19">
                  <c:v>3073.4301664672948</c:v>
                </c:pt>
                <c:pt idx="20">
                  <c:v>3081.6857104110932</c:v>
                </c:pt>
                <c:pt idx="21">
                  <c:v>3089.941254354891</c:v>
                </c:pt>
                <c:pt idx="22">
                  <c:v>3098.1967982986894</c:v>
                </c:pt>
                <c:pt idx="23">
                  <c:v>3106.4523422424877</c:v>
                </c:pt>
                <c:pt idx="24">
                  <c:v>3114.7078861862856</c:v>
                </c:pt>
                <c:pt idx="25">
                  <c:v>3122.9634301300839</c:v>
                </c:pt>
                <c:pt idx="26">
                  <c:v>3131.2189740738822</c:v>
                </c:pt>
                <c:pt idx="27">
                  <c:v>3139.4745180176801</c:v>
                </c:pt>
                <c:pt idx="28">
                  <c:v>3147.7300619614784</c:v>
                </c:pt>
                <c:pt idx="29">
                  <c:v>3155.9856059052768</c:v>
                </c:pt>
                <c:pt idx="30">
                  <c:v>3164.2411498490746</c:v>
                </c:pt>
                <c:pt idx="31">
                  <c:v>3172.496693792873</c:v>
                </c:pt>
                <c:pt idx="32">
                  <c:v>3180.7522377366713</c:v>
                </c:pt>
                <c:pt idx="33">
                  <c:v>3189.0077816804696</c:v>
                </c:pt>
                <c:pt idx="34">
                  <c:v>3197.2633256242675</c:v>
                </c:pt>
                <c:pt idx="35">
                  <c:v>3205.5188695680658</c:v>
                </c:pt>
                <c:pt idx="36">
                  <c:v>3213.7744135118642</c:v>
                </c:pt>
                <c:pt idx="37">
                  <c:v>3222.029957455662</c:v>
                </c:pt>
                <c:pt idx="38">
                  <c:v>3230.2855013994604</c:v>
                </c:pt>
                <c:pt idx="39">
                  <c:v>3238.5410453432587</c:v>
                </c:pt>
                <c:pt idx="40">
                  <c:v>3246.7965892870566</c:v>
                </c:pt>
                <c:pt idx="41">
                  <c:v>3255.0521332308549</c:v>
                </c:pt>
                <c:pt idx="42">
                  <c:v>3263.3076771746532</c:v>
                </c:pt>
                <c:pt idx="43">
                  <c:v>3271.5632211184511</c:v>
                </c:pt>
                <c:pt idx="44">
                  <c:v>3279.8187650622494</c:v>
                </c:pt>
                <c:pt idx="45">
                  <c:v>3288.0743090060478</c:v>
                </c:pt>
                <c:pt idx="46">
                  <c:v>3296.3298529498461</c:v>
                </c:pt>
                <c:pt idx="47">
                  <c:v>3304.585396893644</c:v>
                </c:pt>
                <c:pt idx="48">
                  <c:v>3312.8409408374423</c:v>
                </c:pt>
                <c:pt idx="49">
                  <c:v>3321.0964847812406</c:v>
                </c:pt>
                <c:pt idx="50">
                  <c:v>3329.3520287250385</c:v>
                </c:pt>
                <c:pt idx="51">
                  <c:v>3337.6075726688368</c:v>
                </c:pt>
                <c:pt idx="52">
                  <c:v>3345.8631166126352</c:v>
                </c:pt>
                <c:pt idx="53">
                  <c:v>3354.118660556433</c:v>
                </c:pt>
                <c:pt idx="54">
                  <c:v>3362.3742045002314</c:v>
                </c:pt>
                <c:pt idx="55">
                  <c:v>3370.6297484440297</c:v>
                </c:pt>
                <c:pt idx="56">
                  <c:v>3378.8852923878276</c:v>
                </c:pt>
                <c:pt idx="57">
                  <c:v>3387.1408363316259</c:v>
                </c:pt>
                <c:pt idx="58">
                  <c:v>3395.3963802754242</c:v>
                </c:pt>
                <c:pt idx="59">
                  <c:v>3403.6519242192226</c:v>
                </c:pt>
                <c:pt idx="60">
                  <c:v>3411.9074681630204</c:v>
                </c:pt>
                <c:pt idx="61">
                  <c:v>3420.1630121068188</c:v>
                </c:pt>
                <c:pt idx="62">
                  <c:v>3428.4185560506166</c:v>
                </c:pt>
                <c:pt idx="63">
                  <c:v>3436.674099994415</c:v>
                </c:pt>
                <c:pt idx="64">
                  <c:v>3444.9296439382133</c:v>
                </c:pt>
                <c:pt idx="65">
                  <c:v>3453.1851878820116</c:v>
                </c:pt>
                <c:pt idx="66">
                  <c:v>3461.4407318258095</c:v>
                </c:pt>
                <c:pt idx="67">
                  <c:v>3469.6962757696078</c:v>
                </c:pt>
                <c:pt idx="68">
                  <c:v>3477.9518197134062</c:v>
                </c:pt>
                <c:pt idx="69">
                  <c:v>3486.207363657204</c:v>
                </c:pt>
                <c:pt idx="70">
                  <c:v>3494.4629076010024</c:v>
                </c:pt>
                <c:pt idx="71">
                  <c:v>3502.7184515448007</c:v>
                </c:pt>
                <c:pt idx="72">
                  <c:v>3510.973995488599</c:v>
                </c:pt>
                <c:pt idx="73">
                  <c:v>3519.2295394323969</c:v>
                </c:pt>
                <c:pt idx="74">
                  <c:v>3527.4850833761952</c:v>
                </c:pt>
                <c:pt idx="75">
                  <c:v>3535.7406273199931</c:v>
                </c:pt>
                <c:pt idx="76">
                  <c:v>3543.9961712637914</c:v>
                </c:pt>
                <c:pt idx="77">
                  <c:v>3552.2517152075898</c:v>
                </c:pt>
                <c:pt idx="78">
                  <c:v>3560.5072591513881</c:v>
                </c:pt>
                <c:pt idx="79">
                  <c:v>3568.762803095186</c:v>
                </c:pt>
                <c:pt idx="80">
                  <c:v>3577.0183470389843</c:v>
                </c:pt>
                <c:pt idx="81">
                  <c:v>3585.2738909827826</c:v>
                </c:pt>
                <c:pt idx="82">
                  <c:v>3593.5294349265805</c:v>
                </c:pt>
                <c:pt idx="83">
                  <c:v>3601.7849788703788</c:v>
                </c:pt>
                <c:pt idx="84">
                  <c:v>3610.0405228141772</c:v>
                </c:pt>
                <c:pt idx="85">
                  <c:v>3618.2960667579755</c:v>
                </c:pt>
                <c:pt idx="86">
                  <c:v>3626.5516107017734</c:v>
                </c:pt>
                <c:pt idx="87">
                  <c:v>3634.8071546455717</c:v>
                </c:pt>
                <c:pt idx="88">
                  <c:v>3643.0626985893696</c:v>
                </c:pt>
                <c:pt idx="89">
                  <c:v>3651.3182425331679</c:v>
                </c:pt>
                <c:pt idx="90">
                  <c:v>3659.5737864769662</c:v>
                </c:pt>
                <c:pt idx="91">
                  <c:v>3667.8293304207646</c:v>
                </c:pt>
                <c:pt idx="92">
                  <c:v>3676.0848743645624</c:v>
                </c:pt>
                <c:pt idx="93">
                  <c:v>3684.3404183083608</c:v>
                </c:pt>
                <c:pt idx="94">
                  <c:v>3692.5959622521591</c:v>
                </c:pt>
                <c:pt idx="95">
                  <c:v>3700.851506195957</c:v>
                </c:pt>
                <c:pt idx="96">
                  <c:v>3709.1070501397553</c:v>
                </c:pt>
                <c:pt idx="97">
                  <c:v>3717.3625940835536</c:v>
                </c:pt>
                <c:pt idx="98">
                  <c:v>3725.618138027352</c:v>
                </c:pt>
                <c:pt idx="99">
                  <c:v>3733.8736819711498</c:v>
                </c:pt>
                <c:pt idx="100">
                  <c:v>3742.1292259149482</c:v>
                </c:pt>
                <c:pt idx="101">
                  <c:v>3750.384769858746</c:v>
                </c:pt>
                <c:pt idx="102">
                  <c:v>3758.6403138025444</c:v>
                </c:pt>
                <c:pt idx="103">
                  <c:v>3766.8958577463427</c:v>
                </c:pt>
                <c:pt idx="104">
                  <c:v>3775.151401690141</c:v>
                </c:pt>
                <c:pt idx="105">
                  <c:v>3783.4069456339389</c:v>
                </c:pt>
                <c:pt idx="106">
                  <c:v>3791.6624895777372</c:v>
                </c:pt>
                <c:pt idx="107">
                  <c:v>3799.9180335215356</c:v>
                </c:pt>
                <c:pt idx="108">
                  <c:v>3808.1735774653334</c:v>
                </c:pt>
                <c:pt idx="109">
                  <c:v>3816.4291214091318</c:v>
                </c:pt>
                <c:pt idx="110">
                  <c:v>3824.6846653529301</c:v>
                </c:pt>
                <c:pt idx="111">
                  <c:v>3832.9402092967284</c:v>
                </c:pt>
                <c:pt idx="112">
                  <c:v>3841.1957532405263</c:v>
                </c:pt>
                <c:pt idx="113">
                  <c:v>3849.4512971843246</c:v>
                </c:pt>
                <c:pt idx="114">
                  <c:v>3857.7068411281225</c:v>
                </c:pt>
                <c:pt idx="115">
                  <c:v>3865.9623850719208</c:v>
                </c:pt>
                <c:pt idx="116">
                  <c:v>3874.2179290157192</c:v>
                </c:pt>
                <c:pt idx="117">
                  <c:v>3882.4734729595175</c:v>
                </c:pt>
                <c:pt idx="118">
                  <c:v>3890.7290169033154</c:v>
                </c:pt>
                <c:pt idx="119">
                  <c:v>3898.9845608471137</c:v>
                </c:pt>
                <c:pt idx="120">
                  <c:v>3907.240104790912</c:v>
                </c:pt>
                <c:pt idx="121">
                  <c:v>3915.4956487347099</c:v>
                </c:pt>
                <c:pt idx="122">
                  <c:v>3923.7511926785082</c:v>
                </c:pt>
                <c:pt idx="123">
                  <c:v>3932.0067366223066</c:v>
                </c:pt>
                <c:pt idx="124">
                  <c:v>3940.2622805661049</c:v>
                </c:pt>
                <c:pt idx="125">
                  <c:v>3948.5178245099028</c:v>
                </c:pt>
                <c:pt idx="126">
                  <c:v>3956.7733684537011</c:v>
                </c:pt>
                <c:pt idx="127">
                  <c:v>3965.028912397499</c:v>
                </c:pt>
                <c:pt idx="128">
                  <c:v>3973.2844563412973</c:v>
                </c:pt>
                <c:pt idx="129">
                  <c:v>3981.5400002850956</c:v>
                </c:pt>
                <c:pt idx="130">
                  <c:v>3989.795544228894</c:v>
                </c:pt>
                <c:pt idx="131">
                  <c:v>3998.0510881726923</c:v>
                </c:pt>
                <c:pt idx="132">
                  <c:v>4006.3066321164902</c:v>
                </c:pt>
                <c:pt idx="133">
                  <c:v>4014.562176060288</c:v>
                </c:pt>
                <c:pt idx="134">
                  <c:v>4022.8177200040864</c:v>
                </c:pt>
                <c:pt idx="135">
                  <c:v>4031.0732639478847</c:v>
                </c:pt>
                <c:pt idx="136">
                  <c:v>4039.328807891683</c:v>
                </c:pt>
                <c:pt idx="137">
                  <c:v>4047.5843518354814</c:v>
                </c:pt>
                <c:pt idx="138">
                  <c:v>4055.8398957792792</c:v>
                </c:pt>
                <c:pt idx="139">
                  <c:v>4064.0954397230776</c:v>
                </c:pt>
                <c:pt idx="140">
                  <c:v>4072.3509836668754</c:v>
                </c:pt>
                <c:pt idx="141">
                  <c:v>4080.6065276106738</c:v>
                </c:pt>
                <c:pt idx="142">
                  <c:v>4088.8620715544721</c:v>
                </c:pt>
                <c:pt idx="143">
                  <c:v>4097.1176154982704</c:v>
                </c:pt>
                <c:pt idx="144">
                  <c:v>4105.3731594420688</c:v>
                </c:pt>
                <c:pt idx="145">
                  <c:v>4113.6287033858662</c:v>
                </c:pt>
                <c:pt idx="146">
                  <c:v>4121.8842473296645</c:v>
                </c:pt>
                <c:pt idx="147">
                  <c:v>4130.1397912734628</c:v>
                </c:pt>
                <c:pt idx="148">
                  <c:v>4138.3953352172612</c:v>
                </c:pt>
                <c:pt idx="149">
                  <c:v>4146.6508791610595</c:v>
                </c:pt>
                <c:pt idx="150">
                  <c:v>4154.9064231048578</c:v>
                </c:pt>
                <c:pt idx="151">
                  <c:v>4163.1619670486562</c:v>
                </c:pt>
                <c:pt idx="152">
                  <c:v>4171.4175109924545</c:v>
                </c:pt>
                <c:pt idx="153">
                  <c:v>4179.6730549362519</c:v>
                </c:pt>
                <c:pt idx="154">
                  <c:v>4187.9285988800502</c:v>
                </c:pt>
                <c:pt idx="155">
                  <c:v>4196.1841428238486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F63-4F8B-BA46-89396803A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4841080"/>
        <c:axId val="894843376"/>
      </c:scatterChart>
      <c:valAx>
        <c:axId val="89484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SG"/>
                  <a:t>X Variable 1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4843376"/>
        <c:crosses val="autoZero"/>
        <c:crossBetween val="midCat"/>
      </c:valAx>
      <c:valAx>
        <c:axId val="8948433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SG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484108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Decomposition!$D$1</c:f>
              <c:strCache>
                <c:ptCount val="1"/>
                <c:pt idx="0">
                  <c:v>Total Consumption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Decomposition!$D$2:$D$157</c:f>
              <c:numCache>
                <c:formatCode>General</c:formatCode>
                <c:ptCount val="156"/>
                <c:pt idx="0">
                  <c:v>2796.8</c:v>
                </c:pt>
                <c:pt idx="1">
                  <c:v>2791</c:v>
                </c:pt>
                <c:pt idx="2">
                  <c:v>2754.2</c:v>
                </c:pt>
                <c:pt idx="3">
                  <c:v>2968.7</c:v>
                </c:pt>
                <c:pt idx="4">
                  <c:v>2957.3</c:v>
                </c:pt>
                <c:pt idx="5">
                  <c:v>3097.4</c:v>
                </c:pt>
                <c:pt idx="6">
                  <c:v>2994.9</c:v>
                </c:pt>
                <c:pt idx="7">
                  <c:v>3116.5</c:v>
                </c:pt>
                <c:pt idx="8">
                  <c:v>3037.8</c:v>
                </c:pt>
                <c:pt idx="9">
                  <c:v>2916.7</c:v>
                </c:pt>
                <c:pt idx="10">
                  <c:v>3156.6</c:v>
                </c:pt>
                <c:pt idx="11">
                  <c:v>2901.3</c:v>
                </c:pt>
                <c:pt idx="12">
                  <c:v>2975.3</c:v>
                </c:pt>
                <c:pt idx="13">
                  <c:v>2887.4</c:v>
                </c:pt>
                <c:pt idx="14">
                  <c:v>2893.8</c:v>
                </c:pt>
                <c:pt idx="15">
                  <c:v>3023.6</c:v>
                </c:pt>
                <c:pt idx="16">
                  <c:v>3092.5</c:v>
                </c:pt>
                <c:pt idx="17">
                  <c:v>3182.1</c:v>
                </c:pt>
                <c:pt idx="18">
                  <c:v>3007.5</c:v>
                </c:pt>
                <c:pt idx="19">
                  <c:v>3264</c:v>
                </c:pt>
                <c:pt idx="20">
                  <c:v>3114</c:v>
                </c:pt>
                <c:pt idx="21">
                  <c:v>3107.1</c:v>
                </c:pt>
                <c:pt idx="22">
                  <c:v>3215</c:v>
                </c:pt>
                <c:pt idx="23">
                  <c:v>3039.4</c:v>
                </c:pt>
                <c:pt idx="24">
                  <c:v>3166.4</c:v>
                </c:pt>
                <c:pt idx="25">
                  <c:v>2938.6</c:v>
                </c:pt>
                <c:pt idx="26">
                  <c:v>3018.8</c:v>
                </c:pt>
                <c:pt idx="27">
                  <c:v>3150</c:v>
                </c:pt>
                <c:pt idx="28">
                  <c:v>3271.1</c:v>
                </c:pt>
                <c:pt idx="29">
                  <c:v>3222.5</c:v>
                </c:pt>
                <c:pt idx="30">
                  <c:v>3288.9</c:v>
                </c:pt>
                <c:pt idx="31">
                  <c:v>3277.4</c:v>
                </c:pt>
                <c:pt idx="32">
                  <c:v>3205.8</c:v>
                </c:pt>
                <c:pt idx="33">
                  <c:v>3268.2</c:v>
                </c:pt>
                <c:pt idx="34">
                  <c:v>3378.1</c:v>
                </c:pt>
                <c:pt idx="35">
                  <c:v>3119.2</c:v>
                </c:pt>
                <c:pt idx="36">
                  <c:v>3149.8</c:v>
                </c:pt>
                <c:pt idx="37">
                  <c:v>3166.2</c:v>
                </c:pt>
                <c:pt idx="38">
                  <c:v>2987.2</c:v>
                </c:pt>
                <c:pt idx="39">
                  <c:v>3289</c:v>
                </c:pt>
                <c:pt idx="40">
                  <c:v>3279.6</c:v>
                </c:pt>
                <c:pt idx="41">
                  <c:v>3396.1</c:v>
                </c:pt>
                <c:pt idx="42">
                  <c:v>3368.5</c:v>
                </c:pt>
                <c:pt idx="43">
                  <c:v>3176.1</c:v>
                </c:pt>
                <c:pt idx="44">
                  <c:v>3381.5</c:v>
                </c:pt>
                <c:pt idx="45">
                  <c:v>3364.9</c:v>
                </c:pt>
                <c:pt idx="46">
                  <c:v>3249</c:v>
                </c:pt>
                <c:pt idx="47">
                  <c:v>3179.2</c:v>
                </c:pt>
                <c:pt idx="48">
                  <c:v>3005.9</c:v>
                </c:pt>
                <c:pt idx="49">
                  <c:v>3004.8</c:v>
                </c:pt>
                <c:pt idx="50">
                  <c:v>2931.1</c:v>
                </c:pt>
                <c:pt idx="51">
                  <c:v>3103.5</c:v>
                </c:pt>
                <c:pt idx="52">
                  <c:v>3054.9</c:v>
                </c:pt>
                <c:pt idx="53">
                  <c:v>3425.6</c:v>
                </c:pt>
                <c:pt idx="54">
                  <c:v>3414.1</c:v>
                </c:pt>
                <c:pt idx="55">
                  <c:v>3342.7</c:v>
                </c:pt>
                <c:pt idx="56">
                  <c:v>3395.7</c:v>
                </c:pt>
                <c:pt idx="57">
                  <c:v>3419.5</c:v>
                </c:pt>
                <c:pt idx="58">
                  <c:v>3379.9</c:v>
                </c:pt>
                <c:pt idx="59">
                  <c:v>3345.1</c:v>
                </c:pt>
                <c:pt idx="60">
                  <c:v>3242.9</c:v>
                </c:pt>
                <c:pt idx="61">
                  <c:v>3287.1</c:v>
                </c:pt>
                <c:pt idx="62">
                  <c:v>3420.6</c:v>
                </c:pt>
                <c:pt idx="63">
                  <c:v>3588.8</c:v>
                </c:pt>
                <c:pt idx="64">
                  <c:v>3479.4</c:v>
                </c:pt>
                <c:pt idx="65">
                  <c:v>3718.7</c:v>
                </c:pt>
                <c:pt idx="66">
                  <c:v>3571.7</c:v>
                </c:pt>
                <c:pt idx="67">
                  <c:v>3601.5</c:v>
                </c:pt>
                <c:pt idx="68">
                  <c:v>3555.8</c:v>
                </c:pt>
                <c:pt idx="69">
                  <c:v>3514.9</c:v>
                </c:pt>
                <c:pt idx="70">
                  <c:v>3614.4</c:v>
                </c:pt>
                <c:pt idx="71">
                  <c:v>3656</c:v>
                </c:pt>
                <c:pt idx="72">
                  <c:v>3470.4</c:v>
                </c:pt>
                <c:pt idx="73">
                  <c:v>3426.5</c:v>
                </c:pt>
                <c:pt idx="74">
                  <c:v>3308</c:v>
                </c:pt>
                <c:pt idx="75">
                  <c:v>3489.2</c:v>
                </c:pt>
                <c:pt idx="76">
                  <c:v>3552</c:v>
                </c:pt>
                <c:pt idx="77">
                  <c:v>3859.7</c:v>
                </c:pt>
                <c:pt idx="78">
                  <c:v>3639.9</c:v>
                </c:pt>
                <c:pt idx="79">
                  <c:v>3854.2</c:v>
                </c:pt>
                <c:pt idx="80">
                  <c:v>3697.8</c:v>
                </c:pt>
                <c:pt idx="81">
                  <c:v>3582</c:v>
                </c:pt>
                <c:pt idx="82">
                  <c:v>3652.8</c:v>
                </c:pt>
                <c:pt idx="83">
                  <c:v>3474.7</c:v>
                </c:pt>
                <c:pt idx="84">
                  <c:v>3413.9</c:v>
                </c:pt>
                <c:pt idx="85">
                  <c:v>3520.9</c:v>
                </c:pt>
                <c:pt idx="86">
                  <c:v>3464.8</c:v>
                </c:pt>
                <c:pt idx="87">
                  <c:v>3713.5</c:v>
                </c:pt>
                <c:pt idx="88">
                  <c:v>3689.9</c:v>
                </c:pt>
                <c:pt idx="89">
                  <c:v>3820</c:v>
                </c:pt>
                <c:pt idx="90">
                  <c:v>3736</c:v>
                </c:pt>
                <c:pt idx="91">
                  <c:v>3869.3</c:v>
                </c:pt>
                <c:pt idx="92">
                  <c:v>3833.2</c:v>
                </c:pt>
                <c:pt idx="93">
                  <c:v>3716.3</c:v>
                </c:pt>
                <c:pt idx="94">
                  <c:v>3772.2</c:v>
                </c:pt>
                <c:pt idx="95">
                  <c:v>3650.8</c:v>
                </c:pt>
                <c:pt idx="96">
                  <c:v>3711</c:v>
                </c:pt>
                <c:pt idx="97">
                  <c:v>3470.8</c:v>
                </c:pt>
                <c:pt idx="98">
                  <c:v>3397.3</c:v>
                </c:pt>
                <c:pt idx="99">
                  <c:v>3772</c:v>
                </c:pt>
                <c:pt idx="100">
                  <c:v>3793.3</c:v>
                </c:pt>
                <c:pt idx="101">
                  <c:v>3853.7</c:v>
                </c:pt>
                <c:pt idx="102">
                  <c:v>3904.5</c:v>
                </c:pt>
                <c:pt idx="103">
                  <c:v>3911.2</c:v>
                </c:pt>
                <c:pt idx="104">
                  <c:v>3832.5</c:v>
                </c:pt>
                <c:pt idx="105">
                  <c:v>3717.4</c:v>
                </c:pt>
                <c:pt idx="106">
                  <c:v>3884.6</c:v>
                </c:pt>
                <c:pt idx="107">
                  <c:v>3700.4</c:v>
                </c:pt>
                <c:pt idx="108">
                  <c:v>3726.7</c:v>
                </c:pt>
                <c:pt idx="109">
                  <c:v>3680.6</c:v>
                </c:pt>
                <c:pt idx="110">
                  <c:v>3491.4</c:v>
                </c:pt>
                <c:pt idx="111">
                  <c:v>3874.3</c:v>
                </c:pt>
                <c:pt idx="112">
                  <c:v>3931.1</c:v>
                </c:pt>
                <c:pt idx="113">
                  <c:v>3973</c:v>
                </c:pt>
                <c:pt idx="114">
                  <c:v>3971.4</c:v>
                </c:pt>
                <c:pt idx="115">
                  <c:v>4103.6000000000004</c:v>
                </c:pt>
                <c:pt idx="116">
                  <c:v>3945.7</c:v>
                </c:pt>
                <c:pt idx="117">
                  <c:v>3977.8</c:v>
                </c:pt>
                <c:pt idx="118">
                  <c:v>3931.2</c:v>
                </c:pt>
                <c:pt idx="119">
                  <c:v>3796.3</c:v>
                </c:pt>
                <c:pt idx="120">
                  <c:v>3897.3</c:v>
                </c:pt>
                <c:pt idx="121">
                  <c:v>3685.9</c:v>
                </c:pt>
                <c:pt idx="122">
                  <c:v>3687</c:v>
                </c:pt>
                <c:pt idx="123">
                  <c:v>3973.2</c:v>
                </c:pt>
                <c:pt idx="124">
                  <c:v>3981.6</c:v>
                </c:pt>
                <c:pt idx="125">
                  <c:v>4030.6</c:v>
                </c:pt>
                <c:pt idx="126">
                  <c:v>4030.6</c:v>
                </c:pt>
                <c:pt idx="127">
                  <c:v>4148.3</c:v>
                </c:pt>
                <c:pt idx="128">
                  <c:v>4068.8</c:v>
                </c:pt>
                <c:pt idx="129">
                  <c:v>4045.7</c:v>
                </c:pt>
                <c:pt idx="130">
                  <c:v>4043.5</c:v>
                </c:pt>
                <c:pt idx="131">
                  <c:v>3921.4</c:v>
                </c:pt>
                <c:pt idx="132">
                  <c:v>3876.3</c:v>
                </c:pt>
                <c:pt idx="133">
                  <c:v>3928.4</c:v>
                </c:pt>
                <c:pt idx="134">
                  <c:v>3727.7</c:v>
                </c:pt>
                <c:pt idx="135">
                  <c:v>4044.9</c:v>
                </c:pt>
                <c:pt idx="136">
                  <c:v>4068.6</c:v>
                </c:pt>
                <c:pt idx="137">
                  <c:v>4240.1000000000004</c:v>
                </c:pt>
                <c:pt idx="138">
                  <c:v>4052.5</c:v>
                </c:pt>
                <c:pt idx="139">
                  <c:v>4230.7</c:v>
                </c:pt>
                <c:pt idx="140">
                  <c:v>4093</c:v>
                </c:pt>
                <c:pt idx="141">
                  <c:v>4174.1000000000004</c:v>
                </c:pt>
                <c:pt idx="142">
                  <c:v>4192.3</c:v>
                </c:pt>
                <c:pt idx="143">
                  <c:v>3998.1</c:v>
                </c:pt>
                <c:pt idx="144">
                  <c:v>4115.8</c:v>
                </c:pt>
                <c:pt idx="145">
                  <c:v>4048.7</c:v>
                </c:pt>
                <c:pt idx="146">
                  <c:v>3854.8</c:v>
                </c:pt>
                <c:pt idx="147">
                  <c:v>3930.9</c:v>
                </c:pt>
                <c:pt idx="148">
                  <c:v>4169.3</c:v>
                </c:pt>
                <c:pt idx="149">
                  <c:v>4070.6</c:v>
                </c:pt>
                <c:pt idx="150">
                  <c:v>4223.5</c:v>
                </c:pt>
                <c:pt idx="151">
                  <c:v>4369.3</c:v>
                </c:pt>
                <c:pt idx="152">
                  <c:v>4112.6000000000004</c:v>
                </c:pt>
                <c:pt idx="153">
                  <c:v>4165.6000000000004</c:v>
                </c:pt>
                <c:pt idx="154">
                  <c:v>4212.6000000000004</c:v>
                </c:pt>
                <c:pt idx="155">
                  <c:v>4163.5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19-47A8-907B-50142EFE74CB}"/>
            </c:ext>
          </c:extLst>
        </c:ser>
        <c:ser>
          <c:idx val="1"/>
          <c:order val="1"/>
          <c:tx>
            <c:strRef>
              <c:f>Decomposition!#REF!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Decomposition!#REF!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19-47A8-907B-50142EFE7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5078304"/>
        <c:axId val="595076336"/>
      </c:lineChart>
      <c:catAx>
        <c:axId val="5950783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076336"/>
        <c:crosses val="autoZero"/>
        <c:auto val="1"/>
        <c:lblAlgn val="ctr"/>
        <c:lblOffset val="100"/>
        <c:noMultiLvlLbl val="0"/>
      </c:catAx>
      <c:valAx>
        <c:axId val="59507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07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SG"/>
              <a:t>Holt-Winters / Seasonal additive / Total Consumption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Consumption</c:v>
          </c:tx>
          <c:spPr>
            <a:ln w="6350">
              <a:solidFill>
                <a:srgbClr val="003CE6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003CE6"/>
              </a:solidFill>
              <a:ln w="3175">
                <a:solidFill>
                  <a:srgbClr val="003CE6"/>
                </a:solidFill>
                <a:prstDash val="solid"/>
              </a:ln>
            </c:spPr>
          </c:marker>
          <c:xVal>
            <c:numRef>
              <c:f>'Holt-Winters'!$B$49:$B$204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'Holt-Winters'!$C$49:$C$204</c:f>
              <c:numCache>
                <c:formatCode>0.000</c:formatCode>
                <c:ptCount val="156"/>
                <c:pt idx="0">
                  <c:v>2796.8</c:v>
                </c:pt>
                <c:pt idx="1">
                  <c:v>2791</c:v>
                </c:pt>
                <c:pt idx="2">
                  <c:v>2754.2</c:v>
                </c:pt>
                <c:pt idx="3">
                  <c:v>2968.7</c:v>
                </c:pt>
                <c:pt idx="4">
                  <c:v>2957.3</c:v>
                </c:pt>
                <c:pt idx="5">
                  <c:v>3097.4</c:v>
                </c:pt>
                <c:pt idx="6">
                  <c:v>2994.9</c:v>
                </c:pt>
                <c:pt idx="7">
                  <c:v>3116.5</c:v>
                </c:pt>
                <c:pt idx="8">
                  <c:v>3037.8</c:v>
                </c:pt>
                <c:pt idx="9">
                  <c:v>2916.7</c:v>
                </c:pt>
                <c:pt idx="10">
                  <c:v>3156.6</c:v>
                </c:pt>
                <c:pt idx="11">
                  <c:v>2901.3</c:v>
                </c:pt>
                <c:pt idx="12">
                  <c:v>2975.3</c:v>
                </c:pt>
                <c:pt idx="13">
                  <c:v>2887.4</c:v>
                </c:pt>
                <c:pt idx="14">
                  <c:v>2893.8</c:v>
                </c:pt>
                <c:pt idx="15">
                  <c:v>3023.6</c:v>
                </c:pt>
                <c:pt idx="16">
                  <c:v>3092.5</c:v>
                </c:pt>
                <c:pt idx="17">
                  <c:v>3182.1</c:v>
                </c:pt>
                <c:pt idx="18">
                  <c:v>3007.5</c:v>
                </c:pt>
                <c:pt idx="19">
                  <c:v>3264</c:v>
                </c:pt>
                <c:pt idx="20">
                  <c:v>3114</c:v>
                </c:pt>
                <c:pt idx="21">
                  <c:v>3107.1</c:v>
                </c:pt>
                <c:pt idx="22">
                  <c:v>3215</c:v>
                </c:pt>
                <c:pt idx="23">
                  <c:v>3039.4</c:v>
                </c:pt>
                <c:pt idx="24">
                  <c:v>3166.4</c:v>
                </c:pt>
                <c:pt idx="25">
                  <c:v>2938.6</c:v>
                </c:pt>
                <c:pt idx="26">
                  <c:v>3018.8</c:v>
                </c:pt>
                <c:pt idx="27">
                  <c:v>3150</c:v>
                </c:pt>
                <c:pt idx="28">
                  <c:v>3271.1</c:v>
                </c:pt>
                <c:pt idx="29">
                  <c:v>3222.5</c:v>
                </c:pt>
                <c:pt idx="30">
                  <c:v>3288.9</c:v>
                </c:pt>
                <c:pt idx="31">
                  <c:v>3277.4</c:v>
                </c:pt>
                <c:pt idx="32">
                  <c:v>3205.8</c:v>
                </c:pt>
                <c:pt idx="33">
                  <c:v>3268.2</c:v>
                </c:pt>
                <c:pt idx="34">
                  <c:v>3378.1</c:v>
                </c:pt>
                <c:pt idx="35">
                  <c:v>3119.2</c:v>
                </c:pt>
                <c:pt idx="36">
                  <c:v>3149.8</c:v>
                </c:pt>
                <c:pt idx="37">
                  <c:v>3166.2</c:v>
                </c:pt>
                <c:pt idx="38">
                  <c:v>2987.2</c:v>
                </c:pt>
                <c:pt idx="39">
                  <c:v>3289</c:v>
                </c:pt>
                <c:pt idx="40">
                  <c:v>3279.6</c:v>
                </c:pt>
                <c:pt idx="41">
                  <c:v>3396.1</c:v>
                </c:pt>
                <c:pt idx="42">
                  <c:v>3368.5</c:v>
                </c:pt>
                <c:pt idx="43">
                  <c:v>3176.1</c:v>
                </c:pt>
                <c:pt idx="44">
                  <c:v>3381.5</c:v>
                </c:pt>
                <c:pt idx="45">
                  <c:v>3364.9</c:v>
                </c:pt>
                <c:pt idx="46">
                  <c:v>3249</c:v>
                </c:pt>
                <c:pt idx="47">
                  <c:v>3179.2</c:v>
                </c:pt>
                <c:pt idx="48">
                  <c:v>3005.9</c:v>
                </c:pt>
                <c:pt idx="49">
                  <c:v>3004.8</c:v>
                </c:pt>
                <c:pt idx="50">
                  <c:v>2931.1</c:v>
                </c:pt>
                <c:pt idx="51">
                  <c:v>3103.5</c:v>
                </c:pt>
                <c:pt idx="52">
                  <c:v>3054.9</c:v>
                </c:pt>
                <c:pt idx="53">
                  <c:v>3425.6</c:v>
                </c:pt>
                <c:pt idx="54">
                  <c:v>3414.1</c:v>
                </c:pt>
                <c:pt idx="55">
                  <c:v>3342.7</c:v>
                </c:pt>
                <c:pt idx="56">
                  <c:v>3395.7</c:v>
                </c:pt>
                <c:pt idx="57">
                  <c:v>3419.5</c:v>
                </c:pt>
                <c:pt idx="58">
                  <c:v>3379.9</c:v>
                </c:pt>
                <c:pt idx="59">
                  <c:v>3345.1</c:v>
                </c:pt>
                <c:pt idx="60">
                  <c:v>3242.9</c:v>
                </c:pt>
                <c:pt idx="61">
                  <c:v>3287.1</c:v>
                </c:pt>
                <c:pt idx="62">
                  <c:v>3420.6</c:v>
                </c:pt>
                <c:pt idx="63">
                  <c:v>3588.8</c:v>
                </c:pt>
                <c:pt idx="64">
                  <c:v>3479.4</c:v>
                </c:pt>
                <c:pt idx="65">
                  <c:v>3718.7</c:v>
                </c:pt>
                <c:pt idx="66">
                  <c:v>3571.7</c:v>
                </c:pt>
                <c:pt idx="67">
                  <c:v>3601.5</c:v>
                </c:pt>
                <c:pt idx="68">
                  <c:v>3555.8</c:v>
                </c:pt>
                <c:pt idx="69">
                  <c:v>3514.9</c:v>
                </c:pt>
                <c:pt idx="70">
                  <c:v>3614.4</c:v>
                </c:pt>
                <c:pt idx="71">
                  <c:v>3656</c:v>
                </c:pt>
                <c:pt idx="72">
                  <c:v>3470.4</c:v>
                </c:pt>
                <c:pt idx="73">
                  <c:v>3426.5</c:v>
                </c:pt>
                <c:pt idx="74">
                  <c:v>3308</c:v>
                </c:pt>
                <c:pt idx="75">
                  <c:v>3489.2</c:v>
                </c:pt>
                <c:pt idx="76">
                  <c:v>3552</c:v>
                </c:pt>
                <c:pt idx="77">
                  <c:v>3859.7</c:v>
                </c:pt>
                <c:pt idx="78">
                  <c:v>3639.9</c:v>
                </c:pt>
                <c:pt idx="79">
                  <c:v>3854.2</c:v>
                </c:pt>
                <c:pt idx="80">
                  <c:v>3697.8</c:v>
                </c:pt>
                <c:pt idx="81">
                  <c:v>3582</c:v>
                </c:pt>
                <c:pt idx="82">
                  <c:v>3652.8</c:v>
                </c:pt>
                <c:pt idx="83">
                  <c:v>3474.7</c:v>
                </c:pt>
                <c:pt idx="84">
                  <c:v>3413.9</c:v>
                </c:pt>
                <c:pt idx="85">
                  <c:v>3520.9</c:v>
                </c:pt>
                <c:pt idx="86">
                  <c:v>3464.8</c:v>
                </c:pt>
                <c:pt idx="87">
                  <c:v>3713.5</c:v>
                </c:pt>
                <c:pt idx="88">
                  <c:v>3689.9</c:v>
                </c:pt>
                <c:pt idx="89">
                  <c:v>3820</c:v>
                </c:pt>
                <c:pt idx="90">
                  <c:v>3736</c:v>
                </c:pt>
                <c:pt idx="91">
                  <c:v>3869.3</c:v>
                </c:pt>
                <c:pt idx="92">
                  <c:v>3833.2</c:v>
                </c:pt>
                <c:pt idx="93">
                  <c:v>3716.3</c:v>
                </c:pt>
                <c:pt idx="94">
                  <c:v>3772.2</c:v>
                </c:pt>
                <c:pt idx="95">
                  <c:v>3650.8</c:v>
                </c:pt>
                <c:pt idx="96">
                  <c:v>3711</c:v>
                </c:pt>
                <c:pt idx="97">
                  <c:v>3470.8</c:v>
                </c:pt>
                <c:pt idx="98">
                  <c:v>3397.3</c:v>
                </c:pt>
                <c:pt idx="99">
                  <c:v>3772</c:v>
                </c:pt>
                <c:pt idx="100">
                  <c:v>3793.3</c:v>
                </c:pt>
                <c:pt idx="101">
                  <c:v>3853.7</c:v>
                </c:pt>
                <c:pt idx="102">
                  <c:v>3904.5</c:v>
                </c:pt>
                <c:pt idx="103">
                  <c:v>3911.2</c:v>
                </c:pt>
                <c:pt idx="104">
                  <c:v>3832.5</c:v>
                </c:pt>
                <c:pt idx="105">
                  <c:v>3717.4</c:v>
                </c:pt>
                <c:pt idx="106">
                  <c:v>3884.6</c:v>
                </c:pt>
                <c:pt idx="107">
                  <c:v>3700.4</c:v>
                </c:pt>
                <c:pt idx="108">
                  <c:v>3726.7</c:v>
                </c:pt>
                <c:pt idx="109">
                  <c:v>3680.6</c:v>
                </c:pt>
                <c:pt idx="110">
                  <c:v>3491.4</c:v>
                </c:pt>
                <c:pt idx="111">
                  <c:v>3874.3</c:v>
                </c:pt>
                <c:pt idx="112">
                  <c:v>3931.1</c:v>
                </c:pt>
                <c:pt idx="113">
                  <c:v>3973</c:v>
                </c:pt>
                <c:pt idx="114">
                  <c:v>3971.4</c:v>
                </c:pt>
                <c:pt idx="115">
                  <c:v>4103.6000000000004</c:v>
                </c:pt>
                <c:pt idx="116">
                  <c:v>3945.7</c:v>
                </c:pt>
                <c:pt idx="117">
                  <c:v>3977.8</c:v>
                </c:pt>
                <c:pt idx="118">
                  <c:v>3931.2</c:v>
                </c:pt>
                <c:pt idx="119">
                  <c:v>3796.3</c:v>
                </c:pt>
                <c:pt idx="120">
                  <c:v>3897.3</c:v>
                </c:pt>
                <c:pt idx="121">
                  <c:v>3685.9</c:v>
                </c:pt>
                <c:pt idx="122">
                  <c:v>3687</c:v>
                </c:pt>
                <c:pt idx="123">
                  <c:v>3973.2</c:v>
                </c:pt>
                <c:pt idx="124">
                  <c:v>3981.6</c:v>
                </c:pt>
                <c:pt idx="125">
                  <c:v>4030.6</c:v>
                </c:pt>
                <c:pt idx="126">
                  <c:v>4030.6</c:v>
                </c:pt>
                <c:pt idx="127">
                  <c:v>4148.3</c:v>
                </c:pt>
                <c:pt idx="128">
                  <c:v>4068.8</c:v>
                </c:pt>
                <c:pt idx="129">
                  <c:v>4045.7</c:v>
                </c:pt>
                <c:pt idx="130">
                  <c:v>4043.5</c:v>
                </c:pt>
                <c:pt idx="131">
                  <c:v>3921.4</c:v>
                </c:pt>
                <c:pt idx="132">
                  <c:v>3876.3</c:v>
                </c:pt>
                <c:pt idx="133">
                  <c:v>3928.4</c:v>
                </c:pt>
                <c:pt idx="134">
                  <c:v>3727.7</c:v>
                </c:pt>
                <c:pt idx="135">
                  <c:v>4044.9</c:v>
                </c:pt>
                <c:pt idx="136">
                  <c:v>4068.6</c:v>
                </c:pt>
                <c:pt idx="137">
                  <c:v>4240.1000000000004</c:v>
                </c:pt>
                <c:pt idx="138">
                  <c:v>4052.5</c:v>
                </c:pt>
                <c:pt idx="139">
                  <c:v>4230.7</c:v>
                </c:pt>
                <c:pt idx="140">
                  <c:v>4093</c:v>
                </c:pt>
                <c:pt idx="141">
                  <c:v>4174.1000000000004</c:v>
                </c:pt>
                <c:pt idx="142">
                  <c:v>4192.3</c:v>
                </c:pt>
                <c:pt idx="143">
                  <c:v>3998.1</c:v>
                </c:pt>
                <c:pt idx="144">
                  <c:v>4115.8</c:v>
                </c:pt>
                <c:pt idx="145">
                  <c:v>4048.7</c:v>
                </c:pt>
                <c:pt idx="146">
                  <c:v>3854.8</c:v>
                </c:pt>
                <c:pt idx="147">
                  <c:v>3930.9</c:v>
                </c:pt>
                <c:pt idx="148">
                  <c:v>4169.3</c:v>
                </c:pt>
                <c:pt idx="149">
                  <c:v>4070.6</c:v>
                </c:pt>
                <c:pt idx="150">
                  <c:v>4223.5</c:v>
                </c:pt>
                <c:pt idx="151">
                  <c:v>4369.3</c:v>
                </c:pt>
                <c:pt idx="152">
                  <c:v>4112.6000000000004</c:v>
                </c:pt>
                <c:pt idx="153">
                  <c:v>4165.6000000000004</c:v>
                </c:pt>
                <c:pt idx="154">
                  <c:v>4212.6000000000004</c:v>
                </c:pt>
                <c:pt idx="155">
                  <c:v>4163.5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05-4679-901F-95A2BBBE3C45}"/>
            </c:ext>
          </c:extLst>
        </c:ser>
        <c:ser>
          <c:idx val="1"/>
          <c:order val="1"/>
          <c:tx>
            <c:v>Holt-Winters(Total Consumption)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FF0000"/>
              </a:solidFill>
              <a:ln w="3175">
                <a:solidFill>
                  <a:srgbClr val="FF0000"/>
                </a:solidFill>
                <a:prstDash val="solid"/>
              </a:ln>
            </c:spPr>
          </c:marker>
          <c:xVal>
            <c:numRef>
              <c:f>'Holt-Winters'!$B$49:$B$205</c:f>
              <c:numCache>
                <c:formatCode>General</c:formatCode>
                <c:ptCount val="15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</c:numCache>
            </c:numRef>
          </c:xVal>
          <c:yVal>
            <c:numRef>
              <c:f>'Holt-Winters'!$D$49:$D$205</c:f>
              <c:numCache>
                <c:formatCode>0.000</c:formatCode>
                <c:ptCount val="157"/>
                <c:pt idx="12">
                  <c:v>2796.8</c:v>
                </c:pt>
                <c:pt idx="13">
                  <c:v>2835.4844032558153</c:v>
                </c:pt>
                <c:pt idx="14">
                  <c:v>2812.5150422963352</c:v>
                </c:pt>
                <c:pt idx="15">
                  <c:v>3048.4245048370208</c:v>
                </c:pt>
                <c:pt idx="16">
                  <c:v>3032.3966642692985</c:v>
                </c:pt>
                <c:pt idx="17">
                  <c:v>3188.9097490335353</c:v>
                </c:pt>
                <c:pt idx="18">
                  <c:v>3086.4478281211277</c:v>
                </c:pt>
                <c:pt idx="19">
                  <c:v>3190.0741537245563</c:v>
                </c:pt>
                <c:pt idx="20">
                  <c:v>3131.1036886195302</c:v>
                </c:pt>
                <c:pt idx="21">
                  <c:v>3007.417223529766</c:v>
                </c:pt>
                <c:pt idx="22">
                  <c:v>3273.7498560094873</c:v>
                </c:pt>
                <c:pt idx="23">
                  <c:v>3005.8976082486006</c:v>
                </c:pt>
                <c:pt idx="24">
                  <c:v>2942.9110353639626</c:v>
                </c:pt>
                <c:pt idx="25">
                  <c:v>2972.5243562168221</c:v>
                </c:pt>
                <c:pt idx="26">
                  <c:v>2935.5115687170546</c:v>
                </c:pt>
                <c:pt idx="27">
                  <c:v>3155.0313551393124</c:v>
                </c:pt>
                <c:pt idx="28">
                  <c:v>3160.629601814418</c:v>
                </c:pt>
                <c:pt idx="29">
                  <c:v>3319.8030698871075</c:v>
                </c:pt>
                <c:pt idx="30">
                  <c:v>3184.2310332839115</c:v>
                </c:pt>
                <c:pt idx="31">
                  <c:v>3362.1492424500098</c:v>
                </c:pt>
                <c:pt idx="32">
                  <c:v>3250.222680246382</c:v>
                </c:pt>
                <c:pt idx="33">
                  <c:v>3142.0431632687737</c:v>
                </c:pt>
                <c:pt idx="34">
                  <c:v>3388.7858209602186</c:v>
                </c:pt>
                <c:pt idx="35">
                  <c:v>3150.9111050538781</c:v>
                </c:pt>
                <c:pt idx="36">
                  <c:v>3107.0878052983917</c:v>
                </c:pt>
                <c:pt idx="37">
                  <c:v>3048.1137391475081</c:v>
                </c:pt>
                <c:pt idx="38">
                  <c:v>3070.3799701168296</c:v>
                </c:pt>
                <c:pt idx="39">
                  <c:v>3234.4503434594585</c:v>
                </c:pt>
                <c:pt idx="40">
                  <c:v>3275.9200183431899</c:v>
                </c:pt>
                <c:pt idx="41">
                  <c:v>3372.9896069713977</c:v>
                </c:pt>
                <c:pt idx="42">
                  <c:v>3303.4091494915538</c:v>
                </c:pt>
                <c:pt idx="43">
                  <c:v>3439.2674389225608</c:v>
                </c:pt>
                <c:pt idx="44">
                  <c:v>3290.8570505696912</c:v>
                </c:pt>
                <c:pt idx="45">
                  <c:v>3246.3157976685129</c:v>
                </c:pt>
                <c:pt idx="46">
                  <c:v>3467.799456065703</c:v>
                </c:pt>
                <c:pt idx="47">
                  <c:v>3175.003986370752</c:v>
                </c:pt>
                <c:pt idx="48">
                  <c:v>3152.8060504648879</c:v>
                </c:pt>
                <c:pt idx="49">
                  <c:v>3059.6002907554666</c:v>
                </c:pt>
                <c:pt idx="50">
                  <c:v>3002.240383998736</c:v>
                </c:pt>
                <c:pt idx="51">
                  <c:v>3191.4800774070513</c:v>
                </c:pt>
                <c:pt idx="52">
                  <c:v>3186.5148063496636</c:v>
                </c:pt>
                <c:pt idx="53">
                  <c:v>3250.5940649927943</c:v>
                </c:pt>
                <c:pt idx="54">
                  <c:v>3222.8809582029239</c:v>
                </c:pt>
                <c:pt idx="55">
                  <c:v>3329.8799701645553</c:v>
                </c:pt>
                <c:pt idx="56">
                  <c:v>3310.4525771002054</c:v>
                </c:pt>
                <c:pt idx="57">
                  <c:v>3268.8830545773631</c:v>
                </c:pt>
                <c:pt idx="58">
                  <c:v>3438.4379156837344</c:v>
                </c:pt>
                <c:pt idx="59">
                  <c:v>3224.3094262110671</c:v>
                </c:pt>
                <c:pt idx="60">
                  <c:v>3204.954737972223</c:v>
                </c:pt>
                <c:pt idx="61">
                  <c:v>3174.9263423995808</c:v>
                </c:pt>
                <c:pt idx="62">
                  <c:v>3158.1549753063141</c:v>
                </c:pt>
                <c:pt idx="63">
                  <c:v>3430.252035311365</c:v>
                </c:pt>
                <c:pt idx="64">
                  <c:v>3483.4076520997278</c:v>
                </c:pt>
                <c:pt idx="65">
                  <c:v>3638.7569406321109</c:v>
                </c:pt>
                <c:pt idx="66">
                  <c:v>3596.4244841813784</c:v>
                </c:pt>
                <c:pt idx="67">
                  <c:v>3624.0032466345469</c:v>
                </c:pt>
                <c:pt idx="68">
                  <c:v>3613.1680226968065</c:v>
                </c:pt>
                <c:pt idx="69">
                  <c:v>3552.0351644646007</c:v>
                </c:pt>
                <c:pt idx="70">
                  <c:v>3641.8207803551222</c:v>
                </c:pt>
                <c:pt idx="71">
                  <c:v>3469.7999935285848</c:v>
                </c:pt>
                <c:pt idx="72">
                  <c:v>3455.181022272272</c:v>
                </c:pt>
                <c:pt idx="73">
                  <c:v>3435.8546050269761</c:v>
                </c:pt>
                <c:pt idx="74">
                  <c:v>3418.4124652658847</c:v>
                </c:pt>
                <c:pt idx="75">
                  <c:v>3581.9298591129404</c:v>
                </c:pt>
                <c:pt idx="76">
                  <c:v>3544.631917602866</c:v>
                </c:pt>
                <c:pt idx="77">
                  <c:v>3717.0478843749465</c:v>
                </c:pt>
                <c:pt idx="78">
                  <c:v>3671.4846694156781</c:v>
                </c:pt>
                <c:pt idx="79">
                  <c:v>3697.5930733428913</c:v>
                </c:pt>
                <c:pt idx="80">
                  <c:v>3725.0819059993228</c:v>
                </c:pt>
                <c:pt idx="81">
                  <c:v>3675.7128501899115</c:v>
                </c:pt>
                <c:pt idx="82">
                  <c:v>3753.9665460671508</c:v>
                </c:pt>
                <c:pt idx="83">
                  <c:v>3601.686327291116</c:v>
                </c:pt>
                <c:pt idx="84">
                  <c:v>3479.1787962181306</c:v>
                </c:pt>
                <c:pt idx="85">
                  <c:v>3434.1157348513384</c:v>
                </c:pt>
                <c:pt idx="86">
                  <c:v>3421.113311232772</c:v>
                </c:pt>
                <c:pt idx="87">
                  <c:v>3624.8627072993249</c:v>
                </c:pt>
                <c:pt idx="88">
                  <c:v>3649.8463292569631</c:v>
                </c:pt>
                <c:pt idx="89">
                  <c:v>3854.5810490628346</c:v>
                </c:pt>
                <c:pt idx="90">
                  <c:v>3734.7914103217026</c:v>
                </c:pt>
                <c:pt idx="91">
                  <c:v>3801.8203763262773</c:v>
                </c:pt>
                <c:pt idx="92">
                  <c:v>3774.6213248284885</c:v>
                </c:pt>
                <c:pt idx="93">
                  <c:v>3734.369529548555</c:v>
                </c:pt>
                <c:pt idx="94">
                  <c:v>3829.9880740426388</c:v>
                </c:pt>
                <c:pt idx="95">
                  <c:v>3684.182575505753</c:v>
                </c:pt>
                <c:pt idx="96">
                  <c:v>3596.2652428558254</c:v>
                </c:pt>
                <c:pt idx="97">
                  <c:v>3623.6736737417082</c:v>
                </c:pt>
                <c:pt idx="98">
                  <c:v>3545.1586664077372</c:v>
                </c:pt>
                <c:pt idx="99">
                  <c:v>3709.6605922232452</c:v>
                </c:pt>
                <c:pt idx="100">
                  <c:v>3719.1831536227583</c:v>
                </c:pt>
                <c:pt idx="101">
                  <c:v>3918.7898815628378</c:v>
                </c:pt>
                <c:pt idx="102">
                  <c:v>3797.3561047159642</c:v>
                </c:pt>
                <c:pt idx="103">
                  <c:v>3901.9486407096706</c:v>
                </c:pt>
                <c:pt idx="104">
                  <c:v>3858.7208212137398</c:v>
                </c:pt>
                <c:pt idx="105">
                  <c:v>3783.6214897950404</c:v>
                </c:pt>
                <c:pt idx="106">
                  <c:v>3859.5913671561993</c:v>
                </c:pt>
                <c:pt idx="107">
                  <c:v>3737.7994023975807</c:v>
                </c:pt>
                <c:pt idx="108">
                  <c:v>3674.4154002749974</c:v>
                </c:pt>
                <c:pt idx="109">
                  <c:v>3638.7163359836727</c:v>
                </c:pt>
                <c:pt idx="110">
                  <c:v>3608.790865949476</c:v>
                </c:pt>
                <c:pt idx="111">
                  <c:v>3817.9715515620037</c:v>
                </c:pt>
                <c:pt idx="112">
                  <c:v>3828.3644140756055</c:v>
                </c:pt>
                <c:pt idx="113">
                  <c:v>4010.9080158883289</c:v>
                </c:pt>
                <c:pt idx="114">
                  <c:v>3926.9277856197291</c:v>
                </c:pt>
                <c:pt idx="115">
                  <c:v>3999.2459754577058</c:v>
                </c:pt>
                <c:pt idx="116">
                  <c:v>3973.7192906691866</c:v>
                </c:pt>
                <c:pt idx="117">
                  <c:v>3891.8518952574714</c:v>
                </c:pt>
                <c:pt idx="118">
                  <c:v>4022.4775728911341</c:v>
                </c:pt>
                <c:pt idx="119">
                  <c:v>3862.199948377232</c:v>
                </c:pt>
                <c:pt idx="120">
                  <c:v>3808.3542501494821</c:v>
                </c:pt>
                <c:pt idx="121">
                  <c:v>3780.7014303572223</c:v>
                </c:pt>
                <c:pt idx="122">
                  <c:v>3689.6429032055712</c:v>
                </c:pt>
                <c:pt idx="123">
                  <c:v>3958.186592390975</c:v>
                </c:pt>
                <c:pt idx="124">
                  <c:v>3967.2499859389723</c:v>
                </c:pt>
                <c:pt idx="125">
                  <c:v>4103.6552052374773</c:v>
                </c:pt>
                <c:pt idx="126">
                  <c:v>4025.5558183404446</c:v>
                </c:pt>
                <c:pt idx="127">
                  <c:v>4098.5584440635548</c:v>
                </c:pt>
                <c:pt idx="128">
                  <c:v>4035.948522922014</c:v>
                </c:pt>
                <c:pt idx="129">
                  <c:v>3988.7958334493801</c:v>
                </c:pt>
                <c:pt idx="130">
                  <c:v>4080.8593410502608</c:v>
                </c:pt>
                <c:pt idx="131">
                  <c:v>3938.1544147351278</c:v>
                </c:pt>
                <c:pt idx="132">
                  <c:v>3923.7139714051336</c:v>
                </c:pt>
                <c:pt idx="133">
                  <c:v>3829.9786476883887</c:v>
                </c:pt>
                <c:pt idx="134">
                  <c:v>3802.7786087175759</c:v>
                </c:pt>
                <c:pt idx="135">
                  <c:v>4056.8488661665374</c:v>
                </c:pt>
                <c:pt idx="136">
                  <c:v>4059.1896852161876</c:v>
                </c:pt>
                <c:pt idx="137">
                  <c:v>4178.9820410803322</c:v>
                </c:pt>
                <c:pt idx="138">
                  <c:v>4147.9990273446183</c:v>
                </c:pt>
                <c:pt idx="139">
                  <c:v>4204.4248014463919</c:v>
                </c:pt>
                <c:pt idx="140">
                  <c:v>4133.1205422261037</c:v>
                </c:pt>
                <c:pt idx="141">
                  <c:v>4072.0139061056743</c:v>
                </c:pt>
                <c:pt idx="142">
                  <c:v>4158.411432207311</c:v>
                </c:pt>
                <c:pt idx="143">
                  <c:v>4036.9490747058594</c:v>
                </c:pt>
                <c:pt idx="144">
                  <c:v>4011.836301440308</c:v>
                </c:pt>
                <c:pt idx="145">
                  <c:v>3981.5662987811775</c:v>
                </c:pt>
                <c:pt idx="146">
                  <c:v>3916.9470778899827</c:v>
                </c:pt>
                <c:pt idx="147">
                  <c:v>4186.0462709834774</c:v>
                </c:pt>
                <c:pt idx="148">
                  <c:v>4132.3095641668433</c:v>
                </c:pt>
                <c:pt idx="149">
                  <c:v>4267.6226799133474</c:v>
                </c:pt>
                <c:pt idx="150">
                  <c:v>4144.4828448742028</c:v>
                </c:pt>
                <c:pt idx="151">
                  <c:v>4264.2079829637778</c:v>
                </c:pt>
                <c:pt idx="152">
                  <c:v>4200.1578941794278</c:v>
                </c:pt>
                <c:pt idx="153">
                  <c:v>4151.8946454244242</c:v>
                </c:pt>
                <c:pt idx="154">
                  <c:v>4203.7189267752101</c:v>
                </c:pt>
                <c:pt idx="155">
                  <c:v>4062.2368837266808</c:v>
                </c:pt>
                <c:pt idx="156">
                  <c:v>4096.0094332180743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05-4679-901F-95A2BBBE3C45}"/>
            </c:ext>
          </c:extLst>
        </c:ser>
        <c:ser>
          <c:idx val="2"/>
          <c:order val="2"/>
          <c:tx>
            <c:v>Lower bound (95%)</c:v>
          </c:tx>
          <c:spPr>
            <a:ln w="6350">
              <a:solidFill>
                <a:srgbClr val="969696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969696"/>
              </a:solidFill>
              <a:ln w="3175">
                <a:solidFill>
                  <a:srgbClr val="969696"/>
                </a:solidFill>
                <a:prstDash val="solid"/>
              </a:ln>
            </c:spPr>
          </c:marker>
          <c:xVal>
            <c:numRef>
              <c:f>'Holt-Winters'!$B$205</c:f>
              <c:numCache>
                <c:formatCode>General</c:formatCode>
                <c:ptCount val="1"/>
                <c:pt idx="0">
                  <c:v>157</c:v>
                </c:pt>
              </c:numCache>
            </c:numRef>
          </c:xVal>
          <c:yVal>
            <c:numRef>
              <c:f>'Holt-Winters'!$F$205</c:f>
              <c:numCache>
                <c:formatCode>0.000</c:formatCode>
                <c:ptCount val="1"/>
                <c:pt idx="0">
                  <c:v>3915.4970084655106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05-4679-901F-95A2BBBE3C45}"/>
            </c:ext>
          </c:extLst>
        </c:ser>
        <c:ser>
          <c:idx val="3"/>
          <c:order val="3"/>
          <c:tx>
            <c:v>Upper bound (95%)</c:v>
          </c:tx>
          <c:spPr>
            <a:ln w="6350">
              <a:solidFill>
                <a:srgbClr val="969696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969696"/>
              </a:solidFill>
              <a:ln w="3175">
                <a:solidFill>
                  <a:srgbClr val="969696"/>
                </a:solidFill>
                <a:prstDash val="solid"/>
              </a:ln>
            </c:spPr>
          </c:marker>
          <c:xVal>
            <c:numRef>
              <c:f>'Holt-Winters'!$B$205</c:f>
              <c:numCache>
                <c:formatCode>General</c:formatCode>
                <c:ptCount val="1"/>
                <c:pt idx="0">
                  <c:v>157</c:v>
                </c:pt>
              </c:numCache>
            </c:numRef>
          </c:xVal>
          <c:yVal>
            <c:numRef>
              <c:f>'Holt-Winters'!$G$205</c:f>
              <c:numCache>
                <c:formatCode>0.000</c:formatCode>
                <c:ptCount val="1"/>
                <c:pt idx="0">
                  <c:v>4276.5218579706379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705-4679-901F-95A2BBBE3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277368"/>
        <c:axId val="597272120"/>
      </c:scatterChart>
      <c:valAx>
        <c:axId val="597277368"/>
        <c:scaling>
          <c:orientation val="minMax"/>
          <c:max val="16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97272120"/>
        <c:crosses val="autoZero"/>
        <c:crossBetween val="midCat"/>
      </c:valAx>
      <c:valAx>
        <c:axId val="597272120"/>
        <c:scaling>
          <c:orientation val="minMax"/>
          <c:max val="4500"/>
          <c:min val="270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Total Consumption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97277368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SG"/>
              <a:t>Residuals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Residuals</c:v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cat>
            <c:numRef>
              <c:f>'Holt-Winters'!$B$49:$B$204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cat>
          <c:val>
            <c:numRef>
              <c:f>'Holt-Winters'!$E$49:$E$204</c:f>
              <c:numCache>
                <c:formatCode>0.000</c:formatCode>
                <c:ptCount val="156"/>
                <c:pt idx="12">
                  <c:v>178.5</c:v>
                </c:pt>
                <c:pt idx="13">
                  <c:v>51.915596744184768</c:v>
                </c:pt>
                <c:pt idx="14">
                  <c:v>81.284957703664986</c:v>
                </c:pt>
                <c:pt idx="15">
                  <c:v>-24.824504837020868</c:v>
                </c:pt>
                <c:pt idx="16">
                  <c:v>60.103335730701474</c:v>
                </c:pt>
                <c:pt idx="17">
                  <c:v>-6.8097490335353541</c:v>
                </c:pt>
                <c:pt idx="18">
                  <c:v>-78.947828121127714</c:v>
                </c:pt>
                <c:pt idx="19">
                  <c:v>73.925846275443746</c:v>
                </c:pt>
                <c:pt idx="20">
                  <c:v>-17.103688619530203</c:v>
                </c:pt>
                <c:pt idx="21">
                  <c:v>99.682776470233875</c:v>
                </c:pt>
                <c:pt idx="22">
                  <c:v>-58.749856009487303</c:v>
                </c:pt>
                <c:pt idx="23">
                  <c:v>33.5023917513995</c:v>
                </c:pt>
                <c:pt idx="24">
                  <c:v>223.48896463603751</c:v>
                </c:pt>
                <c:pt idx="25">
                  <c:v>-33.924356216822162</c:v>
                </c:pt>
                <c:pt idx="26">
                  <c:v>83.288431282945567</c:v>
                </c:pt>
                <c:pt idx="27">
                  <c:v>-5.0313551393123817</c:v>
                </c:pt>
                <c:pt idx="28">
                  <c:v>110.47039818558187</c:v>
                </c:pt>
                <c:pt idx="29">
                  <c:v>-97.30306988710754</c:v>
                </c:pt>
                <c:pt idx="30">
                  <c:v>104.66896671608856</c:v>
                </c:pt>
                <c:pt idx="31">
                  <c:v>-84.74924245000966</c:v>
                </c:pt>
                <c:pt idx="32">
                  <c:v>-44.422680246381788</c:v>
                </c:pt>
                <c:pt idx="33">
                  <c:v>126.15683673122612</c:v>
                </c:pt>
                <c:pt idx="34">
                  <c:v>-10.685820960218734</c:v>
                </c:pt>
                <c:pt idx="35">
                  <c:v>-31.711105053878327</c:v>
                </c:pt>
                <c:pt idx="36">
                  <c:v>42.712194701608496</c:v>
                </c:pt>
                <c:pt idx="37">
                  <c:v>118.08626085249171</c:v>
                </c:pt>
                <c:pt idx="38">
                  <c:v>-83.179970116829736</c:v>
                </c:pt>
                <c:pt idx="39">
                  <c:v>54.549656540541491</c:v>
                </c:pt>
                <c:pt idx="40">
                  <c:v>3.6799816568100141</c:v>
                </c:pt>
                <c:pt idx="41">
                  <c:v>23.110393028602175</c:v>
                </c:pt>
                <c:pt idx="42">
                  <c:v>65.090850508446238</c:v>
                </c:pt>
                <c:pt idx="43">
                  <c:v>-263.1674389225609</c:v>
                </c:pt>
                <c:pt idx="44">
                  <c:v>90.642949430308818</c:v>
                </c:pt>
                <c:pt idx="45">
                  <c:v>118.58420233148718</c:v>
                </c:pt>
                <c:pt idx="46">
                  <c:v>-218.799456065703</c:v>
                </c:pt>
                <c:pt idx="47">
                  <c:v>4.1960136292477728</c:v>
                </c:pt>
                <c:pt idx="48">
                  <c:v>-146.90605046488781</c:v>
                </c:pt>
                <c:pt idx="49">
                  <c:v>-54.800290755466449</c:v>
                </c:pt>
                <c:pt idx="50">
                  <c:v>-71.14038399873607</c:v>
                </c:pt>
                <c:pt idx="51">
                  <c:v>-87.98007740705134</c:v>
                </c:pt>
                <c:pt idx="52">
                  <c:v>-131.61480634966347</c:v>
                </c:pt>
                <c:pt idx="53">
                  <c:v>175.00593500720561</c:v>
                </c:pt>
                <c:pt idx="54">
                  <c:v>191.21904179707599</c:v>
                </c:pt>
                <c:pt idx="55">
                  <c:v>12.820029835444529</c:v>
                </c:pt>
                <c:pt idx="56">
                  <c:v>85.247422899794401</c:v>
                </c:pt>
                <c:pt idx="57">
                  <c:v>150.61694542263695</c:v>
                </c:pt>
                <c:pt idx="58">
                  <c:v>-58.537915683734354</c:v>
                </c:pt>
                <c:pt idx="59">
                  <c:v>120.79057378893276</c:v>
                </c:pt>
                <c:pt idx="60">
                  <c:v>37.945262027777062</c:v>
                </c:pt>
                <c:pt idx="61">
                  <c:v>112.17365760041912</c:v>
                </c:pt>
                <c:pt idx="62">
                  <c:v>262.44502469368581</c:v>
                </c:pt>
                <c:pt idx="63">
                  <c:v>158.54796468863515</c:v>
                </c:pt>
                <c:pt idx="64">
                  <c:v>-4.007652099727693</c:v>
                </c:pt>
                <c:pt idx="65">
                  <c:v>79.943059367888964</c:v>
                </c:pt>
                <c:pt idx="66">
                  <c:v>-24.724484181378557</c:v>
                </c:pt>
                <c:pt idx="67">
                  <c:v>-22.50324663454694</c:v>
                </c:pt>
                <c:pt idx="68">
                  <c:v>-57.368022696806293</c:v>
                </c:pt>
                <c:pt idx="69">
                  <c:v>-37.135164464600621</c:v>
                </c:pt>
                <c:pt idx="70">
                  <c:v>-27.420780355122133</c:v>
                </c:pt>
                <c:pt idx="71">
                  <c:v>186.20000647141524</c:v>
                </c:pt>
                <c:pt idx="72">
                  <c:v>15.218977727728088</c:v>
                </c:pt>
                <c:pt idx="73">
                  <c:v>-9.3546050269760599</c:v>
                </c:pt>
                <c:pt idx="74">
                  <c:v>-110.41246526588475</c:v>
                </c:pt>
                <c:pt idx="75">
                  <c:v>-92.72985911294063</c:v>
                </c:pt>
                <c:pt idx="76">
                  <c:v>7.3680823971340033</c:v>
                </c:pt>
                <c:pt idx="77">
                  <c:v>142.65211562505328</c:v>
                </c:pt>
                <c:pt idx="78">
                  <c:v>-31.584669415678036</c:v>
                </c:pt>
                <c:pt idx="79">
                  <c:v>156.60692665710849</c:v>
                </c:pt>
                <c:pt idx="80">
                  <c:v>-27.281905999322589</c:v>
                </c:pt>
                <c:pt idx="81">
                  <c:v>-93.712850189911478</c:v>
                </c:pt>
                <c:pt idx="82">
                  <c:v>-101.16654606715065</c:v>
                </c:pt>
                <c:pt idx="83">
                  <c:v>-126.98632729111614</c:v>
                </c:pt>
                <c:pt idx="84">
                  <c:v>-65.278796218130537</c:v>
                </c:pt>
                <c:pt idx="85">
                  <c:v>86.784265148661689</c:v>
                </c:pt>
                <c:pt idx="86">
                  <c:v>43.686688767228134</c:v>
                </c:pt>
                <c:pt idx="87">
                  <c:v>88.637292700675061</c:v>
                </c:pt>
                <c:pt idx="88">
                  <c:v>40.053670743036946</c:v>
                </c:pt>
                <c:pt idx="89">
                  <c:v>-34.581049062834609</c:v>
                </c:pt>
                <c:pt idx="90">
                  <c:v>1.2085896782973578</c:v>
                </c:pt>
                <c:pt idx="91">
                  <c:v>67.479623673722926</c:v>
                </c:pt>
                <c:pt idx="92">
                  <c:v>58.57867517151135</c:v>
                </c:pt>
                <c:pt idx="93">
                  <c:v>-18.069529548554783</c:v>
                </c:pt>
                <c:pt idx="94">
                  <c:v>-57.788074042638982</c:v>
                </c:pt>
                <c:pt idx="95">
                  <c:v>-33.382575505752811</c:v>
                </c:pt>
                <c:pt idx="96">
                  <c:v>114.73475714417464</c:v>
                </c:pt>
                <c:pt idx="97">
                  <c:v>-152.87367374170799</c:v>
                </c:pt>
                <c:pt idx="98">
                  <c:v>-147.85866640773702</c:v>
                </c:pt>
                <c:pt idx="99">
                  <c:v>62.339407776754797</c:v>
                </c:pt>
                <c:pt idx="100">
                  <c:v>74.116846377241927</c:v>
                </c:pt>
                <c:pt idx="101">
                  <c:v>-65.089881562837945</c:v>
                </c:pt>
                <c:pt idx="102">
                  <c:v>107.14389528403581</c:v>
                </c:pt>
                <c:pt idx="103">
                  <c:v>9.2513592903292192</c:v>
                </c:pt>
                <c:pt idx="104">
                  <c:v>-26.220821213739782</c:v>
                </c:pt>
                <c:pt idx="105">
                  <c:v>-66.22148979504027</c:v>
                </c:pt>
                <c:pt idx="106">
                  <c:v>25.008632843800569</c:v>
                </c:pt>
                <c:pt idx="107">
                  <c:v>-37.399402397580616</c:v>
                </c:pt>
                <c:pt idx="108">
                  <c:v>52.284599725002408</c:v>
                </c:pt>
                <c:pt idx="109">
                  <c:v>41.883664016327202</c:v>
                </c:pt>
                <c:pt idx="110">
                  <c:v>-117.39086594947594</c:v>
                </c:pt>
                <c:pt idx="111">
                  <c:v>56.328448437996485</c:v>
                </c:pt>
                <c:pt idx="112">
                  <c:v>102.7355859243944</c:v>
                </c:pt>
                <c:pt idx="113">
                  <c:v>-37.908015888328919</c:v>
                </c:pt>
                <c:pt idx="114">
                  <c:v>44.472214380270998</c:v>
                </c:pt>
                <c:pt idx="115">
                  <c:v>104.35402454229461</c:v>
                </c:pt>
                <c:pt idx="116">
                  <c:v>-28.01929066918683</c:v>
                </c:pt>
                <c:pt idx="117">
                  <c:v>85.948104742528812</c:v>
                </c:pt>
                <c:pt idx="118">
                  <c:v>-91.277572891134241</c:v>
                </c:pt>
                <c:pt idx="119">
                  <c:v>-65.899948377231794</c:v>
                </c:pt>
                <c:pt idx="120">
                  <c:v>88.945749850518041</c:v>
                </c:pt>
                <c:pt idx="121">
                  <c:v>-94.801430357222216</c:v>
                </c:pt>
                <c:pt idx="122">
                  <c:v>-2.6429032055712014</c:v>
                </c:pt>
                <c:pt idx="123">
                  <c:v>15.013407609024853</c:v>
                </c:pt>
                <c:pt idx="124">
                  <c:v>14.35001406102765</c:v>
                </c:pt>
                <c:pt idx="125">
                  <c:v>-73.055205237477367</c:v>
                </c:pt>
                <c:pt idx="126">
                  <c:v>5.0441816595553064</c:v>
                </c:pt>
                <c:pt idx="127">
                  <c:v>49.741555936445366</c:v>
                </c:pt>
                <c:pt idx="128">
                  <c:v>32.851477077986146</c:v>
                </c:pt>
                <c:pt idx="129">
                  <c:v>56.904166550619721</c:v>
                </c:pt>
                <c:pt idx="130">
                  <c:v>-37.359341050260809</c:v>
                </c:pt>
                <c:pt idx="131">
                  <c:v>-16.754414735127739</c:v>
                </c:pt>
                <c:pt idx="132">
                  <c:v>-47.413971405133452</c:v>
                </c:pt>
                <c:pt idx="133">
                  <c:v>98.421352311611372</c:v>
                </c:pt>
                <c:pt idx="134">
                  <c:v>-75.078608717576117</c:v>
                </c:pt>
                <c:pt idx="135">
                  <c:v>-11.9488661665373</c:v>
                </c:pt>
                <c:pt idx="136">
                  <c:v>9.4103147838122823</c:v>
                </c:pt>
                <c:pt idx="137">
                  <c:v>61.117958919668126</c:v>
                </c:pt>
                <c:pt idx="138">
                  <c:v>-95.499027344618298</c:v>
                </c:pt>
                <c:pt idx="139">
                  <c:v>26.275198553607879</c:v>
                </c:pt>
                <c:pt idx="140">
                  <c:v>-40.12054222610368</c:v>
                </c:pt>
                <c:pt idx="141">
                  <c:v>102.08609389432604</c:v>
                </c:pt>
                <c:pt idx="142">
                  <c:v>33.888567792689173</c:v>
                </c:pt>
                <c:pt idx="143">
                  <c:v>-38.849074705859493</c:v>
                </c:pt>
                <c:pt idx="144">
                  <c:v>103.96369855969215</c:v>
                </c:pt>
                <c:pt idx="145">
                  <c:v>67.133701218822353</c:v>
                </c:pt>
                <c:pt idx="146">
                  <c:v>-62.147077889982484</c:v>
                </c:pt>
                <c:pt idx="147">
                  <c:v>-255.14627098347728</c:v>
                </c:pt>
                <c:pt idx="148">
                  <c:v>36.99043583315688</c:v>
                </c:pt>
                <c:pt idx="149">
                  <c:v>-197.02267991334747</c:v>
                </c:pt>
                <c:pt idx="150">
                  <c:v>79.017155125797217</c:v>
                </c:pt>
                <c:pt idx="151">
                  <c:v>105.09201703622239</c:v>
                </c:pt>
                <c:pt idx="152">
                  <c:v>-87.557894179427421</c:v>
                </c:pt>
                <c:pt idx="153">
                  <c:v>13.705354575576166</c:v>
                </c:pt>
                <c:pt idx="154">
                  <c:v>8.8810732247902706</c:v>
                </c:pt>
                <c:pt idx="155">
                  <c:v>101.26311627331916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4-4934-945C-EBECBBC98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97275728"/>
        <c:axId val="597276056"/>
      </c:barChart>
      <c:catAx>
        <c:axId val="597275728"/>
        <c:scaling>
          <c:orientation val="minMax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97276056"/>
        <c:crosses val="autoZero"/>
        <c:auto val="1"/>
        <c:lblAlgn val="ctr"/>
        <c:lblOffset val="100"/>
        <c:noMultiLvlLbl val="0"/>
      </c:catAx>
      <c:valAx>
        <c:axId val="5972760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Residual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97275728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SG"/>
              <a:t>ARIMA (Series1)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Series1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ARIMA!$B$59:$B$214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ARIMA!$C$59:$C$214</c:f>
              <c:numCache>
                <c:formatCode>0.000</c:formatCode>
                <c:ptCount val="156"/>
                <c:pt idx="0">
                  <c:v>2796.8</c:v>
                </c:pt>
                <c:pt idx="1">
                  <c:v>2791</c:v>
                </c:pt>
                <c:pt idx="2">
                  <c:v>2754.2</c:v>
                </c:pt>
                <c:pt idx="3">
                  <c:v>2968.7</c:v>
                </c:pt>
                <c:pt idx="4">
                  <c:v>2957.3</c:v>
                </c:pt>
                <c:pt idx="5">
                  <c:v>3097.4</c:v>
                </c:pt>
                <c:pt idx="6">
                  <c:v>2994.9</c:v>
                </c:pt>
                <c:pt idx="7">
                  <c:v>3116.5</c:v>
                </c:pt>
                <c:pt idx="8">
                  <c:v>3037.8</c:v>
                </c:pt>
                <c:pt idx="9">
                  <c:v>2916.7</c:v>
                </c:pt>
                <c:pt idx="10">
                  <c:v>3156.6</c:v>
                </c:pt>
                <c:pt idx="11">
                  <c:v>2901.3</c:v>
                </c:pt>
                <c:pt idx="12">
                  <c:v>2975.3</c:v>
                </c:pt>
                <c:pt idx="13">
                  <c:v>2887.4</c:v>
                </c:pt>
                <c:pt idx="14">
                  <c:v>2893.8</c:v>
                </c:pt>
                <c:pt idx="15">
                  <c:v>3023.6</c:v>
                </c:pt>
                <c:pt idx="16">
                  <c:v>3092.5</c:v>
                </c:pt>
                <c:pt idx="17">
                  <c:v>3182.1</c:v>
                </c:pt>
                <c:pt idx="18">
                  <c:v>3007.5</c:v>
                </c:pt>
                <c:pt idx="19">
                  <c:v>3264</c:v>
                </c:pt>
                <c:pt idx="20">
                  <c:v>3114</c:v>
                </c:pt>
                <c:pt idx="21">
                  <c:v>3107.1</c:v>
                </c:pt>
                <c:pt idx="22">
                  <c:v>3215</c:v>
                </c:pt>
                <c:pt idx="23">
                  <c:v>3039.4</c:v>
                </c:pt>
                <c:pt idx="24">
                  <c:v>3166.4</c:v>
                </c:pt>
                <c:pt idx="25">
                  <c:v>2938.6</c:v>
                </c:pt>
                <c:pt idx="26">
                  <c:v>3018.8</c:v>
                </c:pt>
                <c:pt idx="27">
                  <c:v>3150</c:v>
                </c:pt>
                <c:pt idx="28">
                  <c:v>3271.1</c:v>
                </c:pt>
                <c:pt idx="29">
                  <c:v>3222.5</c:v>
                </c:pt>
                <c:pt idx="30">
                  <c:v>3288.9</c:v>
                </c:pt>
                <c:pt idx="31">
                  <c:v>3277.4</c:v>
                </c:pt>
                <c:pt idx="32">
                  <c:v>3205.8</c:v>
                </c:pt>
                <c:pt idx="33">
                  <c:v>3268.2</c:v>
                </c:pt>
                <c:pt idx="34">
                  <c:v>3378.1</c:v>
                </c:pt>
                <c:pt idx="35">
                  <c:v>3119.2</c:v>
                </c:pt>
                <c:pt idx="36">
                  <c:v>3149.8</c:v>
                </c:pt>
                <c:pt idx="37">
                  <c:v>3166.2</c:v>
                </c:pt>
                <c:pt idx="38">
                  <c:v>2987.2</c:v>
                </c:pt>
                <c:pt idx="39">
                  <c:v>3289</c:v>
                </c:pt>
                <c:pt idx="40">
                  <c:v>3279.6</c:v>
                </c:pt>
                <c:pt idx="41">
                  <c:v>3396.1</c:v>
                </c:pt>
                <c:pt idx="42">
                  <c:v>3368.5</c:v>
                </c:pt>
                <c:pt idx="43">
                  <c:v>3176.1</c:v>
                </c:pt>
                <c:pt idx="44">
                  <c:v>3381.5</c:v>
                </c:pt>
                <c:pt idx="45">
                  <c:v>3364.9</c:v>
                </c:pt>
                <c:pt idx="46">
                  <c:v>3249</c:v>
                </c:pt>
                <c:pt idx="47">
                  <c:v>3179.2</c:v>
                </c:pt>
                <c:pt idx="48">
                  <c:v>3005.9</c:v>
                </c:pt>
                <c:pt idx="49">
                  <c:v>3004.8</c:v>
                </c:pt>
                <c:pt idx="50">
                  <c:v>2931.1</c:v>
                </c:pt>
                <c:pt idx="51">
                  <c:v>3103.5</c:v>
                </c:pt>
                <c:pt idx="52">
                  <c:v>3054.9</c:v>
                </c:pt>
                <c:pt idx="53">
                  <c:v>3425.6</c:v>
                </c:pt>
                <c:pt idx="54">
                  <c:v>3414.1</c:v>
                </c:pt>
                <c:pt idx="55">
                  <c:v>3342.7</c:v>
                </c:pt>
                <c:pt idx="56">
                  <c:v>3395.7</c:v>
                </c:pt>
                <c:pt idx="57">
                  <c:v>3419.5</c:v>
                </c:pt>
                <c:pt idx="58">
                  <c:v>3379.9</c:v>
                </c:pt>
                <c:pt idx="59">
                  <c:v>3345.1</c:v>
                </c:pt>
                <c:pt idx="60">
                  <c:v>3242.9</c:v>
                </c:pt>
                <c:pt idx="61">
                  <c:v>3287.1</c:v>
                </c:pt>
                <c:pt idx="62">
                  <c:v>3420.6</c:v>
                </c:pt>
                <c:pt idx="63">
                  <c:v>3588.8</c:v>
                </c:pt>
                <c:pt idx="64">
                  <c:v>3479.4</c:v>
                </c:pt>
                <c:pt idx="65">
                  <c:v>3718.7</c:v>
                </c:pt>
                <c:pt idx="66">
                  <c:v>3571.7</c:v>
                </c:pt>
                <c:pt idx="67">
                  <c:v>3601.5</c:v>
                </c:pt>
                <c:pt idx="68">
                  <c:v>3555.8</c:v>
                </c:pt>
                <c:pt idx="69">
                  <c:v>3514.9</c:v>
                </c:pt>
                <c:pt idx="70">
                  <c:v>3614.4</c:v>
                </c:pt>
                <c:pt idx="71">
                  <c:v>3656</c:v>
                </c:pt>
                <c:pt idx="72">
                  <c:v>3470.4</c:v>
                </c:pt>
                <c:pt idx="73">
                  <c:v>3426.5</c:v>
                </c:pt>
                <c:pt idx="74">
                  <c:v>3308</c:v>
                </c:pt>
                <c:pt idx="75">
                  <c:v>3489.2</c:v>
                </c:pt>
                <c:pt idx="76">
                  <c:v>3552</c:v>
                </c:pt>
                <c:pt idx="77">
                  <c:v>3859.7</c:v>
                </c:pt>
                <c:pt idx="78">
                  <c:v>3639.9</c:v>
                </c:pt>
                <c:pt idx="79">
                  <c:v>3854.2</c:v>
                </c:pt>
                <c:pt idx="80">
                  <c:v>3697.8</c:v>
                </c:pt>
                <c:pt idx="81">
                  <c:v>3582</c:v>
                </c:pt>
                <c:pt idx="82">
                  <c:v>3652.8</c:v>
                </c:pt>
                <c:pt idx="83">
                  <c:v>3474.7</c:v>
                </c:pt>
                <c:pt idx="84">
                  <c:v>3413.9</c:v>
                </c:pt>
                <c:pt idx="85">
                  <c:v>3520.9</c:v>
                </c:pt>
                <c:pt idx="86">
                  <c:v>3464.8</c:v>
                </c:pt>
                <c:pt idx="87">
                  <c:v>3713.5</c:v>
                </c:pt>
                <c:pt idx="88">
                  <c:v>3689.9</c:v>
                </c:pt>
                <c:pt idx="89">
                  <c:v>3820</c:v>
                </c:pt>
                <c:pt idx="90">
                  <c:v>3736</c:v>
                </c:pt>
                <c:pt idx="91">
                  <c:v>3869.3</c:v>
                </c:pt>
                <c:pt idx="92">
                  <c:v>3833.2</c:v>
                </c:pt>
                <c:pt idx="93">
                  <c:v>3716.3</c:v>
                </c:pt>
                <c:pt idx="94">
                  <c:v>3772.2</c:v>
                </c:pt>
                <c:pt idx="95">
                  <c:v>3650.8</c:v>
                </c:pt>
                <c:pt idx="96">
                  <c:v>3711</c:v>
                </c:pt>
                <c:pt idx="97">
                  <c:v>3470.8</c:v>
                </c:pt>
                <c:pt idx="98">
                  <c:v>3397.3</c:v>
                </c:pt>
                <c:pt idx="99">
                  <c:v>3772</c:v>
                </c:pt>
                <c:pt idx="100">
                  <c:v>3793.3</c:v>
                </c:pt>
                <c:pt idx="101">
                  <c:v>3853.7</c:v>
                </c:pt>
                <c:pt idx="102">
                  <c:v>3904.5</c:v>
                </c:pt>
                <c:pt idx="103">
                  <c:v>3911.2</c:v>
                </c:pt>
                <c:pt idx="104">
                  <c:v>3832.5</c:v>
                </c:pt>
                <c:pt idx="105">
                  <c:v>3717.4</c:v>
                </c:pt>
                <c:pt idx="106">
                  <c:v>3884.6</c:v>
                </c:pt>
                <c:pt idx="107">
                  <c:v>3700.4</c:v>
                </c:pt>
                <c:pt idx="108">
                  <c:v>3726.7</c:v>
                </c:pt>
                <c:pt idx="109">
                  <c:v>3680.6</c:v>
                </c:pt>
                <c:pt idx="110">
                  <c:v>3491.4</c:v>
                </c:pt>
                <c:pt idx="111">
                  <c:v>3874.3</c:v>
                </c:pt>
                <c:pt idx="112">
                  <c:v>3931.1</c:v>
                </c:pt>
                <c:pt idx="113">
                  <c:v>3973</c:v>
                </c:pt>
                <c:pt idx="114">
                  <c:v>3971.4</c:v>
                </c:pt>
                <c:pt idx="115">
                  <c:v>4103.6000000000004</c:v>
                </c:pt>
                <c:pt idx="116">
                  <c:v>3945.7</c:v>
                </c:pt>
                <c:pt idx="117">
                  <c:v>3977.8</c:v>
                </c:pt>
                <c:pt idx="118">
                  <c:v>3931.2</c:v>
                </c:pt>
                <c:pt idx="119">
                  <c:v>3796.3</c:v>
                </c:pt>
                <c:pt idx="120">
                  <c:v>3897.3</c:v>
                </c:pt>
                <c:pt idx="121">
                  <c:v>3685.9</c:v>
                </c:pt>
                <c:pt idx="122">
                  <c:v>3687</c:v>
                </c:pt>
                <c:pt idx="123">
                  <c:v>3973.2</c:v>
                </c:pt>
                <c:pt idx="124">
                  <c:v>3981.6</c:v>
                </c:pt>
                <c:pt idx="125">
                  <c:v>4030.6</c:v>
                </c:pt>
                <c:pt idx="126">
                  <c:v>4030.6</c:v>
                </c:pt>
                <c:pt idx="127">
                  <c:v>4148.3</c:v>
                </c:pt>
                <c:pt idx="128">
                  <c:v>4068.8</c:v>
                </c:pt>
                <c:pt idx="129">
                  <c:v>4045.7</c:v>
                </c:pt>
                <c:pt idx="130">
                  <c:v>4043.5</c:v>
                </c:pt>
                <c:pt idx="131">
                  <c:v>3921.4</c:v>
                </c:pt>
                <c:pt idx="132">
                  <c:v>3876.3</c:v>
                </c:pt>
                <c:pt idx="133">
                  <c:v>3928.4</c:v>
                </c:pt>
                <c:pt idx="134">
                  <c:v>3727.7</c:v>
                </c:pt>
                <c:pt idx="135">
                  <c:v>4044.9</c:v>
                </c:pt>
                <c:pt idx="136">
                  <c:v>4068.6</c:v>
                </c:pt>
                <c:pt idx="137">
                  <c:v>4240.1000000000004</c:v>
                </c:pt>
                <c:pt idx="138">
                  <c:v>4052.5</c:v>
                </c:pt>
                <c:pt idx="139">
                  <c:v>4230.7</c:v>
                </c:pt>
                <c:pt idx="140">
                  <c:v>4093</c:v>
                </c:pt>
                <c:pt idx="141">
                  <c:v>4174.1000000000004</c:v>
                </c:pt>
                <c:pt idx="142">
                  <c:v>4192.3</c:v>
                </c:pt>
                <c:pt idx="143">
                  <c:v>3998.1</c:v>
                </c:pt>
                <c:pt idx="144">
                  <c:v>4115.8</c:v>
                </c:pt>
                <c:pt idx="145">
                  <c:v>4048.7</c:v>
                </c:pt>
                <c:pt idx="146">
                  <c:v>3854.8</c:v>
                </c:pt>
                <c:pt idx="147">
                  <c:v>3930.9</c:v>
                </c:pt>
                <c:pt idx="148">
                  <c:v>4169.3</c:v>
                </c:pt>
                <c:pt idx="149">
                  <c:v>4070.6</c:v>
                </c:pt>
                <c:pt idx="150">
                  <c:v>4223.5</c:v>
                </c:pt>
                <c:pt idx="151">
                  <c:v>4369.3</c:v>
                </c:pt>
                <c:pt idx="152">
                  <c:v>4112.6000000000004</c:v>
                </c:pt>
                <c:pt idx="153">
                  <c:v>4165.6000000000004</c:v>
                </c:pt>
                <c:pt idx="154">
                  <c:v>4212.6000000000004</c:v>
                </c:pt>
                <c:pt idx="155">
                  <c:v>4163.5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21-4452-B18E-E11D4B525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108352"/>
        <c:axId val="864113928"/>
      </c:scatterChart>
      <c:valAx>
        <c:axId val="864108352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64113928"/>
        <c:crosses val="autoZero"/>
        <c:crossBetween val="midCat"/>
      </c:valAx>
      <c:valAx>
        <c:axId val="8641139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Series1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64108352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SG"/>
              <a:t>Autocorrelogram (Series1)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'Descriptive analysis'!$B$32:$B$54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'Descriptive analysis'!$C$32:$C$54</c:f>
              <c:numCache>
                <c:formatCode>0.000</c:formatCode>
                <c:ptCount val="23"/>
                <c:pt idx="0">
                  <c:v>1</c:v>
                </c:pt>
                <c:pt idx="1">
                  <c:v>0.9196364632989712</c:v>
                </c:pt>
                <c:pt idx="2">
                  <c:v>0.88343630978992527</c:v>
                </c:pt>
                <c:pt idx="3">
                  <c:v>0.83163646987110273</c:v>
                </c:pt>
                <c:pt idx="4">
                  <c:v>0.78326622056430528</c:v>
                </c:pt>
                <c:pt idx="5">
                  <c:v>0.75326393087342691</c:v>
                </c:pt>
                <c:pt idx="6">
                  <c:v>0.73129685662128219</c:v>
                </c:pt>
                <c:pt idx="7">
                  <c:v>0.72346364264325969</c:v>
                </c:pt>
                <c:pt idx="8">
                  <c:v>0.7185488862860453</c:v>
                </c:pt>
                <c:pt idx="9">
                  <c:v>0.73690288393568149</c:v>
                </c:pt>
                <c:pt idx="10">
                  <c:v>0.74173604506158841</c:v>
                </c:pt>
                <c:pt idx="11">
                  <c:v>0.74912756488915544</c:v>
                </c:pt>
                <c:pt idx="12">
                  <c:v>0.76148860486243275</c:v>
                </c:pt>
                <c:pt idx="13">
                  <c:v>0.7147085552680571</c:v>
                </c:pt>
                <c:pt idx="14">
                  <c:v>0.68279385617041255</c:v>
                </c:pt>
                <c:pt idx="15">
                  <c:v>0.62728637413564692</c:v>
                </c:pt>
                <c:pt idx="16">
                  <c:v>0.58394217853879005</c:v>
                </c:pt>
                <c:pt idx="17">
                  <c:v>0.55889654973991176</c:v>
                </c:pt>
                <c:pt idx="18">
                  <c:v>0.5328191008053299</c:v>
                </c:pt>
                <c:pt idx="19">
                  <c:v>0.5115734126490834</c:v>
                </c:pt>
                <c:pt idx="20">
                  <c:v>0.5147162533825107</c:v>
                </c:pt>
                <c:pt idx="21">
                  <c:v>0.52209382190433318</c:v>
                </c:pt>
                <c:pt idx="22">
                  <c:v>0.54015301404153593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09-46F1-A3FA-02CDBB8AA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7852712"/>
        <c:axId val="867858616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'Descriptive analysis'!$B$32:$B$54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'Descriptive analysis'!$E$32:$E$54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-0.25744232819775609</c:v>
                </c:pt>
                <c:pt idx="3">
                  <c:v>-0.32359508834312051</c:v>
                </c:pt>
                <c:pt idx="4">
                  <c:v>-0.37252605620806706</c:v>
                </c:pt>
                <c:pt idx="5">
                  <c:v>-0.41108455066366917</c:v>
                </c:pt>
                <c:pt idx="6">
                  <c:v>-0.44377356929341555</c:v>
                </c:pt>
                <c:pt idx="7">
                  <c:v>-0.47251810205496242</c:v>
                </c:pt>
                <c:pt idx="8">
                  <c:v>-0.4990496095838311</c:v>
                </c:pt>
                <c:pt idx="9">
                  <c:v>-0.52390708237864481</c:v>
                </c:pt>
                <c:pt idx="10">
                  <c:v>-0.54883728727547409</c:v>
                </c:pt>
                <c:pt idx="11">
                  <c:v>-0.57299045908529533</c:v>
                </c:pt>
                <c:pt idx="12">
                  <c:v>-0.59662088571353056</c:v>
                </c:pt>
                <c:pt idx="13">
                  <c:v>-0.62009234895384335</c:v>
                </c:pt>
                <c:pt idx="14">
                  <c:v>-0.64005590479619923</c:v>
                </c:pt>
                <c:pt idx="15">
                  <c:v>-0.65774769634616703</c:v>
                </c:pt>
                <c:pt idx="16">
                  <c:v>-0.67231772096459963</c:v>
                </c:pt>
                <c:pt idx="17">
                  <c:v>-0.68469308448717892</c:v>
                </c:pt>
                <c:pt idx="18">
                  <c:v>-0.69583651002590718</c:v>
                </c:pt>
                <c:pt idx="19">
                  <c:v>-0.70581172161451233</c:v>
                </c:pt>
                <c:pt idx="20">
                  <c:v>-0.71488400143784292</c:v>
                </c:pt>
                <c:pt idx="21">
                  <c:v>-0.72395230305723901</c:v>
                </c:pt>
                <c:pt idx="22">
                  <c:v>-0.73316536652339981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09-46F1-A3FA-02CDBB8AA8FB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'Descriptive analysis'!$B$32:$B$54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'Descriptive analysis'!$F$32:$F$54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0.25744232819775609</c:v>
                </c:pt>
                <c:pt idx="3">
                  <c:v>0.32359508834312051</c:v>
                </c:pt>
                <c:pt idx="4">
                  <c:v>0.37252605620806706</c:v>
                </c:pt>
                <c:pt idx="5">
                  <c:v>0.41108455066366917</c:v>
                </c:pt>
                <c:pt idx="6">
                  <c:v>0.44377356929341555</c:v>
                </c:pt>
                <c:pt idx="7">
                  <c:v>0.47251810205496242</c:v>
                </c:pt>
                <c:pt idx="8">
                  <c:v>0.4990496095838311</c:v>
                </c:pt>
                <c:pt idx="9">
                  <c:v>0.52390708237864481</c:v>
                </c:pt>
                <c:pt idx="10">
                  <c:v>0.54883728727547409</c:v>
                </c:pt>
                <c:pt idx="11">
                  <c:v>0.57299045908529533</c:v>
                </c:pt>
                <c:pt idx="12">
                  <c:v>0.59662088571353056</c:v>
                </c:pt>
                <c:pt idx="13">
                  <c:v>0.62009234895384335</c:v>
                </c:pt>
                <c:pt idx="14">
                  <c:v>0.64005590479619923</c:v>
                </c:pt>
                <c:pt idx="15">
                  <c:v>0.65774769634616703</c:v>
                </c:pt>
                <c:pt idx="16">
                  <c:v>0.67231772096459963</c:v>
                </c:pt>
                <c:pt idx="17">
                  <c:v>0.68469308448717892</c:v>
                </c:pt>
                <c:pt idx="18">
                  <c:v>0.69583651002590718</c:v>
                </c:pt>
                <c:pt idx="19">
                  <c:v>0.70581172161451233</c:v>
                </c:pt>
                <c:pt idx="20">
                  <c:v>0.71488400143784292</c:v>
                </c:pt>
                <c:pt idx="21">
                  <c:v>0.72395230305723901</c:v>
                </c:pt>
                <c:pt idx="22">
                  <c:v>0.73316536652339981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09-46F1-A3FA-02CDBB8AA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7852712"/>
        <c:axId val="867858616"/>
      </c:lineChart>
      <c:catAx>
        <c:axId val="867852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67858616"/>
        <c:crosses val="autoZero"/>
        <c:auto val="1"/>
        <c:lblAlgn val="ctr"/>
        <c:lblOffset val="100"/>
        <c:noMultiLvlLbl val="0"/>
      </c:catAx>
      <c:valAx>
        <c:axId val="867858616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67852712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SG"/>
              <a:t>Partial autocorrelogram (Series1)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'Descriptive analysis'!$B$32:$B$54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'Descriptive analysis'!$G$32:$G$54</c:f>
              <c:numCache>
                <c:formatCode>0.000</c:formatCode>
                <c:ptCount val="23"/>
                <c:pt idx="0">
                  <c:v>1</c:v>
                </c:pt>
                <c:pt idx="1">
                  <c:v>0.9196364632989712</c:v>
                </c:pt>
                <c:pt idx="2">
                  <c:v>0.24441164500216173</c:v>
                </c:pt>
                <c:pt idx="3">
                  <c:v>-4.8284197699602169E-2</c:v>
                </c:pt>
                <c:pt idx="4">
                  <c:v>-3.8579023023801867E-2</c:v>
                </c:pt>
                <c:pt idx="5">
                  <c:v>0.10506513020199135</c:v>
                </c:pt>
                <c:pt idx="6">
                  <c:v>0.10550473564022242</c:v>
                </c:pt>
                <c:pt idx="7">
                  <c:v>0.11681654783311124</c:v>
                </c:pt>
                <c:pt idx="8">
                  <c:v>6.7954047760709735E-2</c:v>
                </c:pt>
                <c:pt idx="9">
                  <c:v>0.19868902660810869</c:v>
                </c:pt>
                <c:pt idx="10">
                  <c:v>4.6931945883306188E-2</c:v>
                </c:pt>
                <c:pt idx="11">
                  <c:v>3.7899260453007871E-2</c:v>
                </c:pt>
                <c:pt idx="12">
                  <c:v>0.11443991220907374</c:v>
                </c:pt>
                <c:pt idx="13">
                  <c:v>-0.3110407358674025</c:v>
                </c:pt>
                <c:pt idx="14">
                  <c:v>-0.10136024691386598</c:v>
                </c:pt>
                <c:pt idx="15">
                  <c:v>-0.1319103119969903</c:v>
                </c:pt>
                <c:pt idx="16">
                  <c:v>-2.654499036011124E-2</c:v>
                </c:pt>
                <c:pt idx="17">
                  <c:v>8.5617348453036354E-2</c:v>
                </c:pt>
                <c:pt idx="18">
                  <c:v>-4.4054434549315458E-2</c:v>
                </c:pt>
                <c:pt idx="19">
                  <c:v>-9.4264090452730973E-2</c:v>
                </c:pt>
                <c:pt idx="20">
                  <c:v>0.1299635199898253</c:v>
                </c:pt>
                <c:pt idx="21">
                  <c:v>3.0566210459636891E-2</c:v>
                </c:pt>
                <c:pt idx="22">
                  <c:v>0.15895130416855885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0E-4250-9BD3-4A58343A3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7856976"/>
        <c:axId val="867855336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'Descriptive analysis'!$B$32:$B$54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'Descriptive analysis'!$I$32:$I$54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-0.15692270718443055</c:v>
                </c:pt>
                <c:pt idx="3">
                  <c:v>-0.15692270718443055</c:v>
                </c:pt>
                <c:pt idx="4">
                  <c:v>-0.15692270718443055</c:v>
                </c:pt>
                <c:pt idx="5">
                  <c:v>-0.15692270718443055</c:v>
                </c:pt>
                <c:pt idx="6">
                  <c:v>-0.15692270718443055</c:v>
                </c:pt>
                <c:pt idx="7">
                  <c:v>-0.15692270718443055</c:v>
                </c:pt>
                <c:pt idx="8">
                  <c:v>-0.15692270718443055</c:v>
                </c:pt>
                <c:pt idx="9">
                  <c:v>-0.15692270718443055</c:v>
                </c:pt>
                <c:pt idx="10">
                  <c:v>-0.15692270718443055</c:v>
                </c:pt>
                <c:pt idx="11">
                  <c:v>-0.15692270718443055</c:v>
                </c:pt>
                <c:pt idx="12">
                  <c:v>-0.15692270718443055</c:v>
                </c:pt>
                <c:pt idx="13">
                  <c:v>-0.15692270718443055</c:v>
                </c:pt>
                <c:pt idx="14">
                  <c:v>-0.15692270718443055</c:v>
                </c:pt>
                <c:pt idx="15">
                  <c:v>-0.15692270718443055</c:v>
                </c:pt>
                <c:pt idx="16">
                  <c:v>-0.15692270718443055</c:v>
                </c:pt>
                <c:pt idx="17">
                  <c:v>-0.15692270718443055</c:v>
                </c:pt>
                <c:pt idx="18">
                  <c:v>-0.15692270718443055</c:v>
                </c:pt>
                <c:pt idx="19">
                  <c:v>-0.15692270718443055</c:v>
                </c:pt>
                <c:pt idx="20">
                  <c:v>-0.15692270718443055</c:v>
                </c:pt>
                <c:pt idx="21">
                  <c:v>-0.15692270718443055</c:v>
                </c:pt>
                <c:pt idx="22">
                  <c:v>-0.15692270718443055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0E-4250-9BD3-4A58343A3A2B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'Descriptive analysis'!$B$32:$B$54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'Descriptive analysis'!$J$32:$J$54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0.15692270718443055</c:v>
                </c:pt>
                <c:pt idx="3">
                  <c:v>0.15692270718443055</c:v>
                </c:pt>
                <c:pt idx="4">
                  <c:v>0.15692270718443055</c:v>
                </c:pt>
                <c:pt idx="5">
                  <c:v>0.15692270718443055</c:v>
                </c:pt>
                <c:pt idx="6">
                  <c:v>0.15692270718443055</c:v>
                </c:pt>
                <c:pt idx="7">
                  <c:v>0.15692270718443055</c:v>
                </c:pt>
                <c:pt idx="8">
                  <c:v>0.15692270718443055</c:v>
                </c:pt>
                <c:pt idx="9">
                  <c:v>0.15692270718443055</c:v>
                </c:pt>
                <c:pt idx="10">
                  <c:v>0.15692270718443055</c:v>
                </c:pt>
                <c:pt idx="11">
                  <c:v>0.15692270718443055</c:v>
                </c:pt>
                <c:pt idx="12">
                  <c:v>0.15692270718443055</c:v>
                </c:pt>
                <c:pt idx="13">
                  <c:v>0.15692270718443055</c:v>
                </c:pt>
                <c:pt idx="14">
                  <c:v>0.15692270718443055</c:v>
                </c:pt>
                <c:pt idx="15">
                  <c:v>0.15692270718443055</c:v>
                </c:pt>
                <c:pt idx="16">
                  <c:v>0.15692270718443055</c:v>
                </c:pt>
                <c:pt idx="17">
                  <c:v>0.15692270718443055</c:v>
                </c:pt>
                <c:pt idx="18">
                  <c:v>0.15692270718443055</c:v>
                </c:pt>
                <c:pt idx="19">
                  <c:v>0.15692270718443055</c:v>
                </c:pt>
                <c:pt idx="20">
                  <c:v>0.15692270718443055</c:v>
                </c:pt>
                <c:pt idx="21">
                  <c:v>0.15692270718443055</c:v>
                </c:pt>
                <c:pt idx="22">
                  <c:v>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0E-4250-9BD3-4A58343A3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7856976"/>
        <c:axId val="867855336"/>
      </c:lineChart>
      <c:catAx>
        <c:axId val="867856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67855336"/>
        <c:crosses val="autoZero"/>
        <c:auto val="1"/>
        <c:lblAlgn val="ctr"/>
        <c:lblOffset val="100"/>
        <c:noMultiLvlLbl val="0"/>
      </c:catAx>
      <c:valAx>
        <c:axId val="867855336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67856976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31" sel="1" val="0">
  <itemLst>
    <item val="Summary statistics"/>
    <item val="Results of the analysis of the Series1 series"/>
    <item val="Normality test and white noise tests (Series1)"/>
    <item val="Descriptive analysis (Series1)"/>
  </itemLst>
</formControlPr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6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7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9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222250</xdr:colOff>
      <xdr:row>2</xdr:row>
      <xdr:rowOff>12700</xdr:rowOff>
    </xdr:from>
    <xdr:to>
      <xdr:col>10</xdr:col>
      <xdr:colOff>527050</xdr:colOff>
      <xdr:row>16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0</xdr:row>
      <xdr:rowOff>177800</xdr:rowOff>
    </xdr:from>
    <xdr:to>
      <xdr:col>15</xdr:col>
      <xdr:colOff>247650</xdr:colOff>
      <xdr:row>10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495300</xdr:colOff>
      <xdr:row>16</xdr:row>
      <xdr:rowOff>171450</xdr:rowOff>
    </xdr:from>
    <xdr:to>
      <xdr:col>18</xdr:col>
      <xdr:colOff>495300</xdr:colOff>
      <xdr:row>26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257175</xdr:colOff>
      <xdr:row>14</xdr:row>
      <xdr:rowOff>177800</xdr:rowOff>
    </xdr:from>
    <xdr:to>
      <xdr:col>23</xdr:col>
      <xdr:colOff>168275</xdr:colOff>
      <xdr:row>29</xdr:row>
      <xdr:rowOff>158750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9</xdr:row>
      <xdr:rowOff>0</xdr:rowOff>
    </xdr:from>
    <xdr:to>
      <xdr:col>2</xdr:col>
      <xdr:colOff>38100</xdr:colOff>
      <xdr:row>9</xdr:row>
      <xdr:rowOff>25400</xdr:rowOff>
    </xdr:to>
    <xdr:sp macro="" textlink="">
      <xdr:nvSpPr>
        <xdr:cNvPr id="2" name="TX127880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946150" y="165735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SG" sz="1100"/>
            <a:t>RunProcTSM
Form47.txt
CheckBoxVarLabels,CheckBox,True,True,000000000201_General,True,Series labels,False,
CheckBoxCharts,CheckBox,True,True,600000000000_Charts,True,Display charts,False,
CheckBoxLeft,CheckBox,False,True,100000000300_Options,True,Left side,False,
RefEditT,RefEdit0,'Exponential Smoothing'!$B:$B,True,000000000100_General,True,,False,
CheckBoxDate,CheckBox,False,True,000000000300_General,True,Date data,False,
RefEditDate,RefEdit,,True,000000000400_General,True,Date data:,False,
CheckBoxCheckInt,CheckBox,False,True,000000000500_General,True,Check intervals,False,
TextBoxq,TextBox,2,True,100000000200_Options,True,q:,False,
RefEdit_W,RefEdit,,False,100000000100_Options,False,Workbook,False,
TextBoxp,TextBox,0.5,True,100000000001_Options,True,p:,False,
ScrollBarp,ScrollBar,40,True,100000000101_Options,False,,,
OptionButtonMVRemove,OptionButton,False,True,400000000100_Missing data,True,Remove the observations,False,
OptionButtonMVRefuse,OptionButton,True,True,400000000000_Missing data,True,Do not accept missing data,False,
OptionButtonMVReplace,OptionButton,False,True,400000000200_Missing data,True,Replace by the average of the previous and next values,False,
OptionButtonMVIgnore,OptionButton,False,True,400000000300_Missing data,True,Ignore missing data,False,
CheckBoxGood,CheckBox,True,True,500000000100_Outputs,True,Goodness of fit statistics,False,
CheckBoxResiduals,CheckBox,True,True,500000000300_Outputs,True,Predictions and residuals,False,
CheckboxParam,CheckBox,True,True,500000000200_Outputs,True,Model parameters,False,
CheckBox_Desc,CheckBox,True,True,500000000000_Outputs,True,Descriptive statistics,False,
CheckBoxStrictly,CheckBox,False,True,100000000500_Options,True,Strictly,False,
OptionButtonEachY,OptionButton,True,True,400000000400_Missing data,True,Check for each series separately,False,
OptionButtonAcrossAll,OptionButton,False,True,400000010400_Missing data,True,Across all series,False,
TextBoxList,TextBox,,False,03,False,,False,
ScrollBarSelect,ScrollBar,0,False,04,False,,,
CheckBoxTrans,CheckBox,False,False,05,False,Trans,False,
OptionButton_W,OptionButton,False,True,000000000001_General,True,Workbook,False,
OptionButton_R,OptionButton,False,True,000000010001_General,True,Range,False,
OptionButton_S,OptionButton,True,True,000000020001_General,True,Sheet,False,
RefEdit_R,RefEdit,,True,000000000101_General,True,Range:,False,
CheckBox_Prediction,CheckBox,True,True,300000000000_Prediction,True,Prediction,False,
TextboxPredNumber,TextBox,1,True,300000000100_Prediction,True,,False,
CheckBox_Validation,CheckBox,False,True,200000000000_Validation,True,Validation,False,
TextBoxTestNumber,TextBox,1,True,200000000100_Validation,True,,False,
ComboBoxModel,ComboBox,1,True,000000010301_General,True,Choose this option to smooth the time series using the exponential smoothing method,False,
ComboBoxMethod,ComboBox,1,True,100000000002_Options,True,Series with a trend, a seasonal component, with a variance increasing with the level of the series,False,
TextBoxMaxIter,TextBox,500,True,100000000102_Options,True,Iterations:,False,
TextBoxConv,TextBox,0.00001,True,100000020102_Options,True,Convergence:,False,
TextBox_Conf,TextBox,95,True,100000010202_Options,True,Confidence intervals (%):,False,
TextBoxA,TextBox,0.2,True,100000000103_Options,True,Alpha:,False,
CheckBoxOptA,CheckBox,True,True,100000000203_Options,True,Optimize,False,
CheckBoxOptC,CheckBox,True,True,100000000603_Options,True,Optimize,False,
TextBoxC,TextBox,0.2,True,100000000503_Options,True,Gamma:,False,
CheckBoxOptB,CheckBox,True,True,100000000403_Options,True,Optimize,False,
TextBoxB,TextBox,0.2,True,100000000303_Options,True,Beta:,False,
ComboBoxS1,ComboBox,0,True,100000000003_Options,True,Choose the method to compute the initial values,False,
TextBoxPeriod,TextBox,12,True,100000000703_Options,True,Period:,False,
</a:t>
          </a:r>
        </a:p>
      </xdr:txBody>
    </xdr:sp>
    <xdr:clientData/>
  </xdr:twoCellAnchor>
  <xdr:twoCellAnchor editAs="absolute">
    <xdr:from>
      <xdr:col>1</xdr:col>
      <xdr:colOff>6350</xdr:colOff>
      <xdr:row>9</xdr:row>
      <xdr:rowOff>6350</xdr:rowOff>
    </xdr:from>
    <xdr:to>
      <xdr:col>3</xdr:col>
      <xdr:colOff>52578</xdr:colOff>
      <xdr:row>10</xdr:row>
      <xdr:rowOff>0</xdr:rowOff>
    </xdr:to>
    <xdr:sp macro="" textlink="">
      <xdr:nvSpPr>
        <xdr:cNvPr id="3" name="BK127880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30200" y="1663700"/>
          <a:ext cx="182422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  <xdr:twoCellAnchor editAs="absolute">
    <xdr:from>
      <xdr:col>1</xdr:col>
      <xdr:colOff>49784</xdr:colOff>
      <xdr:row>9</xdr:row>
      <xdr:rowOff>43434</xdr:rowOff>
    </xdr:from>
    <xdr:to>
      <xdr:col>1</xdr:col>
      <xdr:colOff>392684</xdr:colOff>
      <xdr:row>9</xdr:row>
      <xdr:rowOff>386334</xdr:rowOff>
    </xdr:to>
    <xdr:pic macro="[1]!RelaunchCall">
      <xdr:nvPicPr>
        <xdr:cNvPr id="4" name="BT127880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634" y="170078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9</xdr:row>
      <xdr:rowOff>43434</xdr:rowOff>
    </xdr:from>
    <xdr:to>
      <xdr:col>2</xdr:col>
      <xdr:colOff>260858</xdr:colOff>
      <xdr:row>9</xdr:row>
      <xdr:rowOff>386334</xdr:rowOff>
    </xdr:to>
    <xdr:pic macro="[1]!AddRemovGrid">
      <xdr:nvPicPr>
        <xdr:cNvPr id="5" name="RM127880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08" y="170078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9</xdr:row>
      <xdr:rowOff>43434</xdr:rowOff>
    </xdr:from>
    <xdr:to>
      <xdr:col>2</xdr:col>
      <xdr:colOff>260858</xdr:colOff>
      <xdr:row>9</xdr:row>
      <xdr:rowOff>386334</xdr:rowOff>
    </xdr:to>
    <xdr:pic macro="AddRemovGrid">
      <xdr:nvPicPr>
        <xdr:cNvPr id="6" name="AD127880" hidden="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08" y="170078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395732</xdr:colOff>
      <xdr:row>9</xdr:row>
      <xdr:rowOff>43434</xdr:rowOff>
    </xdr:from>
    <xdr:to>
      <xdr:col>2</xdr:col>
      <xdr:colOff>738632</xdr:colOff>
      <xdr:row>9</xdr:row>
      <xdr:rowOff>386334</xdr:rowOff>
    </xdr:to>
    <xdr:pic macro="[1]!SendToOffice">
      <xdr:nvPicPr>
        <xdr:cNvPr id="7" name="WD12788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182" y="170078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830072</xdr:colOff>
      <xdr:row>9</xdr:row>
      <xdr:rowOff>43434</xdr:rowOff>
    </xdr:from>
    <xdr:to>
      <xdr:col>3</xdr:col>
      <xdr:colOff>4572</xdr:colOff>
      <xdr:row>9</xdr:row>
      <xdr:rowOff>386334</xdr:rowOff>
    </xdr:to>
    <xdr:pic macro="[1]!SendToOffice">
      <xdr:nvPicPr>
        <xdr:cNvPr id="8" name="PT127880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3522" y="170078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207</xdr:row>
      <xdr:rowOff>0</xdr:rowOff>
    </xdr:from>
    <xdr:to>
      <xdr:col>7</xdr:col>
      <xdr:colOff>0</xdr:colOff>
      <xdr:row>225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127000</xdr:colOff>
      <xdr:row>207</xdr:row>
      <xdr:rowOff>0</xdr:rowOff>
    </xdr:from>
    <xdr:to>
      <xdr:col>13</xdr:col>
      <xdr:colOff>311150</xdr:colOff>
      <xdr:row>225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8</xdr:row>
      <xdr:rowOff>0</xdr:rowOff>
    </xdr:from>
    <xdr:to>
      <xdr:col>2</xdr:col>
      <xdr:colOff>38100</xdr:colOff>
      <xdr:row>8</xdr:row>
      <xdr:rowOff>25400</xdr:rowOff>
    </xdr:to>
    <xdr:sp macro="" textlink="">
      <xdr:nvSpPr>
        <xdr:cNvPr id="2" name="TX45437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946150" y="14732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SG" sz="1100"/>
            <a:t>RunProcARI
Form48.txt
OptionButton_R,OptionButton,False,True,000000000005_General,True,Range,False,
OptionButton_S,OptionButton,True,True,000000000205_General,True,Sheet,False,
OptionButton_W,OptionButton,False,True,000000000305_General,True,Workbook,False,
RefEdit_R,RefEdit,,True,000000000105_General,True,Range:,False,
CheckBoxVarLabels,CheckBox,False,True,000000000006_General,True,Series labels,False,
OptionButtonMVRemove,OptionButton,False,True,400000000100_Missing data,True,Remove the observations,False,
OptionButtonMVRefuse,OptionButton,True,True,400000000000_Missing data,True,Do not accept missing data,False,
OptionButtonMVReplace,OptionButton,False,True,400000000200_Missing data,True,Replace by the average of the previous and next values,False,
CheckBoxGood,CheckBox,True,True,500000000100_Outputs,True,Goodness of fit statistics,False,
CheckBoxResiduals,CheckBox,True,True,500000000300_Outputs,True,Predictions and residuals,False,
CheckboxParam,CheckBox,True,True,500000000200_Outputs,True,Model parameters,False,
CheckBox_Desc,CheckBox,True,True,500000000000_Outputs,True,Descriptive statistics,False,
CheckBoxCharts,CheckBox,True,True,600000000000_Charts,True,Display charts,False,
CheckBoxDate,CheckBox,False,True,000000000302_General,True,Date data,False,
RefEditDate,RefEdit,,True,000000000402_General,True,Date data:,False,
CheckBoxCheckInt,CheckBox,False,True,000000000502_General,True,Check intervals,False,
CheckBoxCenter,CheckBox,True,True,000000000002_General,True,Center,False,
CheckBoxVar,CheckBox,False,True,000000000102_General,True,Variance,False,
TextBoxVar,TextBox,1,True,000000000202_General,True,Variance:,False,
TextBox_GQ,TextBox,0,True,000000001108_General,True,Q:,False,
TextBox_p,TextBox,3,True,000000000008_General,True,p:,False,
TextBox_d,TextBox,1,True,000000000308_General,True,d:,False,
TextBox_q,TextBox,0,True,000000000508_General,True,q:,False,
TextBox_Gd,TextBox,1,True,000000000908_General,True,D:,False,
TextBox_s,TextBox,12,True,000000001308_General,True,s:,False,
TextBox_GP,TextBox,3,True,000000000708_General,True,P:,False,
OptionButtonHR,OptionButton,False,True,100000000400_Options,True,Hannan-Rissanen,False,
OptionButtonInnov,OptionButton,False,True,100000000300_Options,True,Innovations,False,
CheckBoxPre,CheckBox,False,True,100000000000_Options,True,Preliminary estimation,False,
TextBox_m,TextBox,,True,100000000700_Options,True,m:,False,
CheckBoxAuto,CheckBox,True,True,100000000500_Options,True,Automatic,False,
OptionButtonYW,OptionButton,True,True,100000000100_Options,True,Yule-Walker,False,
OptionButtonBurg,OptionButton,False,True,100000000200_Options,True,Burg,False,
CheckBoxInitCoeffs,CheckBox,False,True,100000000001_Options,True,Initial coefficients,False,
RefEditPhi,RefEdit,,True,100000000101_Options,True,Phi:,False,
RefEditTheta,RefEdit,,True,100000000201_Options,True,Theta:,False,
OptionButtonLike,OptionButton,False,True,100000000102_Options,True,Likelihood,False,
OptionButtonLeast,OptionButton,True,True,100000000202_Options,True,Least Squares,False,
CheckBoxOpt,CheckBox,True,True,100000000002_Options,True,Optimize,False,
TextBoxMaxIter,TextBox,500,True,100000010302_Options,True,Iterations:,False,
TextBoxConv,TextBox,0.00001,True,100000040302_Options,True,Convergence:,False,
TextBoxTestNumber,TextBox,1,True,200000000000_Validation,True,,False,
CheckBox_Validation,CheckBox,False,True,200000000001_Validation,True,Validation,False,
CheckBox_Prediction,CheckBox,False,True,300000000001_Prediction,True,Prediction,False,
TextboxPredNumber,TextBox,1,True,300000000000_Prediction,True,,False,
CheckBoxTrans,CheckBox,False,False,04,False,Trans,False,
RefEdit_XPred,RefEdit,,True,300000000002_Prediction,True,X / Explanatory variables:,False,
CheckBox_XPred,CheckBox,False,True,300000000003_Prediction,True,X / Explanatory variables,True,
RefEdit_X,RefEdit,,True,000000000004_General,True,X / Explanatory variables:,False,
CheckBox_X,CheckBox,False,True,000000000003_General,True,X / Explanatory variables,False,
ComboBoxMode,ComboBox,0,True,000000000009_General,True,Mode:,False,
CheckBoxBestOrders,CheckBox,False,True,100000000003_Options,True,Find the best model,False,
CheckBoxMaxP,CheckBox,False,True,100000000103_Options,True,Max(p),False,
TextBoxMaxP,TextBox,1,True,100000000203_Options,True,Max(p):,False,
CheckBoxMaxQ,CheckBox,False,True,100000000303_Options,True,Max(q),False,
TextBoxMaxQ,TextBox,0,True,100000000403_Options,True,Max(q):,False,
CheckBoxMaxGP,CheckBox,False,True,100000000503_Options,True,Max(P),False,
CheckBoxMaxGQ,CheckBox,False,True,100000000603_Options,True,Max(Q),False,
TextBoxMaxGP,TextBox,0,True,100000000703_Options,True,Max(P):,False,
TextBoxMaxGQ,TextBox,0,True,100000000803_Options,True,Max(Q):,False,
OptionButtonAICC,OptionButton,True,True,100000001003_Options,True,AICC,False,
OptionButtonBIC,OptionButton,False,True,100000001103_Options,True,SBC,False,
TextBox_Conf,TextBox,95,True,500000010400_Outputs,True,Confidence intervals (%):,False,
RefEditT,RefEdit0,'Sheet725818X765'!$A$2:$A$157,True,000000000001_General,True,,False,
</a:t>
          </a:r>
        </a:p>
      </xdr:txBody>
    </xdr:sp>
    <xdr:clientData/>
  </xdr:twoCellAnchor>
  <xdr:twoCellAnchor editAs="absolute">
    <xdr:from>
      <xdr:col>1</xdr:col>
      <xdr:colOff>6350</xdr:colOff>
      <xdr:row>8</xdr:row>
      <xdr:rowOff>6350</xdr:rowOff>
    </xdr:from>
    <xdr:to>
      <xdr:col>4</xdr:col>
      <xdr:colOff>1778</xdr:colOff>
      <xdr:row>9</xdr:row>
      <xdr:rowOff>0</xdr:rowOff>
    </xdr:to>
    <xdr:sp macro="" textlink="">
      <xdr:nvSpPr>
        <xdr:cNvPr id="3" name="BK45437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30200" y="1479550"/>
          <a:ext cx="182422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  <xdr:twoCellAnchor editAs="absolute">
    <xdr:from>
      <xdr:col>1</xdr:col>
      <xdr:colOff>49784</xdr:colOff>
      <xdr:row>8</xdr:row>
      <xdr:rowOff>43434</xdr:rowOff>
    </xdr:from>
    <xdr:to>
      <xdr:col>1</xdr:col>
      <xdr:colOff>392684</xdr:colOff>
      <xdr:row>8</xdr:row>
      <xdr:rowOff>386334</xdr:rowOff>
    </xdr:to>
    <xdr:pic macro="[0]!ReRunXLSTAT">
      <xdr:nvPicPr>
        <xdr:cNvPr id="4" name="BT45437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634" y="15166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2</xdr:col>
      <xdr:colOff>260858</xdr:colOff>
      <xdr:row>8</xdr:row>
      <xdr:rowOff>386334</xdr:rowOff>
    </xdr:to>
    <xdr:pic macro="[0]!AddRemovGrid">
      <xdr:nvPicPr>
        <xdr:cNvPr id="5" name="RM45437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08" y="15166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8</xdr:row>
      <xdr:rowOff>43434</xdr:rowOff>
    </xdr:from>
    <xdr:to>
      <xdr:col>2</xdr:col>
      <xdr:colOff>260858</xdr:colOff>
      <xdr:row>8</xdr:row>
      <xdr:rowOff>386334</xdr:rowOff>
    </xdr:to>
    <xdr:pic macro="AddRemovGrid">
      <xdr:nvPicPr>
        <xdr:cNvPr id="6" name="AD45437" hidden="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08" y="15166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395732</xdr:colOff>
      <xdr:row>8</xdr:row>
      <xdr:rowOff>43434</xdr:rowOff>
    </xdr:from>
    <xdr:to>
      <xdr:col>3</xdr:col>
      <xdr:colOff>129032</xdr:colOff>
      <xdr:row>8</xdr:row>
      <xdr:rowOff>386334</xdr:rowOff>
    </xdr:to>
    <xdr:pic macro="[0]!SendToOfficeLocal">
      <xdr:nvPicPr>
        <xdr:cNvPr id="7" name="WD45437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182" y="15166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3</xdr:col>
      <xdr:colOff>220472</xdr:colOff>
      <xdr:row>8</xdr:row>
      <xdr:rowOff>43434</xdr:rowOff>
    </xdr:from>
    <xdr:to>
      <xdr:col>3</xdr:col>
      <xdr:colOff>563372</xdr:colOff>
      <xdr:row>8</xdr:row>
      <xdr:rowOff>386334</xdr:rowOff>
    </xdr:to>
    <xdr:pic macro="[0]!SendToOfficeLocal">
      <xdr:nvPicPr>
        <xdr:cNvPr id="8" name="PT4543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3522" y="15166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216</xdr:row>
      <xdr:rowOff>0</xdr:rowOff>
    </xdr:from>
    <xdr:to>
      <xdr:col>7</xdr:col>
      <xdr:colOff>0</xdr:colOff>
      <xdr:row>234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4</xdr:row>
      <xdr:rowOff>0</xdr:rowOff>
    </xdr:from>
    <xdr:to>
      <xdr:col>2</xdr:col>
      <xdr:colOff>38100</xdr:colOff>
      <xdr:row>4</xdr:row>
      <xdr:rowOff>25400</xdr:rowOff>
    </xdr:to>
    <xdr:sp macro="" textlink="">
      <xdr:nvSpPr>
        <xdr:cNvPr id="2" name="TX783880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946150" y="7366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SG" sz="1100"/>
            <a:t>RunProcTDS
Form45.txt
OptionButton_R,OptionButton,False,True,000000000002_General,True,Range,False,
OptionButton_S,OptionButton,True,True,000000000202_General,True,Sheet,False,
OptionButton_W,OptionButton,False,True,000000000302_General,True,Workbook,False,
RefEdit_R,RefEdit,,True,000000000102_General,True,Range:,False,
RefEditT,RefEdit0,'Sheet725818X765'!$A$2:$A$157,True,000000000001_General,True,,False,
CheckBoxVarLabels,CheckBox,False,True,000000000003_General,True,Series labels,False,
OptionButtonMVRemove,OptionButton,False,True,200000000100_Missing data,True,Remove the observations,False,
OptionButtonMVRefuse,OptionButton,True,True,200000000000_Missing data,True,Do not accept missing data,False,
OptionButtonMVReplace,OptionButton,False,True,200000000200_Missing data,True,Replace by the average of the previous and next values,False,
CheckBoxCross,CheckBox,False,True,300000000400_Outputs,True,Cross-correlations,False,
CheckBoxAutocorr,CheckBox,True,True,300000000100_Outputs,True,Autocorrelations,False,
CheckBoxPartial,CheckBox,True,True,300000000300_Outputs,True,Partial autocorrelations,False,
CheckBoxAutocov,CheckBox,False,True,300000000200_Outputs,True,Autocovariances,False,
TextBoxs,TextBox,6,True,300000000601_Outputs,True,,False,
CheckBoxWNTest,CheckBox,True,True,300000000301_Outputs,True,White noise tests,False,
CheckBox_conf,CheckBox,True,True,300000000001_Outputs,True,Confidence intervals (%),False,
CheckBoxWNHyp,CheckBox,False,True,300000000201_Outputs,True,White noise assumption,False,
TextBoxh1,TextBox,6,True,300000000501_Outputs,True,,False,
TextBoxh2,TextBox,12,True,300000000801_Outputs,True,,False,
OptionButtonUDF,OptionButton,False,True,100000000200_Options,True,User defined,False,
OptionButtonAuto,OptionButton,True,True,100000000100_Options,True,Automatic,False,
TextBoxLags,TextBox,5,True,100000000300_Options,True,Time steps:,False,
TextBox_Conf,TextBox,95,True,300000000101_Outputs,True,Confidence intervals (%):,False,
CheckBox_Desc,CheckBox,True,True,300000000000_Outputs,True,Descriptive statistics,False,
CheckBoxAutoGram,CheckBox,True,True,400000000000_Charts,True,Autocorrelogram,False,
CheckBoxPartAutoGram,CheckBox,True,True,400000000100_Charts,True,Partial autocorrelogram,False,
CheckBoxCrossGram,CheckBox,False,True,400000000200_Charts,True,Cross-correlations,False,
OptionButtonMVIgnore,OptionButton,False,True,200000000300_Missing data,True,Ignore missing data,False,
</a:t>
          </a:r>
        </a:p>
      </xdr:txBody>
    </xdr:sp>
    <xdr:clientData/>
  </xdr:twoCellAnchor>
  <xdr:twoCellAnchor editAs="absolute">
    <xdr:from>
      <xdr:col>1</xdr:col>
      <xdr:colOff>6350</xdr:colOff>
      <xdr:row>4</xdr:row>
      <xdr:rowOff>6350</xdr:rowOff>
    </xdr:from>
    <xdr:to>
      <xdr:col>4</xdr:col>
      <xdr:colOff>1778</xdr:colOff>
      <xdr:row>5</xdr:row>
      <xdr:rowOff>0</xdr:rowOff>
    </xdr:to>
    <xdr:sp macro="" textlink="">
      <xdr:nvSpPr>
        <xdr:cNvPr id="3" name="BK783880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30200" y="742950"/>
          <a:ext cx="1824228" cy="425450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  <xdr:twoCellAnchor editAs="absolute">
    <xdr:from>
      <xdr:col>1</xdr:col>
      <xdr:colOff>49784</xdr:colOff>
      <xdr:row>4</xdr:row>
      <xdr:rowOff>43434</xdr:rowOff>
    </xdr:from>
    <xdr:to>
      <xdr:col>1</xdr:col>
      <xdr:colOff>392684</xdr:colOff>
      <xdr:row>4</xdr:row>
      <xdr:rowOff>386334</xdr:rowOff>
    </xdr:to>
    <xdr:pic macro="[0]!ReRunXLSTAT">
      <xdr:nvPicPr>
        <xdr:cNvPr id="4" name="BT783880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634" y="780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4</xdr:row>
      <xdr:rowOff>43434</xdr:rowOff>
    </xdr:from>
    <xdr:to>
      <xdr:col>2</xdr:col>
      <xdr:colOff>260858</xdr:colOff>
      <xdr:row>4</xdr:row>
      <xdr:rowOff>386334</xdr:rowOff>
    </xdr:to>
    <xdr:pic macro="[0]!AddRemovGrid">
      <xdr:nvPicPr>
        <xdr:cNvPr id="5" name="RM783880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08" y="780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527558</xdr:colOff>
      <xdr:row>4</xdr:row>
      <xdr:rowOff>43434</xdr:rowOff>
    </xdr:from>
    <xdr:to>
      <xdr:col>2</xdr:col>
      <xdr:colOff>260858</xdr:colOff>
      <xdr:row>4</xdr:row>
      <xdr:rowOff>386334</xdr:rowOff>
    </xdr:to>
    <xdr:pic macro="AddRemovGrid">
      <xdr:nvPicPr>
        <xdr:cNvPr id="6" name="AD783880" hidden="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408" y="780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395732</xdr:colOff>
      <xdr:row>4</xdr:row>
      <xdr:rowOff>43434</xdr:rowOff>
    </xdr:from>
    <xdr:to>
      <xdr:col>3</xdr:col>
      <xdr:colOff>129032</xdr:colOff>
      <xdr:row>4</xdr:row>
      <xdr:rowOff>386334</xdr:rowOff>
    </xdr:to>
    <xdr:pic macro="[0]!SendToOfficeLocal">
      <xdr:nvPicPr>
        <xdr:cNvPr id="7" name="WD783880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182" y="780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3</xdr:col>
      <xdr:colOff>220472</xdr:colOff>
      <xdr:row>4</xdr:row>
      <xdr:rowOff>43434</xdr:rowOff>
    </xdr:from>
    <xdr:to>
      <xdr:col>3</xdr:col>
      <xdr:colOff>563372</xdr:colOff>
      <xdr:row>4</xdr:row>
      <xdr:rowOff>386334</xdr:rowOff>
    </xdr:to>
    <xdr:pic macro="[0]!SendToOfficeLocal">
      <xdr:nvPicPr>
        <xdr:cNvPr id="8" name="PT78388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3522" y="7800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56</xdr:row>
      <xdr:rowOff>0</xdr:rowOff>
    </xdr:from>
    <xdr:to>
      <xdr:col>7</xdr:col>
      <xdr:colOff>0</xdr:colOff>
      <xdr:row>74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127000</xdr:colOff>
      <xdr:row>56</xdr:row>
      <xdr:rowOff>0</xdr:rowOff>
    </xdr:from>
    <xdr:to>
      <xdr:col>13</xdr:col>
      <xdr:colOff>127000</xdr:colOff>
      <xdr:row>74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</xdr:row>
          <xdr:rowOff>0</xdr:rowOff>
        </xdr:from>
        <xdr:to>
          <xdr:col>4</xdr:col>
          <xdr:colOff>622300</xdr:colOff>
          <xdr:row>6</xdr:row>
          <xdr:rowOff>12700</xdr:rowOff>
        </xdr:to>
        <xdr:sp macro="" textlink="">
          <xdr:nvSpPr>
            <xdr:cNvPr id="17409" name="DD920859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6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Program%20Files%20(x86)/Addinsoft/XLSTAT/XLSTA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LSTAT"/>
    </sheetNames>
    <definedNames>
      <definedName name="AddRemovGrid"/>
      <definedName name="RelaunchCall"/>
      <definedName name="SendToOffice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57"/>
  <sheetViews>
    <sheetView topLeftCell="B1" workbookViewId="0">
      <selection activeCell="I7" sqref="I7"/>
    </sheetView>
  </sheetViews>
  <sheetFormatPr baseColWidth="10" defaultColWidth="8.83203125" defaultRowHeight="15"/>
  <cols>
    <col min="1" max="1" width="18" bestFit="1" customWidth="1"/>
    <col min="2" max="2" width="15.33203125" bestFit="1" customWidth="1"/>
  </cols>
  <sheetData>
    <row r="1" spans="1:2">
      <c r="A1" t="s">
        <v>1</v>
      </c>
      <c r="B1" t="s">
        <v>0</v>
      </c>
    </row>
    <row r="2" spans="1:2">
      <c r="A2" t="s">
        <v>2</v>
      </c>
      <c r="B2">
        <v>2796.8</v>
      </c>
    </row>
    <row r="3" spans="1:2">
      <c r="A3" t="s">
        <v>3</v>
      </c>
      <c r="B3">
        <v>2791</v>
      </c>
    </row>
    <row r="4" spans="1:2">
      <c r="A4" t="s">
        <v>4</v>
      </c>
      <c r="B4">
        <v>2754.2</v>
      </c>
    </row>
    <row r="5" spans="1:2">
      <c r="A5" t="s">
        <v>5</v>
      </c>
      <c r="B5">
        <v>2968.7</v>
      </c>
    </row>
    <row r="6" spans="1:2">
      <c r="A6" t="s">
        <v>6</v>
      </c>
      <c r="B6">
        <v>2957.3</v>
      </c>
    </row>
    <row r="7" spans="1:2">
      <c r="A7" t="s">
        <v>7</v>
      </c>
      <c r="B7">
        <v>3097.4</v>
      </c>
    </row>
    <row r="8" spans="1:2">
      <c r="A8" t="s">
        <v>8</v>
      </c>
      <c r="B8">
        <v>2994.9</v>
      </c>
    </row>
    <row r="9" spans="1:2">
      <c r="A9" t="s">
        <v>9</v>
      </c>
      <c r="B9">
        <v>3116.5</v>
      </c>
    </row>
    <row r="10" spans="1:2">
      <c r="A10" t="s">
        <v>10</v>
      </c>
      <c r="B10">
        <v>3037.8</v>
      </c>
    </row>
    <row r="11" spans="1:2">
      <c r="A11" t="s">
        <v>11</v>
      </c>
      <c r="B11">
        <v>2916.7</v>
      </c>
    </row>
    <row r="12" spans="1:2">
      <c r="A12" t="s">
        <v>12</v>
      </c>
      <c r="B12">
        <v>3156.6</v>
      </c>
    </row>
    <row r="13" spans="1:2">
      <c r="A13" t="s">
        <v>13</v>
      </c>
      <c r="B13">
        <v>2901.3</v>
      </c>
    </row>
    <row r="14" spans="1:2">
      <c r="A14" t="s">
        <v>14</v>
      </c>
      <c r="B14">
        <v>2975.3</v>
      </c>
    </row>
    <row r="15" spans="1:2">
      <c r="A15" t="s">
        <v>15</v>
      </c>
      <c r="B15">
        <v>2887.4</v>
      </c>
    </row>
    <row r="16" spans="1:2">
      <c r="A16" t="s">
        <v>16</v>
      </c>
      <c r="B16">
        <v>2893.8</v>
      </c>
    </row>
    <row r="17" spans="1:2">
      <c r="A17" t="s">
        <v>17</v>
      </c>
      <c r="B17">
        <v>3023.6</v>
      </c>
    </row>
    <row r="18" spans="1:2">
      <c r="A18" t="s">
        <v>18</v>
      </c>
      <c r="B18">
        <v>3092.5</v>
      </c>
    </row>
    <row r="19" spans="1:2">
      <c r="A19" t="s">
        <v>19</v>
      </c>
      <c r="B19">
        <v>3182.1</v>
      </c>
    </row>
    <row r="20" spans="1:2">
      <c r="A20" t="s">
        <v>20</v>
      </c>
      <c r="B20">
        <v>3007.5</v>
      </c>
    </row>
    <row r="21" spans="1:2">
      <c r="A21" t="s">
        <v>21</v>
      </c>
      <c r="B21">
        <v>3264</v>
      </c>
    </row>
    <row r="22" spans="1:2">
      <c r="A22" t="s">
        <v>22</v>
      </c>
      <c r="B22">
        <v>3114</v>
      </c>
    </row>
    <row r="23" spans="1:2">
      <c r="A23" t="s">
        <v>23</v>
      </c>
      <c r="B23">
        <v>3107.1</v>
      </c>
    </row>
    <row r="24" spans="1:2">
      <c r="A24" t="s">
        <v>24</v>
      </c>
      <c r="B24">
        <v>3215</v>
      </c>
    </row>
    <row r="25" spans="1:2">
      <c r="A25" t="s">
        <v>25</v>
      </c>
      <c r="B25">
        <v>3039.4</v>
      </c>
    </row>
    <row r="26" spans="1:2">
      <c r="A26" t="s">
        <v>26</v>
      </c>
      <c r="B26">
        <v>3166.4</v>
      </c>
    </row>
    <row r="27" spans="1:2">
      <c r="A27" t="s">
        <v>27</v>
      </c>
      <c r="B27">
        <v>2938.6</v>
      </c>
    </row>
    <row r="28" spans="1:2">
      <c r="A28" t="s">
        <v>28</v>
      </c>
      <c r="B28">
        <v>3018.8</v>
      </c>
    </row>
    <row r="29" spans="1:2">
      <c r="A29" t="s">
        <v>29</v>
      </c>
      <c r="B29">
        <v>3150</v>
      </c>
    </row>
    <row r="30" spans="1:2">
      <c r="A30" t="s">
        <v>30</v>
      </c>
      <c r="B30">
        <v>3271.1</v>
      </c>
    </row>
    <row r="31" spans="1:2">
      <c r="A31" t="s">
        <v>31</v>
      </c>
      <c r="B31">
        <v>3222.5</v>
      </c>
    </row>
    <row r="32" spans="1:2">
      <c r="A32" t="s">
        <v>32</v>
      </c>
      <c r="B32">
        <v>3288.9</v>
      </c>
    </row>
    <row r="33" spans="1:2">
      <c r="A33" t="s">
        <v>33</v>
      </c>
      <c r="B33">
        <v>3277.4</v>
      </c>
    </row>
    <row r="34" spans="1:2">
      <c r="A34" t="s">
        <v>34</v>
      </c>
      <c r="B34">
        <v>3205.8</v>
      </c>
    </row>
    <row r="35" spans="1:2">
      <c r="A35" t="s">
        <v>35</v>
      </c>
      <c r="B35">
        <v>3268.2</v>
      </c>
    </row>
    <row r="36" spans="1:2">
      <c r="A36" t="s">
        <v>36</v>
      </c>
      <c r="B36">
        <v>3378.1</v>
      </c>
    </row>
    <row r="37" spans="1:2">
      <c r="A37" t="s">
        <v>37</v>
      </c>
      <c r="B37">
        <v>3119.2</v>
      </c>
    </row>
    <row r="38" spans="1:2">
      <c r="A38" t="s">
        <v>38</v>
      </c>
      <c r="B38">
        <v>3149.8</v>
      </c>
    </row>
    <row r="39" spans="1:2">
      <c r="A39" t="s">
        <v>39</v>
      </c>
      <c r="B39">
        <v>3166.2</v>
      </c>
    </row>
    <row r="40" spans="1:2">
      <c r="A40" t="s">
        <v>40</v>
      </c>
      <c r="B40">
        <v>2987.2</v>
      </c>
    </row>
    <row r="41" spans="1:2">
      <c r="A41" t="s">
        <v>41</v>
      </c>
      <c r="B41">
        <v>3289</v>
      </c>
    </row>
    <row r="42" spans="1:2">
      <c r="A42" t="s">
        <v>42</v>
      </c>
      <c r="B42">
        <v>3279.6</v>
      </c>
    </row>
    <row r="43" spans="1:2">
      <c r="A43" t="s">
        <v>43</v>
      </c>
      <c r="B43">
        <v>3396.1</v>
      </c>
    </row>
    <row r="44" spans="1:2">
      <c r="A44" t="s">
        <v>44</v>
      </c>
      <c r="B44">
        <v>3368.5</v>
      </c>
    </row>
    <row r="45" spans="1:2">
      <c r="A45" t="s">
        <v>45</v>
      </c>
      <c r="B45">
        <v>3176.1</v>
      </c>
    </row>
    <row r="46" spans="1:2">
      <c r="A46" t="s">
        <v>46</v>
      </c>
      <c r="B46">
        <v>3381.5</v>
      </c>
    </row>
    <row r="47" spans="1:2">
      <c r="A47" t="s">
        <v>47</v>
      </c>
      <c r="B47">
        <v>3364.9</v>
      </c>
    </row>
    <row r="48" spans="1:2">
      <c r="A48" t="s">
        <v>48</v>
      </c>
      <c r="B48">
        <v>3249</v>
      </c>
    </row>
    <row r="49" spans="1:2">
      <c r="A49" t="s">
        <v>49</v>
      </c>
      <c r="B49">
        <v>3179.2</v>
      </c>
    </row>
    <row r="50" spans="1:2">
      <c r="A50" t="s">
        <v>50</v>
      </c>
      <c r="B50">
        <v>3005.9</v>
      </c>
    </row>
    <row r="51" spans="1:2">
      <c r="A51" t="s">
        <v>51</v>
      </c>
      <c r="B51">
        <v>3004.8</v>
      </c>
    </row>
    <row r="52" spans="1:2">
      <c r="A52" t="s">
        <v>52</v>
      </c>
      <c r="B52">
        <v>2931.1</v>
      </c>
    </row>
    <row r="53" spans="1:2">
      <c r="A53" t="s">
        <v>53</v>
      </c>
      <c r="B53">
        <v>3103.5</v>
      </c>
    </row>
    <row r="54" spans="1:2">
      <c r="A54" t="s">
        <v>54</v>
      </c>
      <c r="B54">
        <v>3054.9</v>
      </c>
    </row>
    <row r="55" spans="1:2">
      <c r="A55" t="s">
        <v>55</v>
      </c>
      <c r="B55">
        <v>3425.6</v>
      </c>
    </row>
    <row r="56" spans="1:2">
      <c r="A56" t="s">
        <v>56</v>
      </c>
      <c r="B56">
        <v>3414.1</v>
      </c>
    </row>
    <row r="57" spans="1:2">
      <c r="A57" t="s">
        <v>57</v>
      </c>
      <c r="B57">
        <v>3342.7</v>
      </c>
    </row>
    <row r="58" spans="1:2">
      <c r="A58" t="s">
        <v>58</v>
      </c>
      <c r="B58">
        <v>3395.7</v>
      </c>
    </row>
    <row r="59" spans="1:2">
      <c r="A59" t="s">
        <v>59</v>
      </c>
      <c r="B59">
        <v>3419.5</v>
      </c>
    </row>
    <row r="60" spans="1:2">
      <c r="A60" t="s">
        <v>60</v>
      </c>
      <c r="B60">
        <v>3379.9</v>
      </c>
    </row>
    <row r="61" spans="1:2">
      <c r="A61" t="s">
        <v>61</v>
      </c>
      <c r="B61">
        <v>3345.1</v>
      </c>
    </row>
    <row r="62" spans="1:2">
      <c r="A62" t="s">
        <v>62</v>
      </c>
      <c r="B62">
        <v>3242.9</v>
      </c>
    </row>
    <row r="63" spans="1:2">
      <c r="A63" t="s">
        <v>63</v>
      </c>
      <c r="B63">
        <v>3287.1</v>
      </c>
    </row>
    <row r="64" spans="1:2">
      <c r="A64" t="s">
        <v>64</v>
      </c>
      <c r="B64">
        <v>3420.6</v>
      </c>
    </row>
    <row r="65" spans="1:2">
      <c r="A65" t="s">
        <v>65</v>
      </c>
      <c r="B65">
        <v>3588.8</v>
      </c>
    </row>
    <row r="66" spans="1:2">
      <c r="A66" t="s">
        <v>66</v>
      </c>
      <c r="B66">
        <v>3479.4</v>
      </c>
    </row>
    <row r="67" spans="1:2">
      <c r="A67" t="s">
        <v>67</v>
      </c>
      <c r="B67">
        <v>3718.7</v>
      </c>
    </row>
    <row r="68" spans="1:2">
      <c r="A68" t="s">
        <v>68</v>
      </c>
      <c r="B68">
        <v>3571.7</v>
      </c>
    </row>
    <row r="69" spans="1:2">
      <c r="A69" t="s">
        <v>69</v>
      </c>
      <c r="B69">
        <v>3601.5</v>
      </c>
    </row>
    <row r="70" spans="1:2">
      <c r="A70" t="s">
        <v>70</v>
      </c>
      <c r="B70">
        <v>3555.8</v>
      </c>
    </row>
    <row r="71" spans="1:2">
      <c r="A71" t="s">
        <v>71</v>
      </c>
      <c r="B71">
        <v>3514.9</v>
      </c>
    </row>
    <row r="72" spans="1:2">
      <c r="A72" t="s">
        <v>72</v>
      </c>
      <c r="B72">
        <v>3614.4</v>
      </c>
    </row>
    <row r="73" spans="1:2">
      <c r="A73" t="s">
        <v>73</v>
      </c>
      <c r="B73">
        <v>3656</v>
      </c>
    </row>
    <row r="74" spans="1:2">
      <c r="A74" t="s">
        <v>74</v>
      </c>
      <c r="B74">
        <v>3470.4</v>
      </c>
    </row>
    <row r="75" spans="1:2">
      <c r="A75" t="s">
        <v>75</v>
      </c>
      <c r="B75">
        <v>3426.5</v>
      </c>
    </row>
    <row r="76" spans="1:2">
      <c r="A76" t="s">
        <v>76</v>
      </c>
      <c r="B76">
        <v>3308</v>
      </c>
    </row>
    <row r="77" spans="1:2">
      <c r="A77" t="s">
        <v>77</v>
      </c>
      <c r="B77">
        <v>3489.2</v>
      </c>
    </row>
    <row r="78" spans="1:2">
      <c r="A78" t="s">
        <v>78</v>
      </c>
      <c r="B78">
        <v>3552</v>
      </c>
    </row>
    <row r="79" spans="1:2">
      <c r="A79" t="s">
        <v>79</v>
      </c>
      <c r="B79">
        <v>3859.7</v>
      </c>
    </row>
    <row r="80" spans="1:2">
      <c r="A80" t="s">
        <v>80</v>
      </c>
      <c r="B80">
        <v>3639.9</v>
      </c>
    </row>
    <row r="81" spans="1:2">
      <c r="A81" t="s">
        <v>81</v>
      </c>
      <c r="B81">
        <v>3854.2</v>
      </c>
    </row>
    <row r="82" spans="1:2">
      <c r="A82" t="s">
        <v>82</v>
      </c>
      <c r="B82">
        <v>3697.8</v>
      </c>
    </row>
    <row r="83" spans="1:2">
      <c r="A83" t="s">
        <v>83</v>
      </c>
      <c r="B83">
        <v>3582</v>
      </c>
    </row>
    <row r="84" spans="1:2">
      <c r="A84" t="s">
        <v>84</v>
      </c>
      <c r="B84">
        <v>3652.8</v>
      </c>
    </row>
    <row r="85" spans="1:2">
      <c r="A85" t="s">
        <v>85</v>
      </c>
      <c r="B85">
        <v>3474.7</v>
      </c>
    </row>
    <row r="86" spans="1:2">
      <c r="A86" t="s">
        <v>86</v>
      </c>
      <c r="B86">
        <v>3413.9</v>
      </c>
    </row>
    <row r="87" spans="1:2">
      <c r="A87" t="s">
        <v>87</v>
      </c>
      <c r="B87">
        <v>3520.9</v>
      </c>
    </row>
    <row r="88" spans="1:2">
      <c r="A88" t="s">
        <v>88</v>
      </c>
      <c r="B88">
        <v>3464.8</v>
      </c>
    </row>
    <row r="89" spans="1:2">
      <c r="A89" t="s">
        <v>89</v>
      </c>
      <c r="B89">
        <v>3713.5</v>
      </c>
    </row>
    <row r="90" spans="1:2">
      <c r="A90" t="s">
        <v>90</v>
      </c>
      <c r="B90">
        <v>3689.9</v>
      </c>
    </row>
    <row r="91" spans="1:2">
      <c r="A91" t="s">
        <v>91</v>
      </c>
      <c r="B91">
        <v>3820</v>
      </c>
    </row>
    <row r="92" spans="1:2">
      <c r="A92" t="s">
        <v>92</v>
      </c>
      <c r="B92">
        <v>3736</v>
      </c>
    </row>
    <row r="93" spans="1:2">
      <c r="A93" t="s">
        <v>93</v>
      </c>
      <c r="B93">
        <v>3869.3</v>
      </c>
    </row>
    <row r="94" spans="1:2">
      <c r="A94" t="s">
        <v>94</v>
      </c>
      <c r="B94">
        <v>3833.2</v>
      </c>
    </row>
    <row r="95" spans="1:2">
      <c r="A95" t="s">
        <v>95</v>
      </c>
      <c r="B95">
        <v>3716.3</v>
      </c>
    </row>
    <row r="96" spans="1:2">
      <c r="A96" t="s">
        <v>96</v>
      </c>
      <c r="B96">
        <v>3772.2</v>
      </c>
    </row>
    <row r="97" spans="1:2">
      <c r="A97" t="s">
        <v>97</v>
      </c>
      <c r="B97">
        <v>3650.8</v>
      </c>
    </row>
    <row r="98" spans="1:2">
      <c r="A98" t="s">
        <v>98</v>
      </c>
      <c r="B98">
        <v>3711</v>
      </c>
    </row>
    <row r="99" spans="1:2">
      <c r="A99" t="s">
        <v>99</v>
      </c>
      <c r="B99">
        <v>3470.8</v>
      </c>
    </row>
    <row r="100" spans="1:2">
      <c r="A100" t="s">
        <v>100</v>
      </c>
      <c r="B100">
        <v>3397.3</v>
      </c>
    </row>
    <row r="101" spans="1:2">
      <c r="A101" t="s">
        <v>101</v>
      </c>
      <c r="B101">
        <v>3772</v>
      </c>
    </row>
    <row r="102" spans="1:2">
      <c r="A102" t="s">
        <v>102</v>
      </c>
      <c r="B102">
        <v>3793.3</v>
      </c>
    </row>
    <row r="103" spans="1:2">
      <c r="A103" t="s">
        <v>103</v>
      </c>
      <c r="B103">
        <v>3853.7</v>
      </c>
    </row>
    <row r="104" spans="1:2">
      <c r="A104" t="s">
        <v>104</v>
      </c>
      <c r="B104">
        <v>3904.5</v>
      </c>
    </row>
    <row r="105" spans="1:2">
      <c r="A105" t="s">
        <v>105</v>
      </c>
      <c r="B105">
        <v>3911.2</v>
      </c>
    </row>
    <row r="106" spans="1:2">
      <c r="A106" t="s">
        <v>106</v>
      </c>
      <c r="B106">
        <v>3832.5</v>
      </c>
    </row>
    <row r="107" spans="1:2">
      <c r="A107" t="s">
        <v>107</v>
      </c>
      <c r="B107">
        <v>3717.4</v>
      </c>
    </row>
    <row r="108" spans="1:2">
      <c r="A108" t="s">
        <v>108</v>
      </c>
      <c r="B108">
        <v>3884.6</v>
      </c>
    </row>
    <row r="109" spans="1:2">
      <c r="A109" t="s">
        <v>109</v>
      </c>
      <c r="B109">
        <v>3700.4</v>
      </c>
    </row>
    <row r="110" spans="1:2">
      <c r="A110" t="s">
        <v>110</v>
      </c>
      <c r="B110">
        <v>3726.7</v>
      </c>
    </row>
    <row r="111" spans="1:2">
      <c r="A111" t="s">
        <v>111</v>
      </c>
      <c r="B111">
        <v>3680.6</v>
      </c>
    </row>
    <row r="112" spans="1:2">
      <c r="A112" t="s">
        <v>112</v>
      </c>
      <c r="B112">
        <v>3491.4</v>
      </c>
    </row>
    <row r="113" spans="1:2">
      <c r="A113" t="s">
        <v>113</v>
      </c>
      <c r="B113">
        <v>3874.3</v>
      </c>
    </row>
    <row r="114" spans="1:2">
      <c r="A114" t="s">
        <v>114</v>
      </c>
      <c r="B114">
        <v>3931.1</v>
      </c>
    </row>
    <row r="115" spans="1:2">
      <c r="A115" t="s">
        <v>115</v>
      </c>
      <c r="B115">
        <v>3973</v>
      </c>
    </row>
    <row r="116" spans="1:2">
      <c r="A116" t="s">
        <v>116</v>
      </c>
      <c r="B116">
        <v>3971.4</v>
      </c>
    </row>
    <row r="117" spans="1:2">
      <c r="A117" t="s">
        <v>117</v>
      </c>
      <c r="B117">
        <v>4103.6000000000004</v>
      </c>
    </row>
    <row r="118" spans="1:2">
      <c r="A118" t="s">
        <v>118</v>
      </c>
      <c r="B118">
        <v>3945.7</v>
      </c>
    </row>
    <row r="119" spans="1:2">
      <c r="A119" t="s">
        <v>119</v>
      </c>
      <c r="B119">
        <v>3977.8</v>
      </c>
    </row>
    <row r="120" spans="1:2">
      <c r="A120" t="s">
        <v>120</v>
      </c>
      <c r="B120">
        <v>3931.2</v>
      </c>
    </row>
    <row r="121" spans="1:2">
      <c r="A121" t="s">
        <v>121</v>
      </c>
      <c r="B121">
        <v>3796.3</v>
      </c>
    </row>
    <row r="122" spans="1:2">
      <c r="A122" t="s">
        <v>122</v>
      </c>
      <c r="B122">
        <v>3897.3</v>
      </c>
    </row>
    <row r="123" spans="1:2">
      <c r="A123" t="s">
        <v>123</v>
      </c>
      <c r="B123">
        <v>3685.9</v>
      </c>
    </row>
    <row r="124" spans="1:2">
      <c r="A124" t="s">
        <v>124</v>
      </c>
      <c r="B124">
        <v>3687</v>
      </c>
    </row>
    <row r="125" spans="1:2">
      <c r="A125" t="s">
        <v>125</v>
      </c>
      <c r="B125">
        <v>3973.2</v>
      </c>
    </row>
    <row r="126" spans="1:2">
      <c r="A126" t="s">
        <v>126</v>
      </c>
      <c r="B126">
        <v>3981.6</v>
      </c>
    </row>
    <row r="127" spans="1:2">
      <c r="A127" t="s">
        <v>127</v>
      </c>
      <c r="B127">
        <v>4030.6</v>
      </c>
    </row>
    <row r="128" spans="1:2">
      <c r="A128" t="s">
        <v>128</v>
      </c>
      <c r="B128">
        <v>4030.6</v>
      </c>
    </row>
    <row r="129" spans="1:2">
      <c r="A129" t="s">
        <v>129</v>
      </c>
      <c r="B129">
        <v>4148.3</v>
      </c>
    </row>
    <row r="130" spans="1:2">
      <c r="A130" t="s">
        <v>130</v>
      </c>
      <c r="B130">
        <v>4068.8</v>
      </c>
    </row>
    <row r="131" spans="1:2">
      <c r="A131" t="s">
        <v>131</v>
      </c>
      <c r="B131">
        <v>4045.7</v>
      </c>
    </row>
    <row r="132" spans="1:2">
      <c r="A132" t="s">
        <v>132</v>
      </c>
      <c r="B132">
        <v>4043.5</v>
      </c>
    </row>
    <row r="133" spans="1:2">
      <c r="A133" t="s">
        <v>133</v>
      </c>
      <c r="B133">
        <v>3921.4</v>
      </c>
    </row>
    <row r="134" spans="1:2">
      <c r="A134" t="s">
        <v>134</v>
      </c>
      <c r="B134">
        <v>3876.3</v>
      </c>
    </row>
    <row r="135" spans="1:2">
      <c r="A135" t="s">
        <v>135</v>
      </c>
      <c r="B135">
        <v>3928.4</v>
      </c>
    </row>
    <row r="136" spans="1:2">
      <c r="A136" t="s">
        <v>136</v>
      </c>
      <c r="B136">
        <v>3727.7</v>
      </c>
    </row>
    <row r="137" spans="1:2">
      <c r="A137" t="s">
        <v>137</v>
      </c>
      <c r="B137">
        <v>4044.9</v>
      </c>
    </row>
    <row r="138" spans="1:2">
      <c r="A138" t="s">
        <v>138</v>
      </c>
      <c r="B138">
        <v>4068.6</v>
      </c>
    </row>
    <row r="139" spans="1:2">
      <c r="A139" t="s">
        <v>139</v>
      </c>
      <c r="B139">
        <v>4240.1000000000004</v>
      </c>
    </row>
    <row r="140" spans="1:2">
      <c r="A140" t="s">
        <v>140</v>
      </c>
      <c r="B140">
        <v>4052.5</v>
      </c>
    </row>
    <row r="141" spans="1:2">
      <c r="A141" t="s">
        <v>141</v>
      </c>
      <c r="B141">
        <v>4230.7</v>
      </c>
    </row>
    <row r="142" spans="1:2">
      <c r="A142" t="s">
        <v>142</v>
      </c>
      <c r="B142">
        <v>4093</v>
      </c>
    </row>
    <row r="143" spans="1:2">
      <c r="A143" t="s">
        <v>143</v>
      </c>
      <c r="B143">
        <v>4174.1000000000004</v>
      </c>
    </row>
    <row r="144" spans="1:2">
      <c r="A144" t="s">
        <v>144</v>
      </c>
      <c r="B144">
        <v>4192.3</v>
      </c>
    </row>
    <row r="145" spans="1:2">
      <c r="A145" t="s">
        <v>145</v>
      </c>
      <c r="B145">
        <v>3998.1</v>
      </c>
    </row>
    <row r="146" spans="1:2">
      <c r="A146" t="s">
        <v>146</v>
      </c>
      <c r="B146">
        <v>4115.8</v>
      </c>
    </row>
    <row r="147" spans="1:2">
      <c r="A147" t="s">
        <v>147</v>
      </c>
      <c r="B147">
        <v>4048.7</v>
      </c>
    </row>
    <row r="148" spans="1:2">
      <c r="A148" t="s">
        <v>148</v>
      </c>
      <c r="B148">
        <v>3854.8</v>
      </c>
    </row>
    <row r="149" spans="1:2">
      <c r="A149" t="s">
        <v>149</v>
      </c>
      <c r="B149">
        <v>3930.9</v>
      </c>
    </row>
    <row r="150" spans="1:2">
      <c r="A150" t="s">
        <v>150</v>
      </c>
      <c r="B150">
        <v>4169.3</v>
      </c>
    </row>
    <row r="151" spans="1:2">
      <c r="A151" t="s">
        <v>151</v>
      </c>
      <c r="B151">
        <v>4070.6</v>
      </c>
    </row>
    <row r="152" spans="1:2">
      <c r="A152" t="s">
        <v>152</v>
      </c>
      <c r="B152">
        <v>4223.5</v>
      </c>
    </row>
    <row r="153" spans="1:2">
      <c r="A153" t="s">
        <v>153</v>
      </c>
      <c r="B153">
        <v>4369.3</v>
      </c>
    </row>
    <row r="154" spans="1:2">
      <c r="A154" t="s">
        <v>154</v>
      </c>
      <c r="B154">
        <v>4112.6000000000004</v>
      </c>
    </row>
    <row r="155" spans="1:2">
      <c r="A155" t="s">
        <v>155</v>
      </c>
      <c r="B155">
        <v>4165.6000000000004</v>
      </c>
    </row>
    <row r="156" spans="1:2">
      <c r="A156" t="s">
        <v>156</v>
      </c>
      <c r="B156">
        <v>4212.6000000000004</v>
      </c>
    </row>
    <row r="157" spans="1:2">
      <c r="A157" t="s">
        <v>157</v>
      </c>
      <c r="B157">
        <v>4163.5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AE159-5434-4850-B4F1-7E7E55300441}">
  <dimension ref="A1:J180"/>
  <sheetViews>
    <sheetView tabSelected="1" workbookViewId="0">
      <selection activeCell="K19" sqref="K19"/>
    </sheetView>
  </sheetViews>
  <sheetFormatPr baseColWidth="10" defaultColWidth="8.83203125" defaultRowHeight="15"/>
  <sheetData>
    <row r="1" spans="1:9">
      <c r="A1" t="s">
        <v>189</v>
      </c>
    </row>
    <row r="2" spans="1:9" ht="16" thickBot="1"/>
    <row r="3" spans="1:9">
      <c r="A3" s="4" t="s">
        <v>190</v>
      </c>
      <c r="B3" s="4"/>
    </row>
    <row r="4" spans="1:9">
      <c r="A4" s="1" t="s">
        <v>191</v>
      </c>
      <c r="B4" s="1">
        <v>0.97577288475766943</v>
      </c>
    </row>
    <row r="5" spans="1:9">
      <c r="A5" s="1" t="s">
        <v>192</v>
      </c>
      <c r="B5" s="1">
        <v>0.95213272262830406</v>
      </c>
    </row>
    <row r="6" spans="1:9">
      <c r="A6" s="1" t="s">
        <v>193</v>
      </c>
      <c r="B6" s="1">
        <v>0.95182189615186452</v>
      </c>
    </row>
    <row r="7" spans="1:9">
      <c r="A7" s="1" t="s">
        <v>194</v>
      </c>
      <c r="B7" s="1">
        <v>83.896395431042677</v>
      </c>
    </row>
    <row r="8" spans="1:9" ht="16" thickBot="1">
      <c r="A8" s="2" t="s">
        <v>195</v>
      </c>
      <c r="B8" s="2">
        <v>156</v>
      </c>
    </row>
    <row r="10" spans="1:9" ht="16" thickBot="1">
      <c r="A10" t="s">
        <v>196</v>
      </c>
    </row>
    <row r="11" spans="1:9">
      <c r="A11" s="3"/>
      <c r="B11" s="3" t="s">
        <v>201</v>
      </c>
      <c r="C11" s="3" t="s">
        <v>202</v>
      </c>
      <c r="D11" s="3" t="s">
        <v>203</v>
      </c>
      <c r="E11" s="3" t="s">
        <v>204</v>
      </c>
      <c r="F11" s="3" t="s">
        <v>205</v>
      </c>
    </row>
    <row r="12" spans="1:9">
      <c r="A12" s="1" t="s">
        <v>197</v>
      </c>
      <c r="B12" s="1">
        <v>1</v>
      </c>
      <c r="C12" s="1">
        <v>21560860.507384479</v>
      </c>
      <c r="D12" s="1">
        <v>21560860.507384479</v>
      </c>
      <c r="E12" s="1">
        <v>3063.2291480914828</v>
      </c>
      <c r="F12" s="1">
        <v>1.5169385807186044E-103</v>
      </c>
    </row>
    <row r="13" spans="1:9">
      <c r="A13" s="1" t="s">
        <v>198</v>
      </c>
      <c r="B13" s="1">
        <v>154</v>
      </c>
      <c r="C13" s="1">
        <v>1083945.1956135693</v>
      </c>
      <c r="D13" s="1">
        <v>7038.6051663218786</v>
      </c>
      <c r="E13" s="1"/>
      <c r="F13" s="1"/>
    </row>
    <row r="14" spans="1:9" ht="16" thickBot="1">
      <c r="A14" s="2" t="s">
        <v>199</v>
      </c>
      <c r="B14" s="2">
        <v>155</v>
      </c>
      <c r="C14" s="2">
        <v>22644805.70299805</v>
      </c>
      <c r="D14" s="2"/>
      <c r="E14" s="2"/>
      <c r="F14" s="2"/>
    </row>
    <row r="15" spans="1:9" ht="16" thickBot="1"/>
    <row r="16" spans="1:9">
      <c r="A16" s="3"/>
      <c r="B16" s="3" t="s">
        <v>206</v>
      </c>
      <c r="C16" s="3" t="s">
        <v>194</v>
      </c>
      <c r="D16" s="3" t="s">
        <v>207</v>
      </c>
      <c r="E16" s="3" t="s">
        <v>208</v>
      </c>
      <c r="F16" s="3" t="s">
        <v>209</v>
      </c>
      <c r="G16" s="3" t="s">
        <v>210</v>
      </c>
      <c r="H16" s="3" t="s">
        <v>211</v>
      </c>
      <c r="I16" s="3" t="s">
        <v>212</v>
      </c>
    </row>
    <row r="17" spans="1:10">
      <c r="A17" s="1" t="s">
        <v>200</v>
      </c>
      <c r="B17" s="1">
        <v>2908.319287591331</v>
      </c>
      <c r="C17" s="1">
        <v>13.499022471911324</v>
      </c>
      <c r="D17" s="1">
        <v>215.44665872235876</v>
      </c>
      <c r="E17" s="1">
        <v>6.3415166315673962E-193</v>
      </c>
      <c r="F17" s="1">
        <v>2881.6521299002334</v>
      </c>
      <c r="G17" s="1">
        <v>2934.9864452824286</v>
      </c>
      <c r="H17" s="1">
        <v>2881.6521299002334</v>
      </c>
      <c r="I17" s="1">
        <v>2934.9864452824286</v>
      </c>
    </row>
    <row r="18" spans="1:10" ht="16" thickBot="1">
      <c r="A18" s="2" t="s">
        <v>213</v>
      </c>
      <c r="B18" s="2">
        <v>8.2555439437981892</v>
      </c>
      <c r="C18" s="2">
        <v>0.14916122814016133</v>
      </c>
      <c r="D18" s="2">
        <v>55.346446571496166</v>
      </c>
      <c r="E18" s="2">
        <v>1.5169385807186906E-103</v>
      </c>
      <c r="F18" s="2">
        <v>7.9608777188557323</v>
      </c>
      <c r="G18" s="2">
        <v>8.5502101687406462</v>
      </c>
      <c r="H18" s="2">
        <v>7.9608777188557323</v>
      </c>
      <c r="I18" s="2">
        <v>8.5502101687406462</v>
      </c>
    </row>
    <row r="22" spans="1:10">
      <c r="A22" t="s">
        <v>214</v>
      </c>
    </row>
    <row r="23" spans="1:10" ht="16" thickBot="1"/>
    <row r="24" spans="1:10">
      <c r="A24" s="3" t="s">
        <v>215</v>
      </c>
      <c r="B24" s="3" t="s">
        <v>216</v>
      </c>
      <c r="C24" s="3" t="s">
        <v>217</v>
      </c>
      <c r="D24" s="3" t="s">
        <v>218</v>
      </c>
      <c r="H24" t="s">
        <v>188</v>
      </c>
      <c r="I24" t="s">
        <v>321</v>
      </c>
      <c r="J24" t="s">
        <v>221</v>
      </c>
    </row>
    <row r="25" spans="1:10">
      <c r="A25" s="1">
        <v>1</v>
      </c>
      <c r="B25" s="1">
        <v>2916.5748315351293</v>
      </c>
      <c r="C25" s="1">
        <v>-28.769652136981222</v>
      </c>
      <c r="D25" s="1">
        <v>-0.34403038180852291</v>
      </c>
      <c r="F25">
        <f>SQRT(SUMSQ(C25:C180)/COUNTA(C25:C180))</f>
        <v>83.356863176036825</v>
      </c>
      <c r="H25">
        <v>-91.005179398147831</v>
      </c>
      <c r="I25">
        <f>C25+H25</f>
        <v>-119.77483153512905</v>
      </c>
      <c r="J25" s="41">
        <f>SQRT(SUMSQ(I25:I180)/COUNTA(I25:I180))</f>
        <v>134.31144706215187</v>
      </c>
    </row>
    <row r="26" spans="1:10">
      <c r="A26" s="1">
        <v>2</v>
      </c>
      <c r="B26" s="1">
        <v>2924.8303754789272</v>
      </c>
      <c r="C26" s="1">
        <v>-3.1192933030015411</v>
      </c>
      <c r="D26" s="1">
        <v>-3.7300821744207284E-2</v>
      </c>
      <c r="H26">
        <v>-130.71108217592581</v>
      </c>
      <c r="I26">
        <f t="shared" ref="I26:I89" si="0">C26+H26</f>
        <v>-133.83037547892735</v>
      </c>
    </row>
    <row r="27" spans="1:10">
      <c r="A27" s="1">
        <v>3</v>
      </c>
      <c r="B27" s="1">
        <v>2933.0859194227255</v>
      </c>
      <c r="C27" s="1">
        <v>-0.90921224679959778</v>
      </c>
      <c r="D27" s="1">
        <v>-1.0872451113490318E-2</v>
      </c>
      <c r="H27">
        <v>-177.97670717592592</v>
      </c>
      <c r="I27">
        <f t="shared" si="0"/>
        <v>-178.88591942272552</v>
      </c>
    </row>
    <row r="28" spans="1:10">
      <c r="A28" s="1">
        <v>4</v>
      </c>
      <c r="B28" s="1">
        <v>2941.3414633665238</v>
      </c>
      <c r="C28" s="1">
        <v>31.242188253846507</v>
      </c>
      <c r="D28" s="1">
        <v>0.37359721634202459</v>
      </c>
      <c r="H28">
        <v>-3.8836516203703066</v>
      </c>
      <c r="I28">
        <f t="shared" si="0"/>
        <v>27.358536633476199</v>
      </c>
    </row>
    <row r="29" spans="1:10">
      <c r="A29" s="1">
        <v>5</v>
      </c>
      <c r="B29" s="1">
        <v>2949.5970073103217</v>
      </c>
      <c r="C29" s="1">
        <v>0.70018597671560201</v>
      </c>
      <c r="D29" s="1">
        <v>8.3728940398553608E-3</v>
      </c>
      <c r="H29">
        <v>7.0028067129630491</v>
      </c>
      <c r="I29">
        <f t="shared" si="0"/>
        <v>7.7029926896786511</v>
      </c>
    </row>
    <row r="30" spans="1:10">
      <c r="A30" s="1">
        <v>6</v>
      </c>
      <c r="B30" s="1">
        <v>2957.85255125412</v>
      </c>
      <c r="C30" s="1">
        <v>10.897072588472838</v>
      </c>
      <c r="D30" s="1">
        <v>0.13030828545850021</v>
      </c>
      <c r="H30">
        <v>128.65037615740735</v>
      </c>
      <c r="I30">
        <f t="shared" si="0"/>
        <v>139.54744874588019</v>
      </c>
    </row>
    <row r="31" spans="1:10">
      <c r="A31" s="1">
        <v>7</v>
      </c>
      <c r="B31" s="1">
        <v>2966.1080951979184</v>
      </c>
      <c r="C31" s="1">
        <v>-35.081388021992097</v>
      </c>
      <c r="D31" s="1">
        <v>-0.41950675170190921</v>
      </c>
      <c r="H31">
        <v>63.873292824073964</v>
      </c>
      <c r="I31">
        <f t="shared" si="0"/>
        <v>28.791904802081866</v>
      </c>
    </row>
    <row r="32" spans="1:10">
      <c r="A32" s="1">
        <v>8</v>
      </c>
      <c r="B32" s="1">
        <v>2974.3636391417167</v>
      </c>
      <c r="C32" s="1">
        <v>28.73910970087627</v>
      </c>
      <c r="D32" s="1">
        <v>0.34366515229846423</v>
      </c>
      <c r="H32">
        <v>113.39725115740724</v>
      </c>
      <c r="I32">
        <f t="shared" si="0"/>
        <v>142.13636085828352</v>
      </c>
    </row>
    <row r="33" spans="1:9">
      <c r="A33" s="1">
        <v>9</v>
      </c>
      <c r="B33" s="1">
        <v>2982.6191830855146</v>
      </c>
      <c r="C33" s="1">
        <v>-0.81990646514395848</v>
      </c>
      <c r="D33" s="1">
        <v>-9.8045236316281065E-3</v>
      </c>
      <c r="H33">
        <v>56.000723379629449</v>
      </c>
      <c r="I33">
        <f t="shared" si="0"/>
        <v>55.18081691448549</v>
      </c>
    </row>
    <row r="34" spans="1:9">
      <c r="A34" s="1">
        <v>10</v>
      </c>
      <c r="B34" s="1">
        <v>2990.8747270293129</v>
      </c>
      <c r="C34" s="1">
        <v>-111.84558929783134</v>
      </c>
      <c r="D34" s="1">
        <v>-1.3374607592238221</v>
      </c>
      <c r="H34">
        <v>37.670862268518434</v>
      </c>
      <c r="I34">
        <f t="shared" si="0"/>
        <v>-74.174727029312905</v>
      </c>
    </row>
    <row r="35" spans="1:9">
      <c r="A35" s="1">
        <v>11</v>
      </c>
      <c r="B35" s="1">
        <v>2999.1302709731112</v>
      </c>
      <c r="C35" s="1">
        <v>95.586366758370332</v>
      </c>
      <c r="D35" s="1">
        <v>1.143031347581049</v>
      </c>
      <c r="H35">
        <v>61.883362268518454</v>
      </c>
      <c r="I35">
        <f t="shared" si="0"/>
        <v>157.46972902688879</v>
      </c>
    </row>
    <row r="36" spans="1:9">
      <c r="A36" s="1">
        <v>12</v>
      </c>
      <c r="B36" s="1">
        <v>3007.3858149169091</v>
      </c>
      <c r="C36" s="1">
        <v>-41.183760518760664</v>
      </c>
      <c r="D36" s="1">
        <v>-0.49247953322895788</v>
      </c>
      <c r="H36">
        <v>-64.902054398148081</v>
      </c>
      <c r="I36">
        <f t="shared" si="0"/>
        <v>-106.08581491690875</v>
      </c>
    </row>
    <row r="37" spans="1:9">
      <c r="A37" s="1">
        <v>13</v>
      </c>
      <c r="B37" s="1">
        <v>3015.6413588607074</v>
      </c>
      <c r="C37" s="1">
        <v>50.663820537440643</v>
      </c>
      <c r="D37" s="1">
        <v>0.60584304045057857</v>
      </c>
      <c r="H37">
        <v>-91.005179398147831</v>
      </c>
      <c r="I37">
        <f t="shared" si="0"/>
        <v>-40.341358860707189</v>
      </c>
    </row>
    <row r="38" spans="1:9">
      <c r="A38" s="1">
        <v>14</v>
      </c>
      <c r="B38" s="1">
        <v>3023.8969028045058</v>
      </c>
      <c r="C38" s="1">
        <v>-5.7858206285800406</v>
      </c>
      <c r="D38" s="1">
        <v>-6.9187422581567612E-2</v>
      </c>
      <c r="H38">
        <v>-130.71108217592581</v>
      </c>
      <c r="I38">
        <f t="shared" si="0"/>
        <v>-136.49690280450585</v>
      </c>
    </row>
    <row r="39" spans="1:9">
      <c r="A39" s="1">
        <v>15</v>
      </c>
      <c r="B39" s="1">
        <v>3032.1524467483036</v>
      </c>
      <c r="C39" s="1">
        <v>39.62426042762263</v>
      </c>
      <c r="D39" s="1">
        <v>0.47383087494035125</v>
      </c>
      <c r="H39">
        <v>-177.97670717592592</v>
      </c>
      <c r="I39">
        <f t="shared" si="0"/>
        <v>-138.35244674830329</v>
      </c>
    </row>
    <row r="40" spans="1:9">
      <c r="A40" s="1">
        <v>16</v>
      </c>
      <c r="B40" s="1">
        <v>3040.407990692102</v>
      </c>
      <c r="C40" s="1">
        <v>-12.924339071731538</v>
      </c>
      <c r="D40" s="1">
        <v>-0.1545505411153423</v>
      </c>
      <c r="H40">
        <v>-3.8836516203703066</v>
      </c>
      <c r="I40">
        <f t="shared" si="0"/>
        <v>-16.807990692101846</v>
      </c>
    </row>
    <row r="41" spans="1:9">
      <c r="A41" s="1">
        <v>17</v>
      </c>
      <c r="B41" s="1">
        <v>3048.6635346359003</v>
      </c>
      <c r="C41" s="1">
        <v>36.83365865113683</v>
      </c>
      <c r="D41" s="1">
        <v>0.44046057939180422</v>
      </c>
      <c r="H41">
        <v>7.0028067129630491</v>
      </c>
      <c r="I41">
        <f t="shared" si="0"/>
        <v>43.83646536409988</v>
      </c>
    </row>
    <row r="42" spans="1:9">
      <c r="A42" s="1">
        <v>18</v>
      </c>
      <c r="B42" s="1">
        <v>3056.9190785796982</v>
      </c>
      <c r="C42" s="1">
        <v>-3.4694547371054796</v>
      </c>
      <c r="D42" s="1">
        <v>-4.1488087245222773E-2</v>
      </c>
      <c r="H42">
        <v>128.65037615740735</v>
      </c>
      <c r="I42">
        <f t="shared" si="0"/>
        <v>125.18092142030187</v>
      </c>
    </row>
    <row r="43" spans="1:9">
      <c r="A43" s="1">
        <v>19</v>
      </c>
      <c r="B43" s="1">
        <v>3065.1746225234965</v>
      </c>
      <c r="C43" s="1">
        <v>-121.54791534757032</v>
      </c>
      <c r="D43" s="1">
        <v>-1.4534821459069049</v>
      </c>
      <c r="H43">
        <v>63.873292824073964</v>
      </c>
      <c r="I43">
        <f t="shared" si="0"/>
        <v>-57.67462252349636</v>
      </c>
    </row>
    <row r="44" spans="1:9">
      <c r="A44" s="1">
        <v>20</v>
      </c>
      <c r="B44" s="1">
        <v>3073.4301664672948</v>
      </c>
      <c r="C44" s="1">
        <v>77.172582375298134</v>
      </c>
      <c r="D44" s="1">
        <v>0.92283746961249646</v>
      </c>
      <c r="H44">
        <v>113.39725115740724</v>
      </c>
      <c r="I44">
        <f t="shared" si="0"/>
        <v>190.56983353270539</v>
      </c>
    </row>
    <row r="45" spans="1:9">
      <c r="A45" s="1">
        <v>21</v>
      </c>
      <c r="B45" s="1">
        <v>3081.6857104110932</v>
      </c>
      <c r="C45" s="1">
        <v>-23.686433790722731</v>
      </c>
      <c r="D45" s="1">
        <v>-0.28324474769126262</v>
      </c>
      <c r="H45">
        <v>56.000723379629449</v>
      </c>
      <c r="I45">
        <f t="shared" si="0"/>
        <v>32.314289588906718</v>
      </c>
    </row>
    <row r="46" spans="1:9">
      <c r="A46" s="1">
        <v>22</v>
      </c>
      <c r="B46" s="1">
        <v>3089.941254354891</v>
      </c>
      <c r="C46" s="1">
        <v>-20.512116623409383</v>
      </c>
      <c r="D46" s="1">
        <v>-0.24528594506645099</v>
      </c>
      <c r="H46">
        <v>37.670862268518434</v>
      </c>
      <c r="I46">
        <f t="shared" si="0"/>
        <v>17.15874564510905</v>
      </c>
    </row>
    <row r="47" spans="1:9">
      <c r="A47" s="1">
        <v>23</v>
      </c>
      <c r="B47" s="1">
        <v>3098.1967982986894</v>
      </c>
      <c r="C47" s="1">
        <v>54.919839432792287</v>
      </c>
      <c r="D47" s="1">
        <v>0.65673694068199628</v>
      </c>
      <c r="H47">
        <v>61.883362268518454</v>
      </c>
      <c r="I47">
        <f t="shared" si="0"/>
        <v>116.80320170131074</v>
      </c>
    </row>
    <row r="48" spans="1:9">
      <c r="A48" s="1">
        <v>24</v>
      </c>
      <c r="B48" s="1">
        <v>3106.4523422424877</v>
      </c>
      <c r="C48" s="1">
        <v>-2.1502878443393456</v>
      </c>
      <c r="D48" s="1">
        <v>-2.5713357414404722E-2</v>
      </c>
      <c r="H48">
        <v>-64.902054398148081</v>
      </c>
      <c r="I48">
        <f t="shared" si="0"/>
        <v>-67.052342242487427</v>
      </c>
    </row>
    <row r="49" spans="1:9">
      <c r="A49" s="1">
        <v>25</v>
      </c>
      <c r="B49" s="1">
        <v>3114.7078861862856</v>
      </c>
      <c r="C49" s="1">
        <v>142.69729321186242</v>
      </c>
      <c r="D49" s="1">
        <v>1.7063885247196104</v>
      </c>
      <c r="H49">
        <v>-91.005179398147831</v>
      </c>
      <c r="I49">
        <f t="shared" si="0"/>
        <v>51.692113813714585</v>
      </c>
    </row>
    <row r="50" spans="1:9">
      <c r="A50" s="1">
        <v>26</v>
      </c>
      <c r="B50" s="1">
        <v>3122.9634301300839</v>
      </c>
      <c r="C50" s="1">
        <v>-53.652347954158358</v>
      </c>
      <c r="D50" s="1">
        <v>-0.64158015062915574</v>
      </c>
      <c r="H50">
        <v>-130.71108217592581</v>
      </c>
      <c r="I50">
        <f t="shared" si="0"/>
        <v>-184.36343013008417</v>
      </c>
    </row>
    <row r="51" spans="1:9">
      <c r="A51" s="1">
        <v>27</v>
      </c>
      <c r="B51" s="1">
        <v>3131.2189740738822</v>
      </c>
      <c r="C51" s="1">
        <v>65.55773310204404</v>
      </c>
      <c r="D51" s="1">
        <v>0.783945938665215</v>
      </c>
      <c r="H51">
        <v>-177.97670717592592</v>
      </c>
      <c r="I51">
        <f t="shared" si="0"/>
        <v>-112.41897407388188</v>
      </c>
    </row>
    <row r="52" spans="1:9">
      <c r="A52" s="1">
        <v>28</v>
      </c>
      <c r="B52" s="1">
        <v>3139.4745180176801</v>
      </c>
      <c r="C52" s="1">
        <v>14.409133602690417</v>
      </c>
      <c r="D52" s="1">
        <v>0.17230586283285365</v>
      </c>
      <c r="H52">
        <v>-3.8836516203703066</v>
      </c>
      <c r="I52">
        <f t="shared" si="0"/>
        <v>10.525481982320111</v>
      </c>
    </row>
    <row r="53" spans="1:9">
      <c r="A53" s="1">
        <v>29</v>
      </c>
      <c r="B53" s="1">
        <v>3147.7300619614784</v>
      </c>
      <c r="C53" s="1">
        <v>116.3671313255586</v>
      </c>
      <c r="D53" s="1">
        <v>1.3915298116668564</v>
      </c>
      <c r="H53">
        <v>7.0028067129630491</v>
      </c>
      <c r="I53">
        <f t="shared" si="0"/>
        <v>123.36993803852165</v>
      </c>
    </row>
    <row r="54" spans="1:9">
      <c r="A54" s="1">
        <v>30</v>
      </c>
      <c r="B54" s="1">
        <v>3155.9856059052768</v>
      </c>
      <c r="C54" s="1">
        <v>-62.135982062683979</v>
      </c>
      <c r="D54" s="1">
        <v>-0.74302829701561135</v>
      </c>
      <c r="H54">
        <v>128.65037615740735</v>
      </c>
      <c r="I54">
        <f t="shared" si="0"/>
        <v>66.514394094723372</v>
      </c>
    </row>
    <row r="55" spans="1:9">
      <c r="A55" s="1">
        <v>31</v>
      </c>
      <c r="B55" s="1">
        <v>3164.2411498490746</v>
      </c>
      <c r="C55" s="1">
        <v>60.785557326851631</v>
      </c>
      <c r="D55" s="1">
        <v>0.72687978276663701</v>
      </c>
      <c r="H55">
        <v>63.873292824073964</v>
      </c>
      <c r="I55">
        <f t="shared" si="0"/>
        <v>124.65885015092559</v>
      </c>
    </row>
    <row r="56" spans="1:9">
      <c r="A56" s="1">
        <v>32</v>
      </c>
      <c r="B56" s="1">
        <v>3172.496693792873</v>
      </c>
      <c r="C56" s="1">
        <v>-8.4939449502799107</v>
      </c>
      <c r="D56" s="1">
        <v>-0.10157144446488238</v>
      </c>
      <c r="H56">
        <v>113.39725115740724</v>
      </c>
      <c r="I56">
        <f t="shared" si="0"/>
        <v>104.90330620712733</v>
      </c>
    </row>
    <row r="57" spans="1:9">
      <c r="A57" s="1">
        <v>33</v>
      </c>
      <c r="B57" s="1">
        <v>3180.7522377366713</v>
      </c>
      <c r="C57" s="1">
        <v>-30.952961116300685</v>
      </c>
      <c r="D57" s="1">
        <v>-0.37013860926240083</v>
      </c>
      <c r="H57">
        <v>56.000723379629449</v>
      </c>
      <c r="I57">
        <f t="shared" si="0"/>
        <v>25.047762263328764</v>
      </c>
    </row>
    <row r="58" spans="1:9">
      <c r="A58" s="1">
        <v>34</v>
      </c>
      <c r="B58" s="1">
        <v>3189.0077816804696</v>
      </c>
      <c r="C58" s="1">
        <v>41.521356051011935</v>
      </c>
      <c r="D58" s="1">
        <v>0.49651653441702448</v>
      </c>
      <c r="H58">
        <v>37.670862268518434</v>
      </c>
      <c r="I58">
        <f t="shared" si="0"/>
        <v>79.192218319530369</v>
      </c>
    </row>
    <row r="59" spans="1:9">
      <c r="A59" s="1">
        <v>35</v>
      </c>
      <c r="B59" s="1">
        <v>3197.2633256242675</v>
      </c>
      <c r="C59" s="1">
        <v>118.95331210721406</v>
      </c>
      <c r="D59" s="1">
        <v>1.4224556204845138</v>
      </c>
      <c r="H59">
        <v>61.883362268518454</v>
      </c>
      <c r="I59">
        <f t="shared" si="0"/>
        <v>180.83667437573251</v>
      </c>
    </row>
    <row r="60" spans="1:9">
      <c r="A60" s="1">
        <v>36</v>
      </c>
      <c r="B60" s="1">
        <v>3205.5188695680658</v>
      </c>
      <c r="C60" s="1">
        <v>-21.416815169917754</v>
      </c>
      <c r="D60" s="1">
        <v>-0.25610442089976876</v>
      </c>
      <c r="H60">
        <v>-64.902054398148081</v>
      </c>
      <c r="I60">
        <f t="shared" si="0"/>
        <v>-86.318869568065836</v>
      </c>
    </row>
    <row r="61" spans="1:9">
      <c r="A61" s="1">
        <v>37</v>
      </c>
      <c r="B61" s="1">
        <v>3213.7744135118642</v>
      </c>
      <c r="C61" s="1">
        <v>27.030765886283916</v>
      </c>
      <c r="D61" s="1">
        <v>0.32323660585667519</v>
      </c>
      <c r="H61">
        <v>-91.005179398147831</v>
      </c>
      <c r="I61">
        <f t="shared" si="0"/>
        <v>-63.974413511863915</v>
      </c>
    </row>
    <row r="62" spans="1:9">
      <c r="A62" s="1">
        <v>38</v>
      </c>
      <c r="B62" s="1">
        <v>3222.029957455662</v>
      </c>
      <c r="C62" s="1">
        <v>74.881124720263415</v>
      </c>
      <c r="D62" s="1">
        <v>0.8954359894622963</v>
      </c>
      <c r="H62">
        <v>-130.71108217592581</v>
      </c>
      <c r="I62">
        <f t="shared" si="0"/>
        <v>-55.829957455662395</v>
      </c>
    </row>
    <row r="63" spans="1:9">
      <c r="A63" s="1">
        <v>39</v>
      </c>
      <c r="B63" s="1">
        <v>3230.2855013994604</v>
      </c>
      <c r="C63" s="1">
        <v>-65.10879422353446</v>
      </c>
      <c r="D63" s="1">
        <v>-0.77857748259049564</v>
      </c>
      <c r="H63">
        <v>-177.97670717592592</v>
      </c>
      <c r="I63">
        <f t="shared" si="0"/>
        <v>-243.08550139946038</v>
      </c>
    </row>
    <row r="64" spans="1:9">
      <c r="A64" s="1">
        <v>40</v>
      </c>
      <c r="B64" s="1">
        <v>3238.5410453432587</v>
      </c>
      <c r="C64" s="1">
        <v>54.342606277111827</v>
      </c>
      <c r="D64" s="1">
        <v>0.64983432879097447</v>
      </c>
      <c r="H64">
        <v>-3.8836516203703066</v>
      </c>
      <c r="I64">
        <f t="shared" si="0"/>
        <v>50.458954656741518</v>
      </c>
    </row>
    <row r="65" spans="1:9">
      <c r="A65" s="1">
        <v>41</v>
      </c>
      <c r="B65" s="1">
        <v>3246.7965892870566</v>
      </c>
      <c r="C65" s="1">
        <v>25.800603999980467</v>
      </c>
      <c r="D65" s="1">
        <v>0.30852620680783649</v>
      </c>
      <c r="H65">
        <v>7.0028067129630491</v>
      </c>
      <c r="I65">
        <f t="shared" si="0"/>
        <v>32.803410712943517</v>
      </c>
    </row>
    <row r="66" spans="1:9">
      <c r="A66" s="1">
        <v>42</v>
      </c>
      <c r="B66" s="1">
        <v>3255.0521332308549</v>
      </c>
      <c r="C66" s="1">
        <v>12.397490611737794</v>
      </c>
      <c r="D66" s="1">
        <v>0.1482504344618491</v>
      </c>
      <c r="H66">
        <v>128.65037615740735</v>
      </c>
      <c r="I66">
        <f t="shared" si="0"/>
        <v>141.04786676914514</v>
      </c>
    </row>
    <row r="67" spans="1:9">
      <c r="A67" s="1">
        <v>43</v>
      </c>
      <c r="B67" s="1">
        <v>3263.3076771746532</v>
      </c>
      <c r="C67" s="1">
        <v>41.319030001272949</v>
      </c>
      <c r="D67" s="1">
        <v>0.49409709924936601</v>
      </c>
      <c r="H67">
        <v>63.873292824073964</v>
      </c>
      <c r="I67">
        <f t="shared" si="0"/>
        <v>105.19232282534691</v>
      </c>
    </row>
    <row r="68" spans="1:9">
      <c r="A68" s="1">
        <v>44</v>
      </c>
      <c r="B68" s="1">
        <v>3271.5632211184511</v>
      </c>
      <c r="C68" s="1">
        <v>-208.86047227585823</v>
      </c>
      <c r="D68" s="1">
        <v>-2.4975744468390206</v>
      </c>
      <c r="H68">
        <v>113.39725115740724</v>
      </c>
      <c r="I68">
        <f t="shared" si="0"/>
        <v>-95.463221118450988</v>
      </c>
    </row>
    <row r="69" spans="1:9">
      <c r="A69" s="1">
        <v>45</v>
      </c>
      <c r="B69" s="1">
        <v>3279.8187650622494</v>
      </c>
      <c r="C69" s="1">
        <v>45.680511558120998</v>
      </c>
      <c r="D69" s="1">
        <v>0.54625213255004701</v>
      </c>
      <c r="H69">
        <v>56.000723379629449</v>
      </c>
      <c r="I69">
        <f t="shared" si="0"/>
        <v>101.68123493775045</v>
      </c>
    </row>
    <row r="70" spans="1:9">
      <c r="A70" s="1">
        <v>46</v>
      </c>
      <c r="B70" s="1">
        <v>3288.0743090060478</v>
      </c>
      <c r="C70" s="1">
        <v>39.154828725434072</v>
      </c>
      <c r="D70" s="1">
        <v>0.46821736362752731</v>
      </c>
      <c r="H70">
        <v>37.670862268518434</v>
      </c>
      <c r="I70">
        <f t="shared" si="0"/>
        <v>76.825690993952506</v>
      </c>
    </row>
    <row r="71" spans="1:9">
      <c r="A71" s="1">
        <v>47</v>
      </c>
      <c r="B71" s="1">
        <v>3296.3298529498461</v>
      </c>
      <c r="C71" s="1">
        <v>-109.21321521836444</v>
      </c>
      <c r="D71" s="1">
        <v>-1.305982566324237</v>
      </c>
      <c r="H71">
        <v>61.883362268518454</v>
      </c>
      <c r="I71">
        <f t="shared" si="0"/>
        <v>-47.329852949845986</v>
      </c>
    </row>
    <row r="72" spans="1:9">
      <c r="A72" s="1">
        <v>48</v>
      </c>
      <c r="B72" s="1">
        <v>3304.585396893644</v>
      </c>
      <c r="C72" s="1">
        <v>-60.48334249549589</v>
      </c>
      <c r="D72" s="1">
        <v>-0.72326586754359312</v>
      </c>
      <c r="H72">
        <v>-64.902054398148081</v>
      </c>
      <c r="I72">
        <f t="shared" si="0"/>
        <v>-125.38539689364397</v>
      </c>
    </row>
    <row r="73" spans="1:9">
      <c r="A73" s="1">
        <v>49</v>
      </c>
      <c r="B73" s="1">
        <v>3312.8409408374423</v>
      </c>
      <c r="C73" s="1">
        <v>-215.93576143929431</v>
      </c>
      <c r="D73" s="1">
        <v>-2.5821814633129443</v>
      </c>
      <c r="H73">
        <v>-91.005179398147831</v>
      </c>
      <c r="I73">
        <f t="shared" si="0"/>
        <v>-306.94094083744216</v>
      </c>
    </row>
    <row r="74" spans="1:9">
      <c r="A74" s="1">
        <v>50</v>
      </c>
      <c r="B74" s="1">
        <v>3321.0964847812406</v>
      </c>
      <c r="C74" s="1">
        <v>-185.58540260531481</v>
      </c>
      <c r="D74" s="1">
        <v>-2.2192488324988942</v>
      </c>
      <c r="H74">
        <v>-130.71108217592581</v>
      </c>
      <c r="I74">
        <f t="shared" si="0"/>
        <v>-316.29648478124062</v>
      </c>
    </row>
    <row r="75" spans="1:9">
      <c r="A75" s="1">
        <v>51</v>
      </c>
      <c r="B75" s="1">
        <v>3329.3520287250385</v>
      </c>
      <c r="C75" s="1">
        <v>-220.2753215491125</v>
      </c>
      <c r="D75" s="1">
        <v>-2.6340743577544008</v>
      </c>
      <c r="H75">
        <v>-177.97670717592592</v>
      </c>
      <c r="I75">
        <f t="shared" si="0"/>
        <v>-398.25202872503843</v>
      </c>
    </row>
    <row r="76" spans="1:9">
      <c r="A76" s="1">
        <v>52</v>
      </c>
      <c r="B76" s="1">
        <v>3337.6075726688368</v>
      </c>
      <c r="C76" s="1">
        <v>-230.22392104846631</v>
      </c>
      <c r="D76" s="1">
        <v>-2.7530407070146077</v>
      </c>
      <c r="H76">
        <v>-3.8836516203703066</v>
      </c>
      <c r="I76">
        <f t="shared" si="0"/>
        <v>-234.10757266883661</v>
      </c>
    </row>
    <row r="77" spans="1:9">
      <c r="A77" s="1">
        <v>53</v>
      </c>
      <c r="B77" s="1">
        <v>3345.8631166126352</v>
      </c>
      <c r="C77" s="1">
        <v>-297.96592332559794</v>
      </c>
      <c r="D77" s="1">
        <v>-3.5631063552508686</v>
      </c>
      <c r="H77">
        <v>7.0028067129630491</v>
      </c>
      <c r="I77">
        <f t="shared" si="0"/>
        <v>-290.96311661263491</v>
      </c>
    </row>
    <row r="78" spans="1:9">
      <c r="A78" s="1">
        <v>54</v>
      </c>
      <c r="B78" s="1">
        <v>3354.118660556433</v>
      </c>
      <c r="C78" s="1">
        <v>-57.169036713840342</v>
      </c>
      <c r="D78" s="1">
        <v>-0.68363306704728521</v>
      </c>
      <c r="H78">
        <v>128.65037615740735</v>
      </c>
      <c r="I78">
        <f t="shared" si="0"/>
        <v>71.481339443567009</v>
      </c>
    </row>
    <row r="79" spans="1:9">
      <c r="A79" s="1">
        <v>55</v>
      </c>
      <c r="B79" s="1">
        <v>3362.3742045002314</v>
      </c>
      <c r="C79" s="1">
        <v>-12.147497324305277</v>
      </c>
      <c r="D79" s="1">
        <v>-0.14526098969152382</v>
      </c>
      <c r="H79">
        <v>63.873292824073964</v>
      </c>
      <c r="I79">
        <f t="shared" si="0"/>
        <v>51.725795499768687</v>
      </c>
    </row>
    <row r="80" spans="1:9">
      <c r="A80" s="1">
        <v>56</v>
      </c>
      <c r="B80" s="1">
        <v>3370.6297484440297</v>
      </c>
      <c r="C80" s="1">
        <v>-141.32699960143691</v>
      </c>
      <c r="D80" s="1">
        <v>-1.6900024164781942</v>
      </c>
      <c r="H80">
        <v>113.39725115740724</v>
      </c>
      <c r="I80">
        <f t="shared" si="0"/>
        <v>-27.92974844402967</v>
      </c>
    </row>
    <row r="81" spans="1:9">
      <c r="A81" s="1">
        <v>57</v>
      </c>
      <c r="B81" s="1">
        <v>3378.8852923878276</v>
      </c>
      <c r="C81" s="1">
        <v>-39.18601576745732</v>
      </c>
      <c r="D81" s="1">
        <v>-0.46859030139972041</v>
      </c>
      <c r="H81">
        <v>56.000723379629449</v>
      </c>
      <c r="I81">
        <f t="shared" si="0"/>
        <v>16.814707612172128</v>
      </c>
    </row>
    <row r="82" spans="1:9">
      <c r="A82" s="1">
        <v>58</v>
      </c>
      <c r="B82" s="1">
        <v>3387.1408363316259</v>
      </c>
      <c r="C82" s="1">
        <v>-5.3116986001441546</v>
      </c>
      <c r="D82" s="1">
        <v>-6.3517823877697277E-2</v>
      </c>
      <c r="H82">
        <v>37.670862268518434</v>
      </c>
      <c r="I82">
        <f t="shared" si="0"/>
        <v>32.359163668374279</v>
      </c>
    </row>
    <row r="83" spans="1:9">
      <c r="A83" s="1">
        <v>59</v>
      </c>
      <c r="B83" s="1">
        <v>3395.3963802754242</v>
      </c>
      <c r="C83" s="1">
        <v>-77.379742543942484</v>
      </c>
      <c r="D83" s="1">
        <v>-0.92531471165820833</v>
      </c>
      <c r="H83">
        <v>61.883362268518454</v>
      </c>
      <c r="I83">
        <f t="shared" si="0"/>
        <v>-15.496380275424031</v>
      </c>
    </row>
    <row r="84" spans="1:9">
      <c r="A84" s="1">
        <v>60</v>
      </c>
      <c r="B84" s="1">
        <v>3403.6519242192226</v>
      </c>
      <c r="C84" s="1">
        <v>6.3501301789256104</v>
      </c>
      <c r="D84" s="1">
        <v>7.5935492705572705E-2</v>
      </c>
      <c r="H84">
        <v>-64.902054398148081</v>
      </c>
      <c r="I84">
        <f t="shared" si="0"/>
        <v>-58.551924219222471</v>
      </c>
    </row>
    <row r="85" spans="1:9">
      <c r="A85" s="1">
        <v>61</v>
      </c>
      <c r="B85" s="1">
        <v>3411.9074681630204</v>
      </c>
      <c r="C85" s="1">
        <v>-78.002288764872446</v>
      </c>
      <c r="D85" s="1">
        <v>-0.93275918172201844</v>
      </c>
      <c r="H85">
        <v>-91.005179398147831</v>
      </c>
      <c r="I85">
        <f t="shared" si="0"/>
        <v>-169.00746816302029</v>
      </c>
    </row>
    <row r="86" spans="1:9">
      <c r="A86" s="1">
        <v>62</v>
      </c>
      <c r="B86" s="1">
        <v>3420.1630121068188</v>
      </c>
      <c r="C86" s="1">
        <v>-2.3519299308932204</v>
      </c>
      <c r="D86" s="1">
        <v>-2.8124613681790228E-2</v>
      </c>
      <c r="H86">
        <v>-130.71108217592581</v>
      </c>
      <c r="I86">
        <f t="shared" si="0"/>
        <v>-133.06301210681903</v>
      </c>
    </row>
    <row r="87" spans="1:9">
      <c r="A87" s="1">
        <v>63</v>
      </c>
      <c r="B87" s="1">
        <v>3428.4185560506166</v>
      </c>
      <c r="C87" s="1">
        <v>170.15815112530936</v>
      </c>
      <c r="D87" s="1">
        <v>2.0347682141149113</v>
      </c>
      <c r="H87">
        <v>-177.97670717592592</v>
      </c>
      <c r="I87">
        <f t="shared" si="0"/>
        <v>-7.8185560506165643</v>
      </c>
    </row>
    <row r="88" spans="1:9">
      <c r="A88" s="1">
        <v>64</v>
      </c>
      <c r="B88" s="1">
        <v>3436.674099994415</v>
      </c>
      <c r="C88" s="1">
        <v>156.00955162595574</v>
      </c>
      <c r="D88" s="1">
        <v>1.8655778441847293</v>
      </c>
      <c r="H88">
        <v>-3.8836516203703066</v>
      </c>
      <c r="I88">
        <f t="shared" si="0"/>
        <v>152.12590000558544</v>
      </c>
    </row>
    <row r="89" spans="1:9">
      <c r="A89" s="1">
        <v>65</v>
      </c>
      <c r="B89" s="1">
        <v>3444.9296439382133</v>
      </c>
      <c r="C89" s="1">
        <v>27.467549348823923</v>
      </c>
      <c r="D89" s="1">
        <v>0.32845970624974979</v>
      </c>
      <c r="H89">
        <v>7.0028067129630491</v>
      </c>
      <c r="I89">
        <f t="shared" si="0"/>
        <v>34.470356061786973</v>
      </c>
    </row>
    <row r="90" spans="1:9">
      <c r="A90" s="1">
        <v>66</v>
      </c>
      <c r="B90" s="1">
        <v>3453.1851878820116</v>
      </c>
      <c r="C90" s="1">
        <v>136.86443596058098</v>
      </c>
      <c r="D90" s="1">
        <v>1.636638633492614</v>
      </c>
      <c r="H90">
        <v>128.65037615740735</v>
      </c>
      <c r="I90">
        <f t="shared" ref="I90:I153" si="1">C90+H90</f>
        <v>265.5148121179883</v>
      </c>
    </row>
    <row r="91" spans="1:9">
      <c r="A91" s="1">
        <v>67</v>
      </c>
      <c r="B91" s="1">
        <v>3461.4407318258095</v>
      </c>
      <c r="C91" s="1">
        <v>46.385975350116496</v>
      </c>
      <c r="D91" s="1">
        <v>0.5546881392336428</v>
      </c>
      <c r="H91">
        <v>63.873292824073964</v>
      </c>
      <c r="I91">
        <f t="shared" si="1"/>
        <v>110.25926817419045</v>
      </c>
    </row>
    <row r="92" spans="1:9">
      <c r="A92" s="1">
        <v>68</v>
      </c>
      <c r="B92" s="1">
        <v>3469.6962757696078</v>
      </c>
      <c r="C92" s="1">
        <v>18.406473072985136</v>
      </c>
      <c r="D92" s="1">
        <v>0.22010644859023398</v>
      </c>
      <c r="H92">
        <v>113.39725115740724</v>
      </c>
      <c r="I92">
        <f t="shared" si="1"/>
        <v>131.80372423039239</v>
      </c>
    </row>
    <row r="93" spans="1:9">
      <c r="A93" s="1">
        <v>69</v>
      </c>
      <c r="B93" s="1">
        <v>3477.9518197134062</v>
      </c>
      <c r="C93" s="1">
        <v>21.847456906964453</v>
      </c>
      <c r="D93" s="1">
        <v>0.26125407792424216</v>
      </c>
      <c r="H93">
        <v>56.000723379629449</v>
      </c>
      <c r="I93">
        <f t="shared" si="1"/>
        <v>77.848180286593902</v>
      </c>
    </row>
    <row r="94" spans="1:9">
      <c r="A94" s="1">
        <v>70</v>
      </c>
      <c r="B94" s="1">
        <v>3486.207363657204</v>
      </c>
      <c r="C94" s="1">
        <v>-8.9782259257221995</v>
      </c>
      <c r="D94" s="1">
        <v>-0.10736252487457053</v>
      </c>
      <c r="H94">
        <v>37.670862268518434</v>
      </c>
      <c r="I94">
        <f t="shared" si="1"/>
        <v>28.692636342796234</v>
      </c>
    </row>
    <row r="95" spans="1:9">
      <c r="A95" s="1">
        <v>71</v>
      </c>
      <c r="B95" s="1">
        <v>3494.4629076010024</v>
      </c>
      <c r="C95" s="1">
        <v>58.05373013047938</v>
      </c>
      <c r="D95" s="1">
        <v>0.69421231953392137</v>
      </c>
      <c r="H95">
        <v>61.883362268518454</v>
      </c>
      <c r="I95">
        <f t="shared" si="1"/>
        <v>119.93709239899783</v>
      </c>
    </row>
    <row r="96" spans="1:9">
      <c r="A96" s="1">
        <v>72</v>
      </c>
      <c r="B96" s="1">
        <v>3502.7184515448007</v>
      </c>
      <c r="C96" s="1">
        <v>218.18360285334757</v>
      </c>
      <c r="D96" s="1">
        <v>2.6090613760849064</v>
      </c>
      <c r="H96">
        <v>-64.902054398148081</v>
      </c>
      <c r="I96">
        <f t="shared" si="1"/>
        <v>153.28154845519947</v>
      </c>
    </row>
    <row r="97" spans="1:9">
      <c r="A97" s="1">
        <v>73</v>
      </c>
      <c r="B97" s="1">
        <v>3510.973995488599</v>
      </c>
      <c r="C97" s="1">
        <v>50.431183909548963</v>
      </c>
      <c r="D97" s="1">
        <v>0.60306114835347724</v>
      </c>
      <c r="H97">
        <v>-91.005179398147831</v>
      </c>
      <c r="I97">
        <f t="shared" si="1"/>
        <v>-40.573995488598868</v>
      </c>
    </row>
    <row r="98" spans="1:9">
      <c r="A98" s="1">
        <v>74</v>
      </c>
      <c r="B98" s="1">
        <v>3519.2295394323969</v>
      </c>
      <c r="C98" s="1">
        <v>37.981542743528735</v>
      </c>
      <c r="D98" s="1">
        <v>0.45418709234014443</v>
      </c>
      <c r="H98">
        <v>-130.71108217592581</v>
      </c>
      <c r="I98">
        <f t="shared" si="1"/>
        <v>-92.729539432397075</v>
      </c>
    </row>
    <row r="99" spans="1:9">
      <c r="A99" s="1">
        <v>75</v>
      </c>
      <c r="B99" s="1">
        <v>3527.4850833761952</v>
      </c>
      <c r="C99" s="1">
        <v>-41.50837620026914</v>
      </c>
      <c r="D99" s="1">
        <v>-0.49636132006178657</v>
      </c>
      <c r="H99">
        <v>-177.97670717592592</v>
      </c>
      <c r="I99">
        <f t="shared" si="1"/>
        <v>-219.48508337619506</v>
      </c>
    </row>
    <row r="100" spans="1:9">
      <c r="A100" s="1">
        <v>76</v>
      </c>
      <c r="B100" s="1">
        <v>3535.7406273199931</v>
      </c>
      <c r="C100" s="1">
        <v>-42.656975699622762</v>
      </c>
      <c r="D100" s="1">
        <v>-0.51009638791822987</v>
      </c>
      <c r="H100">
        <v>-3.8836516203703066</v>
      </c>
      <c r="I100">
        <f t="shared" si="1"/>
        <v>-46.540627319993071</v>
      </c>
    </row>
    <row r="101" spans="1:9">
      <c r="A101" s="1">
        <v>77</v>
      </c>
      <c r="B101" s="1">
        <v>3543.9961712637914</v>
      </c>
      <c r="C101" s="1">
        <v>1.0010220232456959</v>
      </c>
      <c r="D101" s="1">
        <v>1.1970321615855749E-2</v>
      </c>
      <c r="H101">
        <v>7.0028067129630491</v>
      </c>
      <c r="I101">
        <f t="shared" si="1"/>
        <v>8.0038287362087459</v>
      </c>
    </row>
    <row r="102" spans="1:9">
      <c r="A102" s="1">
        <v>78</v>
      </c>
      <c r="B102" s="1">
        <v>3552.2517152075898</v>
      </c>
      <c r="C102" s="1">
        <v>178.79790863500284</v>
      </c>
      <c r="D102" s="1">
        <v>2.138083299769777</v>
      </c>
      <c r="H102">
        <v>128.65037615740735</v>
      </c>
      <c r="I102">
        <f t="shared" si="1"/>
        <v>307.44828479241016</v>
      </c>
    </row>
    <row r="103" spans="1:9">
      <c r="A103" s="1">
        <v>79</v>
      </c>
      <c r="B103" s="1">
        <v>3560.5072591513881</v>
      </c>
      <c r="C103" s="1">
        <v>15.519448024538178</v>
      </c>
      <c r="D103" s="1">
        <v>0.18558311389786691</v>
      </c>
      <c r="H103">
        <v>63.873292824073964</v>
      </c>
      <c r="I103">
        <f t="shared" si="1"/>
        <v>79.392740848612135</v>
      </c>
    </row>
    <row r="104" spans="1:9">
      <c r="A104" s="1">
        <v>80</v>
      </c>
      <c r="B104" s="1">
        <v>3568.762803095186</v>
      </c>
      <c r="C104" s="1">
        <v>172.03994574740682</v>
      </c>
      <c r="D104" s="1">
        <v>2.0572709026855955</v>
      </c>
      <c r="H104">
        <v>113.39725115740724</v>
      </c>
      <c r="I104">
        <f t="shared" si="1"/>
        <v>285.43719690481407</v>
      </c>
    </row>
    <row r="105" spans="1:9">
      <c r="A105" s="1">
        <v>81</v>
      </c>
      <c r="B105" s="1">
        <v>3577.0183470389843</v>
      </c>
      <c r="C105" s="1">
        <v>64.780929581386317</v>
      </c>
      <c r="D105" s="1">
        <v>0.77465684436092341</v>
      </c>
      <c r="H105">
        <v>56.000723379629449</v>
      </c>
      <c r="I105">
        <f t="shared" si="1"/>
        <v>120.78165296101577</v>
      </c>
    </row>
    <row r="106" spans="1:9">
      <c r="A106" s="1">
        <v>82</v>
      </c>
      <c r="B106" s="1">
        <v>3585.2738909827826</v>
      </c>
      <c r="C106" s="1">
        <v>-40.944753251300881</v>
      </c>
      <c r="D106" s="1">
        <v>-0.48962146038582099</v>
      </c>
      <c r="H106">
        <v>37.670862268518434</v>
      </c>
      <c r="I106">
        <f t="shared" si="1"/>
        <v>-3.2738909827824472</v>
      </c>
    </row>
    <row r="107" spans="1:9">
      <c r="A107" s="1">
        <v>83</v>
      </c>
      <c r="B107" s="1">
        <v>3593.5294349265805</v>
      </c>
      <c r="C107" s="1">
        <v>-2.6127971950986648</v>
      </c>
      <c r="D107" s="1">
        <v>-3.1244090555498472E-2</v>
      </c>
      <c r="H107">
        <v>61.883362268518454</v>
      </c>
      <c r="I107">
        <f t="shared" si="1"/>
        <v>59.270565073419789</v>
      </c>
    </row>
    <row r="108" spans="1:9">
      <c r="A108" s="1">
        <v>84</v>
      </c>
      <c r="B108" s="1">
        <v>3601.7849788703788</v>
      </c>
      <c r="C108" s="1">
        <v>-62.182924472230752</v>
      </c>
      <c r="D108" s="1">
        <v>-0.74358963905070075</v>
      </c>
      <c r="H108">
        <v>-64.902054398148081</v>
      </c>
      <c r="I108">
        <f t="shared" si="1"/>
        <v>-127.08497887037883</v>
      </c>
    </row>
    <row r="109" spans="1:9">
      <c r="A109" s="1">
        <v>85</v>
      </c>
      <c r="B109" s="1">
        <v>3610.0405228141772</v>
      </c>
      <c r="C109" s="1">
        <v>-105.13534341602917</v>
      </c>
      <c r="D109" s="1">
        <v>-1.2572189668742362</v>
      </c>
      <c r="H109">
        <v>-91.005179398147831</v>
      </c>
      <c r="I109">
        <f t="shared" si="1"/>
        <v>-196.14052281417702</v>
      </c>
    </row>
    <row r="110" spans="1:9">
      <c r="A110" s="1">
        <v>86</v>
      </c>
      <c r="B110" s="1">
        <v>3618.2960667579755</v>
      </c>
      <c r="C110" s="1">
        <v>33.315015417950235</v>
      </c>
      <c r="D110" s="1">
        <v>0.39838429118374735</v>
      </c>
      <c r="H110">
        <v>-130.71108217592581</v>
      </c>
      <c r="I110">
        <f t="shared" si="1"/>
        <v>-97.396066757975575</v>
      </c>
    </row>
    <row r="111" spans="1:9">
      <c r="A111" s="1">
        <v>87</v>
      </c>
      <c r="B111" s="1">
        <v>3626.5516107017734</v>
      </c>
      <c r="C111" s="1">
        <v>16.225096474152906</v>
      </c>
      <c r="D111" s="1">
        <v>0.19402132873576866</v>
      </c>
      <c r="H111">
        <v>-177.97670717592592</v>
      </c>
      <c r="I111">
        <f t="shared" si="1"/>
        <v>-161.75161070177302</v>
      </c>
    </row>
    <row r="112" spans="1:9">
      <c r="A112" s="1">
        <v>88</v>
      </c>
      <c r="B112" s="1">
        <v>3634.8071546455717</v>
      </c>
      <c r="C112" s="1">
        <v>82.576496974798829</v>
      </c>
      <c r="D112" s="1">
        <v>0.9874580216468094</v>
      </c>
      <c r="H112">
        <v>-3.8836516203703066</v>
      </c>
      <c r="I112">
        <f t="shared" si="1"/>
        <v>78.692845354428528</v>
      </c>
    </row>
    <row r="113" spans="1:9">
      <c r="A113" s="1">
        <v>89</v>
      </c>
      <c r="B113" s="1">
        <v>3643.0626985893696</v>
      </c>
      <c r="C113" s="1">
        <v>39.834494697667651</v>
      </c>
      <c r="D113" s="1">
        <v>0.47634487739851283</v>
      </c>
      <c r="H113">
        <v>7.0028067129630491</v>
      </c>
      <c r="I113">
        <f t="shared" si="1"/>
        <v>46.837301410630701</v>
      </c>
    </row>
    <row r="114" spans="1:9">
      <c r="A114" s="1">
        <v>90</v>
      </c>
      <c r="B114" s="1">
        <v>3651.3182425331679</v>
      </c>
      <c r="C114" s="1">
        <v>40.031381309424887</v>
      </c>
      <c r="D114" s="1">
        <v>0.47869926722197409</v>
      </c>
      <c r="H114">
        <v>128.65037615740735</v>
      </c>
      <c r="I114">
        <f t="shared" si="1"/>
        <v>168.68175746683224</v>
      </c>
    </row>
    <row r="115" spans="1:9">
      <c r="A115" s="1">
        <v>91</v>
      </c>
      <c r="B115" s="1">
        <v>3659.5737864769662</v>
      </c>
      <c r="C115" s="1">
        <v>12.552920698959952</v>
      </c>
      <c r="D115" s="1">
        <v>0.15010908301265433</v>
      </c>
      <c r="H115">
        <v>63.873292824073964</v>
      </c>
      <c r="I115">
        <f t="shared" si="1"/>
        <v>76.426213523033908</v>
      </c>
    </row>
    <row r="116" spans="1:9">
      <c r="A116" s="1">
        <v>92</v>
      </c>
      <c r="B116" s="1">
        <v>3667.8293304207646</v>
      </c>
      <c r="C116" s="1">
        <v>88.073418421828592</v>
      </c>
      <c r="D116" s="1">
        <v>1.0531907588793958</v>
      </c>
      <c r="H116">
        <v>113.39725115740724</v>
      </c>
      <c r="I116">
        <f t="shared" si="1"/>
        <v>201.47066957923585</v>
      </c>
    </row>
    <row r="117" spans="1:9">
      <c r="A117" s="1">
        <v>93</v>
      </c>
      <c r="B117" s="1">
        <v>3676.0848743645624</v>
      </c>
      <c r="C117" s="1">
        <v>101.11440225580782</v>
      </c>
      <c r="D117" s="1">
        <v>1.2091361497447792</v>
      </c>
      <c r="H117">
        <v>56.000723379629449</v>
      </c>
      <c r="I117">
        <f t="shared" si="1"/>
        <v>157.11512563543727</v>
      </c>
    </row>
    <row r="118" spans="1:9">
      <c r="A118" s="1">
        <v>94</v>
      </c>
      <c r="B118" s="1">
        <v>3684.3404183083608</v>
      </c>
      <c r="C118" s="1">
        <v>-5.7112805768788348</v>
      </c>
      <c r="D118" s="1">
        <v>-6.8296065177428908E-2</v>
      </c>
      <c r="H118">
        <v>37.670862268518434</v>
      </c>
      <c r="I118">
        <f t="shared" si="1"/>
        <v>31.959581691639599</v>
      </c>
    </row>
    <row r="119" spans="1:9">
      <c r="A119" s="1">
        <v>95</v>
      </c>
      <c r="B119" s="1">
        <v>3692.5959622521591</v>
      </c>
      <c r="C119" s="1">
        <v>17.720675479322381</v>
      </c>
      <c r="D119" s="1">
        <v>0.21190561227605809</v>
      </c>
      <c r="H119">
        <v>61.883362268518454</v>
      </c>
      <c r="I119">
        <f t="shared" si="1"/>
        <v>79.604037747840835</v>
      </c>
    </row>
    <row r="120" spans="1:9">
      <c r="A120" s="1">
        <v>96</v>
      </c>
      <c r="B120" s="1">
        <v>3700.851506195957</v>
      </c>
      <c r="C120" s="1">
        <v>14.850548202191476</v>
      </c>
      <c r="D120" s="1">
        <v>0.17758434282556101</v>
      </c>
      <c r="H120">
        <v>-64.902054398148081</v>
      </c>
      <c r="I120">
        <f t="shared" si="1"/>
        <v>-50.051506195956605</v>
      </c>
    </row>
    <row r="121" spans="1:9">
      <c r="A121" s="1">
        <v>97</v>
      </c>
      <c r="B121" s="1">
        <v>3709.1070501397553</v>
      </c>
      <c r="C121" s="1">
        <v>92.898129258392601</v>
      </c>
      <c r="D121" s="1">
        <v>1.1108851343037418</v>
      </c>
      <c r="H121">
        <v>-91.005179398147831</v>
      </c>
      <c r="I121">
        <f t="shared" si="1"/>
        <v>1.8929498602447694</v>
      </c>
    </row>
    <row r="122" spans="1:9">
      <c r="A122" s="1">
        <v>98</v>
      </c>
      <c r="B122" s="1">
        <v>3717.3625940835536</v>
      </c>
      <c r="C122" s="1">
        <v>-115.85151190762781</v>
      </c>
      <c r="D122" s="1">
        <v>-1.3853639830230475</v>
      </c>
      <c r="H122">
        <v>-130.71108217592581</v>
      </c>
      <c r="I122">
        <f t="shared" si="1"/>
        <v>-246.56259408355362</v>
      </c>
    </row>
    <row r="123" spans="1:9">
      <c r="A123" s="1">
        <v>99</v>
      </c>
      <c r="B123" s="1">
        <v>3725.618138027352</v>
      </c>
      <c r="C123" s="1">
        <v>-150.34143085142568</v>
      </c>
      <c r="D123" s="1">
        <v>-1.7977978882466521</v>
      </c>
      <c r="H123">
        <v>-177.97670717592592</v>
      </c>
      <c r="I123">
        <f t="shared" si="1"/>
        <v>-328.31813802735161</v>
      </c>
    </row>
    <row r="124" spans="1:9">
      <c r="A124" s="1">
        <v>100</v>
      </c>
      <c r="B124" s="1">
        <v>3733.8736819711498</v>
      </c>
      <c r="C124" s="1">
        <v>42.009969649220693</v>
      </c>
      <c r="D124" s="1">
        <v>0.50235942476370754</v>
      </c>
      <c r="H124">
        <v>-3.8836516203703066</v>
      </c>
      <c r="I124">
        <f t="shared" si="1"/>
        <v>38.126318028850385</v>
      </c>
    </row>
    <row r="125" spans="1:9">
      <c r="A125" s="1">
        <v>101</v>
      </c>
      <c r="B125" s="1">
        <v>3742.1292259149482</v>
      </c>
      <c r="C125" s="1">
        <v>44.167967372089151</v>
      </c>
      <c r="D125" s="1">
        <v>0.52816497767778103</v>
      </c>
      <c r="H125">
        <v>7.0028067129630491</v>
      </c>
      <c r="I125">
        <f t="shared" si="1"/>
        <v>51.170774085052201</v>
      </c>
    </row>
    <row r="126" spans="1:9">
      <c r="A126" s="1">
        <v>102</v>
      </c>
      <c r="B126" s="1">
        <v>3750.384769858746</v>
      </c>
      <c r="C126" s="1">
        <v>-25.335146016153431</v>
      </c>
      <c r="D126" s="1">
        <v>-0.30296021361718534</v>
      </c>
      <c r="H126">
        <v>128.65037615740735</v>
      </c>
      <c r="I126">
        <f t="shared" si="1"/>
        <v>103.31523014125392</v>
      </c>
    </row>
    <row r="127" spans="1:9">
      <c r="A127" s="1">
        <v>103</v>
      </c>
      <c r="B127" s="1">
        <v>3758.6403138025444</v>
      </c>
      <c r="C127" s="1">
        <v>81.986393373381816</v>
      </c>
      <c r="D127" s="1">
        <v>0.98040150367657219</v>
      </c>
      <c r="H127">
        <v>63.873292824073964</v>
      </c>
      <c r="I127">
        <f t="shared" si="1"/>
        <v>145.85968619745577</v>
      </c>
    </row>
    <row r="128" spans="1:9">
      <c r="A128" s="1">
        <v>104</v>
      </c>
      <c r="B128" s="1">
        <v>3766.8958577463427</v>
      </c>
      <c r="C128" s="1">
        <v>30.906891096250092</v>
      </c>
      <c r="D128" s="1">
        <v>0.36958769934828484</v>
      </c>
      <c r="H128">
        <v>113.39725115740724</v>
      </c>
      <c r="I128">
        <f t="shared" si="1"/>
        <v>144.30414225365735</v>
      </c>
    </row>
    <row r="129" spans="1:9">
      <c r="A129" s="1">
        <v>105</v>
      </c>
      <c r="B129" s="1">
        <v>3775.151401690141</v>
      </c>
      <c r="C129" s="1">
        <v>1.3478749302294091</v>
      </c>
      <c r="D129" s="1">
        <v>1.6118023418187098E-2</v>
      </c>
      <c r="H129">
        <v>56.000723379629449</v>
      </c>
      <c r="I129">
        <f t="shared" si="1"/>
        <v>57.348598309858858</v>
      </c>
    </row>
    <row r="130" spans="1:9">
      <c r="A130" s="1">
        <v>106</v>
      </c>
      <c r="B130" s="1">
        <v>3783.4069456339389</v>
      </c>
      <c r="C130" s="1">
        <v>-103.67780790245706</v>
      </c>
      <c r="D130" s="1">
        <v>-1.2397896112168858</v>
      </c>
      <c r="H130">
        <v>37.670862268518434</v>
      </c>
      <c r="I130">
        <f t="shared" si="1"/>
        <v>-66.006945633938628</v>
      </c>
    </row>
    <row r="131" spans="1:9">
      <c r="A131" s="1">
        <v>107</v>
      </c>
      <c r="B131" s="1">
        <v>3791.6624895777372</v>
      </c>
      <c r="C131" s="1">
        <v>31.054148153744336</v>
      </c>
      <c r="D131" s="1">
        <v>0.37134861399099695</v>
      </c>
      <c r="H131">
        <v>61.883362268518454</v>
      </c>
      <c r="I131">
        <f t="shared" si="1"/>
        <v>92.93751042226279</v>
      </c>
    </row>
    <row r="132" spans="1:9">
      <c r="A132" s="1">
        <v>108</v>
      </c>
      <c r="B132" s="1">
        <v>3799.9180335215356</v>
      </c>
      <c r="C132" s="1">
        <v>-34.615979123387206</v>
      </c>
      <c r="D132" s="1">
        <v>-0.4139413454772608</v>
      </c>
      <c r="H132">
        <v>-64.902054398148081</v>
      </c>
      <c r="I132">
        <f t="shared" si="1"/>
        <v>-99.518033521535287</v>
      </c>
    </row>
    <row r="133" spans="1:9">
      <c r="A133" s="1">
        <v>109</v>
      </c>
      <c r="B133" s="1">
        <v>3808.1735774653334</v>
      </c>
      <c r="C133" s="1">
        <v>9.5316019328142829</v>
      </c>
      <c r="D133" s="1">
        <v>0.113979850593252</v>
      </c>
      <c r="H133">
        <v>-91.005179398147831</v>
      </c>
      <c r="I133">
        <f t="shared" si="1"/>
        <v>-81.473577465333548</v>
      </c>
    </row>
    <row r="134" spans="1:9">
      <c r="A134" s="1">
        <v>110</v>
      </c>
      <c r="B134" s="1">
        <v>3816.4291214091318</v>
      </c>
      <c r="C134" s="1">
        <v>-5.1180392332062183</v>
      </c>
      <c r="D134" s="1">
        <v>-6.1202025771024508E-2</v>
      </c>
      <c r="H134">
        <v>-130.71108217592581</v>
      </c>
      <c r="I134">
        <f t="shared" si="1"/>
        <v>-135.82912140913203</v>
      </c>
    </row>
    <row r="135" spans="1:9">
      <c r="A135" s="1">
        <v>111</v>
      </c>
      <c r="B135" s="1">
        <v>3824.6846653529301</v>
      </c>
      <c r="C135" s="1">
        <v>-155.30795817700391</v>
      </c>
      <c r="D135" s="1">
        <v>-1.8571881194509015</v>
      </c>
      <c r="H135">
        <v>-177.97670717592592</v>
      </c>
      <c r="I135">
        <f t="shared" si="1"/>
        <v>-333.28466535292984</v>
      </c>
    </row>
    <row r="136" spans="1:9">
      <c r="A136" s="1">
        <v>112</v>
      </c>
      <c r="B136" s="1">
        <v>3832.9402092967284</v>
      </c>
      <c r="C136" s="1">
        <v>45.243442323642284</v>
      </c>
      <c r="D136" s="1">
        <v>0.54102561486750655</v>
      </c>
      <c r="H136">
        <v>-3.8836516203703066</v>
      </c>
      <c r="I136">
        <f t="shared" si="1"/>
        <v>41.359790703271976</v>
      </c>
    </row>
    <row r="137" spans="1:9">
      <c r="A137" s="1">
        <v>113</v>
      </c>
      <c r="B137" s="1">
        <v>3841.1957532405263</v>
      </c>
      <c r="C137" s="1">
        <v>82.901440046510743</v>
      </c>
      <c r="D137" s="1">
        <v>0.99134372344448196</v>
      </c>
      <c r="H137">
        <v>7.0028067129630491</v>
      </c>
      <c r="I137">
        <f t="shared" si="1"/>
        <v>89.904246759473793</v>
      </c>
    </row>
    <row r="138" spans="1:9">
      <c r="A138" s="1">
        <v>114</v>
      </c>
      <c r="B138" s="1">
        <v>3849.4512971843246</v>
      </c>
      <c r="C138" s="1">
        <v>-5.1016733417318392</v>
      </c>
      <c r="D138" s="1">
        <v>-6.1006320801574081E-2</v>
      </c>
      <c r="H138">
        <v>128.65037615740735</v>
      </c>
      <c r="I138">
        <f t="shared" si="1"/>
        <v>123.54870281567551</v>
      </c>
    </row>
    <row r="139" spans="1:9">
      <c r="A139" s="1">
        <v>115</v>
      </c>
      <c r="B139" s="1">
        <v>3857.7068411281225</v>
      </c>
      <c r="C139" s="1">
        <v>49.819866047803771</v>
      </c>
      <c r="D139" s="1">
        <v>0.59575094813342566</v>
      </c>
      <c r="H139">
        <v>63.873292824073964</v>
      </c>
      <c r="I139">
        <f t="shared" si="1"/>
        <v>113.69315887187773</v>
      </c>
    </row>
    <row r="140" spans="1:9">
      <c r="A140" s="1">
        <v>116</v>
      </c>
      <c r="B140" s="1">
        <v>3865.9623850719208</v>
      </c>
      <c r="C140" s="1">
        <v>124.2403637706725</v>
      </c>
      <c r="D140" s="1">
        <v>1.4856787138246981</v>
      </c>
      <c r="H140">
        <v>113.39725115740724</v>
      </c>
      <c r="I140">
        <f t="shared" si="1"/>
        <v>237.63761492807976</v>
      </c>
    </row>
    <row r="141" spans="1:9">
      <c r="A141" s="1">
        <v>117</v>
      </c>
      <c r="B141" s="1">
        <v>3874.2179290157192</v>
      </c>
      <c r="C141" s="1">
        <v>15.481347604651091</v>
      </c>
      <c r="D141" s="1">
        <v>0.18512750526073743</v>
      </c>
      <c r="H141">
        <v>56.000723379629449</v>
      </c>
      <c r="I141">
        <f t="shared" si="1"/>
        <v>71.48207098428054</v>
      </c>
    </row>
    <row r="142" spans="1:9">
      <c r="A142" s="1">
        <v>118</v>
      </c>
      <c r="B142" s="1">
        <v>3882.4734729595175</v>
      </c>
      <c r="C142" s="1">
        <v>57.655664771964439</v>
      </c>
      <c r="D142" s="1">
        <v>0.68945221410676516</v>
      </c>
      <c r="H142">
        <v>37.670862268518434</v>
      </c>
      <c r="I142">
        <f t="shared" si="1"/>
        <v>95.326527040482873</v>
      </c>
    </row>
    <row r="143" spans="1:9">
      <c r="A143" s="1">
        <v>119</v>
      </c>
      <c r="B143" s="1">
        <v>3890.7290169033154</v>
      </c>
      <c r="C143" s="1">
        <v>-21.412379171833891</v>
      </c>
      <c r="D143" s="1">
        <v>-0.25605137479037449</v>
      </c>
      <c r="H143">
        <v>61.883362268518454</v>
      </c>
      <c r="I143">
        <f t="shared" si="1"/>
        <v>40.470983096684563</v>
      </c>
    </row>
    <row r="144" spans="1:9">
      <c r="A144" s="1">
        <v>120</v>
      </c>
      <c r="B144" s="1">
        <v>3898.9845608471137</v>
      </c>
      <c r="C144" s="1">
        <v>-37.78250644896525</v>
      </c>
      <c r="D144" s="1">
        <v>-0.45180699639437488</v>
      </c>
      <c r="H144">
        <v>-64.902054398148081</v>
      </c>
      <c r="I144">
        <f t="shared" si="1"/>
        <v>-102.68456084711333</v>
      </c>
    </row>
    <row r="145" spans="1:9">
      <c r="A145" s="1">
        <v>121</v>
      </c>
      <c r="B145" s="1">
        <v>3907.240104790912</v>
      </c>
      <c r="C145" s="1">
        <v>81.065074607236056</v>
      </c>
      <c r="D145" s="1">
        <v>0.96938428159215739</v>
      </c>
      <c r="H145">
        <v>-91.005179398147831</v>
      </c>
      <c r="I145">
        <f t="shared" si="1"/>
        <v>-9.940104790911775</v>
      </c>
    </row>
    <row r="146" spans="1:9">
      <c r="A146" s="1">
        <v>122</v>
      </c>
      <c r="B146" s="1">
        <v>3915.4956487347099</v>
      </c>
      <c r="C146" s="1">
        <v>-98.884566558784172</v>
      </c>
      <c r="D146" s="1">
        <v>-1.1824715511405011</v>
      </c>
      <c r="H146">
        <v>-130.71108217592581</v>
      </c>
      <c r="I146">
        <f t="shared" si="1"/>
        <v>-229.59564873470998</v>
      </c>
    </row>
    <row r="147" spans="1:9">
      <c r="A147" s="1">
        <v>123</v>
      </c>
      <c r="B147" s="1">
        <v>3923.7511926785082</v>
      </c>
      <c r="C147" s="1">
        <v>-58.774485502582138</v>
      </c>
      <c r="D147" s="1">
        <v>-0.70283118446403703</v>
      </c>
      <c r="H147">
        <v>-177.97670717592592</v>
      </c>
      <c r="I147">
        <f t="shared" si="1"/>
        <v>-236.75119267850806</v>
      </c>
    </row>
    <row r="148" spans="1:9">
      <c r="A148" s="1">
        <v>124</v>
      </c>
      <c r="B148" s="1">
        <v>3932.0067366223066</v>
      </c>
      <c r="C148" s="1">
        <v>45.076914998063785</v>
      </c>
      <c r="D148" s="1">
        <v>0.5390342644289422</v>
      </c>
      <c r="H148">
        <v>-3.8836516203703066</v>
      </c>
      <c r="I148">
        <f t="shared" si="1"/>
        <v>41.193263377693476</v>
      </c>
    </row>
    <row r="149" spans="1:9">
      <c r="A149" s="1">
        <v>125</v>
      </c>
      <c r="B149" s="1">
        <v>3940.2622805661049</v>
      </c>
      <c r="C149" s="1">
        <v>34.334912720932152</v>
      </c>
      <c r="D149" s="1">
        <v>0.41058032528522781</v>
      </c>
      <c r="H149">
        <v>7.0028067129630491</v>
      </c>
      <c r="I149">
        <f t="shared" si="1"/>
        <v>41.337719433895202</v>
      </c>
    </row>
    <row r="150" spans="1:9">
      <c r="A150" s="1">
        <v>126</v>
      </c>
      <c r="B150" s="1">
        <v>3948.5178245099028</v>
      </c>
      <c r="C150" s="1">
        <v>-46.568200667310066</v>
      </c>
      <c r="D150" s="1">
        <v>-0.55686720782824362</v>
      </c>
      <c r="H150">
        <v>128.65037615740735</v>
      </c>
      <c r="I150">
        <f t="shared" si="1"/>
        <v>82.082175490097285</v>
      </c>
    </row>
    <row r="151" spans="1:9">
      <c r="A151" s="1">
        <v>127</v>
      </c>
      <c r="B151" s="1">
        <v>3956.7733684537011</v>
      </c>
      <c r="C151" s="1">
        <v>9.9533387222249985</v>
      </c>
      <c r="D151" s="1">
        <v>0.11902302136197904</v>
      </c>
      <c r="H151">
        <v>63.873292824073964</v>
      </c>
      <c r="I151">
        <f t="shared" si="1"/>
        <v>73.826631546298955</v>
      </c>
    </row>
    <row r="152" spans="1:9">
      <c r="A152" s="1">
        <v>128</v>
      </c>
      <c r="B152" s="1">
        <v>3965.028912397499</v>
      </c>
      <c r="C152" s="1">
        <v>69.873836445094184</v>
      </c>
      <c r="D152" s="1">
        <v>0.83555833474024066</v>
      </c>
      <c r="H152">
        <v>113.39725115740724</v>
      </c>
      <c r="I152">
        <f t="shared" si="1"/>
        <v>183.27108760250144</v>
      </c>
    </row>
    <row r="153" spans="1:9">
      <c r="A153" s="1">
        <v>129</v>
      </c>
      <c r="B153" s="1">
        <v>3973.2844563412973</v>
      </c>
      <c r="C153" s="1">
        <v>39.514820279073319</v>
      </c>
      <c r="D153" s="1">
        <v>0.47252217868252605</v>
      </c>
      <c r="H153">
        <v>56.000723379629449</v>
      </c>
      <c r="I153">
        <f t="shared" si="1"/>
        <v>95.515543658702768</v>
      </c>
    </row>
    <row r="154" spans="1:9">
      <c r="A154" s="1">
        <v>130</v>
      </c>
      <c r="B154" s="1">
        <v>3981.5400002850956</v>
      </c>
      <c r="C154" s="1">
        <v>26.489137446385939</v>
      </c>
      <c r="D154" s="1">
        <v>0.3167597587231315</v>
      </c>
      <c r="H154">
        <v>37.670862268518434</v>
      </c>
      <c r="I154">
        <f t="shared" ref="I154:I180" si="2">C154+H154</f>
        <v>64.159999714904373</v>
      </c>
    </row>
    <row r="155" spans="1:9">
      <c r="A155" s="1">
        <v>131</v>
      </c>
      <c r="B155" s="1">
        <v>3989.795544228894</v>
      </c>
      <c r="C155" s="1">
        <v>-8.1789064974122994</v>
      </c>
      <c r="D155" s="1">
        <v>-9.7804183091391786E-2</v>
      </c>
      <c r="H155">
        <v>61.883362268518454</v>
      </c>
      <c r="I155">
        <f t="shared" si="2"/>
        <v>53.704455771106154</v>
      </c>
    </row>
    <row r="156" spans="1:9">
      <c r="A156" s="1">
        <v>132</v>
      </c>
      <c r="B156" s="1">
        <v>3998.0510881726923</v>
      </c>
      <c r="C156" s="1">
        <v>-11.749033774543932</v>
      </c>
      <c r="D156" s="1">
        <v>-0.1404961226535604</v>
      </c>
      <c r="H156">
        <v>-64.902054398148081</v>
      </c>
      <c r="I156">
        <f t="shared" si="2"/>
        <v>-76.651088172692013</v>
      </c>
    </row>
    <row r="157" spans="1:9">
      <c r="A157" s="1">
        <v>133</v>
      </c>
      <c r="B157" s="1">
        <v>4006.3066321164902</v>
      </c>
      <c r="C157" s="1">
        <v>-39.00145271834208</v>
      </c>
      <c r="D157" s="1">
        <v>-0.46638327797265428</v>
      </c>
      <c r="H157">
        <v>-91.005179398147831</v>
      </c>
      <c r="I157">
        <f t="shared" si="2"/>
        <v>-130.00663211648993</v>
      </c>
    </row>
    <row r="158" spans="1:9">
      <c r="A158" s="1">
        <v>134</v>
      </c>
      <c r="B158" s="1">
        <v>4014.562176060288</v>
      </c>
      <c r="C158" s="1">
        <v>44.548906115637692</v>
      </c>
      <c r="D158" s="1">
        <v>0.5327202813277756</v>
      </c>
      <c r="H158">
        <v>-130.71108217592581</v>
      </c>
      <c r="I158">
        <f t="shared" si="2"/>
        <v>-86.162176060288118</v>
      </c>
    </row>
    <row r="159" spans="1:9">
      <c r="A159" s="1">
        <v>135</v>
      </c>
      <c r="B159" s="1">
        <v>4022.8177200040864</v>
      </c>
      <c r="C159" s="1">
        <v>-117.14101282816046</v>
      </c>
      <c r="D159" s="1">
        <v>-1.400783964186568</v>
      </c>
      <c r="H159">
        <v>-177.97670717592592</v>
      </c>
      <c r="I159">
        <f t="shared" si="2"/>
        <v>-295.11772000408638</v>
      </c>
    </row>
    <row r="160" spans="1:9">
      <c r="A160" s="1">
        <v>136</v>
      </c>
      <c r="B160" s="1">
        <v>4031.0732639478847</v>
      </c>
      <c r="C160" s="1">
        <v>17.710387672485922</v>
      </c>
      <c r="D160" s="1">
        <v>0.21178258965148591</v>
      </c>
      <c r="H160">
        <v>-3.8836516203703066</v>
      </c>
      <c r="I160">
        <f t="shared" si="2"/>
        <v>13.826736052115615</v>
      </c>
    </row>
    <row r="161" spans="1:9">
      <c r="A161" s="1">
        <v>137</v>
      </c>
      <c r="B161" s="1">
        <v>4039.328807891683</v>
      </c>
      <c r="C161" s="1">
        <v>22.268385395354017</v>
      </c>
      <c r="D161" s="1">
        <v>0.26628758294839922</v>
      </c>
      <c r="H161">
        <v>7.0028067129630491</v>
      </c>
      <c r="I161">
        <f t="shared" si="2"/>
        <v>29.271192108317067</v>
      </c>
    </row>
    <row r="162" spans="1:9">
      <c r="A162" s="1">
        <v>138</v>
      </c>
      <c r="B162" s="1">
        <v>4047.5843518354814</v>
      </c>
      <c r="C162" s="1">
        <v>63.865272007111344</v>
      </c>
      <c r="D162" s="1">
        <v>0.76370731937592173</v>
      </c>
      <c r="H162">
        <v>128.65037615740735</v>
      </c>
      <c r="I162">
        <f t="shared" si="2"/>
        <v>192.51564816451869</v>
      </c>
    </row>
    <row r="163" spans="1:9">
      <c r="A163" s="1">
        <v>139</v>
      </c>
      <c r="B163" s="1">
        <v>4055.8398957792792</v>
      </c>
      <c r="C163" s="1">
        <v>-67.213188603353046</v>
      </c>
      <c r="D163" s="1">
        <v>-0.80374204135949379</v>
      </c>
      <c r="H163">
        <v>63.873292824073964</v>
      </c>
      <c r="I163">
        <f t="shared" si="2"/>
        <v>-3.3398957792790824</v>
      </c>
    </row>
    <row r="164" spans="1:9">
      <c r="A164" s="1">
        <v>140</v>
      </c>
      <c r="B164" s="1">
        <v>4064.0954397230776</v>
      </c>
      <c r="C164" s="1">
        <v>53.207309119514775</v>
      </c>
      <c r="D164" s="1">
        <v>0.63625833166961243</v>
      </c>
      <c r="H164">
        <v>113.39725115740724</v>
      </c>
      <c r="I164">
        <f t="shared" si="2"/>
        <v>166.60456027692203</v>
      </c>
    </row>
    <row r="165" spans="1:9">
      <c r="A165" s="1">
        <v>141</v>
      </c>
      <c r="B165" s="1">
        <v>4072.3509836668754</v>
      </c>
      <c r="C165" s="1">
        <v>-35.351707046504998</v>
      </c>
      <c r="D165" s="1">
        <v>-0.42273925367205778</v>
      </c>
      <c r="H165">
        <v>56.000723379629449</v>
      </c>
      <c r="I165">
        <f t="shared" si="2"/>
        <v>20.64901633312445</v>
      </c>
    </row>
    <row r="166" spans="1:9">
      <c r="A166" s="1">
        <v>142</v>
      </c>
      <c r="B166" s="1">
        <v>4080.6065276106738</v>
      </c>
      <c r="C166" s="1">
        <v>55.822610120808349</v>
      </c>
      <c r="D166" s="1">
        <v>0.66753236299036967</v>
      </c>
      <c r="H166">
        <v>37.670862268518434</v>
      </c>
      <c r="I166">
        <f t="shared" si="2"/>
        <v>93.493472389326783</v>
      </c>
    </row>
    <row r="167" spans="1:9">
      <c r="A167" s="1">
        <v>143</v>
      </c>
      <c r="B167" s="1">
        <v>4088.8620715544721</v>
      </c>
      <c r="C167" s="1">
        <v>41.554566177009292</v>
      </c>
      <c r="D167" s="1">
        <v>0.49691366443001111</v>
      </c>
      <c r="H167">
        <v>61.883362268518454</v>
      </c>
      <c r="I167">
        <f t="shared" si="2"/>
        <v>103.43792844552775</v>
      </c>
    </row>
    <row r="168" spans="1:9">
      <c r="A168" s="1">
        <v>144</v>
      </c>
      <c r="B168" s="1">
        <v>4097.1176154982704</v>
      </c>
      <c r="C168" s="1">
        <v>-34.11556110012225</v>
      </c>
      <c r="D168" s="1">
        <v>-0.40795729663343028</v>
      </c>
      <c r="H168">
        <v>-64.902054398148081</v>
      </c>
      <c r="I168">
        <f t="shared" si="2"/>
        <v>-99.017615498270331</v>
      </c>
    </row>
    <row r="169" spans="1:9">
      <c r="A169" s="1">
        <v>145</v>
      </c>
      <c r="B169" s="1">
        <v>4105.3731594420688</v>
      </c>
      <c r="C169" s="1">
        <v>101.43201995607888</v>
      </c>
      <c r="D169" s="1">
        <v>1.2129342540170565</v>
      </c>
      <c r="H169">
        <v>-91.005179398147831</v>
      </c>
      <c r="I169">
        <f t="shared" si="2"/>
        <v>10.426840557931044</v>
      </c>
    </row>
    <row r="170" spans="1:9">
      <c r="A170" s="1">
        <v>146</v>
      </c>
      <c r="B170" s="1">
        <v>4113.6287033858662</v>
      </c>
      <c r="C170" s="1">
        <v>65.782378790059738</v>
      </c>
      <c r="D170" s="1">
        <v>0.78663227430291061</v>
      </c>
      <c r="H170">
        <v>-130.71108217592581</v>
      </c>
      <c r="I170">
        <f t="shared" si="2"/>
        <v>-64.928703385866072</v>
      </c>
    </row>
    <row r="171" spans="1:9">
      <c r="A171" s="1">
        <v>147</v>
      </c>
      <c r="B171" s="1">
        <v>4121.8842473296645</v>
      </c>
      <c r="C171" s="1">
        <v>-89.107540153738228</v>
      </c>
      <c r="D171" s="1">
        <v>-1.0655568901267058</v>
      </c>
      <c r="H171">
        <v>-177.97670717592592</v>
      </c>
      <c r="I171">
        <f t="shared" si="2"/>
        <v>-267.08424732966415</v>
      </c>
    </row>
    <row r="172" spans="1:9">
      <c r="A172" s="1">
        <v>148</v>
      </c>
      <c r="B172" s="1">
        <v>4130.1397912734628</v>
      </c>
      <c r="C172" s="1">
        <v>-195.35613965309221</v>
      </c>
      <c r="D172" s="1">
        <v>-2.3360882847485334</v>
      </c>
      <c r="H172">
        <v>-3.8836516203703066</v>
      </c>
      <c r="I172">
        <f t="shared" si="2"/>
        <v>-199.23979127346252</v>
      </c>
    </row>
    <row r="173" spans="1:9">
      <c r="A173" s="1">
        <v>149</v>
      </c>
      <c r="B173" s="1">
        <v>4138.3953352172612</v>
      </c>
      <c r="C173" s="1">
        <v>23.901858069775699</v>
      </c>
      <c r="D173" s="1">
        <v>0.28582081279697003</v>
      </c>
      <c r="H173">
        <v>7.0028067129630491</v>
      </c>
      <c r="I173">
        <f t="shared" si="2"/>
        <v>30.904664782738749</v>
      </c>
    </row>
    <row r="174" spans="1:9">
      <c r="A174" s="1">
        <v>150</v>
      </c>
      <c r="B174" s="1">
        <v>4146.6508791610595</v>
      </c>
      <c r="C174" s="1">
        <v>-204.70125531846679</v>
      </c>
      <c r="D174" s="1">
        <v>-2.4478381138773666</v>
      </c>
      <c r="H174">
        <v>128.65037615740735</v>
      </c>
      <c r="I174">
        <f t="shared" si="2"/>
        <v>-76.050879161059441</v>
      </c>
    </row>
    <row r="175" spans="1:9">
      <c r="A175" s="1">
        <v>151</v>
      </c>
      <c r="B175" s="1">
        <v>4154.9064231048578</v>
      </c>
      <c r="C175" s="1">
        <v>4.7202840710679084</v>
      </c>
      <c r="D175" s="1">
        <v>5.6445629703209134E-2</v>
      </c>
      <c r="H175">
        <v>63.873292824073964</v>
      </c>
      <c r="I175">
        <f t="shared" si="2"/>
        <v>68.593576895141865</v>
      </c>
    </row>
    <row r="176" spans="1:9">
      <c r="A176" s="1">
        <v>152</v>
      </c>
      <c r="B176" s="1">
        <v>4163.1619670486562</v>
      </c>
      <c r="C176" s="1">
        <v>92.740781793936549</v>
      </c>
      <c r="D176" s="1">
        <v>1.1090035575639301</v>
      </c>
      <c r="H176">
        <v>113.39725115740724</v>
      </c>
      <c r="I176">
        <f t="shared" si="2"/>
        <v>206.1380329513438</v>
      </c>
    </row>
    <row r="177" spans="1:9">
      <c r="A177" s="1">
        <v>153</v>
      </c>
      <c r="B177" s="1">
        <v>4171.4175109924545</v>
      </c>
      <c r="C177" s="1">
        <v>-114.81823437208368</v>
      </c>
      <c r="D177" s="1">
        <v>-1.3730079467604304</v>
      </c>
      <c r="H177">
        <v>56.000723379629449</v>
      </c>
      <c r="I177">
        <f t="shared" si="2"/>
        <v>-58.817510992454231</v>
      </c>
    </row>
    <row r="178" spans="1:9">
      <c r="A178" s="1">
        <v>154</v>
      </c>
      <c r="B178" s="1">
        <v>4179.6730549362519</v>
      </c>
      <c r="C178" s="1">
        <v>-51.743917204769787</v>
      </c>
      <c r="D178" s="1">
        <v>-0.61875894458046243</v>
      </c>
      <c r="H178">
        <v>37.670862268518434</v>
      </c>
      <c r="I178">
        <f t="shared" si="2"/>
        <v>-14.073054936251353</v>
      </c>
    </row>
    <row r="179" spans="1:9">
      <c r="A179" s="1">
        <v>155</v>
      </c>
      <c r="B179" s="1">
        <v>4187.9285988800502</v>
      </c>
      <c r="C179" s="1">
        <v>-37.211961148568662</v>
      </c>
      <c r="D179" s="1">
        <v>-0.44498435854669</v>
      </c>
      <c r="H179">
        <v>61.883362268518454</v>
      </c>
      <c r="I179">
        <f t="shared" si="2"/>
        <v>24.671401119949792</v>
      </c>
    </row>
    <row r="180" spans="1:9" ht="16" thickBot="1">
      <c r="A180" s="2">
        <v>156</v>
      </c>
      <c r="B180" s="2">
        <v>4196.1841428238486</v>
      </c>
      <c r="C180" s="2">
        <v>32.217911574299251</v>
      </c>
      <c r="D180" s="2">
        <v>0.38526501353597631</v>
      </c>
      <c r="H180">
        <v>-64.902054398148081</v>
      </c>
      <c r="I180">
        <f t="shared" si="2"/>
        <v>-32.684142823848831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0A580-081C-4332-9C24-D36B6843EB9E}">
  <sheetPr codeName="Sheet4"/>
  <dimension ref="A1:AF157"/>
  <sheetViews>
    <sheetView topLeftCell="I1" workbookViewId="0">
      <selection activeCell="P3" sqref="P3"/>
    </sheetView>
  </sheetViews>
  <sheetFormatPr baseColWidth="10" defaultColWidth="8.83203125" defaultRowHeight="15"/>
  <cols>
    <col min="1" max="1" width="4.5" bestFit="1" customWidth="1"/>
    <col min="2" max="2" width="3.83203125" bestFit="1" customWidth="1"/>
    <col min="3" max="3" width="7.6640625" bestFit="1" customWidth="1"/>
    <col min="4" max="4" width="16.6640625" bestFit="1" customWidth="1"/>
    <col min="6" max="6" width="14.33203125" bestFit="1" customWidth="1"/>
    <col min="7" max="7" width="11.83203125" bestFit="1" customWidth="1"/>
    <col min="8" max="9" width="12.5" bestFit="1" customWidth="1"/>
    <col min="10" max="11" width="11.83203125" customWidth="1"/>
    <col min="12" max="12" width="17.5" bestFit="1" customWidth="1"/>
    <col min="13" max="16" width="11.83203125" bestFit="1" customWidth="1"/>
    <col min="18" max="18" width="4.5" bestFit="1" customWidth="1"/>
    <col min="19" max="31" width="12.5" bestFit="1" customWidth="1"/>
    <col min="32" max="32" width="8.5" bestFit="1" customWidth="1"/>
  </cols>
  <sheetData>
    <row r="1" spans="1:32">
      <c r="A1" t="s">
        <v>162</v>
      </c>
      <c r="C1" t="s">
        <v>158</v>
      </c>
      <c r="D1" t="s">
        <v>0</v>
      </c>
      <c r="F1" t="s">
        <v>159</v>
      </c>
      <c r="G1" t="s">
        <v>160</v>
      </c>
      <c r="H1" t="s">
        <v>265</v>
      </c>
      <c r="I1" t="s">
        <v>265</v>
      </c>
      <c r="J1" t="s">
        <v>188</v>
      </c>
      <c r="K1" t="s">
        <v>319</v>
      </c>
      <c r="L1" t="s">
        <v>320</v>
      </c>
      <c r="M1" t="s">
        <v>268</v>
      </c>
      <c r="N1" t="s">
        <v>269</v>
      </c>
      <c r="O1" t="s">
        <v>219</v>
      </c>
      <c r="P1" t="s">
        <v>220</v>
      </c>
      <c r="S1" t="s">
        <v>161</v>
      </c>
      <c r="T1" t="s">
        <v>163</v>
      </c>
      <c r="U1" t="s">
        <v>164</v>
      </c>
      <c r="V1" t="s">
        <v>165</v>
      </c>
      <c r="W1" t="s">
        <v>166</v>
      </c>
      <c r="X1" t="s">
        <v>167</v>
      </c>
      <c r="Y1" t="s">
        <v>168</v>
      </c>
      <c r="Z1" t="s">
        <v>169</v>
      </c>
      <c r="AA1" t="s">
        <v>170</v>
      </c>
      <c r="AB1" t="s">
        <v>171</v>
      </c>
      <c r="AC1" t="s">
        <v>172</v>
      </c>
      <c r="AD1" t="s">
        <v>173</v>
      </c>
      <c r="AE1" t="s">
        <v>186</v>
      </c>
      <c r="AF1" t="s">
        <v>188</v>
      </c>
    </row>
    <row r="2" spans="1:32">
      <c r="A2">
        <v>1</v>
      </c>
      <c r="B2">
        <v>1</v>
      </c>
      <c r="C2">
        <v>1</v>
      </c>
      <c r="D2">
        <v>2796.8</v>
      </c>
      <c r="J2">
        <v>-91.005179398147831</v>
      </c>
      <c r="K2">
        <f t="shared" ref="K2:K33" si="0">D2-J2</f>
        <v>2887.8051793981481</v>
      </c>
      <c r="L2">
        <f>2908+8.25*B2</f>
        <v>2916.25</v>
      </c>
      <c r="M2">
        <f>L2+J2</f>
        <v>2825.2448206018521</v>
      </c>
      <c r="N2">
        <f t="shared" ref="N2:N33" si="1">D2-M2</f>
        <v>-28.444820601851916</v>
      </c>
      <c r="R2" t="s">
        <v>174</v>
      </c>
      <c r="S2">
        <v>-40.099999999999454</v>
      </c>
      <c r="T2">
        <v>28.474999999999909</v>
      </c>
      <c r="U2">
        <v>-87.308333333332939</v>
      </c>
      <c r="V2">
        <v>-183.08333333333348</v>
      </c>
      <c r="W2">
        <v>-183.20833333333258</v>
      </c>
      <c r="X2">
        <v>-84.116666666666333</v>
      </c>
      <c r="Y2">
        <v>-217.13749999999982</v>
      </c>
      <c r="Z2">
        <v>-10.679166666666333</v>
      </c>
      <c r="AA2">
        <f t="shared" ref="AA2:AA7" si="2">W2-Z2</f>
        <v>-172.52916666666624</v>
      </c>
      <c r="AB2">
        <v>-20.299999999999272</v>
      </c>
      <c r="AC2">
        <v>-136.63749999999982</v>
      </c>
      <c r="AD2">
        <v>31.108333333333121</v>
      </c>
      <c r="AE2">
        <f t="shared" ref="AE2:AE13" si="3">AVERAGE(S2:AD2)</f>
        <v>-89.626388888888599</v>
      </c>
      <c r="AF2">
        <f>AE2-$AE$17</f>
        <v>-91.005179398147831</v>
      </c>
    </row>
    <row r="3" spans="1:32">
      <c r="B3">
        <v>2</v>
      </c>
      <c r="C3">
        <v>2</v>
      </c>
      <c r="D3">
        <v>2791</v>
      </c>
      <c r="J3">
        <v>-130.71108217592581</v>
      </c>
      <c r="K3">
        <f t="shared" si="0"/>
        <v>2921.7110821759256</v>
      </c>
      <c r="L3">
        <f t="shared" ref="L3:L66" si="4">2908+8.25*B3</f>
        <v>2924.5</v>
      </c>
      <c r="M3">
        <f t="shared" ref="M3:M66" si="5">L3+J3</f>
        <v>2793.7889178240744</v>
      </c>
      <c r="N3">
        <f t="shared" si="1"/>
        <v>-2.7889178240743604</v>
      </c>
      <c r="O3">
        <f>AVERAGE(N2:N4)</f>
        <v>-10.602343750000122</v>
      </c>
      <c r="P3">
        <f>N3-O3</f>
        <v>7.8134259259257615</v>
      </c>
      <c r="R3" t="s">
        <v>175</v>
      </c>
      <c r="S3">
        <v>-134.67083333333312</v>
      </c>
      <c r="T3">
        <v>-211.60833333333312</v>
      </c>
      <c r="U3">
        <v>-70.004166666666606</v>
      </c>
      <c r="V3">
        <v>-193.02499999999964</v>
      </c>
      <c r="W3">
        <v>-156.35833333333312</v>
      </c>
      <c r="X3">
        <v>-141.38749999999982</v>
      </c>
      <c r="Y3">
        <v>-114.77083333333348</v>
      </c>
      <c r="Z3">
        <v>-259.64583333333258</v>
      </c>
      <c r="AA3">
        <f t="shared" si="2"/>
        <v>103.28749999999945</v>
      </c>
      <c r="AB3">
        <v>-236.02916666666624</v>
      </c>
      <c r="AC3">
        <v>-88.883333333333212</v>
      </c>
      <c r="AD3">
        <v>-48.891666666667334</v>
      </c>
      <c r="AE3">
        <f t="shared" si="3"/>
        <v>-129.33229166666658</v>
      </c>
      <c r="AF3">
        <f t="shared" ref="AF3:AF13" si="6">AE3-$AE$17</f>
        <v>-130.71108217592581</v>
      </c>
    </row>
    <row r="4" spans="1:32">
      <c r="B4">
        <v>3</v>
      </c>
      <c r="C4">
        <v>3</v>
      </c>
      <c r="D4">
        <v>2754.2</v>
      </c>
      <c r="J4">
        <v>-177.97670717592592</v>
      </c>
      <c r="K4">
        <f t="shared" si="0"/>
        <v>2932.1767071759259</v>
      </c>
      <c r="L4">
        <f t="shared" si="4"/>
        <v>2932.75</v>
      </c>
      <c r="M4">
        <f t="shared" si="5"/>
        <v>2754.7732928240739</v>
      </c>
      <c r="N4">
        <f t="shared" si="1"/>
        <v>-0.57329282407408755</v>
      </c>
      <c r="O4">
        <f t="shared" ref="O4:O67" si="7">AVERAGE(N3:N5)</f>
        <v>9.4071469907406335</v>
      </c>
      <c r="P4">
        <f t="shared" ref="P4:P67" si="8">N4-O4</f>
        <v>-9.9804398148147211</v>
      </c>
      <c r="R4" t="s">
        <v>176</v>
      </c>
      <c r="S4">
        <v>-137.59166666666624</v>
      </c>
      <c r="T4">
        <v>-135.79166666666606</v>
      </c>
      <c r="U4">
        <v>-252.10416666666697</v>
      </c>
      <c r="V4">
        <v>-274.25833333333276</v>
      </c>
      <c r="W4">
        <v>-40.3125</v>
      </c>
      <c r="X4">
        <v>-276.33333333333303</v>
      </c>
      <c r="Y4">
        <v>-177.14166666666688</v>
      </c>
      <c r="Z4">
        <v>-334.86249999999927</v>
      </c>
      <c r="AA4">
        <f t="shared" si="2"/>
        <v>294.54999999999927</v>
      </c>
      <c r="AB4">
        <v>-241.92083333333358</v>
      </c>
      <c r="AC4">
        <v>-294.02500000000055</v>
      </c>
      <c r="AD4">
        <v>-249.38333333333412</v>
      </c>
      <c r="AE4">
        <f t="shared" si="3"/>
        <v>-176.59791666666669</v>
      </c>
      <c r="AF4">
        <f t="shared" si="6"/>
        <v>-177.97670717592592</v>
      </c>
    </row>
    <row r="5" spans="1:32">
      <c r="B5">
        <v>4</v>
      </c>
      <c r="C5">
        <v>4</v>
      </c>
      <c r="D5">
        <v>2968.7</v>
      </c>
      <c r="J5">
        <v>-3.8836516203703066</v>
      </c>
      <c r="K5">
        <f t="shared" si="0"/>
        <v>2972.5836516203703</v>
      </c>
      <c r="L5">
        <f t="shared" si="4"/>
        <v>2941</v>
      </c>
      <c r="M5">
        <f t="shared" si="5"/>
        <v>2937.1163483796295</v>
      </c>
      <c r="N5">
        <f t="shared" si="1"/>
        <v>31.583651620370347</v>
      </c>
      <c r="O5">
        <f t="shared" si="7"/>
        <v>10.685850694444525</v>
      </c>
      <c r="P5">
        <f t="shared" si="8"/>
        <v>20.897800925925822</v>
      </c>
      <c r="R5" t="s">
        <v>177</v>
      </c>
      <c r="S5">
        <v>-18.899999999999636</v>
      </c>
      <c r="T5">
        <v>-15.129166666666606</v>
      </c>
      <c r="U5">
        <v>38.345833333333758</v>
      </c>
      <c r="V5">
        <v>-104.72499999999945</v>
      </c>
      <c r="W5">
        <v>117.24166666666679</v>
      </c>
      <c r="X5">
        <v>-103.84583333333376</v>
      </c>
      <c r="Y5">
        <v>60.320833333333212</v>
      </c>
      <c r="Z5">
        <v>39.820833333333667</v>
      </c>
      <c r="AA5">
        <f t="shared" si="2"/>
        <v>77.420833333333121</v>
      </c>
      <c r="AB5">
        <v>36.320833333332757</v>
      </c>
      <c r="AC5">
        <v>16.816666666667061</v>
      </c>
      <c r="AD5">
        <v>-173.74583333333385</v>
      </c>
      <c r="AE5">
        <f t="shared" si="3"/>
        <v>-2.5048611111110781</v>
      </c>
      <c r="AF5">
        <f t="shared" si="6"/>
        <v>-3.8836516203703066</v>
      </c>
    </row>
    <row r="6" spans="1:32">
      <c r="B6">
        <v>5</v>
      </c>
      <c r="C6">
        <v>5</v>
      </c>
      <c r="D6">
        <v>2957.3</v>
      </c>
      <c r="J6">
        <v>7.0028067129630491</v>
      </c>
      <c r="K6">
        <f t="shared" si="0"/>
        <v>2950.2971932870373</v>
      </c>
      <c r="L6">
        <f t="shared" si="4"/>
        <v>2949.25</v>
      </c>
      <c r="M6">
        <f t="shared" si="5"/>
        <v>2956.2528067129629</v>
      </c>
      <c r="N6">
        <f t="shared" si="1"/>
        <v>1.0471932870373166</v>
      </c>
      <c r="O6">
        <f t="shared" si="7"/>
        <v>14.626822916666848</v>
      </c>
      <c r="P6">
        <f t="shared" si="8"/>
        <v>-13.579629629629531</v>
      </c>
      <c r="R6" t="s">
        <v>178</v>
      </c>
      <c r="S6">
        <v>39.633333333333667</v>
      </c>
      <c r="T6">
        <v>92.462500000000091</v>
      </c>
      <c r="U6">
        <v>30.295833333333576</v>
      </c>
      <c r="V6">
        <v>-161.05416666666633</v>
      </c>
      <c r="W6">
        <v>-5.904166666666697</v>
      </c>
      <c r="X6">
        <v>-45.441666666667516</v>
      </c>
      <c r="Y6">
        <v>26.150000000000091</v>
      </c>
      <c r="Z6">
        <v>56.391666666666879</v>
      </c>
      <c r="AA6">
        <f t="shared" si="2"/>
        <v>-62.295833333333576</v>
      </c>
      <c r="AB6">
        <v>37.212500000000091</v>
      </c>
      <c r="AC6">
        <v>28.966666666666697</v>
      </c>
      <c r="AD6">
        <v>64.162500000000364</v>
      </c>
      <c r="AE6">
        <f t="shared" si="3"/>
        <v>8.3815972222222772</v>
      </c>
      <c r="AF6">
        <f t="shared" si="6"/>
        <v>7.0028067129630491</v>
      </c>
    </row>
    <row r="7" spans="1:32">
      <c r="B7">
        <v>6</v>
      </c>
      <c r="C7">
        <v>6</v>
      </c>
      <c r="D7">
        <v>3097.4</v>
      </c>
      <c r="J7">
        <v>128.65037615740735</v>
      </c>
      <c r="K7">
        <f t="shared" si="0"/>
        <v>2968.7496238425929</v>
      </c>
      <c r="L7">
        <f t="shared" si="4"/>
        <v>2957.5</v>
      </c>
      <c r="M7">
        <f t="shared" si="5"/>
        <v>3086.1503761574072</v>
      </c>
      <c r="N7">
        <f t="shared" si="1"/>
        <v>11.249623842592882</v>
      </c>
      <c r="O7">
        <f t="shared" si="7"/>
        <v>-7.4754918981478413</v>
      </c>
      <c r="P7">
        <f t="shared" si="8"/>
        <v>18.725115740740723</v>
      </c>
      <c r="R7" t="s">
        <v>179</v>
      </c>
      <c r="S7">
        <v>121.04583333333312</v>
      </c>
      <c r="T7">
        <v>33.741666666666788</v>
      </c>
      <c r="U7">
        <v>149.67500000000018</v>
      </c>
      <c r="V7">
        <v>197.2791666666667</v>
      </c>
      <c r="W7">
        <v>210.67083333333267</v>
      </c>
      <c r="X7">
        <v>268.21249999999964</v>
      </c>
      <c r="Y7">
        <v>143.9375</v>
      </c>
      <c r="Z7">
        <v>110.04166666666606</v>
      </c>
      <c r="AA7">
        <f t="shared" si="2"/>
        <v>100.62916666666661</v>
      </c>
      <c r="AB7">
        <v>76.320833333333667</v>
      </c>
      <c r="AC7">
        <v>191.07083333333367</v>
      </c>
      <c r="AD7">
        <v>-42.275000000000091</v>
      </c>
      <c r="AE7">
        <f t="shared" si="3"/>
        <v>130.02916666666658</v>
      </c>
      <c r="AF7">
        <f t="shared" si="6"/>
        <v>128.65037615740735</v>
      </c>
    </row>
    <row r="8" spans="1:32">
      <c r="B8">
        <v>7</v>
      </c>
      <c r="C8">
        <v>7</v>
      </c>
      <c r="D8">
        <v>2994.9</v>
      </c>
      <c r="F8">
        <f t="shared" ref="F8:F39" si="9">AVERAGE(D2:D13)</f>
        <v>2957.4333333333338</v>
      </c>
      <c r="G8">
        <f>AVERAGE(F8:F9)</f>
        <v>2964.8708333333334</v>
      </c>
      <c r="H8">
        <f>D8-G8</f>
        <v>30.029166666666697</v>
      </c>
      <c r="I8">
        <v>30.029166666666697</v>
      </c>
      <c r="J8">
        <v>63.873292824073964</v>
      </c>
      <c r="K8">
        <f t="shared" si="0"/>
        <v>2931.0267071759263</v>
      </c>
      <c r="L8">
        <f t="shared" si="4"/>
        <v>2965.75</v>
      </c>
      <c r="M8">
        <f t="shared" si="5"/>
        <v>3029.6232928240738</v>
      </c>
      <c r="N8">
        <f t="shared" si="1"/>
        <v>-34.723292824073724</v>
      </c>
      <c r="O8">
        <f t="shared" si="7"/>
        <v>1.8763599537040438</v>
      </c>
      <c r="P8">
        <f t="shared" si="8"/>
        <v>-36.59965277777777</v>
      </c>
      <c r="R8" t="s">
        <v>180</v>
      </c>
      <c r="S8">
        <v>30.029166666666697</v>
      </c>
      <c r="T8">
        <v>-67.27083333333394</v>
      </c>
      <c r="U8">
        <v>97.508333333333212</v>
      </c>
      <c r="V8">
        <v>125.57083333333367</v>
      </c>
      <c r="W8">
        <v>168.99166666666633</v>
      </c>
      <c r="X8">
        <v>41.237499999999272</v>
      </c>
      <c r="Y8">
        <v>58.320833333333667</v>
      </c>
      <c r="Z8">
        <v>40.220833333333303</v>
      </c>
      <c r="AA8">
        <f t="shared" ref="AA8:AA13" si="10">W8-Z8</f>
        <v>128.77083333333303</v>
      </c>
      <c r="AB8">
        <v>97.366666666666788</v>
      </c>
      <c r="AC8">
        <v>71.983333333333121</v>
      </c>
      <c r="AD8">
        <v>-9.7041666666668789</v>
      </c>
      <c r="AE8">
        <f t="shared" si="3"/>
        <v>65.252083333333189</v>
      </c>
      <c r="AF8">
        <f t="shared" si="6"/>
        <v>63.873292824073964</v>
      </c>
    </row>
    <row r="9" spans="1:32">
      <c r="B9">
        <v>8</v>
      </c>
      <c r="C9">
        <v>8</v>
      </c>
      <c r="D9">
        <v>3116.5</v>
      </c>
      <c r="F9">
        <f t="shared" si="9"/>
        <v>2972.3083333333329</v>
      </c>
      <c r="G9">
        <f t="shared" ref="G9:G72" si="11">AVERAGE(F9:F10)</f>
        <v>2976.3249999999998</v>
      </c>
      <c r="H9">
        <f t="shared" ref="H9:H72" si="12">D9-G9</f>
        <v>140.17500000000018</v>
      </c>
      <c r="I9">
        <v>140.17500000000018</v>
      </c>
      <c r="J9">
        <v>113.39725115740724</v>
      </c>
      <c r="K9">
        <f t="shared" si="0"/>
        <v>3003.102748842593</v>
      </c>
      <c r="L9">
        <f t="shared" si="4"/>
        <v>2974</v>
      </c>
      <c r="M9">
        <f t="shared" si="5"/>
        <v>3087.397251157407</v>
      </c>
      <c r="N9">
        <f t="shared" si="1"/>
        <v>29.102748842592973</v>
      </c>
      <c r="O9">
        <f t="shared" si="7"/>
        <v>-2.0237557870367104</v>
      </c>
      <c r="P9">
        <f t="shared" si="8"/>
        <v>31.126504629629682</v>
      </c>
      <c r="R9" t="s">
        <v>181</v>
      </c>
      <c r="S9">
        <v>140.17500000000018</v>
      </c>
      <c r="T9">
        <v>179.13333333333321</v>
      </c>
      <c r="U9">
        <v>77.216666666666697</v>
      </c>
      <c r="V9">
        <v>-54.108333333333121</v>
      </c>
      <c r="W9">
        <v>75.954166666666424</v>
      </c>
      <c r="X9">
        <v>55.749999999999545</v>
      </c>
      <c r="Y9">
        <v>271.04166666666606</v>
      </c>
      <c r="Z9">
        <v>163.22916666666697</v>
      </c>
      <c r="AA9">
        <f t="shared" si="10"/>
        <v>-87.275000000000546</v>
      </c>
      <c r="AB9">
        <v>222.23750000000018</v>
      </c>
      <c r="AC9">
        <v>180.45416666666642</v>
      </c>
      <c r="AD9">
        <v>153.5041666666657</v>
      </c>
      <c r="AE9">
        <f t="shared" si="3"/>
        <v>114.77604166666647</v>
      </c>
      <c r="AF9">
        <f t="shared" si="6"/>
        <v>113.39725115740724</v>
      </c>
    </row>
    <row r="10" spans="1:32">
      <c r="B10">
        <v>9</v>
      </c>
      <c r="C10">
        <v>9</v>
      </c>
      <c r="D10">
        <v>3037.8</v>
      </c>
      <c r="F10">
        <f t="shared" si="9"/>
        <v>2980.3416666666667</v>
      </c>
      <c r="G10">
        <f t="shared" si="11"/>
        <v>2986.1583333333333</v>
      </c>
      <c r="H10">
        <f t="shared" si="12"/>
        <v>51.641666666666879</v>
      </c>
      <c r="I10">
        <v>51.641666666666879</v>
      </c>
      <c r="J10">
        <v>56.000723379629449</v>
      </c>
      <c r="K10">
        <f t="shared" si="0"/>
        <v>2981.7992766203706</v>
      </c>
      <c r="L10">
        <f t="shared" si="4"/>
        <v>2982.25</v>
      </c>
      <c r="M10">
        <f t="shared" si="5"/>
        <v>3038.2507233796296</v>
      </c>
      <c r="N10">
        <f t="shared" si="1"/>
        <v>-0.45072337962938036</v>
      </c>
      <c r="O10">
        <f t="shared" si="7"/>
        <v>-27.606278935184946</v>
      </c>
      <c r="P10">
        <f t="shared" si="8"/>
        <v>27.155555555555566</v>
      </c>
      <c r="R10" t="s">
        <v>182</v>
      </c>
      <c r="S10">
        <v>51.641666666666879</v>
      </c>
      <c r="T10">
        <v>21.79166666666606</v>
      </c>
      <c r="U10">
        <v>-2.5499999999992724</v>
      </c>
      <c r="V10">
        <v>160.35416666666606</v>
      </c>
      <c r="W10">
        <v>96.795833333333121</v>
      </c>
      <c r="X10">
        <v>8.9333333333329392</v>
      </c>
      <c r="Y10">
        <v>104.17500000000018</v>
      </c>
      <c r="Z10">
        <v>132.02916666666624</v>
      </c>
      <c r="AA10">
        <f t="shared" si="10"/>
        <v>-35.233333333333121</v>
      </c>
      <c r="AB10">
        <v>55.966666666666242</v>
      </c>
      <c r="AC10">
        <v>89.154166666666242</v>
      </c>
      <c r="AD10">
        <v>5.4958333333324845</v>
      </c>
      <c r="AE10">
        <f t="shared" si="3"/>
        <v>57.379513888888674</v>
      </c>
      <c r="AF10">
        <f t="shared" si="6"/>
        <v>56.000723379629449</v>
      </c>
    </row>
    <row r="11" spans="1:32">
      <c r="B11">
        <v>10</v>
      </c>
      <c r="C11">
        <v>10</v>
      </c>
      <c r="D11">
        <v>2916.7</v>
      </c>
      <c r="F11">
        <f t="shared" si="9"/>
        <v>2991.9749999999999</v>
      </c>
      <c r="G11">
        <f t="shared" si="11"/>
        <v>2994.2624999999998</v>
      </c>
      <c r="H11">
        <f t="shared" si="12"/>
        <v>-77.5625</v>
      </c>
      <c r="I11">
        <v>-77.5625</v>
      </c>
      <c r="J11">
        <v>37.670862268518434</v>
      </c>
      <c r="K11">
        <f t="shared" si="0"/>
        <v>2879.0291377314816</v>
      </c>
      <c r="L11">
        <f t="shared" si="4"/>
        <v>2990.5</v>
      </c>
      <c r="M11">
        <f t="shared" si="5"/>
        <v>3028.1708622685182</v>
      </c>
      <c r="N11">
        <f t="shared" si="1"/>
        <v>-111.47086226851843</v>
      </c>
      <c r="O11">
        <f t="shared" si="7"/>
        <v>-5.3183159722220807</v>
      </c>
      <c r="P11">
        <f t="shared" si="8"/>
        <v>-106.15254629629635</v>
      </c>
      <c r="R11" t="s">
        <v>183</v>
      </c>
      <c r="S11">
        <v>-77.5625</v>
      </c>
      <c r="T11">
        <v>4.4166666666660603</v>
      </c>
      <c r="U11">
        <v>55.375</v>
      </c>
      <c r="V11">
        <v>153.82083333333276</v>
      </c>
      <c r="W11">
        <v>79.97916666666697</v>
      </c>
      <c r="X11">
        <v>-23.125000000000455</v>
      </c>
      <c r="Y11">
        <v>-27.504166666666606</v>
      </c>
      <c r="Z11">
        <v>15.504166666666606</v>
      </c>
      <c r="AA11">
        <f t="shared" si="10"/>
        <v>64.475000000000364</v>
      </c>
      <c r="AB11">
        <v>75.795833333333576</v>
      </c>
      <c r="AC11">
        <v>61.370833333332939</v>
      </c>
      <c r="AD11">
        <v>86.049999999999727</v>
      </c>
      <c r="AE11">
        <f t="shared" si="3"/>
        <v>39.049652777777659</v>
      </c>
      <c r="AF11">
        <f t="shared" si="6"/>
        <v>37.670862268518434</v>
      </c>
    </row>
    <row r="12" spans="1:32">
      <c r="B12">
        <v>11</v>
      </c>
      <c r="C12">
        <v>11</v>
      </c>
      <c r="D12">
        <v>3156.6</v>
      </c>
      <c r="F12">
        <f t="shared" si="9"/>
        <v>2996.5499999999997</v>
      </c>
      <c r="G12">
        <f t="shared" si="11"/>
        <v>3002.1833333333329</v>
      </c>
      <c r="H12">
        <f t="shared" si="12"/>
        <v>154.41666666666697</v>
      </c>
      <c r="I12">
        <v>154.41666666666697</v>
      </c>
      <c r="J12">
        <v>61.883362268518454</v>
      </c>
      <c r="K12">
        <f t="shared" si="0"/>
        <v>3094.7166377314816</v>
      </c>
      <c r="L12">
        <f t="shared" si="4"/>
        <v>2998.75</v>
      </c>
      <c r="M12">
        <f t="shared" si="5"/>
        <v>3060.6333622685183</v>
      </c>
      <c r="N12">
        <f t="shared" si="1"/>
        <v>95.966637731481569</v>
      </c>
      <c r="O12">
        <f t="shared" si="7"/>
        <v>-18.767390046296139</v>
      </c>
      <c r="P12">
        <f t="shared" si="8"/>
        <v>114.73402777777771</v>
      </c>
      <c r="R12" t="s">
        <v>184</v>
      </c>
      <c r="S12">
        <v>154.41666666666697</v>
      </c>
      <c r="T12">
        <v>99.608333333333121</v>
      </c>
      <c r="U12">
        <v>159.12916666666615</v>
      </c>
      <c r="V12">
        <v>55.012499999999818</v>
      </c>
      <c r="W12">
        <v>2.470833333333303</v>
      </c>
      <c r="X12">
        <v>77.499999999999545</v>
      </c>
      <c r="Y12">
        <v>28.204166666666424</v>
      </c>
      <c r="Z12">
        <v>64.658333333332848</v>
      </c>
      <c r="AA12">
        <f t="shared" si="10"/>
        <v>-62.187499999999545</v>
      </c>
      <c r="AB12">
        <v>22.970833333333758</v>
      </c>
      <c r="AC12">
        <v>52.558333333333394</v>
      </c>
      <c r="AD12">
        <v>104.80416666666633</v>
      </c>
      <c r="AE12">
        <f t="shared" si="3"/>
        <v>63.262152777777679</v>
      </c>
      <c r="AF12">
        <f t="shared" si="6"/>
        <v>61.883362268518454</v>
      </c>
    </row>
    <row r="13" spans="1:32">
      <c r="B13">
        <v>12</v>
      </c>
      <c r="C13">
        <v>12</v>
      </c>
      <c r="D13">
        <v>2901.3</v>
      </c>
      <c r="F13">
        <f t="shared" si="9"/>
        <v>3007.8166666666662</v>
      </c>
      <c r="G13">
        <f t="shared" si="11"/>
        <v>3011.3458333333328</v>
      </c>
      <c r="H13">
        <f t="shared" si="12"/>
        <v>-110.04583333333267</v>
      </c>
      <c r="I13">
        <v>-110.04583333333267</v>
      </c>
      <c r="J13">
        <v>-64.902054398148081</v>
      </c>
      <c r="K13">
        <f t="shared" si="0"/>
        <v>2966.2020543981484</v>
      </c>
      <c r="L13">
        <f t="shared" si="4"/>
        <v>3007</v>
      </c>
      <c r="M13">
        <f t="shared" si="5"/>
        <v>2942.0979456018517</v>
      </c>
      <c r="N13">
        <f t="shared" si="1"/>
        <v>-40.797945601851552</v>
      </c>
      <c r="O13">
        <f t="shared" si="7"/>
        <v>35.407957175926036</v>
      </c>
      <c r="P13">
        <f t="shared" si="8"/>
        <v>-76.205902777777595</v>
      </c>
      <c r="R13" t="s">
        <v>185</v>
      </c>
      <c r="S13">
        <v>-110.04583333333267</v>
      </c>
      <c r="T13">
        <v>-85.116666666666788</v>
      </c>
      <c r="U13">
        <v>-107.35833333333358</v>
      </c>
      <c r="V13">
        <v>-6.6541666666671517</v>
      </c>
      <c r="W13">
        <v>-62.229166666666515</v>
      </c>
      <c r="X13">
        <v>110.19999999999982</v>
      </c>
      <c r="Y13">
        <v>-153.98750000000018</v>
      </c>
      <c r="Z13">
        <v>-62.454166666666424</v>
      </c>
      <c r="AA13">
        <f t="shared" si="10"/>
        <v>0.22499999999990905</v>
      </c>
      <c r="AB13">
        <v>-116.43333333333248</v>
      </c>
      <c r="AC13">
        <v>-81.89583333333303</v>
      </c>
      <c r="AD13">
        <v>-86.529166666667152</v>
      </c>
      <c r="AE13">
        <f t="shared" si="3"/>
        <v>-63.523263888888856</v>
      </c>
      <c r="AF13">
        <f t="shared" si="6"/>
        <v>-64.902054398148081</v>
      </c>
    </row>
    <row r="14" spans="1:32">
      <c r="A14">
        <v>2</v>
      </c>
      <c r="B14">
        <v>13</v>
      </c>
      <c r="C14">
        <v>1</v>
      </c>
      <c r="D14">
        <v>2975.3</v>
      </c>
      <c r="F14">
        <f t="shared" si="9"/>
        <v>3014.875</v>
      </c>
      <c r="G14">
        <f t="shared" si="11"/>
        <v>3015.3999999999996</v>
      </c>
      <c r="H14">
        <f t="shared" si="12"/>
        <v>-40.099999999999454</v>
      </c>
      <c r="I14">
        <v>-40.099999999999454</v>
      </c>
      <c r="J14">
        <v>-91.005179398147831</v>
      </c>
      <c r="K14">
        <f t="shared" si="0"/>
        <v>3066.3051793981481</v>
      </c>
      <c r="L14">
        <f t="shared" si="4"/>
        <v>3015.25</v>
      </c>
      <c r="M14">
        <f t="shared" si="5"/>
        <v>2924.2448206018521</v>
      </c>
      <c r="N14">
        <f t="shared" si="1"/>
        <v>51.055179398148084</v>
      </c>
      <c r="O14">
        <f t="shared" si="7"/>
        <v>1.6227719907407543</v>
      </c>
      <c r="P14">
        <f t="shared" si="8"/>
        <v>49.432407407407332</v>
      </c>
    </row>
    <row r="15" spans="1:32">
      <c r="B15">
        <v>14</v>
      </c>
      <c r="C15">
        <v>2</v>
      </c>
      <c r="D15">
        <v>2887.4</v>
      </c>
      <c r="F15">
        <f t="shared" si="9"/>
        <v>3015.9249999999997</v>
      </c>
      <c r="G15">
        <f t="shared" si="11"/>
        <v>3022.0708333333332</v>
      </c>
      <c r="H15">
        <f t="shared" si="12"/>
        <v>-134.67083333333312</v>
      </c>
      <c r="I15">
        <v>-134.67083333333312</v>
      </c>
      <c r="J15">
        <v>-130.71108217592581</v>
      </c>
      <c r="K15">
        <f t="shared" si="0"/>
        <v>3018.1110821759257</v>
      </c>
      <c r="L15">
        <f t="shared" si="4"/>
        <v>3023.5</v>
      </c>
      <c r="M15">
        <f t="shared" si="5"/>
        <v>2892.7889178240744</v>
      </c>
      <c r="N15">
        <f t="shared" si="1"/>
        <v>-5.3889178240742694</v>
      </c>
      <c r="O15">
        <f t="shared" si="7"/>
        <v>28.564322916666697</v>
      </c>
      <c r="P15">
        <f t="shared" si="8"/>
        <v>-33.953240740740966</v>
      </c>
      <c r="AD15" t="s">
        <v>266</v>
      </c>
      <c r="AE15">
        <f>ROUND(SUM(AE2:AE13),3)</f>
        <v>16.545000000000002</v>
      </c>
    </row>
    <row r="16" spans="1:32">
      <c r="B16">
        <v>15</v>
      </c>
      <c r="C16">
        <v>3</v>
      </c>
      <c r="D16">
        <v>2893.8</v>
      </c>
      <c r="F16">
        <f t="shared" si="9"/>
        <v>3028.2166666666667</v>
      </c>
      <c r="G16">
        <f t="shared" si="11"/>
        <v>3031.3916666666664</v>
      </c>
      <c r="H16">
        <f t="shared" si="12"/>
        <v>-137.59166666666624</v>
      </c>
      <c r="I16">
        <v>-137.59166666666624</v>
      </c>
      <c r="J16">
        <v>-177.97670717592592</v>
      </c>
      <c r="K16">
        <f t="shared" si="0"/>
        <v>3071.7767071759263</v>
      </c>
      <c r="L16">
        <f t="shared" si="4"/>
        <v>3031.75</v>
      </c>
      <c r="M16">
        <f t="shared" si="5"/>
        <v>2853.7732928240739</v>
      </c>
      <c r="N16">
        <f t="shared" si="1"/>
        <v>40.026707175926276</v>
      </c>
      <c r="O16">
        <f t="shared" si="7"/>
        <v>7.3738136574074815</v>
      </c>
      <c r="P16">
        <f t="shared" si="8"/>
        <v>32.652893518518795</v>
      </c>
    </row>
    <row r="17" spans="1:32">
      <c r="B17">
        <v>16</v>
      </c>
      <c r="C17">
        <v>4</v>
      </c>
      <c r="D17">
        <v>3023.6</v>
      </c>
      <c r="F17">
        <f t="shared" si="9"/>
        <v>3034.5666666666662</v>
      </c>
      <c r="G17">
        <f t="shared" si="11"/>
        <v>3042.4999999999995</v>
      </c>
      <c r="H17">
        <f t="shared" si="12"/>
        <v>-18.899999999999636</v>
      </c>
      <c r="I17">
        <v>-18.899999999999636</v>
      </c>
      <c r="J17">
        <v>-3.8836516203703066</v>
      </c>
      <c r="K17">
        <f t="shared" si="0"/>
        <v>3027.4836516203704</v>
      </c>
      <c r="L17">
        <f t="shared" si="4"/>
        <v>3040</v>
      </c>
      <c r="M17">
        <f t="shared" si="5"/>
        <v>3036.1163483796295</v>
      </c>
      <c r="N17">
        <f t="shared" si="1"/>
        <v>-12.516348379629562</v>
      </c>
      <c r="O17">
        <f t="shared" si="7"/>
        <v>21.585850694444616</v>
      </c>
      <c r="P17">
        <f t="shared" si="8"/>
        <v>-34.102199074074178</v>
      </c>
      <c r="AD17" t="s">
        <v>267</v>
      </c>
      <c r="AE17">
        <f>AVERAGE(AE2:AE13)</f>
        <v>1.3787905092592283</v>
      </c>
    </row>
    <row r="18" spans="1:32">
      <c r="B18">
        <v>17</v>
      </c>
      <c r="C18">
        <v>5</v>
      </c>
      <c r="D18">
        <v>3092.5</v>
      </c>
      <c r="F18">
        <f t="shared" si="9"/>
        <v>3050.4333333333329</v>
      </c>
      <c r="G18">
        <f t="shared" si="11"/>
        <v>3052.8666666666663</v>
      </c>
      <c r="H18">
        <f t="shared" si="12"/>
        <v>39.633333333333667</v>
      </c>
      <c r="I18">
        <v>39.633333333333667</v>
      </c>
      <c r="J18">
        <v>7.0028067129630491</v>
      </c>
      <c r="K18">
        <f t="shared" si="0"/>
        <v>3085.4971932870371</v>
      </c>
      <c r="L18">
        <f t="shared" si="4"/>
        <v>3048.25</v>
      </c>
      <c r="M18">
        <f t="shared" si="5"/>
        <v>3055.2528067129629</v>
      </c>
      <c r="N18">
        <f t="shared" si="1"/>
        <v>37.247193287037135</v>
      </c>
      <c r="O18">
        <f t="shared" si="7"/>
        <v>7.2268229166667579</v>
      </c>
      <c r="P18">
        <f t="shared" si="8"/>
        <v>30.020370370370376</v>
      </c>
    </row>
    <row r="19" spans="1:32">
      <c r="B19">
        <v>18</v>
      </c>
      <c r="C19">
        <v>6</v>
      </c>
      <c r="D19">
        <v>3182.1</v>
      </c>
      <c r="F19">
        <f t="shared" si="9"/>
        <v>3055.2999999999997</v>
      </c>
      <c r="G19">
        <f t="shared" si="11"/>
        <v>3061.0541666666668</v>
      </c>
      <c r="H19">
        <f t="shared" si="12"/>
        <v>121.04583333333312</v>
      </c>
      <c r="I19">
        <v>121.04583333333312</v>
      </c>
      <c r="J19">
        <v>128.65037615740735</v>
      </c>
      <c r="K19">
        <f t="shared" si="0"/>
        <v>3053.4496238425927</v>
      </c>
      <c r="L19">
        <f t="shared" si="4"/>
        <v>3056.5</v>
      </c>
      <c r="M19">
        <f t="shared" si="5"/>
        <v>3185.1503761574072</v>
      </c>
      <c r="N19">
        <f t="shared" si="1"/>
        <v>-3.0503761574072996</v>
      </c>
      <c r="O19">
        <f t="shared" si="7"/>
        <v>-28.975491898147993</v>
      </c>
      <c r="P19">
        <f t="shared" si="8"/>
        <v>25.925115740740694</v>
      </c>
    </row>
    <row r="20" spans="1:32">
      <c r="B20">
        <v>19</v>
      </c>
      <c r="C20">
        <v>7</v>
      </c>
      <c r="D20">
        <v>3007.5</v>
      </c>
      <c r="F20">
        <f t="shared" si="9"/>
        <v>3066.8083333333338</v>
      </c>
      <c r="G20">
        <f t="shared" si="11"/>
        <v>3074.7708333333339</v>
      </c>
      <c r="H20">
        <f t="shared" si="12"/>
        <v>-67.27083333333394</v>
      </c>
      <c r="I20">
        <v>-67.27083333333394</v>
      </c>
      <c r="J20">
        <v>63.873292824073964</v>
      </c>
      <c r="K20">
        <f t="shared" si="0"/>
        <v>2943.6267071759262</v>
      </c>
      <c r="L20">
        <f t="shared" si="4"/>
        <v>3064.75</v>
      </c>
      <c r="M20">
        <f t="shared" si="5"/>
        <v>3128.6232928240738</v>
      </c>
      <c r="N20">
        <f t="shared" si="1"/>
        <v>-121.12329282407381</v>
      </c>
      <c r="O20">
        <f t="shared" si="7"/>
        <v>-15.523640046296046</v>
      </c>
      <c r="P20">
        <f t="shared" si="8"/>
        <v>-105.59965277777776</v>
      </c>
    </row>
    <row r="21" spans="1:32">
      <c r="B21">
        <v>20</v>
      </c>
      <c r="C21">
        <v>8</v>
      </c>
      <c r="D21">
        <v>3264</v>
      </c>
      <c r="F21">
        <f t="shared" si="9"/>
        <v>3082.7333333333336</v>
      </c>
      <c r="G21">
        <f t="shared" si="11"/>
        <v>3084.8666666666668</v>
      </c>
      <c r="H21">
        <f t="shared" si="12"/>
        <v>179.13333333333321</v>
      </c>
      <c r="I21">
        <v>179.13333333333321</v>
      </c>
      <c r="J21">
        <v>113.39725115740724</v>
      </c>
      <c r="K21">
        <f t="shared" si="0"/>
        <v>3150.602748842593</v>
      </c>
      <c r="L21">
        <f t="shared" si="4"/>
        <v>3073</v>
      </c>
      <c r="M21">
        <f t="shared" si="5"/>
        <v>3186.397251157407</v>
      </c>
      <c r="N21">
        <f t="shared" si="1"/>
        <v>77.602748842592973</v>
      </c>
      <c r="O21">
        <f t="shared" si="7"/>
        <v>-22.257089120370136</v>
      </c>
      <c r="P21">
        <f t="shared" si="8"/>
        <v>99.859837962963113</v>
      </c>
      <c r="AF21" t="s">
        <v>187</v>
      </c>
    </row>
    <row r="22" spans="1:32">
      <c r="B22">
        <v>21</v>
      </c>
      <c r="C22">
        <v>9</v>
      </c>
      <c r="D22">
        <v>3114</v>
      </c>
      <c r="F22">
        <f t="shared" si="9"/>
        <v>3087</v>
      </c>
      <c r="G22">
        <f t="shared" si="11"/>
        <v>3092.2083333333339</v>
      </c>
      <c r="H22">
        <f t="shared" si="12"/>
        <v>21.79166666666606</v>
      </c>
      <c r="I22">
        <v>21.79166666666606</v>
      </c>
      <c r="J22">
        <v>56.000723379629449</v>
      </c>
      <c r="K22">
        <f t="shared" si="0"/>
        <v>3057.9992766203704</v>
      </c>
      <c r="L22">
        <f t="shared" si="4"/>
        <v>3081.25</v>
      </c>
      <c r="M22">
        <f t="shared" si="5"/>
        <v>3137.2507233796296</v>
      </c>
      <c r="N22">
        <f t="shared" si="1"/>
        <v>-23.250723379629562</v>
      </c>
      <c r="O22">
        <f t="shared" si="7"/>
        <v>11.427054398148357</v>
      </c>
      <c r="P22">
        <f t="shared" si="8"/>
        <v>-34.677777777777919</v>
      </c>
    </row>
    <row r="23" spans="1:32">
      <c r="B23">
        <v>22</v>
      </c>
      <c r="C23">
        <v>10</v>
      </c>
      <c r="D23">
        <v>3107.1</v>
      </c>
      <c r="F23">
        <f t="shared" si="9"/>
        <v>3097.4166666666674</v>
      </c>
      <c r="G23">
        <f t="shared" si="11"/>
        <v>3102.6833333333338</v>
      </c>
      <c r="H23">
        <f t="shared" si="12"/>
        <v>4.4166666666660603</v>
      </c>
      <c r="I23">
        <v>4.4166666666660603</v>
      </c>
      <c r="J23">
        <v>37.670862268518434</v>
      </c>
      <c r="K23">
        <f t="shared" si="0"/>
        <v>3069.4291377314817</v>
      </c>
      <c r="L23">
        <f t="shared" si="4"/>
        <v>3089.5</v>
      </c>
      <c r="M23">
        <f t="shared" si="5"/>
        <v>3127.1708622685182</v>
      </c>
      <c r="N23">
        <f t="shared" si="1"/>
        <v>-20.07086226851834</v>
      </c>
      <c r="O23">
        <f t="shared" si="7"/>
        <v>4.0150173611112523</v>
      </c>
      <c r="P23">
        <f t="shared" si="8"/>
        <v>-24.085879629629591</v>
      </c>
    </row>
    <row r="24" spans="1:32">
      <c r="B24">
        <v>23</v>
      </c>
      <c r="C24">
        <v>11</v>
      </c>
      <c r="D24">
        <v>3215</v>
      </c>
      <c r="F24">
        <f t="shared" si="9"/>
        <v>3107.9500000000003</v>
      </c>
      <c r="G24">
        <f t="shared" si="11"/>
        <v>3115.3916666666669</v>
      </c>
      <c r="H24">
        <f t="shared" si="12"/>
        <v>99.608333333333121</v>
      </c>
      <c r="I24">
        <v>99.608333333333121</v>
      </c>
      <c r="J24">
        <v>61.883362268518454</v>
      </c>
      <c r="K24">
        <f t="shared" si="0"/>
        <v>3153.1166377314817</v>
      </c>
      <c r="L24">
        <f t="shared" si="4"/>
        <v>3097.75</v>
      </c>
      <c r="M24">
        <f t="shared" si="5"/>
        <v>3159.6333622685183</v>
      </c>
      <c r="N24">
        <f t="shared" si="1"/>
        <v>55.36663773148166</v>
      </c>
      <c r="O24">
        <f t="shared" si="7"/>
        <v>11.19927662037056</v>
      </c>
      <c r="P24">
        <f t="shared" si="8"/>
        <v>44.167361111111099</v>
      </c>
    </row>
    <row r="25" spans="1:32">
      <c r="B25">
        <v>24</v>
      </c>
      <c r="C25">
        <v>12</v>
      </c>
      <c r="D25">
        <v>3039.4</v>
      </c>
      <c r="F25">
        <f t="shared" si="9"/>
        <v>3122.8333333333335</v>
      </c>
      <c r="G25">
        <f t="shared" si="11"/>
        <v>3124.5166666666669</v>
      </c>
      <c r="H25">
        <f t="shared" si="12"/>
        <v>-85.116666666666788</v>
      </c>
      <c r="I25">
        <v>-85.116666666666788</v>
      </c>
      <c r="J25">
        <v>-64.902054398148081</v>
      </c>
      <c r="K25">
        <f t="shared" si="0"/>
        <v>3104.3020543981484</v>
      </c>
      <c r="L25">
        <f t="shared" si="4"/>
        <v>3106</v>
      </c>
      <c r="M25">
        <f t="shared" si="5"/>
        <v>3041.0979456018517</v>
      </c>
      <c r="N25">
        <f t="shared" si="1"/>
        <v>-1.697945601851643</v>
      </c>
      <c r="O25">
        <f t="shared" si="7"/>
        <v>65.607957175926003</v>
      </c>
      <c r="P25">
        <f t="shared" si="8"/>
        <v>-67.305902777777646</v>
      </c>
    </row>
    <row r="26" spans="1:32">
      <c r="A26">
        <v>3</v>
      </c>
      <c r="B26">
        <v>25</v>
      </c>
      <c r="C26">
        <v>1</v>
      </c>
      <c r="D26">
        <v>3166.4</v>
      </c>
      <c r="F26">
        <f t="shared" si="9"/>
        <v>3126.2000000000003</v>
      </c>
      <c r="G26">
        <f t="shared" si="11"/>
        <v>3137.9250000000002</v>
      </c>
      <c r="H26">
        <f t="shared" si="12"/>
        <v>28.474999999999909</v>
      </c>
      <c r="I26">
        <v>28.474999999999909</v>
      </c>
      <c r="J26">
        <v>-91.005179398147831</v>
      </c>
      <c r="K26">
        <f t="shared" si="0"/>
        <v>3257.405179398148</v>
      </c>
      <c r="L26">
        <f t="shared" si="4"/>
        <v>3114.25</v>
      </c>
      <c r="M26">
        <f t="shared" si="5"/>
        <v>3023.2448206018521</v>
      </c>
      <c r="N26">
        <f t="shared" si="1"/>
        <v>143.15517939814799</v>
      </c>
      <c r="O26">
        <f t="shared" si="7"/>
        <v>29.422771990740632</v>
      </c>
      <c r="P26">
        <f t="shared" si="8"/>
        <v>113.73240740740736</v>
      </c>
    </row>
    <row r="27" spans="1:32">
      <c r="B27">
        <v>26</v>
      </c>
      <c r="C27">
        <v>2</v>
      </c>
      <c r="D27">
        <v>2938.6</v>
      </c>
      <c r="F27">
        <f t="shared" si="9"/>
        <v>3149.6499999999996</v>
      </c>
      <c r="G27">
        <f t="shared" si="11"/>
        <v>3150.208333333333</v>
      </c>
      <c r="H27">
        <f t="shared" si="12"/>
        <v>-211.60833333333312</v>
      </c>
      <c r="I27">
        <v>-211.60833333333312</v>
      </c>
      <c r="J27">
        <v>-130.71108217592581</v>
      </c>
      <c r="K27">
        <f t="shared" si="0"/>
        <v>3069.3110821759255</v>
      </c>
      <c r="L27">
        <f t="shared" si="4"/>
        <v>3122.5</v>
      </c>
      <c r="M27">
        <f t="shared" si="5"/>
        <v>2991.7889178240744</v>
      </c>
      <c r="N27">
        <f t="shared" si="1"/>
        <v>-53.188917824074451</v>
      </c>
      <c r="O27">
        <f t="shared" si="7"/>
        <v>51.997656249999942</v>
      </c>
      <c r="P27">
        <f t="shared" si="8"/>
        <v>-105.1865740740744</v>
      </c>
    </row>
    <row r="28" spans="1:32">
      <c r="B28">
        <v>27</v>
      </c>
      <c r="C28">
        <v>3</v>
      </c>
      <c r="D28">
        <v>3018.8</v>
      </c>
      <c r="F28">
        <f t="shared" si="9"/>
        <v>3150.7666666666664</v>
      </c>
      <c r="G28">
        <f t="shared" si="11"/>
        <v>3154.5916666666662</v>
      </c>
      <c r="H28">
        <f t="shared" si="12"/>
        <v>-135.79166666666606</v>
      </c>
      <c r="I28">
        <v>-135.79166666666606</v>
      </c>
      <c r="J28">
        <v>-177.97670717592592</v>
      </c>
      <c r="K28">
        <f t="shared" si="0"/>
        <v>3196.7767071759263</v>
      </c>
      <c r="L28">
        <f t="shared" si="4"/>
        <v>3130.75</v>
      </c>
      <c r="M28">
        <f t="shared" si="5"/>
        <v>2952.7732928240739</v>
      </c>
      <c r="N28">
        <f t="shared" si="1"/>
        <v>66.026707175926276</v>
      </c>
      <c r="O28">
        <f t="shared" si="7"/>
        <v>9.2404803240741185</v>
      </c>
      <c r="P28">
        <f t="shared" si="8"/>
        <v>56.786226851852156</v>
      </c>
    </row>
    <row r="29" spans="1:32">
      <c r="B29">
        <v>28</v>
      </c>
      <c r="C29">
        <v>4</v>
      </c>
      <c r="D29">
        <v>3150</v>
      </c>
      <c r="F29">
        <f t="shared" si="9"/>
        <v>3158.4166666666665</v>
      </c>
      <c r="G29">
        <f t="shared" si="11"/>
        <v>3165.1291666666666</v>
      </c>
      <c r="H29">
        <f t="shared" si="12"/>
        <v>-15.129166666666606</v>
      </c>
      <c r="I29">
        <v>-15.129166666666606</v>
      </c>
      <c r="J29">
        <v>-3.8836516203703066</v>
      </c>
      <c r="K29">
        <f t="shared" si="0"/>
        <v>3153.8836516203705</v>
      </c>
      <c r="L29">
        <f t="shared" si="4"/>
        <v>3139</v>
      </c>
      <c r="M29">
        <f t="shared" si="5"/>
        <v>3135.1163483796295</v>
      </c>
      <c r="N29">
        <f t="shared" si="1"/>
        <v>14.883651620370529</v>
      </c>
      <c r="O29">
        <f t="shared" si="7"/>
        <v>65.919184027777945</v>
      </c>
      <c r="P29">
        <f t="shared" si="8"/>
        <v>-51.035532407407416</v>
      </c>
    </row>
    <row r="30" spans="1:32">
      <c r="B30">
        <v>29</v>
      </c>
      <c r="C30">
        <v>5</v>
      </c>
      <c r="D30">
        <v>3271.1</v>
      </c>
      <c r="F30">
        <f t="shared" si="9"/>
        <v>3171.8416666666667</v>
      </c>
      <c r="G30">
        <f t="shared" si="11"/>
        <v>3178.6374999999998</v>
      </c>
      <c r="H30">
        <f t="shared" si="12"/>
        <v>92.462500000000091</v>
      </c>
      <c r="I30">
        <v>92.462500000000091</v>
      </c>
      <c r="J30">
        <v>7.0028067129630491</v>
      </c>
      <c r="K30">
        <f t="shared" si="0"/>
        <v>3264.097193287037</v>
      </c>
      <c r="L30">
        <f t="shared" si="4"/>
        <v>3147.25</v>
      </c>
      <c r="M30">
        <f t="shared" si="5"/>
        <v>3154.2528067129629</v>
      </c>
      <c r="N30">
        <f t="shared" si="1"/>
        <v>116.84719328703704</v>
      </c>
      <c r="O30">
        <f t="shared" si="7"/>
        <v>23.36015625000012</v>
      </c>
      <c r="P30">
        <f t="shared" si="8"/>
        <v>93.487037037036927</v>
      </c>
    </row>
    <row r="31" spans="1:32">
      <c r="B31">
        <v>30</v>
      </c>
      <c r="C31">
        <v>6</v>
      </c>
      <c r="D31">
        <v>3222.5</v>
      </c>
      <c r="F31">
        <f t="shared" si="9"/>
        <v>3185.4333333333329</v>
      </c>
      <c r="G31">
        <f t="shared" si="11"/>
        <v>3188.7583333333332</v>
      </c>
      <c r="H31">
        <f t="shared" si="12"/>
        <v>33.741666666666788</v>
      </c>
      <c r="I31">
        <v>33.741666666666788</v>
      </c>
      <c r="J31">
        <v>128.65037615740735</v>
      </c>
      <c r="K31">
        <f t="shared" si="0"/>
        <v>3093.8496238425928</v>
      </c>
      <c r="L31">
        <f t="shared" si="4"/>
        <v>3155.5</v>
      </c>
      <c r="M31">
        <f t="shared" si="5"/>
        <v>3284.1503761574072</v>
      </c>
      <c r="N31">
        <f t="shared" si="1"/>
        <v>-61.650376157407209</v>
      </c>
      <c r="O31">
        <f t="shared" si="7"/>
        <v>38.824508101852039</v>
      </c>
      <c r="P31">
        <f t="shared" si="8"/>
        <v>-100.47488425925926</v>
      </c>
    </row>
    <row r="32" spans="1:32">
      <c r="B32">
        <v>31</v>
      </c>
      <c r="C32">
        <v>7</v>
      </c>
      <c r="D32">
        <v>3288.9</v>
      </c>
      <c r="F32">
        <f t="shared" si="9"/>
        <v>3192.0833333333335</v>
      </c>
      <c r="G32">
        <f t="shared" si="11"/>
        <v>3191.3916666666669</v>
      </c>
      <c r="H32">
        <f t="shared" si="12"/>
        <v>97.508333333333212</v>
      </c>
      <c r="I32">
        <v>97.508333333333212</v>
      </c>
      <c r="J32">
        <v>63.873292824073964</v>
      </c>
      <c r="K32">
        <f t="shared" si="0"/>
        <v>3225.0267071759263</v>
      </c>
      <c r="L32">
        <f t="shared" si="4"/>
        <v>3163.75</v>
      </c>
      <c r="M32">
        <f t="shared" si="5"/>
        <v>3227.6232928240738</v>
      </c>
      <c r="N32">
        <f t="shared" si="1"/>
        <v>61.276707175926276</v>
      </c>
      <c r="O32">
        <f t="shared" si="7"/>
        <v>-2.7903067129626229</v>
      </c>
      <c r="P32">
        <f t="shared" si="8"/>
        <v>64.067013888888894</v>
      </c>
    </row>
    <row r="33" spans="1:16">
      <c r="B33">
        <v>32</v>
      </c>
      <c r="C33">
        <v>8</v>
      </c>
      <c r="D33">
        <v>3277.4</v>
      </c>
      <c r="F33">
        <f t="shared" si="9"/>
        <v>3190.7000000000003</v>
      </c>
      <c r="G33">
        <f t="shared" si="11"/>
        <v>3200.1833333333334</v>
      </c>
      <c r="H33">
        <f t="shared" si="12"/>
        <v>77.216666666666697</v>
      </c>
      <c r="I33">
        <v>77.216666666666697</v>
      </c>
      <c r="J33">
        <v>113.39725115740724</v>
      </c>
      <c r="K33">
        <f t="shared" si="0"/>
        <v>3164.0027488425931</v>
      </c>
      <c r="L33">
        <f t="shared" si="4"/>
        <v>3172</v>
      </c>
      <c r="M33">
        <f t="shared" si="5"/>
        <v>3285.397251157407</v>
      </c>
      <c r="N33">
        <f t="shared" si="1"/>
        <v>-7.9972511574069358</v>
      </c>
      <c r="O33">
        <f t="shared" si="7"/>
        <v>7.6095775462966531</v>
      </c>
      <c r="P33">
        <f t="shared" si="8"/>
        <v>-15.606828703703588</v>
      </c>
    </row>
    <row r="34" spans="1:16">
      <c r="B34">
        <v>33</v>
      </c>
      <c r="C34">
        <v>9</v>
      </c>
      <c r="D34">
        <v>3205.8</v>
      </c>
      <c r="F34">
        <f t="shared" si="9"/>
        <v>3209.6666666666665</v>
      </c>
      <c r="G34">
        <f t="shared" si="11"/>
        <v>3208.3499999999995</v>
      </c>
      <c r="H34">
        <f t="shared" si="12"/>
        <v>-2.5499999999992724</v>
      </c>
      <c r="I34">
        <v>-2.5499999999992724</v>
      </c>
      <c r="J34">
        <v>56.000723379629449</v>
      </c>
      <c r="K34">
        <f t="shared" ref="K34:K65" si="13">D34-J34</f>
        <v>3149.7992766203706</v>
      </c>
      <c r="L34">
        <f t="shared" si="4"/>
        <v>3180.25</v>
      </c>
      <c r="M34">
        <f t="shared" si="5"/>
        <v>3236.2507233796296</v>
      </c>
      <c r="N34">
        <f t="shared" ref="N34:N65" si="14">D34-M34</f>
        <v>-30.45072337962938</v>
      </c>
      <c r="O34">
        <f t="shared" si="7"/>
        <v>1.1937210648150842</v>
      </c>
      <c r="P34">
        <f t="shared" si="8"/>
        <v>-31.644444444444463</v>
      </c>
    </row>
    <row r="35" spans="1:16">
      <c r="B35">
        <v>34</v>
      </c>
      <c r="C35">
        <v>10</v>
      </c>
      <c r="D35">
        <v>3268.2</v>
      </c>
      <c r="F35">
        <f t="shared" si="9"/>
        <v>3207.0333333333328</v>
      </c>
      <c r="G35">
        <f t="shared" si="11"/>
        <v>3212.8249999999998</v>
      </c>
      <c r="H35">
        <f t="shared" si="12"/>
        <v>55.375</v>
      </c>
      <c r="I35">
        <v>55.375</v>
      </c>
      <c r="J35">
        <v>37.670862268518434</v>
      </c>
      <c r="K35">
        <f t="shared" si="13"/>
        <v>3230.5291377314816</v>
      </c>
      <c r="L35">
        <f t="shared" si="4"/>
        <v>3188.5</v>
      </c>
      <c r="M35">
        <f t="shared" si="5"/>
        <v>3226.1708622685182</v>
      </c>
      <c r="N35">
        <f t="shared" si="14"/>
        <v>42.029137731481569</v>
      </c>
      <c r="O35">
        <f t="shared" si="7"/>
        <v>43.681684027777919</v>
      </c>
      <c r="P35">
        <f t="shared" si="8"/>
        <v>-1.6525462962963502</v>
      </c>
    </row>
    <row r="36" spans="1:16">
      <c r="B36">
        <v>35</v>
      </c>
      <c r="C36">
        <v>11</v>
      </c>
      <c r="D36">
        <v>3378.1</v>
      </c>
      <c r="F36">
        <f t="shared" si="9"/>
        <v>3218.6166666666668</v>
      </c>
      <c r="G36">
        <f t="shared" si="11"/>
        <v>3218.9708333333338</v>
      </c>
      <c r="H36">
        <f t="shared" si="12"/>
        <v>159.12916666666615</v>
      </c>
      <c r="I36">
        <v>159.12916666666615</v>
      </c>
      <c r="J36">
        <v>61.883362268518454</v>
      </c>
      <c r="K36">
        <f t="shared" si="13"/>
        <v>3316.2166377314816</v>
      </c>
      <c r="L36">
        <f t="shared" si="4"/>
        <v>3196.75</v>
      </c>
      <c r="M36">
        <f t="shared" si="5"/>
        <v>3258.6333622685183</v>
      </c>
      <c r="N36">
        <f t="shared" si="14"/>
        <v>119.46663773148157</v>
      </c>
      <c r="O36">
        <f t="shared" si="7"/>
        <v>46.865943287037076</v>
      </c>
      <c r="P36">
        <f t="shared" si="8"/>
        <v>72.600694444444485</v>
      </c>
    </row>
    <row r="37" spans="1:16">
      <c r="B37">
        <v>36</v>
      </c>
      <c r="C37">
        <v>12</v>
      </c>
      <c r="D37">
        <v>3119.2</v>
      </c>
      <c r="F37">
        <f t="shared" si="9"/>
        <v>3219.3250000000003</v>
      </c>
      <c r="G37">
        <f t="shared" si="11"/>
        <v>3226.5583333333334</v>
      </c>
      <c r="H37">
        <f t="shared" si="12"/>
        <v>-107.35833333333358</v>
      </c>
      <c r="I37">
        <v>-107.35833333333358</v>
      </c>
      <c r="J37">
        <v>-64.902054398148081</v>
      </c>
      <c r="K37">
        <f t="shared" si="13"/>
        <v>3184.1020543981481</v>
      </c>
      <c r="L37">
        <f t="shared" si="4"/>
        <v>3205</v>
      </c>
      <c r="M37">
        <f t="shared" si="5"/>
        <v>3140.0979456018517</v>
      </c>
      <c r="N37">
        <f t="shared" si="14"/>
        <v>-20.897945601851916</v>
      </c>
      <c r="O37">
        <f t="shared" si="7"/>
        <v>42.041290509259248</v>
      </c>
      <c r="P37">
        <f t="shared" si="8"/>
        <v>-62.939236111111164</v>
      </c>
    </row>
    <row r="38" spans="1:16">
      <c r="A38">
        <v>4</v>
      </c>
      <c r="B38">
        <v>37</v>
      </c>
      <c r="C38">
        <v>1</v>
      </c>
      <c r="D38">
        <v>3149.8</v>
      </c>
      <c r="F38">
        <f t="shared" si="9"/>
        <v>3233.7916666666665</v>
      </c>
      <c r="G38">
        <f t="shared" si="11"/>
        <v>3237.1083333333331</v>
      </c>
      <c r="H38">
        <f t="shared" si="12"/>
        <v>-87.308333333332939</v>
      </c>
      <c r="I38">
        <v>-87.308333333332939</v>
      </c>
      <c r="J38">
        <v>-91.005179398147831</v>
      </c>
      <c r="K38">
        <f t="shared" si="13"/>
        <v>3240.8051793981481</v>
      </c>
      <c r="L38">
        <f t="shared" si="4"/>
        <v>3213.25</v>
      </c>
      <c r="M38">
        <f t="shared" si="5"/>
        <v>3122.2448206018521</v>
      </c>
      <c r="N38">
        <f t="shared" si="14"/>
        <v>27.555179398148084</v>
      </c>
      <c r="O38">
        <f t="shared" si="7"/>
        <v>27.356105324073877</v>
      </c>
      <c r="P38">
        <f t="shared" si="8"/>
        <v>0.19907407407420763</v>
      </c>
    </row>
    <row r="39" spans="1:16">
      <c r="B39">
        <v>38</v>
      </c>
      <c r="C39">
        <v>2</v>
      </c>
      <c r="D39">
        <v>3166.2</v>
      </c>
      <c r="F39">
        <f t="shared" si="9"/>
        <v>3240.4249999999997</v>
      </c>
      <c r="G39">
        <f t="shared" si="11"/>
        <v>3236.2041666666664</v>
      </c>
      <c r="H39">
        <f t="shared" si="12"/>
        <v>-70.004166666666606</v>
      </c>
      <c r="I39">
        <v>-70.004166666666606</v>
      </c>
      <c r="J39">
        <v>-130.71108217592581</v>
      </c>
      <c r="K39">
        <f t="shared" si="13"/>
        <v>3296.9110821759255</v>
      </c>
      <c r="L39">
        <f t="shared" si="4"/>
        <v>3221.5</v>
      </c>
      <c r="M39">
        <f t="shared" si="5"/>
        <v>3090.7889178240744</v>
      </c>
      <c r="N39">
        <f t="shared" si="14"/>
        <v>75.411082175925458</v>
      </c>
      <c r="O39">
        <f t="shared" si="7"/>
        <v>12.797656249999818</v>
      </c>
      <c r="P39">
        <f t="shared" si="8"/>
        <v>62.61342592592564</v>
      </c>
    </row>
    <row r="40" spans="1:16">
      <c r="B40">
        <v>39</v>
      </c>
      <c r="C40">
        <v>3</v>
      </c>
      <c r="D40">
        <v>2987.2</v>
      </c>
      <c r="F40">
        <f t="shared" ref="F40:F71" si="15">AVERAGE(D34:D45)</f>
        <v>3231.9833333333331</v>
      </c>
      <c r="G40">
        <f t="shared" si="11"/>
        <v>3239.3041666666668</v>
      </c>
      <c r="H40">
        <f t="shared" si="12"/>
        <v>-252.10416666666697</v>
      </c>
      <c r="I40">
        <v>-252.10416666666697</v>
      </c>
      <c r="J40">
        <v>-177.97670717592592</v>
      </c>
      <c r="K40">
        <f t="shared" si="13"/>
        <v>3165.1767071759259</v>
      </c>
      <c r="L40">
        <f t="shared" si="4"/>
        <v>3229.75</v>
      </c>
      <c r="M40">
        <f t="shared" si="5"/>
        <v>3051.7732928240739</v>
      </c>
      <c r="N40">
        <f t="shared" si="14"/>
        <v>-64.573292824074088</v>
      </c>
      <c r="O40">
        <f t="shared" si="7"/>
        <v>21.907146990740632</v>
      </c>
      <c r="P40">
        <f t="shared" si="8"/>
        <v>-86.480439814814716</v>
      </c>
    </row>
    <row r="41" spans="1:16">
      <c r="B41">
        <v>40</v>
      </c>
      <c r="C41">
        <v>4</v>
      </c>
      <c r="D41">
        <v>3289</v>
      </c>
      <c r="F41">
        <f t="shared" si="15"/>
        <v>3246.625</v>
      </c>
      <c r="G41">
        <f t="shared" si="11"/>
        <v>3250.6541666666662</v>
      </c>
      <c r="H41">
        <f t="shared" si="12"/>
        <v>38.345833333333758</v>
      </c>
      <c r="I41">
        <v>38.345833333333758</v>
      </c>
      <c r="J41">
        <v>-3.8836516203703066</v>
      </c>
      <c r="K41">
        <f t="shared" si="13"/>
        <v>3292.8836516203705</v>
      </c>
      <c r="L41">
        <f t="shared" si="4"/>
        <v>3238</v>
      </c>
      <c r="M41">
        <f t="shared" si="5"/>
        <v>3234.1163483796295</v>
      </c>
      <c r="N41">
        <f t="shared" si="14"/>
        <v>54.883651620370529</v>
      </c>
      <c r="O41">
        <f t="shared" si="7"/>
        <v>5.5525173611111613</v>
      </c>
      <c r="P41">
        <f t="shared" si="8"/>
        <v>49.331134259259365</v>
      </c>
    </row>
    <row r="42" spans="1:16">
      <c r="B42">
        <v>41</v>
      </c>
      <c r="C42">
        <v>5</v>
      </c>
      <c r="D42">
        <v>3279.6</v>
      </c>
      <c r="F42">
        <f t="shared" si="15"/>
        <v>3254.6833333333329</v>
      </c>
      <c r="G42">
        <f t="shared" si="11"/>
        <v>3249.3041666666663</v>
      </c>
      <c r="H42">
        <f t="shared" si="12"/>
        <v>30.295833333333576</v>
      </c>
      <c r="I42">
        <v>30.295833333333576</v>
      </c>
      <c r="J42">
        <v>7.0028067129630491</v>
      </c>
      <c r="K42">
        <f t="shared" si="13"/>
        <v>3272.597193287037</v>
      </c>
      <c r="L42">
        <f t="shared" si="4"/>
        <v>3246.25</v>
      </c>
      <c r="M42">
        <f t="shared" si="5"/>
        <v>3253.2528067129629</v>
      </c>
      <c r="N42">
        <f t="shared" si="14"/>
        <v>26.347193287037044</v>
      </c>
      <c r="O42">
        <f t="shared" si="7"/>
        <v>31.393489583333423</v>
      </c>
      <c r="P42">
        <f t="shared" si="8"/>
        <v>-5.0462962962963793</v>
      </c>
    </row>
    <row r="43" spans="1:16">
      <c r="B43">
        <v>42</v>
      </c>
      <c r="C43">
        <v>6</v>
      </c>
      <c r="D43">
        <v>3396.1</v>
      </c>
      <c r="F43">
        <f t="shared" si="15"/>
        <v>3243.9249999999997</v>
      </c>
      <c r="G43">
        <f t="shared" si="11"/>
        <v>3246.4249999999997</v>
      </c>
      <c r="H43">
        <f t="shared" si="12"/>
        <v>149.67500000000018</v>
      </c>
      <c r="I43">
        <v>149.67500000000018</v>
      </c>
      <c r="J43">
        <v>128.65037615740735</v>
      </c>
      <c r="K43">
        <f t="shared" si="13"/>
        <v>3267.4496238425927</v>
      </c>
      <c r="L43">
        <f t="shared" si="4"/>
        <v>3254.5</v>
      </c>
      <c r="M43">
        <f t="shared" si="5"/>
        <v>3383.1503761574072</v>
      </c>
      <c r="N43">
        <f t="shared" si="14"/>
        <v>12.9496238425927</v>
      </c>
      <c r="O43">
        <f t="shared" si="7"/>
        <v>27.05784143518531</v>
      </c>
      <c r="P43">
        <f t="shared" si="8"/>
        <v>-14.108217592592609</v>
      </c>
    </row>
    <row r="44" spans="1:16">
      <c r="B44">
        <v>43</v>
      </c>
      <c r="C44">
        <v>7</v>
      </c>
      <c r="D44">
        <v>3368.5</v>
      </c>
      <c r="F44">
        <f t="shared" si="15"/>
        <v>3248.9249999999997</v>
      </c>
      <c r="G44">
        <f t="shared" si="11"/>
        <v>3242.9291666666663</v>
      </c>
      <c r="H44">
        <f t="shared" si="12"/>
        <v>125.57083333333367</v>
      </c>
      <c r="I44">
        <v>125.57083333333367</v>
      </c>
      <c r="J44">
        <v>63.873292824073964</v>
      </c>
      <c r="K44">
        <f t="shared" si="13"/>
        <v>3304.6267071759262</v>
      </c>
      <c r="L44">
        <f t="shared" si="4"/>
        <v>3262.75</v>
      </c>
      <c r="M44">
        <f t="shared" si="5"/>
        <v>3326.6232928240738</v>
      </c>
      <c r="N44">
        <f t="shared" si="14"/>
        <v>41.876707175926185</v>
      </c>
      <c r="O44">
        <f t="shared" si="7"/>
        <v>-51.156973379629413</v>
      </c>
      <c r="P44">
        <f t="shared" si="8"/>
        <v>93.033680555555605</v>
      </c>
    </row>
    <row r="45" spans="1:16">
      <c r="B45">
        <v>44</v>
      </c>
      <c r="C45">
        <v>8</v>
      </c>
      <c r="D45">
        <v>3176.1</v>
      </c>
      <c r="F45">
        <f t="shared" si="15"/>
        <v>3236.9333333333329</v>
      </c>
      <c r="G45">
        <f t="shared" si="11"/>
        <v>3230.208333333333</v>
      </c>
      <c r="H45">
        <f t="shared" si="12"/>
        <v>-54.108333333333121</v>
      </c>
      <c r="I45">
        <v>-54.108333333333121</v>
      </c>
      <c r="J45">
        <v>113.39725115740724</v>
      </c>
      <c r="K45">
        <f t="shared" si="13"/>
        <v>3062.7027488425929</v>
      </c>
      <c r="L45">
        <f t="shared" si="4"/>
        <v>3271</v>
      </c>
      <c r="M45">
        <f t="shared" si="5"/>
        <v>3384.397251157407</v>
      </c>
      <c r="N45">
        <f t="shared" si="14"/>
        <v>-208.29725115740712</v>
      </c>
      <c r="O45">
        <f t="shared" si="7"/>
        <v>-40.057089120370165</v>
      </c>
      <c r="P45">
        <f t="shared" si="8"/>
        <v>-168.24016203703695</v>
      </c>
    </row>
    <row r="46" spans="1:16">
      <c r="B46">
        <v>45</v>
      </c>
      <c r="C46">
        <v>9</v>
      </c>
      <c r="D46">
        <v>3381.5</v>
      </c>
      <c r="F46">
        <f t="shared" si="15"/>
        <v>3223.4833333333336</v>
      </c>
      <c r="G46">
        <f t="shared" si="11"/>
        <v>3221.1458333333339</v>
      </c>
      <c r="H46">
        <f t="shared" si="12"/>
        <v>160.35416666666606</v>
      </c>
      <c r="I46">
        <v>160.35416666666606</v>
      </c>
      <c r="J46">
        <v>56.000723379629449</v>
      </c>
      <c r="K46">
        <f t="shared" si="13"/>
        <v>3325.4992766203704</v>
      </c>
      <c r="L46">
        <f t="shared" si="4"/>
        <v>3279.25</v>
      </c>
      <c r="M46">
        <f t="shared" si="5"/>
        <v>3335.2507233796296</v>
      </c>
      <c r="N46">
        <f t="shared" si="14"/>
        <v>46.249276620370438</v>
      </c>
      <c r="O46">
        <f t="shared" si="7"/>
        <v>-40.77294560185161</v>
      </c>
      <c r="P46">
        <f t="shared" si="8"/>
        <v>87.022222222222041</v>
      </c>
    </row>
    <row r="47" spans="1:16">
      <c r="B47">
        <v>46</v>
      </c>
      <c r="C47">
        <v>10</v>
      </c>
      <c r="D47">
        <v>3364.9</v>
      </c>
      <c r="F47">
        <f t="shared" si="15"/>
        <v>3218.8083333333338</v>
      </c>
      <c r="G47">
        <f t="shared" si="11"/>
        <v>3211.0791666666673</v>
      </c>
      <c r="H47">
        <f t="shared" si="12"/>
        <v>153.82083333333276</v>
      </c>
      <c r="I47">
        <v>153.82083333333276</v>
      </c>
      <c r="J47">
        <v>37.670862268518434</v>
      </c>
      <c r="K47">
        <f t="shared" si="13"/>
        <v>3327.2291377314818</v>
      </c>
      <c r="L47">
        <f t="shared" si="4"/>
        <v>3287.5</v>
      </c>
      <c r="M47">
        <f t="shared" si="5"/>
        <v>3325.1708622685182</v>
      </c>
      <c r="N47">
        <f t="shared" si="14"/>
        <v>39.729137731481842</v>
      </c>
      <c r="O47">
        <f t="shared" si="7"/>
        <v>-7.5516493055553537</v>
      </c>
      <c r="P47">
        <f t="shared" si="8"/>
        <v>47.280787037037193</v>
      </c>
    </row>
    <row r="48" spans="1:16">
      <c r="B48">
        <v>47</v>
      </c>
      <c r="C48">
        <v>11</v>
      </c>
      <c r="D48">
        <v>3249</v>
      </c>
      <c r="F48">
        <f t="shared" si="15"/>
        <v>3203.3500000000004</v>
      </c>
      <c r="G48">
        <f t="shared" si="11"/>
        <v>3193.9875000000002</v>
      </c>
      <c r="H48">
        <f t="shared" si="12"/>
        <v>55.012499999999818</v>
      </c>
      <c r="I48">
        <v>55.012499999999818</v>
      </c>
      <c r="J48">
        <v>61.883362268518454</v>
      </c>
      <c r="K48">
        <f t="shared" si="13"/>
        <v>3187.1166377314817</v>
      </c>
      <c r="L48">
        <f t="shared" si="4"/>
        <v>3295.75</v>
      </c>
      <c r="M48">
        <f t="shared" si="5"/>
        <v>3357.6333622685183</v>
      </c>
      <c r="N48">
        <f t="shared" si="14"/>
        <v>-108.63336226851834</v>
      </c>
      <c r="O48">
        <f t="shared" si="7"/>
        <v>-42.934056712962807</v>
      </c>
      <c r="P48">
        <f t="shared" si="8"/>
        <v>-65.699305555555526</v>
      </c>
    </row>
    <row r="49" spans="1:16">
      <c r="B49">
        <v>48</v>
      </c>
      <c r="C49">
        <v>12</v>
      </c>
      <c r="D49">
        <v>3179.2</v>
      </c>
      <c r="F49">
        <f t="shared" si="15"/>
        <v>3184.6250000000005</v>
      </c>
      <c r="G49">
        <f t="shared" si="11"/>
        <v>3185.854166666667</v>
      </c>
      <c r="H49">
        <f t="shared" si="12"/>
        <v>-6.6541666666671517</v>
      </c>
      <c r="I49">
        <v>-6.6541666666671517</v>
      </c>
      <c r="J49">
        <v>-64.902054398148081</v>
      </c>
      <c r="K49">
        <f t="shared" si="13"/>
        <v>3244.1020543981481</v>
      </c>
      <c r="L49">
        <f t="shared" si="4"/>
        <v>3304</v>
      </c>
      <c r="M49">
        <f t="shared" si="5"/>
        <v>3239.0979456018517</v>
      </c>
      <c r="N49">
        <f t="shared" si="14"/>
        <v>-59.897945601851916</v>
      </c>
      <c r="O49">
        <f t="shared" si="7"/>
        <v>-127.95870949074076</v>
      </c>
      <c r="P49">
        <f t="shared" si="8"/>
        <v>68.060763888888843</v>
      </c>
    </row>
    <row r="50" spans="1:16">
      <c r="A50">
        <v>5</v>
      </c>
      <c r="B50">
        <v>49</v>
      </c>
      <c r="C50">
        <v>1</v>
      </c>
      <c r="D50">
        <v>3005.9</v>
      </c>
      <c r="F50">
        <f t="shared" si="15"/>
        <v>3187.0833333333335</v>
      </c>
      <c r="G50">
        <f t="shared" si="11"/>
        <v>3188.9833333333336</v>
      </c>
      <c r="H50">
        <f t="shared" si="12"/>
        <v>-183.08333333333348</v>
      </c>
      <c r="I50">
        <v>-183.08333333333348</v>
      </c>
      <c r="J50">
        <v>-91.005179398147831</v>
      </c>
      <c r="K50">
        <f t="shared" si="13"/>
        <v>3096.905179398148</v>
      </c>
      <c r="L50">
        <f t="shared" si="4"/>
        <v>3312.25</v>
      </c>
      <c r="M50">
        <f t="shared" si="5"/>
        <v>3221.2448206018521</v>
      </c>
      <c r="N50">
        <f t="shared" si="14"/>
        <v>-215.34482060185201</v>
      </c>
      <c r="O50">
        <f t="shared" si="7"/>
        <v>-153.4105613425927</v>
      </c>
      <c r="P50">
        <f t="shared" si="8"/>
        <v>-61.934259259259306</v>
      </c>
    </row>
    <row r="51" spans="1:16">
      <c r="B51">
        <v>50</v>
      </c>
      <c r="C51">
        <v>2</v>
      </c>
      <c r="D51">
        <v>3004.8</v>
      </c>
      <c r="F51">
        <f t="shared" si="15"/>
        <v>3190.8833333333332</v>
      </c>
      <c r="G51">
        <f t="shared" si="11"/>
        <v>3197.8249999999998</v>
      </c>
      <c r="H51">
        <f t="shared" si="12"/>
        <v>-193.02499999999964</v>
      </c>
      <c r="I51">
        <v>-193.02499999999964</v>
      </c>
      <c r="J51">
        <v>-130.71108217592581</v>
      </c>
      <c r="K51">
        <f t="shared" si="13"/>
        <v>3135.5110821759258</v>
      </c>
      <c r="L51">
        <f t="shared" si="4"/>
        <v>3320.5</v>
      </c>
      <c r="M51">
        <f t="shared" si="5"/>
        <v>3189.7889178240744</v>
      </c>
      <c r="N51">
        <f t="shared" si="14"/>
        <v>-184.98891782407418</v>
      </c>
      <c r="O51">
        <f t="shared" si="7"/>
        <v>-206.66901041666674</v>
      </c>
      <c r="P51">
        <f t="shared" si="8"/>
        <v>21.680092592592558</v>
      </c>
    </row>
    <row r="52" spans="1:16">
      <c r="B52">
        <v>51</v>
      </c>
      <c r="C52">
        <v>3</v>
      </c>
      <c r="D52">
        <v>2931.1</v>
      </c>
      <c r="F52">
        <f t="shared" si="15"/>
        <v>3204.7666666666664</v>
      </c>
      <c r="G52">
        <f t="shared" si="11"/>
        <v>3205.3583333333327</v>
      </c>
      <c r="H52">
        <f t="shared" si="12"/>
        <v>-274.25833333333276</v>
      </c>
      <c r="I52">
        <v>-274.25833333333276</v>
      </c>
      <c r="J52">
        <v>-177.97670717592592</v>
      </c>
      <c r="K52">
        <f t="shared" si="13"/>
        <v>3109.076707175926</v>
      </c>
      <c r="L52">
        <f t="shared" si="4"/>
        <v>3328.75</v>
      </c>
      <c r="M52">
        <f t="shared" si="5"/>
        <v>3150.7732928240739</v>
      </c>
      <c r="N52">
        <f t="shared" si="14"/>
        <v>-219.673292824074</v>
      </c>
      <c r="O52">
        <f t="shared" si="7"/>
        <v>-211.42618634259256</v>
      </c>
      <c r="P52">
        <f t="shared" si="8"/>
        <v>-8.2471064814814383</v>
      </c>
    </row>
    <row r="53" spans="1:16">
      <c r="B53">
        <v>52</v>
      </c>
      <c r="C53">
        <v>4</v>
      </c>
      <c r="D53">
        <v>3103.5</v>
      </c>
      <c r="F53">
        <f t="shared" si="15"/>
        <v>3205.9499999999994</v>
      </c>
      <c r="G53">
        <f t="shared" si="11"/>
        <v>3208.2249999999995</v>
      </c>
      <c r="H53">
        <f t="shared" si="12"/>
        <v>-104.72499999999945</v>
      </c>
      <c r="I53">
        <v>-104.72499999999945</v>
      </c>
      <c r="J53">
        <v>-3.8836516203703066</v>
      </c>
      <c r="K53">
        <f t="shared" si="13"/>
        <v>3107.3836516203705</v>
      </c>
      <c r="L53">
        <f t="shared" si="4"/>
        <v>3337</v>
      </c>
      <c r="M53">
        <f t="shared" si="5"/>
        <v>3333.1163483796295</v>
      </c>
      <c r="N53">
        <f t="shared" si="14"/>
        <v>-229.61634837962947</v>
      </c>
      <c r="O53">
        <f t="shared" si="7"/>
        <v>-248.88081597222208</v>
      </c>
      <c r="P53">
        <f t="shared" si="8"/>
        <v>19.264467592592609</v>
      </c>
    </row>
    <row r="54" spans="1:16">
      <c r="B54">
        <v>53</v>
      </c>
      <c r="C54">
        <v>5</v>
      </c>
      <c r="D54">
        <v>3054.9</v>
      </c>
      <c r="F54">
        <f t="shared" si="15"/>
        <v>3210.5</v>
      </c>
      <c r="G54">
        <f t="shared" si="11"/>
        <v>3215.9541666666664</v>
      </c>
      <c r="H54">
        <f t="shared" si="12"/>
        <v>-161.05416666666633</v>
      </c>
      <c r="I54">
        <v>-161.05416666666633</v>
      </c>
      <c r="J54">
        <v>7.0028067129630491</v>
      </c>
      <c r="K54">
        <f t="shared" si="13"/>
        <v>3047.8971932870372</v>
      </c>
      <c r="L54">
        <f t="shared" si="4"/>
        <v>3345.25</v>
      </c>
      <c r="M54">
        <f t="shared" si="5"/>
        <v>3352.2528067129629</v>
      </c>
      <c r="N54">
        <f t="shared" si="14"/>
        <v>-297.35280671296277</v>
      </c>
      <c r="O54">
        <f t="shared" si="7"/>
        <v>-194.50651041666652</v>
      </c>
      <c r="P54">
        <f t="shared" si="8"/>
        <v>-102.84629629629626</v>
      </c>
    </row>
    <row r="55" spans="1:16">
      <c r="B55">
        <v>54</v>
      </c>
      <c r="C55">
        <v>6</v>
      </c>
      <c r="D55">
        <v>3425.6</v>
      </c>
      <c r="F55">
        <f t="shared" si="15"/>
        <v>3221.4083333333333</v>
      </c>
      <c r="G55">
        <f t="shared" si="11"/>
        <v>3228.3208333333332</v>
      </c>
      <c r="H55">
        <f t="shared" si="12"/>
        <v>197.2791666666667</v>
      </c>
      <c r="I55">
        <v>197.2791666666667</v>
      </c>
      <c r="J55">
        <v>128.65037615740735</v>
      </c>
      <c r="K55">
        <f t="shared" si="13"/>
        <v>3296.9496238425927</v>
      </c>
      <c r="L55">
        <f t="shared" si="4"/>
        <v>3353.5</v>
      </c>
      <c r="M55">
        <f t="shared" si="5"/>
        <v>3482.1503761574072</v>
      </c>
      <c r="N55">
        <f t="shared" si="14"/>
        <v>-56.5503761574073</v>
      </c>
      <c r="O55">
        <f t="shared" si="7"/>
        <v>-121.80882523148132</v>
      </c>
      <c r="P55">
        <f t="shared" si="8"/>
        <v>65.258449074074022</v>
      </c>
    </row>
    <row r="56" spans="1:16">
      <c r="B56">
        <v>55</v>
      </c>
      <c r="C56">
        <v>7</v>
      </c>
      <c r="D56">
        <v>3414.1</v>
      </c>
      <c r="F56">
        <f t="shared" si="15"/>
        <v>3235.2333333333331</v>
      </c>
      <c r="G56">
        <f t="shared" si="11"/>
        <v>3245.1083333333336</v>
      </c>
      <c r="H56">
        <f t="shared" si="12"/>
        <v>168.99166666666633</v>
      </c>
      <c r="I56">
        <v>168.99166666666633</v>
      </c>
      <c r="J56">
        <v>63.873292824073964</v>
      </c>
      <c r="K56">
        <f t="shared" si="13"/>
        <v>3350.2267071759261</v>
      </c>
      <c r="L56">
        <f t="shared" si="4"/>
        <v>3361.75</v>
      </c>
      <c r="M56">
        <f t="shared" si="5"/>
        <v>3425.6232928240738</v>
      </c>
      <c r="N56">
        <f t="shared" si="14"/>
        <v>-11.523292824073906</v>
      </c>
      <c r="O56">
        <f t="shared" si="7"/>
        <v>-69.5903067129628</v>
      </c>
      <c r="P56">
        <f t="shared" si="8"/>
        <v>58.067013888888894</v>
      </c>
    </row>
    <row r="57" spans="1:16">
      <c r="B57">
        <v>56</v>
      </c>
      <c r="C57">
        <v>8</v>
      </c>
      <c r="D57">
        <v>3342.7</v>
      </c>
      <c r="F57">
        <f t="shared" si="15"/>
        <v>3254.9833333333336</v>
      </c>
      <c r="G57">
        <f t="shared" si="11"/>
        <v>3266.7458333333334</v>
      </c>
      <c r="H57">
        <f t="shared" si="12"/>
        <v>75.954166666666424</v>
      </c>
      <c r="I57">
        <v>75.954166666666424</v>
      </c>
      <c r="J57">
        <v>113.39725115740724</v>
      </c>
      <c r="K57">
        <f t="shared" si="13"/>
        <v>3229.3027488425928</v>
      </c>
      <c r="L57">
        <f t="shared" si="4"/>
        <v>3370</v>
      </c>
      <c r="M57">
        <f t="shared" si="5"/>
        <v>3483.397251157407</v>
      </c>
      <c r="N57">
        <f t="shared" si="14"/>
        <v>-140.69725115740721</v>
      </c>
      <c r="O57">
        <f t="shared" si="7"/>
        <v>-63.590422453703617</v>
      </c>
      <c r="P57">
        <f t="shared" si="8"/>
        <v>-77.106828703703599</v>
      </c>
    </row>
    <row r="58" spans="1:16">
      <c r="B58">
        <v>57</v>
      </c>
      <c r="C58">
        <v>9</v>
      </c>
      <c r="D58">
        <v>3395.7</v>
      </c>
      <c r="F58">
        <f t="shared" si="15"/>
        <v>3278.5083333333337</v>
      </c>
      <c r="G58">
        <f t="shared" si="11"/>
        <v>3298.9041666666667</v>
      </c>
      <c r="H58">
        <f t="shared" si="12"/>
        <v>96.795833333333121</v>
      </c>
      <c r="I58">
        <v>96.795833333333121</v>
      </c>
      <c r="J58">
        <v>56.000723379629449</v>
      </c>
      <c r="K58">
        <f t="shared" si="13"/>
        <v>3339.6992766203703</v>
      </c>
      <c r="L58">
        <f t="shared" si="4"/>
        <v>3378.25</v>
      </c>
      <c r="M58">
        <f t="shared" si="5"/>
        <v>3434.2507233796296</v>
      </c>
      <c r="N58">
        <f t="shared" si="14"/>
        <v>-38.550723379629744</v>
      </c>
      <c r="O58">
        <f t="shared" si="7"/>
        <v>-61.30627893518507</v>
      </c>
      <c r="P58">
        <f t="shared" si="8"/>
        <v>22.755555555555325</v>
      </c>
    </row>
    <row r="59" spans="1:16">
      <c r="B59">
        <v>58</v>
      </c>
      <c r="C59">
        <v>10</v>
      </c>
      <c r="D59">
        <v>3419.5</v>
      </c>
      <c r="F59">
        <f t="shared" si="15"/>
        <v>3319.2999999999997</v>
      </c>
      <c r="G59">
        <f t="shared" si="11"/>
        <v>3339.520833333333</v>
      </c>
      <c r="H59">
        <f t="shared" si="12"/>
        <v>79.97916666666697</v>
      </c>
      <c r="I59">
        <v>79.97916666666697</v>
      </c>
      <c r="J59">
        <v>37.670862268518434</v>
      </c>
      <c r="K59">
        <f t="shared" si="13"/>
        <v>3381.8291377314818</v>
      </c>
      <c r="L59">
        <f t="shared" si="4"/>
        <v>3386.5</v>
      </c>
      <c r="M59">
        <f t="shared" si="5"/>
        <v>3424.1708622685182</v>
      </c>
      <c r="N59">
        <f t="shared" si="14"/>
        <v>-4.670862268518249</v>
      </c>
      <c r="O59">
        <f t="shared" si="7"/>
        <v>-39.984982638888745</v>
      </c>
      <c r="P59">
        <f t="shared" si="8"/>
        <v>35.314120370370496</v>
      </c>
    </row>
    <row r="60" spans="1:16">
      <c r="B60">
        <v>59</v>
      </c>
      <c r="C60">
        <v>11</v>
      </c>
      <c r="D60">
        <v>3379.9</v>
      </c>
      <c r="F60">
        <f t="shared" si="15"/>
        <v>3359.7416666666668</v>
      </c>
      <c r="G60">
        <f t="shared" si="11"/>
        <v>3377.4291666666668</v>
      </c>
      <c r="H60">
        <f t="shared" si="12"/>
        <v>2.470833333333303</v>
      </c>
      <c r="I60">
        <v>2.470833333333303</v>
      </c>
      <c r="J60">
        <v>61.883362268518454</v>
      </c>
      <c r="K60">
        <f t="shared" si="13"/>
        <v>3318.0166377314818</v>
      </c>
      <c r="L60">
        <f t="shared" si="4"/>
        <v>3394.75</v>
      </c>
      <c r="M60">
        <f t="shared" si="5"/>
        <v>3456.6333622685183</v>
      </c>
      <c r="N60">
        <f t="shared" si="14"/>
        <v>-76.733362268518249</v>
      </c>
      <c r="O60">
        <f t="shared" si="7"/>
        <v>-24.800723379629442</v>
      </c>
      <c r="P60">
        <f t="shared" si="8"/>
        <v>-51.932638888888803</v>
      </c>
    </row>
    <row r="61" spans="1:16">
      <c r="B61">
        <v>60</v>
      </c>
      <c r="C61">
        <v>12</v>
      </c>
      <c r="D61">
        <v>3345.1</v>
      </c>
      <c r="F61">
        <f t="shared" si="15"/>
        <v>3395.1166666666668</v>
      </c>
      <c r="G61">
        <f t="shared" si="11"/>
        <v>3407.3291666666664</v>
      </c>
      <c r="H61">
        <f t="shared" si="12"/>
        <v>-62.229166666666515</v>
      </c>
      <c r="I61">
        <v>-62.229166666666515</v>
      </c>
      <c r="J61">
        <v>-64.902054398148081</v>
      </c>
      <c r="K61">
        <f t="shared" si="13"/>
        <v>3410.0020543981482</v>
      </c>
      <c r="L61">
        <f t="shared" si="4"/>
        <v>3403</v>
      </c>
      <c r="M61">
        <f t="shared" si="5"/>
        <v>3338.0979456018517</v>
      </c>
      <c r="N61">
        <f t="shared" si="14"/>
        <v>7.0020543981481751</v>
      </c>
      <c r="O61">
        <f t="shared" si="7"/>
        <v>-49.025376157407358</v>
      </c>
      <c r="P61">
        <f t="shared" si="8"/>
        <v>56.027430555555533</v>
      </c>
    </row>
    <row r="62" spans="1:16">
      <c r="A62">
        <v>6</v>
      </c>
      <c r="B62">
        <v>61</v>
      </c>
      <c r="C62">
        <v>1</v>
      </c>
      <c r="D62">
        <v>3242.9</v>
      </c>
      <c r="F62">
        <f t="shared" si="15"/>
        <v>3419.5416666666665</v>
      </c>
      <c r="G62">
        <f t="shared" si="11"/>
        <v>3426.1083333333327</v>
      </c>
      <c r="H62">
        <f t="shared" si="12"/>
        <v>-183.20833333333258</v>
      </c>
      <c r="I62">
        <v>-183.20833333333258</v>
      </c>
      <c r="J62">
        <v>-91.005179398147831</v>
      </c>
      <c r="K62">
        <f t="shared" si="13"/>
        <v>3333.905179398148</v>
      </c>
      <c r="L62">
        <f t="shared" si="4"/>
        <v>3411.25</v>
      </c>
      <c r="M62">
        <f t="shared" si="5"/>
        <v>3320.2448206018521</v>
      </c>
      <c r="N62">
        <f t="shared" si="14"/>
        <v>-77.344820601852007</v>
      </c>
      <c r="O62">
        <f t="shared" si="7"/>
        <v>-24.010561342592762</v>
      </c>
      <c r="P62">
        <f t="shared" si="8"/>
        <v>-53.334259259259241</v>
      </c>
    </row>
    <row r="63" spans="1:16">
      <c r="B63">
        <v>62</v>
      </c>
      <c r="C63">
        <v>2</v>
      </c>
      <c r="D63">
        <v>3287.1</v>
      </c>
      <c r="F63">
        <f t="shared" si="15"/>
        <v>3432.6749999999993</v>
      </c>
      <c r="G63">
        <f t="shared" si="11"/>
        <v>3443.458333333333</v>
      </c>
      <c r="H63">
        <f t="shared" si="12"/>
        <v>-156.35833333333312</v>
      </c>
      <c r="I63">
        <v>-156.35833333333312</v>
      </c>
      <c r="J63">
        <v>-130.71108217592581</v>
      </c>
      <c r="K63">
        <f t="shared" si="13"/>
        <v>3417.8110821759255</v>
      </c>
      <c r="L63">
        <f t="shared" si="4"/>
        <v>3419.5</v>
      </c>
      <c r="M63">
        <f t="shared" si="5"/>
        <v>3288.7889178240744</v>
      </c>
      <c r="N63">
        <f t="shared" si="14"/>
        <v>-1.6889178240744513</v>
      </c>
      <c r="O63">
        <f t="shared" si="7"/>
        <v>30.597656249999847</v>
      </c>
      <c r="P63">
        <f t="shared" si="8"/>
        <v>-32.286574074074295</v>
      </c>
    </row>
    <row r="64" spans="1:16">
      <c r="B64">
        <v>63</v>
      </c>
      <c r="C64">
        <v>3</v>
      </c>
      <c r="D64">
        <v>3420.6</v>
      </c>
      <c r="F64">
        <f t="shared" si="15"/>
        <v>3454.2416666666663</v>
      </c>
      <c r="G64">
        <f t="shared" si="11"/>
        <v>3460.9124999999999</v>
      </c>
      <c r="H64">
        <f t="shared" si="12"/>
        <v>-40.3125</v>
      </c>
      <c r="I64">
        <v>-40.3125</v>
      </c>
      <c r="J64">
        <v>-177.97670717592592</v>
      </c>
      <c r="K64">
        <f t="shared" si="13"/>
        <v>3598.576707175926</v>
      </c>
      <c r="L64">
        <f t="shared" si="4"/>
        <v>3427.75</v>
      </c>
      <c r="M64">
        <f t="shared" si="5"/>
        <v>3249.7732928240739</v>
      </c>
      <c r="N64">
        <f t="shared" si="14"/>
        <v>170.826707175926</v>
      </c>
      <c r="O64">
        <f t="shared" si="7"/>
        <v>108.60714699074076</v>
      </c>
      <c r="P64">
        <f t="shared" si="8"/>
        <v>62.219560185185244</v>
      </c>
    </row>
    <row r="65" spans="1:16">
      <c r="B65">
        <v>64</v>
      </c>
      <c r="C65">
        <v>4</v>
      </c>
      <c r="D65">
        <v>3588.8</v>
      </c>
      <c r="F65">
        <f t="shared" si="15"/>
        <v>3467.5833333333335</v>
      </c>
      <c r="G65">
        <f t="shared" si="11"/>
        <v>3471.5583333333334</v>
      </c>
      <c r="H65">
        <f t="shared" si="12"/>
        <v>117.24166666666679</v>
      </c>
      <c r="I65">
        <v>117.24166666666679</v>
      </c>
      <c r="J65">
        <v>-3.8836516203703066</v>
      </c>
      <c r="K65">
        <f t="shared" si="13"/>
        <v>3592.6836516203707</v>
      </c>
      <c r="L65">
        <f t="shared" si="4"/>
        <v>3436</v>
      </c>
      <c r="M65">
        <f t="shared" si="5"/>
        <v>3432.1163483796295</v>
      </c>
      <c r="N65">
        <f t="shared" si="14"/>
        <v>156.68365162037071</v>
      </c>
      <c r="O65">
        <f t="shared" si="7"/>
        <v>118.55251736111131</v>
      </c>
      <c r="P65">
        <f t="shared" si="8"/>
        <v>38.131134259259397</v>
      </c>
    </row>
    <row r="66" spans="1:16">
      <c r="B66">
        <v>65</v>
      </c>
      <c r="C66">
        <v>5</v>
      </c>
      <c r="D66">
        <v>3479.4</v>
      </c>
      <c r="F66">
        <f t="shared" si="15"/>
        <v>3475.5333333333333</v>
      </c>
      <c r="G66">
        <f t="shared" si="11"/>
        <v>3485.3041666666668</v>
      </c>
      <c r="H66">
        <f t="shared" si="12"/>
        <v>-5.904166666666697</v>
      </c>
      <c r="I66">
        <v>-5.904166666666697</v>
      </c>
      <c r="J66">
        <v>7.0028067129630491</v>
      </c>
      <c r="K66">
        <f t="shared" ref="K66:K97" si="16">D66-J66</f>
        <v>3472.3971932870372</v>
      </c>
      <c r="L66">
        <f t="shared" si="4"/>
        <v>3444.25</v>
      </c>
      <c r="M66">
        <f t="shared" si="5"/>
        <v>3451.2528067129629</v>
      </c>
      <c r="N66">
        <f t="shared" ref="N66:N97" si="17">D66-M66</f>
        <v>28.147193287037226</v>
      </c>
      <c r="O66">
        <f t="shared" si="7"/>
        <v>107.46015625000018</v>
      </c>
      <c r="P66">
        <f t="shared" si="8"/>
        <v>-79.312962962962956</v>
      </c>
    </row>
    <row r="67" spans="1:16">
      <c r="B67">
        <v>66</v>
      </c>
      <c r="C67">
        <v>6</v>
      </c>
      <c r="D67">
        <v>3718.7</v>
      </c>
      <c r="F67">
        <f t="shared" si="15"/>
        <v>3495.0750000000007</v>
      </c>
      <c r="G67">
        <f t="shared" si="11"/>
        <v>3508.0291666666672</v>
      </c>
      <c r="H67">
        <f t="shared" si="12"/>
        <v>210.67083333333267</v>
      </c>
      <c r="I67">
        <v>210.67083333333267</v>
      </c>
      <c r="J67">
        <v>128.65037615740735</v>
      </c>
      <c r="K67">
        <f t="shared" si="16"/>
        <v>3590.0496238425926</v>
      </c>
      <c r="L67">
        <f t="shared" ref="L67:L130" si="18">2908+8.25*B67</f>
        <v>3452.5</v>
      </c>
      <c r="M67">
        <f t="shared" ref="M67:M130" si="19">L67+J67</f>
        <v>3581.1503761574072</v>
      </c>
      <c r="N67">
        <f t="shared" si="17"/>
        <v>137.54962384259261</v>
      </c>
      <c r="O67">
        <f t="shared" si="7"/>
        <v>70.924508101851941</v>
      </c>
      <c r="P67">
        <f t="shared" si="8"/>
        <v>66.625115740740668</v>
      </c>
    </row>
    <row r="68" spans="1:16">
      <c r="B68">
        <v>67</v>
      </c>
      <c r="C68">
        <v>7</v>
      </c>
      <c r="D68">
        <v>3571.7</v>
      </c>
      <c r="F68">
        <f t="shared" si="15"/>
        <v>3520.9833333333336</v>
      </c>
      <c r="G68">
        <f t="shared" si="11"/>
        <v>3530.4625000000005</v>
      </c>
      <c r="H68">
        <f t="shared" si="12"/>
        <v>41.237499999999272</v>
      </c>
      <c r="I68">
        <v>41.237499999999272</v>
      </c>
      <c r="J68">
        <v>63.873292824073964</v>
      </c>
      <c r="K68">
        <f t="shared" si="16"/>
        <v>3507.826707175926</v>
      </c>
      <c r="L68">
        <f t="shared" si="18"/>
        <v>3460.75</v>
      </c>
      <c r="M68">
        <f t="shared" si="19"/>
        <v>3524.6232928240738</v>
      </c>
      <c r="N68">
        <f t="shared" si="17"/>
        <v>47.076707175926003</v>
      </c>
      <c r="O68">
        <f t="shared" ref="O68:O131" si="20">AVERAGE(N67:N69)</f>
        <v>67.9096932870372</v>
      </c>
      <c r="P68">
        <f t="shared" ref="P68:P131" si="21">N68-O68</f>
        <v>-20.832986111111197</v>
      </c>
    </row>
    <row r="69" spans="1:16">
      <c r="B69">
        <v>68</v>
      </c>
      <c r="C69">
        <v>8</v>
      </c>
      <c r="D69">
        <v>3601.5</v>
      </c>
      <c r="F69">
        <f t="shared" si="15"/>
        <v>3539.9416666666671</v>
      </c>
      <c r="G69">
        <f t="shared" si="11"/>
        <v>3545.7500000000005</v>
      </c>
      <c r="H69">
        <f t="shared" si="12"/>
        <v>55.749999999999545</v>
      </c>
      <c r="I69">
        <v>55.749999999999545</v>
      </c>
      <c r="J69">
        <v>113.39725115740724</v>
      </c>
      <c r="K69">
        <f t="shared" si="16"/>
        <v>3488.102748842593</v>
      </c>
      <c r="L69">
        <f t="shared" si="18"/>
        <v>3469</v>
      </c>
      <c r="M69">
        <f t="shared" si="19"/>
        <v>3582.397251157407</v>
      </c>
      <c r="N69">
        <f t="shared" si="17"/>
        <v>19.102748842592973</v>
      </c>
      <c r="O69">
        <f t="shared" si="20"/>
        <v>29.5762442129632</v>
      </c>
      <c r="P69">
        <f t="shared" si="21"/>
        <v>-10.473495370370227</v>
      </c>
    </row>
    <row r="70" spans="1:16">
      <c r="B70">
        <v>69</v>
      </c>
      <c r="C70">
        <v>9</v>
      </c>
      <c r="D70">
        <v>3555.8</v>
      </c>
      <c r="F70">
        <f t="shared" si="15"/>
        <v>3551.5583333333338</v>
      </c>
      <c r="G70">
        <f t="shared" si="11"/>
        <v>3546.8666666666672</v>
      </c>
      <c r="H70">
        <f t="shared" si="12"/>
        <v>8.9333333333329392</v>
      </c>
      <c r="I70">
        <v>8.9333333333329392</v>
      </c>
      <c r="J70">
        <v>56.000723379629449</v>
      </c>
      <c r="K70">
        <f t="shared" si="16"/>
        <v>3499.7992766203706</v>
      </c>
      <c r="L70">
        <f t="shared" si="18"/>
        <v>3477.25</v>
      </c>
      <c r="M70">
        <f t="shared" si="19"/>
        <v>3533.2507233796296</v>
      </c>
      <c r="N70">
        <f t="shared" si="17"/>
        <v>22.54927662037062</v>
      </c>
      <c r="O70">
        <f t="shared" si="20"/>
        <v>11.127054398148479</v>
      </c>
      <c r="P70">
        <f t="shared" si="21"/>
        <v>11.422222222222141</v>
      </c>
    </row>
    <row r="71" spans="1:16">
      <c r="B71">
        <v>70</v>
      </c>
      <c r="C71">
        <v>10</v>
      </c>
      <c r="D71">
        <v>3514.9</v>
      </c>
      <c r="F71">
        <f t="shared" si="15"/>
        <v>3542.1750000000006</v>
      </c>
      <c r="G71">
        <f t="shared" si="11"/>
        <v>3538.0250000000005</v>
      </c>
      <c r="H71">
        <f t="shared" si="12"/>
        <v>-23.125000000000455</v>
      </c>
      <c r="I71">
        <v>-23.125000000000455</v>
      </c>
      <c r="J71">
        <v>37.670862268518434</v>
      </c>
      <c r="K71">
        <f t="shared" si="16"/>
        <v>3477.2291377314818</v>
      </c>
      <c r="L71">
        <f t="shared" si="18"/>
        <v>3485.5</v>
      </c>
      <c r="M71">
        <f t="shared" si="19"/>
        <v>3523.1708622685182</v>
      </c>
      <c r="N71">
        <f t="shared" si="17"/>
        <v>-8.2708622685181581</v>
      </c>
      <c r="O71">
        <f t="shared" si="20"/>
        <v>24.348350694444736</v>
      </c>
      <c r="P71">
        <f t="shared" si="21"/>
        <v>-32.619212962962891</v>
      </c>
    </row>
    <row r="72" spans="1:16">
      <c r="B72">
        <v>71</v>
      </c>
      <c r="C72">
        <v>11</v>
      </c>
      <c r="D72">
        <v>3614.4</v>
      </c>
      <c r="F72">
        <f t="shared" ref="F72:F103" si="22">AVERAGE(D66:D77)</f>
        <v>3533.875</v>
      </c>
      <c r="G72">
        <f t="shared" si="11"/>
        <v>3536.9000000000005</v>
      </c>
      <c r="H72">
        <f t="shared" si="12"/>
        <v>77.499999999999545</v>
      </c>
      <c r="I72">
        <v>77.499999999999545</v>
      </c>
      <c r="J72">
        <v>61.883362268518454</v>
      </c>
      <c r="K72">
        <f t="shared" si="16"/>
        <v>3552.5166377314818</v>
      </c>
      <c r="L72">
        <f t="shared" si="18"/>
        <v>3493.75</v>
      </c>
      <c r="M72">
        <f t="shared" si="19"/>
        <v>3555.6333622685183</v>
      </c>
      <c r="N72">
        <f t="shared" si="17"/>
        <v>58.766637731481751</v>
      </c>
      <c r="O72">
        <f t="shared" si="20"/>
        <v>89.79927662037062</v>
      </c>
      <c r="P72">
        <f t="shared" si="21"/>
        <v>-31.032638888888869</v>
      </c>
    </row>
    <row r="73" spans="1:16">
      <c r="B73">
        <v>72</v>
      </c>
      <c r="C73">
        <v>12</v>
      </c>
      <c r="D73">
        <v>3656</v>
      </c>
      <c r="F73">
        <f t="shared" si="22"/>
        <v>3539.9250000000006</v>
      </c>
      <c r="G73">
        <f t="shared" ref="G73:G136" si="23">AVERAGE(F73:F74)</f>
        <v>3545.8</v>
      </c>
      <c r="H73">
        <f t="shared" ref="H73:H136" si="24">D73-G73</f>
        <v>110.19999999999982</v>
      </c>
      <c r="I73">
        <v>110.19999999999982</v>
      </c>
      <c r="J73">
        <v>-64.902054398148081</v>
      </c>
      <c r="K73">
        <f t="shared" si="16"/>
        <v>3720.9020543981483</v>
      </c>
      <c r="L73">
        <f t="shared" si="18"/>
        <v>3502</v>
      </c>
      <c r="M73">
        <f t="shared" si="19"/>
        <v>3437.0979456018517</v>
      </c>
      <c r="N73">
        <f t="shared" si="17"/>
        <v>218.90205439814827</v>
      </c>
      <c r="O73">
        <f t="shared" si="20"/>
        <v>109.607957175926</v>
      </c>
      <c r="P73">
        <f t="shared" si="21"/>
        <v>109.29409722222226</v>
      </c>
    </row>
    <row r="74" spans="1:16">
      <c r="A74">
        <v>7</v>
      </c>
      <c r="B74">
        <v>73</v>
      </c>
      <c r="C74">
        <v>1</v>
      </c>
      <c r="D74">
        <v>3470.4</v>
      </c>
      <c r="F74">
        <f t="shared" si="22"/>
        <v>3551.6749999999997</v>
      </c>
      <c r="G74">
        <f t="shared" si="23"/>
        <v>3554.5166666666664</v>
      </c>
      <c r="H74">
        <f t="shared" si="24"/>
        <v>-84.116666666666333</v>
      </c>
      <c r="I74">
        <v>-84.116666666666333</v>
      </c>
      <c r="J74">
        <v>-91.005179398147831</v>
      </c>
      <c r="K74">
        <f t="shared" si="16"/>
        <v>3561.405179398148</v>
      </c>
      <c r="L74">
        <f t="shared" si="18"/>
        <v>3510.25</v>
      </c>
      <c r="M74">
        <f t="shared" si="19"/>
        <v>3419.2448206018521</v>
      </c>
      <c r="N74">
        <f t="shared" si="17"/>
        <v>51.155179398147993</v>
      </c>
      <c r="O74">
        <f t="shared" si="20"/>
        <v>102.92277199074063</v>
      </c>
      <c r="P74">
        <f t="shared" si="21"/>
        <v>-51.767592592592635</v>
      </c>
    </row>
    <row r="75" spans="1:16">
      <c r="B75">
        <v>74</v>
      </c>
      <c r="C75">
        <v>2</v>
      </c>
      <c r="D75">
        <v>3426.5</v>
      </c>
      <c r="F75">
        <f t="shared" si="22"/>
        <v>3557.3583333333331</v>
      </c>
      <c r="G75">
        <f t="shared" si="23"/>
        <v>3567.8874999999998</v>
      </c>
      <c r="H75">
        <f t="shared" si="24"/>
        <v>-141.38749999999982</v>
      </c>
      <c r="I75">
        <v>-141.38749999999982</v>
      </c>
      <c r="J75">
        <v>-130.71108217592581</v>
      </c>
      <c r="K75">
        <f t="shared" si="16"/>
        <v>3557.2110821759256</v>
      </c>
      <c r="L75">
        <f t="shared" si="18"/>
        <v>3518.5</v>
      </c>
      <c r="M75">
        <f t="shared" si="19"/>
        <v>3387.7889178240744</v>
      </c>
      <c r="N75">
        <f t="shared" si="17"/>
        <v>38.71108217592564</v>
      </c>
      <c r="O75">
        <f t="shared" si="20"/>
        <v>16.364322916666577</v>
      </c>
      <c r="P75">
        <f t="shared" si="21"/>
        <v>22.346759259259063</v>
      </c>
    </row>
    <row r="76" spans="1:16">
      <c r="B76">
        <v>75</v>
      </c>
      <c r="C76">
        <v>3</v>
      </c>
      <c r="D76">
        <v>3308</v>
      </c>
      <c r="F76">
        <f t="shared" si="22"/>
        <v>3578.4166666666665</v>
      </c>
      <c r="G76">
        <f t="shared" si="23"/>
        <v>3584.333333333333</v>
      </c>
      <c r="H76">
        <f t="shared" si="24"/>
        <v>-276.33333333333303</v>
      </c>
      <c r="I76">
        <v>-276.33333333333303</v>
      </c>
      <c r="J76">
        <v>-177.97670717592592</v>
      </c>
      <c r="K76">
        <f t="shared" si="16"/>
        <v>3485.9767071759261</v>
      </c>
      <c r="L76">
        <f t="shared" si="18"/>
        <v>3526.75</v>
      </c>
      <c r="M76">
        <f t="shared" si="19"/>
        <v>3348.7732928240739</v>
      </c>
      <c r="N76">
        <f t="shared" si="17"/>
        <v>-40.773292824073906</v>
      </c>
      <c r="O76">
        <f t="shared" si="20"/>
        <v>-14.659519675925972</v>
      </c>
      <c r="P76">
        <f t="shared" si="21"/>
        <v>-26.113773148147935</v>
      </c>
    </row>
    <row r="77" spans="1:16">
      <c r="B77">
        <v>76</v>
      </c>
      <c r="C77">
        <v>4</v>
      </c>
      <c r="D77">
        <v>3489.2</v>
      </c>
      <c r="F77">
        <f t="shared" si="22"/>
        <v>3590.25</v>
      </c>
      <c r="G77">
        <f t="shared" si="23"/>
        <v>3593.0458333333336</v>
      </c>
      <c r="H77">
        <f t="shared" si="24"/>
        <v>-103.84583333333376</v>
      </c>
      <c r="I77">
        <v>-103.84583333333376</v>
      </c>
      <c r="J77">
        <v>-3.8836516203703066</v>
      </c>
      <c r="K77">
        <f t="shared" si="16"/>
        <v>3493.0836516203703</v>
      </c>
      <c r="L77">
        <f t="shared" si="18"/>
        <v>3535</v>
      </c>
      <c r="M77">
        <f t="shared" si="19"/>
        <v>3531.1163483796295</v>
      </c>
      <c r="N77">
        <f t="shared" si="17"/>
        <v>-41.916348379629653</v>
      </c>
      <c r="O77">
        <f t="shared" si="20"/>
        <v>-26.980815972222143</v>
      </c>
      <c r="P77">
        <f t="shared" si="21"/>
        <v>-14.935532407407511</v>
      </c>
    </row>
    <row r="78" spans="1:16">
      <c r="B78">
        <v>77</v>
      </c>
      <c r="C78">
        <v>5</v>
      </c>
      <c r="D78">
        <v>3552</v>
      </c>
      <c r="F78">
        <f t="shared" si="22"/>
        <v>3595.8416666666672</v>
      </c>
      <c r="G78">
        <f t="shared" si="23"/>
        <v>3597.4416666666675</v>
      </c>
      <c r="H78">
        <f t="shared" si="24"/>
        <v>-45.441666666667516</v>
      </c>
      <c r="I78">
        <v>-45.441666666667516</v>
      </c>
      <c r="J78">
        <v>7.0028067129630491</v>
      </c>
      <c r="K78">
        <f t="shared" si="16"/>
        <v>3544.9971932870371</v>
      </c>
      <c r="L78">
        <f t="shared" si="18"/>
        <v>3543.25</v>
      </c>
      <c r="M78">
        <f t="shared" si="19"/>
        <v>3550.2528067129629</v>
      </c>
      <c r="N78">
        <f t="shared" si="17"/>
        <v>1.7471932870371347</v>
      </c>
      <c r="O78">
        <f t="shared" si="20"/>
        <v>46.460156250000033</v>
      </c>
      <c r="P78">
        <f t="shared" si="21"/>
        <v>-44.712962962962898</v>
      </c>
    </row>
    <row r="79" spans="1:16">
      <c r="B79">
        <v>78</v>
      </c>
      <c r="C79">
        <v>6</v>
      </c>
      <c r="D79">
        <v>3859.7</v>
      </c>
      <c r="F79">
        <f t="shared" si="22"/>
        <v>3599.0416666666674</v>
      </c>
      <c r="G79">
        <f t="shared" si="23"/>
        <v>3591.4875000000002</v>
      </c>
      <c r="H79">
        <f t="shared" si="24"/>
        <v>268.21249999999964</v>
      </c>
      <c r="I79">
        <v>268.21249999999964</v>
      </c>
      <c r="J79">
        <v>128.65037615740735</v>
      </c>
      <c r="K79">
        <f t="shared" si="16"/>
        <v>3731.0496238425926</v>
      </c>
      <c r="L79">
        <f t="shared" si="18"/>
        <v>3551.5</v>
      </c>
      <c r="M79">
        <f t="shared" si="19"/>
        <v>3680.1503761574072</v>
      </c>
      <c r="N79">
        <f t="shared" si="17"/>
        <v>179.54962384259261</v>
      </c>
      <c r="O79">
        <f t="shared" si="20"/>
        <v>65.857841435185335</v>
      </c>
      <c r="P79">
        <f t="shared" si="21"/>
        <v>113.69178240740727</v>
      </c>
    </row>
    <row r="80" spans="1:16">
      <c r="B80">
        <v>79</v>
      </c>
      <c r="C80">
        <v>7</v>
      </c>
      <c r="D80">
        <v>3639.9</v>
      </c>
      <c r="F80">
        <f t="shared" si="22"/>
        <v>3583.9333333333329</v>
      </c>
      <c r="G80">
        <f t="shared" si="23"/>
        <v>3581.5791666666664</v>
      </c>
      <c r="H80">
        <f t="shared" si="24"/>
        <v>58.320833333333667</v>
      </c>
      <c r="I80">
        <v>58.320833333333667</v>
      </c>
      <c r="J80">
        <v>63.873292824073964</v>
      </c>
      <c r="K80">
        <f t="shared" si="16"/>
        <v>3576.0267071759263</v>
      </c>
      <c r="L80">
        <f t="shared" si="18"/>
        <v>3559.75</v>
      </c>
      <c r="M80">
        <f t="shared" si="19"/>
        <v>3623.6232928240738</v>
      </c>
      <c r="N80">
        <f t="shared" si="17"/>
        <v>16.276707175926276</v>
      </c>
      <c r="O80">
        <f t="shared" si="20"/>
        <v>122.8763599537039</v>
      </c>
      <c r="P80">
        <f t="shared" si="21"/>
        <v>-106.59965277777762</v>
      </c>
    </row>
    <row r="81" spans="1:16">
      <c r="B81">
        <v>80</v>
      </c>
      <c r="C81">
        <v>8</v>
      </c>
      <c r="D81">
        <v>3854.2</v>
      </c>
      <c r="F81">
        <f t="shared" si="22"/>
        <v>3579.2250000000004</v>
      </c>
      <c r="G81">
        <f t="shared" si="23"/>
        <v>3583.1583333333338</v>
      </c>
      <c r="H81">
        <f t="shared" si="24"/>
        <v>271.04166666666606</v>
      </c>
      <c r="I81">
        <v>271.04166666666606</v>
      </c>
      <c r="J81">
        <v>113.39725115740724</v>
      </c>
      <c r="K81">
        <f t="shared" si="16"/>
        <v>3740.8027488425928</v>
      </c>
      <c r="L81">
        <f t="shared" si="18"/>
        <v>3568</v>
      </c>
      <c r="M81">
        <f t="shared" si="19"/>
        <v>3681.397251157407</v>
      </c>
      <c r="N81">
        <f t="shared" si="17"/>
        <v>172.80274884259279</v>
      </c>
      <c r="O81">
        <f t="shared" si="20"/>
        <v>84.876244212963229</v>
      </c>
      <c r="P81">
        <f t="shared" si="21"/>
        <v>87.926504629629562</v>
      </c>
    </row>
    <row r="82" spans="1:16">
      <c r="B82">
        <v>81</v>
      </c>
      <c r="C82">
        <v>9</v>
      </c>
      <c r="D82">
        <v>3697.8</v>
      </c>
      <c r="F82">
        <f t="shared" si="22"/>
        <v>3587.0916666666672</v>
      </c>
      <c r="G82">
        <f t="shared" si="23"/>
        <v>3593.625</v>
      </c>
      <c r="H82">
        <f t="shared" si="24"/>
        <v>104.17500000000018</v>
      </c>
      <c r="I82">
        <v>104.17500000000018</v>
      </c>
      <c r="J82">
        <v>56.000723379629449</v>
      </c>
      <c r="K82">
        <f t="shared" si="16"/>
        <v>3641.7992766203706</v>
      </c>
      <c r="L82">
        <f t="shared" si="18"/>
        <v>3576.25</v>
      </c>
      <c r="M82">
        <f t="shared" si="19"/>
        <v>3632.2507233796296</v>
      </c>
      <c r="N82">
        <f t="shared" si="17"/>
        <v>65.54927662037062</v>
      </c>
      <c r="O82">
        <f t="shared" si="20"/>
        <v>66.060387731481725</v>
      </c>
      <c r="P82">
        <f t="shared" si="21"/>
        <v>-0.51111111111110574</v>
      </c>
    </row>
    <row r="83" spans="1:16">
      <c r="B83">
        <v>82</v>
      </c>
      <c r="C83">
        <v>10</v>
      </c>
      <c r="D83">
        <v>3582</v>
      </c>
      <c r="F83">
        <f t="shared" si="22"/>
        <v>3600.1583333333333</v>
      </c>
      <c r="G83">
        <f t="shared" si="23"/>
        <v>3609.5041666666666</v>
      </c>
      <c r="H83">
        <f t="shared" si="24"/>
        <v>-27.504166666666606</v>
      </c>
      <c r="I83">
        <v>-27.504166666666606</v>
      </c>
      <c r="J83">
        <v>37.670862268518434</v>
      </c>
      <c r="K83">
        <f t="shared" si="16"/>
        <v>3544.3291377314818</v>
      </c>
      <c r="L83">
        <f t="shared" si="18"/>
        <v>3584.5</v>
      </c>
      <c r="M83">
        <f t="shared" si="19"/>
        <v>3622.1708622685182</v>
      </c>
      <c r="N83">
        <f t="shared" si="17"/>
        <v>-40.170862268518249</v>
      </c>
      <c r="O83">
        <f t="shared" si="20"/>
        <v>7.8483506944447372</v>
      </c>
      <c r="P83">
        <f t="shared" si="21"/>
        <v>-48.019212962962989</v>
      </c>
    </row>
    <row r="84" spans="1:16">
      <c r="B84">
        <v>83</v>
      </c>
      <c r="C84">
        <v>11</v>
      </c>
      <c r="D84">
        <v>3652.8</v>
      </c>
      <c r="F84">
        <f t="shared" si="22"/>
        <v>3618.8500000000004</v>
      </c>
      <c r="G84">
        <f t="shared" si="23"/>
        <v>3624.5958333333338</v>
      </c>
      <c r="H84">
        <f t="shared" si="24"/>
        <v>28.204166666666424</v>
      </c>
      <c r="I84">
        <v>28.204166666666424</v>
      </c>
      <c r="J84">
        <v>61.883362268518454</v>
      </c>
      <c r="K84">
        <f t="shared" si="16"/>
        <v>3590.9166377314818</v>
      </c>
      <c r="L84">
        <f t="shared" si="18"/>
        <v>3592.75</v>
      </c>
      <c r="M84">
        <f t="shared" si="19"/>
        <v>3654.6333622685183</v>
      </c>
      <c r="N84">
        <f t="shared" si="17"/>
        <v>-1.8333622685181581</v>
      </c>
      <c r="O84">
        <f t="shared" si="20"/>
        <v>-34.46739004629611</v>
      </c>
      <c r="P84">
        <f t="shared" si="21"/>
        <v>32.634027777777952</v>
      </c>
    </row>
    <row r="85" spans="1:16">
      <c r="B85">
        <v>84</v>
      </c>
      <c r="C85">
        <v>12</v>
      </c>
      <c r="D85">
        <v>3474.7</v>
      </c>
      <c r="F85">
        <f t="shared" si="22"/>
        <v>3630.3416666666672</v>
      </c>
      <c r="G85">
        <f t="shared" si="23"/>
        <v>3628.6875</v>
      </c>
      <c r="H85">
        <f t="shared" si="24"/>
        <v>-153.98750000000018</v>
      </c>
      <c r="I85">
        <v>-153.98750000000018</v>
      </c>
      <c r="J85">
        <v>-64.902054398148081</v>
      </c>
      <c r="K85">
        <f t="shared" si="16"/>
        <v>3539.6020543981481</v>
      </c>
      <c r="L85">
        <f t="shared" si="18"/>
        <v>3601</v>
      </c>
      <c r="M85">
        <f t="shared" si="19"/>
        <v>3536.0979456018517</v>
      </c>
      <c r="N85">
        <f t="shared" si="17"/>
        <v>-61.397945601851916</v>
      </c>
      <c r="O85">
        <f t="shared" si="20"/>
        <v>-55.858709490740694</v>
      </c>
      <c r="P85">
        <f t="shared" si="21"/>
        <v>-5.5392361111112223</v>
      </c>
    </row>
    <row r="86" spans="1:16">
      <c r="A86">
        <v>8</v>
      </c>
      <c r="B86">
        <v>85</v>
      </c>
      <c r="C86">
        <v>1</v>
      </c>
      <c r="D86">
        <v>3413.9</v>
      </c>
      <c r="F86">
        <f t="shared" si="22"/>
        <v>3627.0333333333333</v>
      </c>
      <c r="G86">
        <f t="shared" si="23"/>
        <v>3631.0374999999999</v>
      </c>
      <c r="H86">
        <f t="shared" si="24"/>
        <v>-217.13749999999982</v>
      </c>
      <c r="I86">
        <v>-217.13749999999982</v>
      </c>
      <c r="J86">
        <v>-91.005179398147831</v>
      </c>
      <c r="K86">
        <f t="shared" si="16"/>
        <v>3504.905179398148</v>
      </c>
      <c r="L86">
        <f t="shared" si="18"/>
        <v>3609.25</v>
      </c>
      <c r="M86">
        <f t="shared" si="19"/>
        <v>3518.2448206018521</v>
      </c>
      <c r="N86">
        <f t="shared" si="17"/>
        <v>-104.34482060185201</v>
      </c>
      <c r="O86">
        <f t="shared" si="20"/>
        <v>-43.877228009259397</v>
      </c>
      <c r="P86">
        <f t="shared" si="21"/>
        <v>-60.467592592592609</v>
      </c>
    </row>
    <row r="87" spans="1:16">
      <c r="B87">
        <v>86</v>
      </c>
      <c r="C87">
        <v>2</v>
      </c>
      <c r="D87">
        <v>3520.9</v>
      </c>
      <c r="F87">
        <f t="shared" si="22"/>
        <v>3635.0416666666665</v>
      </c>
      <c r="G87">
        <f t="shared" si="23"/>
        <v>3635.6708333333336</v>
      </c>
      <c r="H87">
        <f t="shared" si="24"/>
        <v>-114.77083333333348</v>
      </c>
      <c r="I87">
        <v>-114.77083333333348</v>
      </c>
      <c r="J87">
        <v>-130.71108217592581</v>
      </c>
      <c r="K87">
        <f t="shared" si="16"/>
        <v>3651.6110821759257</v>
      </c>
      <c r="L87">
        <f t="shared" si="18"/>
        <v>3617.5</v>
      </c>
      <c r="M87">
        <f t="shared" si="19"/>
        <v>3486.7889178240744</v>
      </c>
      <c r="N87">
        <f t="shared" si="17"/>
        <v>34.111082175925731</v>
      </c>
      <c r="O87">
        <f t="shared" si="20"/>
        <v>-17.735677083333332</v>
      </c>
      <c r="P87">
        <f t="shared" si="21"/>
        <v>51.846759259259059</v>
      </c>
    </row>
    <row r="88" spans="1:16">
      <c r="B88">
        <v>87</v>
      </c>
      <c r="C88">
        <v>3</v>
      </c>
      <c r="D88">
        <v>3464.8</v>
      </c>
      <c r="F88">
        <f t="shared" si="22"/>
        <v>3636.3000000000006</v>
      </c>
      <c r="G88">
        <f t="shared" si="23"/>
        <v>3641.9416666666671</v>
      </c>
      <c r="H88">
        <f t="shared" si="24"/>
        <v>-177.14166666666688</v>
      </c>
      <c r="I88">
        <v>-177.14166666666688</v>
      </c>
      <c r="J88">
        <v>-177.97670717592592</v>
      </c>
      <c r="K88">
        <f t="shared" si="16"/>
        <v>3642.7767071759263</v>
      </c>
      <c r="L88">
        <f t="shared" si="18"/>
        <v>3625.75</v>
      </c>
      <c r="M88">
        <f t="shared" si="19"/>
        <v>3447.7732928240739</v>
      </c>
      <c r="N88">
        <f t="shared" si="17"/>
        <v>17.026707175926276</v>
      </c>
      <c r="O88">
        <f t="shared" si="20"/>
        <v>44.840480324074178</v>
      </c>
      <c r="P88">
        <f t="shared" si="21"/>
        <v>-27.813773148147902</v>
      </c>
    </row>
    <row r="89" spans="1:16">
      <c r="B89">
        <v>88</v>
      </c>
      <c r="C89">
        <v>4</v>
      </c>
      <c r="D89">
        <v>3713.5</v>
      </c>
      <c r="F89">
        <f t="shared" si="22"/>
        <v>3647.5833333333335</v>
      </c>
      <c r="G89">
        <f t="shared" si="23"/>
        <v>3653.1791666666668</v>
      </c>
      <c r="H89">
        <f t="shared" si="24"/>
        <v>60.320833333333212</v>
      </c>
      <c r="I89">
        <v>60.320833333333212</v>
      </c>
      <c r="J89">
        <v>-3.8836516203703066</v>
      </c>
      <c r="K89">
        <f t="shared" si="16"/>
        <v>3717.3836516203705</v>
      </c>
      <c r="L89">
        <f t="shared" si="18"/>
        <v>3634</v>
      </c>
      <c r="M89">
        <f t="shared" si="19"/>
        <v>3630.1163483796295</v>
      </c>
      <c r="N89">
        <f t="shared" si="17"/>
        <v>83.383651620370529</v>
      </c>
      <c r="O89">
        <f t="shared" si="20"/>
        <v>47.01918402777801</v>
      </c>
      <c r="P89">
        <f t="shared" si="21"/>
        <v>36.364467592592518</v>
      </c>
    </row>
    <row r="90" spans="1:16">
      <c r="B90">
        <v>89</v>
      </c>
      <c r="C90">
        <v>5</v>
      </c>
      <c r="D90">
        <v>3689.9</v>
      </c>
      <c r="F90">
        <f t="shared" si="22"/>
        <v>3658.7750000000001</v>
      </c>
      <c r="G90">
        <f t="shared" si="23"/>
        <v>3663.75</v>
      </c>
      <c r="H90">
        <f t="shared" si="24"/>
        <v>26.150000000000091</v>
      </c>
      <c r="I90">
        <v>26.150000000000091</v>
      </c>
      <c r="J90">
        <v>7.0028067129630491</v>
      </c>
      <c r="K90">
        <f t="shared" si="16"/>
        <v>3682.8971932870372</v>
      </c>
      <c r="L90">
        <f t="shared" si="18"/>
        <v>3642.25</v>
      </c>
      <c r="M90">
        <f t="shared" si="19"/>
        <v>3649.2528067129629</v>
      </c>
      <c r="N90">
        <f t="shared" si="17"/>
        <v>40.647193287037226</v>
      </c>
      <c r="O90">
        <f t="shared" si="20"/>
        <v>54.960156250000182</v>
      </c>
      <c r="P90">
        <f t="shared" si="21"/>
        <v>-14.312962962962956</v>
      </c>
    </row>
    <row r="91" spans="1:16">
      <c r="B91">
        <v>90</v>
      </c>
      <c r="C91">
        <v>6</v>
      </c>
      <c r="D91">
        <v>3820</v>
      </c>
      <c r="F91">
        <f t="shared" si="22"/>
        <v>3668.7249999999999</v>
      </c>
      <c r="G91">
        <f t="shared" si="23"/>
        <v>3676.0625</v>
      </c>
      <c r="H91">
        <f t="shared" si="24"/>
        <v>143.9375</v>
      </c>
      <c r="I91">
        <v>143.9375</v>
      </c>
      <c r="J91">
        <v>128.65037615740735</v>
      </c>
      <c r="K91">
        <f t="shared" si="16"/>
        <v>3691.3496238425928</v>
      </c>
      <c r="L91">
        <f t="shared" si="18"/>
        <v>3650.5</v>
      </c>
      <c r="M91">
        <f t="shared" si="19"/>
        <v>3779.1503761574072</v>
      </c>
      <c r="N91">
        <f t="shared" si="17"/>
        <v>40.849623842592791</v>
      </c>
      <c r="O91">
        <f t="shared" si="20"/>
        <v>31.624508101852069</v>
      </c>
      <c r="P91">
        <f t="shared" si="21"/>
        <v>9.2251157407407227</v>
      </c>
    </row>
    <row r="92" spans="1:16">
      <c r="B92">
        <v>91</v>
      </c>
      <c r="C92">
        <v>7</v>
      </c>
      <c r="D92">
        <v>3736</v>
      </c>
      <c r="F92">
        <f t="shared" si="22"/>
        <v>3683.4</v>
      </c>
      <c r="G92">
        <f t="shared" si="23"/>
        <v>3695.7791666666667</v>
      </c>
      <c r="H92">
        <f t="shared" si="24"/>
        <v>40.220833333333303</v>
      </c>
      <c r="I92">
        <v>40.220833333333303</v>
      </c>
      <c r="J92">
        <v>63.873292824073964</v>
      </c>
      <c r="K92">
        <f t="shared" si="16"/>
        <v>3672.1267071759262</v>
      </c>
      <c r="L92">
        <f t="shared" si="18"/>
        <v>3658.75</v>
      </c>
      <c r="M92">
        <f t="shared" si="19"/>
        <v>3722.6232928240738</v>
      </c>
      <c r="N92">
        <f t="shared" si="17"/>
        <v>13.376707175926185</v>
      </c>
      <c r="O92">
        <f t="shared" si="20"/>
        <v>47.709693287037375</v>
      </c>
      <c r="P92">
        <f t="shared" si="21"/>
        <v>-34.33298611111119</v>
      </c>
    </row>
    <row r="93" spans="1:16">
      <c r="B93">
        <v>92</v>
      </c>
      <c r="C93">
        <v>8</v>
      </c>
      <c r="D93">
        <v>3869.3</v>
      </c>
      <c r="F93">
        <f t="shared" si="22"/>
        <v>3708.1583333333333</v>
      </c>
      <c r="G93">
        <f t="shared" si="23"/>
        <v>3706.0708333333332</v>
      </c>
      <c r="H93">
        <f t="shared" si="24"/>
        <v>163.22916666666697</v>
      </c>
      <c r="I93">
        <v>163.22916666666697</v>
      </c>
      <c r="J93">
        <v>113.39725115740724</v>
      </c>
      <c r="K93">
        <f t="shared" si="16"/>
        <v>3755.9027488425932</v>
      </c>
      <c r="L93">
        <f t="shared" si="18"/>
        <v>3667</v>
      </c>
      <c r="M93">
        <f t="shared" si="19"/>
        <v>3780.397251157407</v>
      </c>
      <c r="N93">
        <f t="shared" si="17"/>
        <v>88.902748842593155</v>
      </c>
      <c r="O93">
        <f t="shared" si="20"/>
        <v>68.076244212963203</v>
      </c>
      <c r="P93">
        <f t="shared" si="21"/>
        <v>20.826504629629952</v>
      </c>
    </row>
    <row r="94" spans="1:16">
      <c r="B94">
        <v>93</v>
      </c>
      <c r="C94">
        <v>9</v>
      </c>
      <c r="D94">
        <v>3833.2</v>
      </c>
      <c r="F94">
        <f t="shared" si="22"/>
        <v>3703.9833333333336</v>
      </c>
      <c r="G94">
        <f t="shared" si="23"/>
        <v>3701.1708333333336</v>
      </c>
      <c r="H94">
        <f t="shared" si="24"/>
        <v>132.02916666666624</v>
      </c>
      <c r="I94">
        <v>132.02916666666624</v>
      </c>
      <c r="J94">
        <v>56.000723379629449</v>
      </c>
      <c r="K94">
        <f t="shared" si="16"/>
        <v>3777.1992766203703</v>
      </c>
      <c r="L94">
        <f t="shared" si="18"/>
        <v>3675.25</v>
      </c>
      <c r="M94">
        <f t="shared" si="19"/>
        <v>3731.2507233796296</v>
      </c>
      <c r="N94">
        <f t="shared" si="17"/>
        <v>101.94927662037026</v>
      </c>
      <c r="O94">
        <f t="shared" si="20"/>
        <v>61.993721064815112</v>
      </c>
      <c r="P94">
        <f t="shared" si="21"/>
        <v>39.955555555555144</v>
      </c>
    </row>
    <row r="95" spans="1:16">
      <c r="B95">
        <v>94</v>
      </c>
      <c r="C95">
        <v>10</v>
      </c>
      <c r="D95">
        <v>3716.3</v>
      </c>
      <c r="F95">
        <f t="shared" si="22"/>
        <v>3698.358333333334</v>
      </c>
      <c r="G95">
        <f t="shared" si="23"/>
        <v>3700.7958333333336</v>
      </c>
      <c r="H95">
        <f t="shared" si="24"/>
        <v>15.504166666666606</v>
      </c>
      <c r="I95">
        <v>15.504166666666606</v>
      </c>
      <c r="J95">
        <v>37.670862268518434</v>
      </c>
      <c r="K95">
        <f t="shared" si="16"/>
        <v>3678.6291377314819</v>
      </c>
      <c r="L95">
        <f t="shared" si="18"/>
        <v>3683.5</v>
      </c>
      <c r="M95">
        <f t="shared" si="19"/>
        <v>3721.1708622685182</v>
      </c>
      <c r="N95">
        <f t="shared" si="17"/>
        <v>-4.8708622685180671</v>
      </c>
      <c r="O95">
        <f t="shared" si="20"/>
        <v>38.548350694444558</v>
      </c>
      <c r="P95">
        <f t="shared" si="21"/>
        <v>-43.419212962962625</v>
      </c>
    </row>
    <row r="96" spans="1:16">
      <c r="B96">
        <v>95</v>
      </c>
      <c r="C96">
        <v>11</v>
      </c>
      <c r="D96">
        <v>3772.2</v>
      </c>
      <c r="F96">
        <f t="shared" si="22"/>
        <v>3703.2333333333336</v>
      </c>
      <c r="G96">
        <f t="shared" si="23"/>
        <v>3707.541666666667</v>
      </c>
      <c r="H96">
        <f t="shared" si="24"/>
        <v>64.658333333332848</v>
      </c>
      <c r="I96">
        <v>64.658333333332848</v>
      </c>
      <c r="J96">
        <v>61.883362268518454</v>
      </c>
      <c r="K96">
        <f t="shared" si="16"/>
        <v>3710.3166377314815</v>
      </c>
      <c r="L96">
        <f t="shared" si="18"/>
        <v>3691.75</v>
      </c>
      <c r="M96">
        <f t="shared" si="19"/>
        <v>3753.6333622685183</v>
      </c>
      <c r="N96">
        <f t="shared" si="17"/>
        <v>18.566637731481478</v>
      </c>
      <c r="O96">
        <f t="shared" si="20"/>
        <v>9.7992766203706196</v>
      </c>
      <c r="P96">
        <f t="shared" si="21"/>
        <v>8.7673611111108585</v>
      </c>
    </row>
    <row r="97" spans="1:16">
      <c r="B97">
        <v>96</v>
      </c>
      <c r="C97">
        <v>12</v>
      </c>
      <c r="D97">
        <v>3650.8</v>
      </c>
      <c r="F97">
        <f t="shared" si="22"/>
        <v>3711.8500000000004</v>
      </c>
      <c r="G97">
        <f t="shared" si="23"/>
        <v>3713.2541666666666</v>
      </c>
      <c r="H97">
        <f t="shared" si="24"/>
        <v>-62.454166666666424</v>
      </c>
      <c r="I97">
        <v>-62.454166666666424</v>
      </c>
      <c r="J97">
        <v>-64.902054398148081</v>
      </c>
      <c r="K97">
        <f t="shared" si="16"/>
        <v>3715.7020543981484</v>
      </c>
      <c r="L97">
        <f t="shared" si="18"/>
        <v>3700</v>
      </c>
      <c r="M97">
        <f t="shared" si="19"/>
        <v>3635.0979456018517</v>
      </c>
      <c r="N97">
        <f t="shared" si="17"/>
        <v>15.702054398148448</v>
      </c>
      <c r="O97">
        <f t="shared" si="20"/>
        <v>42.674623842592609</v>
      </c>
      <c r="P97">
        <f t="shared" si="21"/>
        <v>-26.972569444444161</v>
      </c>
    </row>
    <row r="98" spans="1:16">
      <c r="A98">
        <v>9</v>
      </c>
      <c r="B98">
        <v>97</v>
      </c>
      <c r="C98">
        <v>1</v>
      </c>
      <c r="D98">
        <v>3711</v>
      </c>
      <c r="F98">
        <f t="shared" si="22"/>
        <v>3714.6583333333333</v>
      </c>
      <c r="G98">
        <f t="shared" si="23"/>
        <v>3721.6791666666663</v>
      </c>
      <c r="H98">
        <f t="shared" si="24"/>
        <v>-10.679166666666333</v>
      </c>
      <c r="I98">
        <v>-10.679166666666333</v>
      </c>
      <c r="J98">
        <v>-91.005179398147831</v>
      </c>
      <c r="K98">
        <f t="shared" ref="K98:K129" si="25">D98-J98</f>
        <v>3802.0051793981479</v>
      </c>
      <c r="L98">
        <f t="shared" si="18"/>
        <v>3708.25</v>
      </c>
      <c r="M98">
        <f t="shared" si="19"/>
        <v>3617.2448206018521</v>
      </c>
      <c r="N98">
        <f t="shared" ref="N98:N129" si="26">D98-M98</f>
        <v>93.755179398147902</v>
      </c>
      <c r="O98">
        <f t="shared" si="20"/>
        <v>-1.8438946759259427</v>
      </c>
      <c r="P98">
        <f t="shared" si="21"/>
        <v>95.59907407407384</v>
      </c>
    </row>
    <row r="99" spans="1:16">
      <c r="B99">
        <v>98</v>
      </c>
      <c r="C99">
        <v>2</v>
      </c>
      <c r="D99">
        <v>3470.8</v>
      </c>
      <c r="F99">
        <f t="shared" si="22"/>
        <v>3728.6999999999994</v>
      </c>
      <c r="G99">
        <f t="shared" si="23"/>
        <v>3730.4458333333328</v>
      </c>
      <c r="H99">
        <f t="shared" si="24"/>
        <v>-259.64583333333258</v>
      </c>
      <c r="I99">
        <v>-259.64583333333258</v>
      </c>
      <c r="J99">
        <v>-130.71108217592581</v>
      </c>
      <c r="K99">
        <f t="shared" si="25"/>
        <v>3601.5110821759258</v>
      </c>
      <c r="L99">
        <f t="shared" si="18"/>
        <v>3716.5</v>
      </c>
      <c r="M99">
        <f t="shared" si="19"/>
        <v>3585.7889178240744</v>
      </c>
      <c r="N99">
        <f t="shared" si="26"/>
        <v>-114.98891782407418</v>
      </c>
      <c r="O99">
        <f t="shared" si="20"/>
        <v>-56.90234375</v>
      </c>
      <c r="P99">
        <f t="shared" si="21"/>
        <v>-58.086574074074178</v>
      </c>
    </row>
    <row r="100" spans="1:16">
      <c r="B100">
        <v>99</v>
      </c>
      <c r="C100">
        <v>3</v>
      </c>
      <c r="D100">
        <v>3397.3</v>
      </c>
      <c r="F100">
        <f t="shared" si="22"/>
        <v>3732.1916666666662</v>
      </c>
      <c r="G100">
        <f t="shared" si="23"/>
        <v>3732.1624999999995</v>
      </c>
      <c r="H100">
        <f t="shared" si="24"/>
        <v>-334.86249999999927</v>
      </c>
      <c r="I100">
        <v>-334.86249999999927</v>
      </c>
      <c r="J100">
        <v>-177.97670717592592</v>
      </c>
      <c r="K100">
        <f t="shared" si="25"/>
        <v>3575.2767071759263</v>
      </c>
      <c r="L100">
        <f t="shared" si="18"/>
        <v>3724.75</v>
      </c>
      <c r="M100">
        <f t="shared" si="19"/>
        <v>3546.7732928240739</v>
      </c>
      <c r="N100">
        <f t="shared" si="26"/>
        <v>-149.47329282407372</v>
      </c>
      <c r="O100">
        <f t="shared" si="20"/>
        <v>-73.859519675925796</v>
      </c>
      <c r="P100">
        <f t="shared" si="21"/>
        <v>-75.613773148147928</v>
      </c>
    </row>
    <row r="101" spans="1:16">
      <c r="B101">
        <v>100</v>
      </c>
      <c r="C101">
        <v>4</v>
      </c>
      <c r="D101">
        <v>3772</v>
      </c>
      <c r="F101">
        <f t="shared" si="22"/>
        <v>3732.1333333333328</v>
      </c>
      <c r="G101">
        <f t="shared" si="23"/>
        <v>3732.1791666666663</v>
      </c>
      <c r="H101">
        <f t="shared" si="24"/>
        <v>39.820833333333667</v>
      </c>
      <c r="I101">
        <v>39.820833333333667</v>
      </c>
      <c r="J101">
        <v>-3.8836516203703066</v>
      </c>
      <c r="K101">
        <f t="shared" si="25"/>
        <v>3775.8836516203705</v>
      </c>
      <c r="L101">
        <f t="shared" si="18"/>
        <v>3733</v>
      </c>
      <c r="M101">
        <f t="shared" si="19"/>
        <v>3729.1163483796295</v>
      </c>
      <c r="N101">
        <f t="shared" si="26"/>
        <v>42.883651620370529</v>
      </c>
      <c r="O101">
        <f t="shared" si="20"/>
        <v>-20.514149305555293</v>
      </c>
      <c r="P101">
        <f t="shared" si="21"/>
        <v>63.397800925925822</v>
      </c>
    </row>
    <row r="102" spans="1:16">
      <c r="B102">
        <v>101</v>
      </c>
      <c r="C102">
        <v>5</v>
      </c>
      <c r="D102">
        <v>3793.3</v>
      </c>
      <c r="F102">
        <f t="shared" si="22"/>
        <v>3732.2249999999999</v>
      </c>
      <c r="G102">
        <f t="shared" si="23"/>
        <v>3736.9083333333333</v>
      </c>
      <c r="H102">
        <f t="shared" si="24"/>
        <v>56.391666666666879</v>
      </c>
      <c r="I102">
        <v>56.391666666666879</v>
      </c>
      <c r="J102">
        <v>7.0028067129630491</v>
      </c>
      <c r="K102">
        <f t="shared" si="25"/>
        <v>3786.2971932870373</v>
      </c>
      <c r="L102">
        <f t="shared" si="18"/>
        <v>3741.25</v>
      </c>
      <c r="M102">
        <f t="shared" si="19"/>
        <v>3748.2528067129629</v>
      </c>
      <c r="N102">
        <f t="shared" si="26"/>
        <v>45.047193287037317</v>
      </c>
      <c r="O102">
        <f t="shared" si="20"/>
        <v>21.160156250000153</v>
      </c>
      <c r="P102">
        <f t="shared" si="21"/>
        <v>23.887037037037164</v>
      </c>
    </row>
    <row r="103" spans="1:16">
      <c r="B103">
        <v>102</v>
      </c>
      <c r="C103">
        <v>6</v>
      </c>
      <c r="D103">
        <v>3853.7</v>
      </c>
      <c r="F103">
        <f t="shared" si="22"/>
        <v>3741.5916666666667</v>
      </c>
      <c r="G103">
        <f t="shared" si="23"/>
        <v>3743.6583333333338</v>
      </c>
      <c r="H103">
        <f t="shared" si="24"/>
        <v>110.04166666666606</v>
      </c>
      <c r="I103">
        <v>110.04166666666606</v>
      </c>
      <c r="J103">
        <v>128.65037615740735</v>
      </c>
      <c r="K103">
        <f t="shared" si="25"/>
        <v>3725.0496238425926</v>
      </c>
      <c r="L103">
        <f t="shared" si="18"/>
        <v>3749.5</v>
      </c>
      <c r="M103">
        <f t="shared" si="19"/>
        <v>3878.1503761574072</v>
      </c>
      <c r="N103">
        <f t="shared" si="26"/>
        <v>-24.450376157407391</v>
      </c>
      <c r="O103">
        <f t="shared" si="20"/>
        <v>34.491174768518704</v>
      </c>
      <c r="P103">
        <f t="shared" si="21"/>
        <v>-58.941550925926094</v>
      </c>
    </row>
    <row r="104" spans="1:16">
      <c r="B104">
        <v>103</v>
      </c>
      <c r="C104">
        <v>7</v>
      </c>
      <c r="D104">
        <v>3904.5</v>
      </c>
      <c r="F104">
        <f t="shared" ref="F104:F135" si="27">AVERAGE(D98:D109)</f>
        <v>3745.7250000000004</v>
      </c>
      <c r="G104">
        <f t="shared" si="23"/>
        <v>3746.3791666666666</v>
      </c>
      <c r="H104">
        <f t="shared" si="24"/>
        <v>158.12083333333339</v>
      </c>
      <c r="I104">
        <v>158.12083333333339</v>
      </c>
      <c r="J104">
        <v>63.873292824073964</v>
      </c>
      <c r="K104">
        <f t="shared" si="25"/>
        <v>3840.6267071759262</v>
      </c>
      <c r="L104">
        <f t="shared" si="18"/>
        <v>3757.75</v>
      </c>
      <c r="M104">
        <f t="shared" si="19"/>
        <v>3821.6232928240738</v>
      </c>
      <c r="N104">
        <f t="shared" si="26"/>
        <v>82.876707175926185</v>
      </c>
      <c r="O104">
        <f t="shared" si="20"/>
        <v>30.076359953703861</v>
      </c>
      <c r="P104">
        <f t="shared" si="21"/>
        <v>52.800347222222328</v>
      </c>
    </row>
    <row r="105" spans="1:16">
      <c r="B105">
        <v>104</v>
      </c>
      <c r="C105">
        <v>8</v>
      </c>
      <c r="D105">
        <v>3911.2</v>
      </c>
      <c r="F105">
        <f t="shared" si="27"/>
        <v>3747.0333333333333</v>
      </c>
      <c r="G105">
        <f t="shared" si="23"/>
        <v>3755.7749999999996</v>
      </c>
      <c r="H105">
        <f t="shared" si="24"/>
        <v>155.42500000000018</v>
      </c>
      <c r="I105">
        <v>155.42500000000018</v>
      </c>
      <c r="J105">
        <v>113.39725115740724</v>
      </c>
      <c r="K105">
        <f t="shared" si="25"/>
        <v>3797.8027488425928</v>
      </c>
      <c r="L105">
        <f t="shared" si="18"/>
        <v>3766</v>
      </c>
      <c r="M105">
        <f t="shared" si="19"/>
        <v>3879.397251157407</v>
      </c>
      <c r="N105">
        <f t="shared" si="26"/>
        <v>31.802748842592791</v>
      </c>
      <c r="O105">
        <f t="shared" si="20"/>
        <v>38.976244212963138</v>
      </c>
      <c r="P105">
        <f t="shared" si="21"/>
        <v>-7.1734953703703468</v>
      </c>
    </row>
    <row r="106" spans="1:16">
      <c r="B106">
        <v>105</v>
      </c>
      <c r="C106">
        <v>9</v>
      </c>
      <c r="D106">
        <v>3832.5</v>
      </c>
      <c r="F106">
        <f t="shared" si="27"/>
        <v>3764.5166666666664</v>
      </c>
      <c r="G106">
        <f t="shared" si="23"/>
        <v>3768.4375</v>
      </c>
      <c r="H106">
        <f t="shared" si="24"/>
        <v>64.0625</v>
      </c>
      <c r="I106">
        <v>64.0625</v>
      </c>
      <c r="J106">
        <v>56.000723379629449</v>
      </c>
      <c r="K106">
        <f t="shared" si="25"/>
        <v>3776.4992766203704</v>
      </c>
      <c r="L106">
        <f t="shared" si="18"/>
        <v>3774.25</v>
      </c>
      <c r="M106">
        <f t="shared" si="19"/>
        <v>3830.2507233796296</v>
      </c>
      <c r="N106">
        <f t="shared" si="26"/>
        <v>2.2492766203704377</v>
      </c>
      <c r="O106">
        <f t="shared" si="20"/>
        <v>-22.906278935184975</v>
      </c>
      <c r="P106">
        <f t="shared" si="21"/>
        <v>25.155555555555413</v>
      </c>
    </row>
    <row r="107" spans="1:16">
      <c r="B107">
        <v>106</v>
      </c>
      <c r="C107">
        <v>10</v>
      </c>
      <c r="D107">
        <v>3717.4</v>
      </c>
      <c r="F107">
        <f t="shared" si="27"/>
        <v>3772.3583333333331</v>
      </c>
      <c r="G107">
        <f t="shared" si="23"/>
        <v>3776.6208333333334</v>
      </c>
      <c r="H107">
        <f t="shared" si="24"/>
        <v>-59.220833333333303</v>
      </c>
      <c r="I107">
        <v>-59.220833333333303</v>
      </c>
      <c r="J107">
        <v>37.670862268518434</v>
      </c>
      <c r="K107">
        <f t="shared" si="25"/>
        <v>3679.7291377314818</v>
      </c>
      <c r="L107">
        <f t="shared" si="18"/>
        <v>3782.5</v>
      </c>
      <c r="M107">
        <f t="shared" si="19"/>
        <v>3820.1708622685182</v>
      </c>
      <c r="N107">
        <f t="shared" si="26"/>
        <v>-102.77086226851816</v>
      </c>
      <c r="O107">
        <f t="shared" si="20"/>
        <v>-22.851649305555384</v>
      </c>
      <c r="P107">
        <f t="shared" si="21"/>
        <v>-79.919212962962774</v>
      </c>
    </row>
    <row r="108" spans="1:16">
      <c r="B108">
        <v>107</v>
      </c>
      <c r="C108">
        <v>11</v>
      </c>
      <c r="D108">
        <v>3884.6</v>
      </c>
      <c r="F108">
        <f t="shared" si="27"/>
        <v>3780.8833333333337</v>
      </c>
      <c r="G108">
        <f t="shared" si="23"/>
        <v>3786.625</v>
      </c>
      <c r="H108">
        <f t="shared" si="24"/>
        <v>97.974999999999909</v>
      </c>
      <c r="I108">
        <v>97.974999999999909</v>
      </c>
      <c r="J108">
        <v>61.883362268518454</v>
      </c>
      <c r="K108">
        <f t="shared" si="25"/>
        <v>3822.7166377314816</v>
      </c>
      <c r="L108">
        <f t="shared" si="18"/>
        <v>3790.75</v>
      </c>
      <c r="M108">
        <f t="shared" si="19"/>
        <v>3852.6333622685183</v>
      </c>
      <c r="N108">
        <f t="shared" si="26"/>
        <v>31.966637731481569</v>
      </c>
      <c r="O108">
        <f t="shared" si="20"/>
        <v>-34.834056712962742</v>
      </c>
      <c r="P108">
        <f t="shared" si="21"/>
        <v>66.800694444444304</v>
      </c>
    </row>
    <row r="109" spans="1:16">
      <c r="B109">
        <v>108</v>
      </c>
      <c r="C109">
        <v>12</v>
      </c>
      <c r="D109">
        <v>3700.4</v>
      </c>
      <c r="F109">
        <f t="shared" si="27"/>
        <v>3792.3666666666668</v>
      </c>
      <c r="G109">
        <f t="shared" si="23"/>
        <v>3797.3375000000005</v>
      </c>
      <c r="H109">
        <f t="shared" si="24"/>
        <v>-96.937500000000455</v>
      </c>
      <c r="I109">
        <v>-96.937500000000455</v>
      </c>
      <c r="J109">
        <v>-64.902054398148081</v>
      </c>
      <c r="K109">
        <f t="shared" si="25"/>
        <v>3765.3020543981484</v>
      </c>
      <c r="L109">
        <f t="shared" si="18"/>
        <v>3799</v>
      </c>
      <c r="M109">
        <f t="shared" si="19"/>
        <v>3734.0979456018517</v>
      </c>
      <c r="N109">
        <f t="shared" si="26"/>
        <v>-33.697945601851643</v>
      </c>
      <c r="O109">
        <f t="shared" si="20"/>
        <v>2.907957175925882</v>
      </c>
      <c r="P109">
        <f t="shared" si="21"/>
        <v>-36.605902777777523</v>
      </c>
    </row>
    <row r="110" spans="1:16">
      <c r="A110">
        <v>10</v>
      </c>
      <c r="B110">
        <v>109</v>
      </c>
      <c r="C110">
        <v>1</v>
      </c>
      <c r="D110">
        <v>3726.7</v>
      </c>
      <c r="F110">
        <f t="shared" si="27"/>
        <v>3802.3083333333338</v>
      </c>
      <c r="G110">
        <f t="shared" si="23"/>
        <v>3805.0958333333338</v>
      </c>
      <c r="H110">
        <f t="shared" si="24"/>
        <v>-78.39583333333394</v>
      </c>
      <c r="I110">
        <v>-78.39583333333394</v>
      </c>
      <c r="J110">
        <v>-91.005179398147831</v>
      </c>
      <c r="K110">
        <f t="shared" si="25"/>
        <v>3817.7051793981477</v>
      </c>
      <c r="L110">
        <f t="shared" si="18"/>
        <v>3807.25</v>
      </c>
      <c r="M110">
        <f t="shared" si="19"/>
        <v>3716.2448206018521</v>
      </c>
      <c r="N110">
        <f t="shared" si="26"/>
        <v>10.45517939814772</v>
      </c>
      <c r="O110">
        <f t="shared" si="20"/>
        <v>-9.1438946759261253</v>
      </c>
      <c r="P110">
        <f t="shared" si="21"/>
        <v>19.599074074073847</v>
      </c>
    </row>
    <row r="111" spans="1:16">
      <c r="B111">
        <v>110</v>
      </c>
      <c r="C111">
        <v>2</v>
      </c>
      <c r="D111">
        <v>3680.6</v>
      </c>
      <c r="F111">
        <f t="shared" si="27"/>
        <v>3807.8833333333337</v>
      </c>
      <c r="G111">
        <f t="shared" si="23"/>
        <v>3815.9</v>
      </c>
      <c r="H111">
        <f t="shared" si="24"/>
        <v>-135.30000000000018</v>
      </c>
      <c r="I111">
        <v>-135.30000000000018</v>
      </c>
      <c r="J111">
        <v>-130.71108217592581</v>
      </c>
      <c r="K111">
        <f t="shared" si="25"/>
        <v>3811.3110821759255</v>
      </c>
      <c r="L111">
        <f t="shared" si="18"/>
        <v>3815.5</v>
      </c>
      <c r="M111">
        <f t="shared" si="19"/>
        <v>3684.7889178240744</v>
      </c>
      <c r="N111">
        <f t="shared" si="26"/>
        <v>-4.1889178240744513</v>
      </c>
      <c r="O111">
        <f t="shared" si="20"/>
        <v>-49.369010416666846</v>
      </c>
      <c r="P111">
        <f t="shared" si="21"/>
        <v>45.180092592592395</v>
      </c>
    </row>
    <row r="112" spans="1:16">
      <c r="B112">
        <v>111</v>
      </c>
      <c r="C112">
        <v>3</v>
      </c>
      <c r="D112">
        <v>3491.4</v>
      </c>
      <c r="F112">
        <f t="shared" si="27"/>
        <v>3823.9166666666665</v>
      </c>
      <c r="G112">
        <f t="shared" si="23"/>
        <v>3828.6333333333332</v>
      </c>
      <c r="H112">
        <f t="shared" si="24"/>
        <v>-337.23333333333312</v>
      </c>
      <c r="I112">
        <v>-337.23333333333312</v>
      </c>
      <c r="J112">
        <v>-177.97670717592592</v>
      </c>
      <c r="K112">
        <f t="shared" si="25"/>
        <v>3669.3767071759262</v>
      </c>
      <c r="L112">
        <f t="shared" si="18"/>
        <v>3823.75</v>
      </c>
      <c r="M112">
        <f t="shared" si="19"/>
        <v>3645.7732928240739</v>
      </c>
      <c r="N112">
        <f t="shared" si="26"/>
        <v>-154.37329282407381</v>
      </c>
      <c r="O112">
        <f t="shared" si="20"/>
        <v>-37.459519675925854</v>
      </c>
      <c r="P112">
        <f t="shared" si="21"/>
        <v>-116.91377314814795</v>
      </c>
    </row>
    <row r="113" spans="1:16">
      <c r="B113">
        <v>112</v>
      </c>
      <c r="C113">
        <v>4</v>
      </c>
      <c r="D113">
        <v>3874.3</v>
      </c>
      <c r="F113">
        <f t="shared" si="27"/>
        <v>3833.35</v>
      </c>
      <c r="G113">
        <f t="shared" si="23"/>
        <v>3844.2</v>
      </c>
      <c r="H113">
        <f t="shared" si="24"/>
        <v>30.100000000000364</v>
      </c>
      <c r="I113">
        <v>30.100000000000364</v>
      </c>
      <c r="J113">
        <v>-3.8836516203703066</v>
      </c>
      <c r="K113">
        <f t="shared" si="25"/>
        <v>3878.1836516203707</v>
      </c>
      <c r="L113">
        <f t="shared" si="18"/>
        <v>3832</v>
      </c>
      <c r="M113">
        <f t="shared" si="19"/>
        <v>3828.1163483796295</v>
      </c>
      <c r="N113">
        <f t="shared" si="26"/>
        <v>46.183651620370711</v>
      </c>
      <c r="O113">
        <f t="shared" si="20"/>
        <v>-8.1141493055553529</v>
      </c>
      <c r="P113">
        <f t="shared" si="21"/>
        <v>54.297800925926062</v>
      </c>
    </row>
    <row r="114" spans="1:16">
      <c r="B114">
        <v>113</v>
      </c>
      <c r="C114">
        <v>5</v>
      </c>
      <c r="D114">
        <v>3931.1</v>
      </c>
      <c r="F114">
        <f t="shared" si="27"/>
        <v>3855.0499999999997</v>
      </c>
      <c r="G114">
        <f t="shared" si="23"/>
        <v>3856.9916666666663</v>
      </c>
      <c r="H114">
        <f t="shared" si="24"/>
        <v>74.108333333333576</v>
      </c>
      <c r="I114">
        <v>74.108333333333576</v>
      </c>
      <c r="J114">
        <v>7.0028067129630491</v>
      </c>
      <c r="K114">
        <f t="shared" si="25"/>
        <v>3924.097193287037</v>
      </c>
      <c r="L114">
        <f t="shared" si="18"/>
        <v>3840.25</v>
      </c>
      <c r="M114">
        <f t="shared" si="19"/>
        <v>3847.2528067129629</v>
      </c>
      <c r="N114">
        <f t="shared" si="26"/>
        <v>83.847193287037044</v>
      </c>
      <c r="O114">
        <f t="shared" si="20"/>
        <v>41.960156250000182</v>
      </c>
      <c r="P114">
        <f t="shared" si="21"/>
        <v>41.887037037036862</v>
      </c>
    </row>
    <row r="115" spans="1:16">
      <c r="B115">
        <v>114</v>
      </c>
      <c r="C115">
        <v>6</v>
      </c>
      <c r="D115">
        <v>3973</v>
      </c>
      <c r="F115">
        <f t="shared" si="27"/>
        <v>3858.9333333333329</v>
      </c>
      <c r="G115">
        <f t="shared" si="23"/>
        <v>3862.9291666666663</v>
      </c>
      <c r="H115">
        <f t="shared" si="24"/>
        <v>110.07083333333367</v>
      </c>
      <c r="I115">
        <v>110.07083333333367</v>
      </c>
      <c r="J115">
        <v>128.65037615740735</v>
      </c>
      <c r="K115">
        <f t="shared" si="25"/>
        <v>3844.3496238425928</v>
      </c>
      <c r="L115">
        <f t="shared" si="18"/>
        <v>3848.5</v>
      </c>
      <c r="M115">
        <f t="shared" si="19"/>
        <v>3977.1503761574072</v>
      </c>
      <c r="N115">
        <f t="shared" si="26"/>
        <v>-4.1503761574072087</v>
      </c>
      <c r="O115">
        <f t="shared" si="20"/>
        <v>43.491174768518704</v>
      </c>
      <c r="P115">
        <f t="shared" si="21"/>
        <v>-47.641550925925912</v>
      </c>
    </row>
    <row r="116" spans="1:16">
      <c r="B116">
        <v>115</v>
      </c>
      <c r="C116">
        <v>7</v>
      </c>
      <c r="D116">
        <v>3971.4</v>
      </c>
      <c r="F116">
        <f t="shared" si="27"/>
        <v>3866.9249999999997</v>
      </c>
      <c r="G116">
        <f t="shared" si="23"/>
        <v>3874.0333333333333</v>
      </c>
      <c r="H116">
        <f t="shared" si="24"/>
        <v>97.366666666666788</v>
      </c>
      <c r="I116">
        <v>97.366666666666788</v>
      </c>
      <c r="J116">
        <v>63.873292824073964</v>
      </c>
      <c r="K116">
        <f t="shared" si="25"/>
        <v>3907.5267071759263</v>
      </c>
      <c r="L116">
        <f t="shared" si="18"/>
        <v>3856.75</v>
      </c>
      <c r="M116">
        <f t="shared" si="19"/>
        <v>3920.6232928240738</v>
      </c>
      <c r="N116">
        <f t="shared" si="26"/>
        <v>50.776707175926276</v>
      </c>
      <c r="O116">
        <f t="shared" si="20"/>
        <v>57.276359953704137</v>
      </c>
      <c r="P116">
        <f t="shared" si="21"/>
        <v>-6.499652777777861</v>
      </c>
    </row>
    <row r="117" spans="1:16">
      <c r="B117">
        <v>116</v>
      </c>
      <c r="C117">
        <v>8</v>
      </c>
      <c r="D117">
        <v>4103.6000000000004</v>
      </c>
      <c r="F117">
        <f t="shared" si="27"/>
        <v>3881.1416666666669</v>
      </c>
      <c r="G117">
        <f t="shared" si="23"/>
        <v>3881.3625000000002</v>
      </c>
      <c r="H117">
        <f t="shared" si="24"/>
        <v>222.23750000000018</v>
      </c>
      <c r="I117">
        <v>222.23750000000018</v>
      </c>
      <c r="J117">
        <v>113.39725115740724</v>
      </c>
      <c r="K117">
        <f t="shared" si="25"/>
        <v>3990.2027488425933</v>
      </c>
      <c r="L117">
        <f t="shared" si="18"/>
        <v>3865</v>
      </c>
      <c r="M117">
        <f t="shared" si="19"/>
        <v>3978.397251157407</v>
      </c>
      <c r="N117">
        <f t="shared" si="26"/>
        <v>125.20274884259334</v>
      </c>
      <c r="O117">
        <f t="shared" si="20"/>
        <v>64.142910879629952</v>
      </c>
      <c r="P117">
        <f t="shared" si="21"/>
        <v>61.059837962963385</v>
      </c>
    </row>
    <row r="118" spans="1:16">
      <c r="B118">
        <v>117</v>
      </c>
      <c r="C118">
        <v>9</v>
      </c>
      <c r="D118">
        <v>3945.7</v>
      </c>
      <c r="F118">
        <f t="shared" si="27"/>
        <v>3881.5833333333339</v>
      </c>
      <c r="G118">
        <f t="shared" si="23"/>
        <v>3889.7333333333336</v>
      </c>
      <c r="H118">
        <f t="shared" si="24"/>
        <v>55.966666666666242</v>
      </c>
      <c r="I118">
        <v>55.966666666666242</v>
      </c>
      <c r="J118">
        <v>56.000723379629449</v>
      </c>
      <c r="K118">
        <f t="shared" si="25"/>
        <v>3889.6992766203703</v>
      </c>
      <c r="L118">
        <f t="shared" si="18"/>
        <v>3873.25</v>
      </c>
      <c r="M118">
        <f t="shared" si="19"/>
        <v>3929.2507233796296</v>
      </c>
      <c r="N118">
        <f t="shared" si="26"/>
        <v>16.449276620370256</v>
      </c>
      <c r="O118">
        <f t="shared" si="20"/>
        <v>66.760387731481842</v>
      </c>
      <c r="P118">
        <f t="shared" si="21"/>
        <v>-50.311111111111586</v>
      </c>
    </row>
    <row r="119" spans="1:16">
      <c r="B119">
        <v>118</v>
      </c>
      <c r="C119">
        <v>10</v>
      </c>
      <c r="D119">
        <v>3977.8</v>
      </c>
      <c r="F119">
        <f t="shared" si="27"/>
        <v>3897.8833333333337</v>
      </c>
      <c r="G119">
        <f t="shared" si="23"/>
        <v>3902.0041666666666</v>
      </c>
      <c r="H119">
        <f t="shared" si="24"/>
        <v>75.795833333333576</v>
      </c>
      <c r="I119">
        <v>75.795833333333576</v>
      </c>
      <c r="J119">
        <v>37.670862268518434</v>
      </c>
      <c r="K119">
        <f t="shared" si="25"/>
        <v>3940.1291377314819</v>
      </c>
      <c r="L119">
        <f t="shared" si="18"/>
        <v>3881.5</v>
      </c>
      <c r="M119">
        <f t="shared" si="19"/>
        <v>3919.1708622685182</v>
      </c>
      <c r="N119">
        <f t="shared" si="26"/>
        <v>58.629137731481933</v>
      </c>
      <c r="O119">
        <f t="shared" si="20"/>
        <v>18.215017361111222</v>
      </c>
      <c r="P119">
        <f t="shared" si="21"/>
        <v>40.414120370370711</v>
      </c>
    </row>
    <row r="120" spans="1:16">
      <c r="B120">
        <v>119</v>
      </c>
      <c r="C120">
        <v>11</v>
      </c>
      <c r="D120">
        <v>3931.2</v>
      </c>
      <c r="F120">
        <f t="shared" si="27"/>
        <v>3906.125</v>
      </c>
      <c r="G120">
        <f t="shared" si="23"/>
        <v>3908.2291666666661</v>
      </c>
      <c r="H120">
        <f t="shared" si="24"/>
        <v>22.970833333333758</v>
      </c>
      <c r="I120">
        <v>22.970833333333758</v>
      </c>
      <c r="J120">
        <v>61.883362268518454</v>
      </c>
      <c r="K120">
        <f t="shared" si="25"/>
        <v>3869.3166377314815</v>
      </c>
      <c r="L120">
        <f t="shared" si="18"/>
        <v>3889.75</v>
      </c>
      <c r="M120">
        <f t="shared" si="19"/>
        <v>3951.6333622685183</v>
      </c>
      <c r="N120">
        <f t="shared" si="26"/>
        <v>-20.433362268518522</v>
      </c>
      <c r="O120">
        <f t="shared" si="20"/>
        <v>0.46594328703728632</v>
      </c>
      <c r="P120">
        <f t="shared" si="21"/>
        <v>-20.899305555555809</v>
      </c>
    </row>
    <row r="121" spans="1:16">
      <c r="B121">
        <v>120</v>
      </c>
      <c r="C121">
        <v>12</v>
      </c>
      <c r="D121">
        <v>3796.3</v>
      </c>
      <c r="F121">
        <f t="shared" si="27"/>
        <v>3910.3333333333326</v>
      </c>
      <c r="G121">
        <f t="shared" si="23"/>
        <v>3912.7333333333327</v>
      </c>
      <c r="H121">
        <f t="shared" si="24"/>
        <v>-116.43333333333248</v>
      </c>
      <c r="I121">
        <v>-116.43333333333248</v>
      </c>
      <c r="J121">
        <v>-64.902054398148081</v>
      </c>
      <c r="K121">
        <f t="shared" si="25"/>
        <v>3861.2020543981484</v>
      </c>
      <c r="L121">
        <f t="shared" si="18"/>
        <v>3898</v>
      </c>
      <c r="M121">
        <f t="shared" si="19"/>
        <v>3833.0979456018517</v>
      </c>
      <c r="N121">
        <f t="shared" si="26"/>
        <v>-36.797945601851552</v>
      </c>
      <c r="O121">
        <f t="shared" si="20"/>
        <v>8.2746238425926695</v>
      </c>
      <c r="P121">
        <f t="shared" si="21"/>
        <v>-45.07256944444422</v>
      </c>
    </row>
    <row r="122" spans="1:16">
      <c r="A122">
        <v>11</v>
      </c>
      <c r="B122">
        <v>121</v>
      </c>
      <c r="C122">
        <v>1</v>
      </c>
      <c r="D122">
        <v>3897.3</v>
      </c>
      <c r="F122">
        <f t="shared" si="27"/>
        <v>3915.1333333333328</v>
      </c>
      <c r="G122">
        <f t="shared" si="23"/>
        <v>3917.5999999999995</v>
      </c>
      <c r="H122">
        <f t="shared" si="24"/>
        <v>-20.299999999999272</v>
      </c>
      <c r="I122">
        <v>-20.299999999999272</v>
      </c>
      <c r="J122">
        <v>-91.005179398147831</v>
      </c>
      <c r="K122">
        <f t="shared" si="25"/>
        <v>3988.3051793981481</v>
      </c>
      <c r="L122">
        <f t="shared" si="18"/>
        <v>3906.25</v>
      </c>
      <c r="M122">
        <f t="shared" si="19"/>
        <v>3815.2448206018521</v>
      </c>
      <c r="N122">
        <f t="shared" si="26"/>
        <v>82.055179398148084</v>
      </c>
      <c r="O122">
        <f t="shared" si="20"/>
        <v>-17.543894675925912</v>
      </c>
      <c r="P122">
        <f t="shared" si="21"/>
        <v>99.599074074073997</v>
      </c>
    </row>
    <row r="123" spans="1:16">
      <c r="B123">
        <v>122</v>
      </c>
      <c r="C123">
        <v>2</v>
      </c>
      <c r="D123">
        <v>3685.9</v>
      </c>
      <c r="F123">
        <f t="shared" si="27"/>
        <v>3920.0666666666662</v>
      </c>
      <c r="G123">
        <f t="shared" si="23"/>
        <v>3921.9291666666663</v>
      </c>
      <c r="H123">
        <f t="shared" si="24"/>
        <v>-236.02916666666624</v>
      </c>
      <c r="I123">
        <v>-236.02916666666624</v>
      </c>
      <c r="J123">
        <v>-130.71108217592581</v>
      </c>
      <c r="K123">
        <f t="shared" si="25"/>
        <v>3816.6110821759257</v>
      </c>
      <c r="L123">
        <f t="shared" si="18"/>
        <v>3914.5</v>
      </c>
      <c r="M123">
        <f t="shared" si="19"/>
        <v>3783.7889178240744</v>
      </c>
      <c r="N123">
        <f t="shared" si="26"/>
        <v>-97.888917824074269</v>
      </c>
      <c r="O123">
        <f t="shared" si="20"/>
        <v>-24.535677083333365</v>
      </c>
      <c r="P123">
        <f t="shared" si="21"/>
        <v>-73.353240740740901</v>
      </c>
    </row>
    <row r="124" spans="1:16">
      <c r="B124">
        <v>123</v>
      </c>
      <c r="C124">
        <v>3</v>
      </c>
      <c r="D124">
        <v>3687</v>
      </c>
      <c r="F124">
        <f t="shared" si="27"/>
        <v>3923.7916666666665</v>
      </c>
      <c r="G124">
        <f t="shared" si="23"/>
        <v>3928.9208333333336</v>
      </c>
      <c r="H124">
        <f t="shared" si="24"/>
        <v>-241.92083333333358</v>
      </c>
      <c r="I124">
        <v>-241.92083333333358</v>
      </c>
      <c r="J124">
        <v>-177.97670717592592</v>
      </c>
      <c r="K124">
        <f t="shared" si="25"/>
        <v>3864.9767071759261</v>
      </c>
      <c r="L124">
        <f t="shared" si="18"/>
        <v>3922.75</v>
      </c>
      <c r="M124">
        <f t="shared" si="19"/>
        <v>3744.7732928240739</v>
      </c>
      <c r="N124">
        <f t="shared" si="26"/>
        <v>-57.773292824073906</v>
      </c>
      <c r="O124">
        <f t="shared" si="20"/>
        <v>-36.526186342592609</v>
      </c>
      <c r="P124">
        <f t="shared" si="21"/>
        <v>-21.247106481481296</v>
      </c>
    </row>
    <row r="125" spans="1:16">
      <c r="B125">
        <v>124</v>
      </c>
      <c r="C125">
        <v>4</v>
      </c>
      <c r="D125">
        <v>3973.2</v>
      </c>
      <c r="F125">
        <f t="shared" si="27"/>
        <v>3934.0500000000006</v>
      </c>
      <c r="G125">
        <f t="shared" si="23"/>
        <v>3936.8791666666671</v>
      </c>
      <c r="H125">
        <f t="shared" si="24"/>
        <v>36.320833333332757</v>
      </c>
      <c r="I125">
        <v>36.320833333332757</v>
      </c>
      <c r="J125">
        <v>-3.8836516203703066</v>
      </c>
      <c r="K125">
        <f t="shared" si="25"/>
        <v>3977.0836516203703</v>
      </c>
      <c r="L125">
        <f t="shared" si="18"/>
        <v>3931</v>
      </c>
      <c r="M125">
        <f t="shared" si="19"/>
        <v>3927.1163483796295</v>
      </c>
      <c r="N125">
        <f t="shared" si="26"/>
        <v>46.083651620370347</v>
      </c>
      <c r="O125">
        <f t="shared" si="20"/>
        <v>7.8858506944444953</v>
      </c>
      <c r="P125">
        <f t="shared" si="21"/>
        <v>38.197800925925854</v>
      </c>
    </row>
    <row r="126" spans="1:16">
      <c r="B126">
        <v>125</v>
      </c>
      <c r="C126">
        <v>5</v>
      </c>
      <c r="D126">
        <v>3981.6</v>
      </c>
      <c r="F126">
        <f t="shared" si="27"/>
        <v>3939.7083333333335</v>
      </c>
      <c r="G126">
        <f t="shared" si="23"/>
        <v>3944.3874999999998</v>
      </c>
      <c r="H126">
        <f t="shared" si="24"/>
        <v>37.212500000000091</v>
      </c>
      <c r="I126">
        <v>37.212500000000091</v>
      </c>
      <c r="J126">
        <v>7.0028067129630491</v>
      </c>
      <c r="K126">
        <f t="shared" si="25"/>
        <v>3974.597193287037</v>
      </c>
      <c r="L126">
        <f t="shared" si="18"/>
        <v>3939.25</v>
      </c>
      <c r="M126">
        <f t="shared" si="19"/>
        <v>3946.2528067129629</v>
      </c>
      <c r="N126">
        <f t="shared" si="26"/>
        <v>35.347193287037044</v>
      </c>
      <c r="O126">
        <f t="shared" si="20"/>
        <v>11.960156250000031</v>
      </c>
      <c r="P126">
        <f t="shared" si="21"/>
        <v>23.387037037037011</v>
      </c>
    </row>
    <row r="127" spans="1:16">
      <c r="B127">
        <v>126</v>
      </c>
      <c r="C127">
        <v>6</v>
      </c>
      <c r="D127">
        <v>4030.6</v>
      </c>
      <c r="F127">
        <f t="shared" si="27"/>
        <v>3949.0666666666662</v>
      </c>
      <c r="G127">
        <f t="shared" si="23"/>
        <v>3954.2791666666662</v>
      </c>
      <c r="H127">
        <f t="shared" si="24"/>
        <v>76.320833333333667</v>
      </c>
      <c r="I127">
        <v>76.320833333333667</v>
      </c>
      <c r="J127">
        <v>128.65037615740735</v>
      </c>
      <c r="K127">
        <f t="shared" si="25"/>
        <v>3901.9496238425927</v>
      </c>
      <c r="L127">
        <f t="shared" si="18"/>
        <v>3947.5</v>
      </c>
      <c r="M127">
        <f t="shared" si="19"/>
        <v>4076.1503761574072</v>
      </c>
      <c r="N127">
        <f t="shared" si="26"/>
        <v>-45.5503761574073</v>
      </c>
      <c r="O127">
        <f t="shared" si="20"/>
        <v>0.25784143518527952</v>
      </c>
      <c r="P127">
        <f t="shared" si="21"/>
        <v>-45.808217592592577</v>
      </c>
    </row>
    <row r="128" spans="1:16">
      <c r="B128">
        <v>127</v>
      </c>
      <c r="C128">
        <v>7</v>
      </c>
      <c r="D128">
        <v>4030.6</v>
      </c>
      <c r="F128">
        <f t="shared" si="27"/>
        <v>3959.4916666666663</v>
      </c>
      <c r="G128">
        <f t="shared" si="23"/>
        <v>3958.6166666666668</v>
      </c>
      <c r="H128">
        <f t="shared" si="24"/>
        <v>71.983333333333121</v>
      </c>
      <c r="I128">
        <v>71.983333333333121</v>
      </c>
      <c r="J128">
        <v>63.873292824073964</v>
      </c>
      <c r="K128">
        <f t="shared" si="25"/>
        <v>3966.7267071759261</v>
      </c>
      <c r="L128">
        <f t="shared" si="18"/>
        <v>3955.75</v>
      </c>
      <c r="M128">
        <f t="shared" si="19"/>
        <v>4019.6232928240738</v>
      </c>
      <c r="N128">
        <f t="shared" si="26"/>
        <v>10.976707175926094</v>
      </c>
      <c r="O128">
        <f t="shared" si="20"/>
        <v>12.109693287037317</v>
      </c>
      <c r="P128">
        <f t="shared" si="21"/>
        <v>-1.1329861111112223</v>
      </c>
    </row>
    <row r="129" spans="1:16">
      <c r="B129">
        <v>128</v>
      </c>
      <c r="C129">
        <v>8</v>
      </c>
      <c r="D129">
        <v>4148.3</v>
      </c>
      <c r="F129">
        <f t="shared" si="27"/>
        <v>3957.7416666666668</v>
      </c>
      <c r="G129">
        <f t="shared" si="23"/>
        <v>3967.8458333333338</v>
      </c>
      <c r="H129">
        <f t="shared" si="24"/>
        <v>180.45416666666642</v>
      </c>
      <c r="I129">
        <v>180.45416666666642</v>
      </c>
      <c r="J129">
        <v>113.39725115740724</v>
      </c>
      <c r="K129">
        <f t="shared" si="25"/>
        <v>4034.9027488425932</v>
      </c>
      <c r="L129">
        <f t="shared" si="18"/>
        <v>3964</v>
      </c>
      <c r="M129">
        <f t="shared" si="19"/>
        <v>4077.397251157407</v>
      </c>
      <c r="N129">
        <f t="shared" si="26"/>
        <v>70.902748842593155</v>
      </c>
      <c r="O129">
        <f t="shared" si="20"/>
        <v>40.809577546296623</v>
      </c>
      <c r="P129">
        <f t="shared" si="21"/>
        <v>30.093171296296532</v>
      </c>
    </row>
    <row r="130" spans="1:16">
      <c r="B130">
        <v>129</v>
      </c>
      <c r="C130">
        <v>9</v>
      </c>
      <c r="D130">
        <v>4068.8</v>
      </c>
      <c r="F130">
        <f t="shared" si="27"/>
        <v>3977.9500000000007</v>
      </c>
      <c r="G130">
        <f t="shared" si="23"/>
        <v>3979.6458333333339</v>
      </c>
      <c r="H130">
        <f t="shared" si="24"/>
        <v>89.154166666666242</v>
      </c>
      <c r="I130">
        <v>89.154166666666242</v>
      </c>
      <c r="J130">
        <v>56.000723379629449</v>
      </c>
      <c r="K130">
        <f t="shared" ref="K130:K157" si="28">D130-J130</f>
        <v>4012.7992766203706</v>
      </c>
      <c r="L130">
        <f t="shared" si="18"/>
        <v>3972.25</v>
      </c>
      <c r="M130">
        <f t="shared" si="19"/>
        <v>4028.2507233796296</v>
      </c>
      <c r="N130">
        <f t="shared" ref="N130:N157" si="29">D130-M130</f>
        <v>40.54927662037062</v>
      </c>
      <c r="O130">
        <f t="shared" si="20"/>
        <v>46.327054398148448</v>
      </c>
      <c r="P130">
        <f t="shared" si="21"/>
        <v>-5.7777777777778283</v>
      </c>
    </row>
    <row r="131" spans="1:16">
      <c r="B131">
        <v>130</v>
      </c>
      <c r="C131">
        <v>10</v>
      </c>
      <c r="D131">
        <v>4045.7</v>
      </c>
      <c r="F131">
        <f t="shared" si="27"/>
        <v>3981.3416666666667</v>
      </c>
      <c r="G131">
        <f t="shared" si="23"/>
        <v>3984.3291666666669</v>
      </c>
      <c r="H131">
        <f t="shared" si="24"/>
        <v>61.370833333332939</v>
      </c>
      <c r="I131">
        <v>61.370833333332939</v>
      </c>
      <c r="J131">
        <v>37.670862268518434</v>
      </c>
      <c r="K131">
        <f t="shared" si="28"/>
        <v>4008.0291377314816</v>
      </c>
      <c r="L131">
        <f t="shared" ref="L131:L157" si="30">2908+8.25*B131</f>
        <v>3980.5</v>
      </c>
      <c r="M131">
        <f t="shared" ref="M131:M157" si="31">L131+J131</f>
        <v>4018.1708622685182</v>
      </c>
      <c r="N131">
        <f t="shared" si="29"/>
        <v>27.529137731481569</v>
      </c>
      <c r="O131">
        <f t="shared" si="20"/>
        <v>20.315017361111284</v>
      </c>
      <c r="P131">
        <f t="shared" si="21"/>
        <v>7.214120370370285</v>
      </c>
    </row>
    <row r="132" spans="1:16">
      <c r="B132">
        <v>131</v>
      </c>
      <c r="C132">
        <v>11</v>
      </c>
      <c r="D132">
        <v>4043.5</v>
      </c>
      <c r="F132">
        <f t="shared" si="27"/>
        <v>3987.3166666666671</v>
      </c>
      <c r="G132">
        <f t="shared" si="23"/>
        <v>3990.9416666666666</v>
      </c>
      <c r="H132">
        <f t="shared" si="24"/>
        <v>52.558333333333394</v>
      </c>
      <c r="I132">
        <v>52.558333333333394</v>
      </c>
      <c r="J132">
        <v>61.883362268518454</v>
      </c>
      <c r="K132">
        <f t="shared" si="28"/>
        <v>3981.6166377314817</v>
      </c>
      <c r="L132">
        <f t="shared" si="30"/>
        <v>3988.75</v>
      </c>
      <c r="M132">
        <f t="shared" si="31"/>
        <v>4050.6333622685183</v>
      </c>
      <c r="N132">
        <f t="shared" si="29"/>
        <v>-7.13336226851834</v>
      </c>
      <c r="O132">
        <f t="shared" ref="O132:O156" si="32">AVERAGE(N131:N133)</f>
        <v>3.2326099537038622</v>
      </c>
      <c r="P132">
        <f t="shared" ref="P132:P157" si="33">N132-O132</f>
        <v>-10.365972222222203</v>
      </c>
    </row>
    <row r="133" spans="1:16">
      <c r="B133">
        <v>132</v>
      </c>
      <c r="C133">
        <v>12</v>
      </c>
      <c r="D133">
        <v>3921.4</v>
      </c>
      <c r="F133">
        <f t="shared" si="27"/>
        <v>3994.5666666666662</v>
      </c>
      <c r="G133">
        <f t="shared" si="23"/>
        <v>4003.2958333333331</v>
      </c>
      <c r="H133">
        <f t="shared" si="24"/>
        <v>-81.89583333333303</v>
      </c>
      <c r="I133">
        <v>-81.89583333333303</v>
      </c>
      <c r="J133">
        <v>-64.902054398148081</v>
      </c>
      <c r="K133">
        <f t="shared" si="28"/>
        <v>3986.3020543981484</v>
      </c>
      <c r="L133">
        <f t="shared" si="30"/>
        <v>3997</v>
      </c>
      <c r="M133">
        <f t="shared" si="31"/>
        <v>3932.0979456018517</v>
      </c>
      <c r="N133">
        <f t="shared" si="29"/>
        <v>-10.697945601851643</v>
      </c>
      <c r="O133">
        <f t="shared" si="32"/>
        <v>-18.592042824073967</v>
      </c>
      <c r="P133">
        <f t="shared" si="33"/>
        <v>7.8940972222223245</v>
      </c>
    </row>
    <row r="134" spans="1:16">
      <c r="A134">
        <v>12</v>
      </c>
      <c r="B134">
        <v>133</v>
      </c>
      <c r="C134">
        <v>1</v>
      </c>
      <c r="D134">
        <v>3876.3</v>
      </c>
      <c r="F134">
        <f t="shared" si="27"/>
        <v>4012.0250000000001</v>
      </c>
      <c r="G134">
        <f t="shared" si="23"/>
        <v>4012.9375</v>
      </c>
      <c r="H134">
        <f t="shared" si="24"/>
        <v>-136.63749999999982</v>
      </c>
      <c r="I134">
        <v>-136.63749999999982</v>
      </c>
      <c r="J134">
        <v>-91.005179398147831</v>
      </c>
      <c r="K134">
        <f t="shared" si="28"/>
        <v>3967.3051793981481</v>
      </c>
      <c r="L134">
        <f t="shared" si="30"/>
        <v>4005.25</v>
      </c>
      <c r="M134">
        <f t="shared" si="31"/>
        <v>3914.2448206018521</v>
      </c>
      <c r="N134">
        <f t="shared" si="29"/>
        <v>-37.944820601851916</v>
      </c>
      <c r="O134">
        <f t="shared" si="32"/>
        <v>-1.0105613425926094</v>
      </c>
      <c r="P134">
        <f t="shared" si="33"/>
        <v>-36.934259259259306</v>
      </c>
    </row>
    <row r="135" spans="1:16">
      <c r="B135">
        <v>134</v>
      </c>
      <c r="C135">
        <v>2</v>
      </c>
      <c r="D135">
        <v>3928.4</v>
      </c>
      <c r="F135">
        <f t="shared" si="27"/>
        <v>4013.85</v>
      </c>
      <c r="G135">
        <f t="shared" si="23"/>
        <v>4017.2833333333333</v>
      </c>
      <c r="H135">
        <f t="shared" si="24"/>
        <v>-88.883333333333212</v>
      </c>
      <c r="I135">
        <v>-88.883333333333212</v>
      </c>
      <c r="J135">
        <v>-130.71108217592581</v>
      </c>
      <c r="K135">
        <f t="shared" si="28"/>
        <v>4059.1110821759257</v>
      </c>
      <c r="L135">
        <f t="shared" si="30"/>
        <v>4013.5</v>
      </c>
      <c r="M135">
        <f t="shared" si="31"/>
        <v>3882.7889178240744</v>
      </c>
      <c r="N135">
        <f t="shared" si="29"/>
        <v>45.611082175925731</v>
      </c>
      <c r="O135">
        <f t="shared" si="32"/>
        <v>-36.135677083333427</v>
      </c>
      <c r="P135">
        <f t="shared" si="33"/>
        <v>81.746759259259164</v>
      </c>
    </row>
    <row r="136" spans="1:16">
      <c r="B136">
        <v>135</v>
      </c>
      <c r="C136">
        <v>3</v>
      </c>
      <c r="D136">
        <v>3727.7</v>
      </c>
      <c r="F136">
        <f t="shared" ref="F136:F152" si="34">AVERAGE(D130:D141)</f>
        <v>4020.7166666666667</v>
      </c>
      <c r="G136">
        <f t="shared" si="23"/>
        <v>4021.7250000000004</v>
      </c>
      <c r="H136">
        <f t="shared" si="24"/>
        <v>-294.02500000000055</v>
      </c>
      <c r="I136">
        <v>-294.02500000000055</v>
      </c>
      <c r="J136">
        <v>-177.97670717592592</v>
      </c>
      <c r="K136">
        <f t="shared" si="28"/>
        <v>3905.6767071759259</v>
      </c>
      <c r="L136">
        <f t="shared" si="30"/>
        <v>4021.75</v>
      </c>
      <c r="M136">
        <f t="shared" si="31"/>
        <v>3843.7732928240739</v>
      </c>
      <c r="N136">
        <f t="shared" si="29"/>
        <v>-116.07329282407409</v>
      </c>
      <c r="O136">
        <f t="shared" si="32"/>
        <v>-17.22618634259258</v>
      </c>
      <c r="P136">
        <f t="shared" si="33"/>
        <v>-98.847106481481504</v>
      </c>
    </row>
    <row r="137" spans="1:16">
      <c r="B137">
        <v>136</v>
      </c>
      <c r="C137">
        <v>4</v>
      </c>
      <c r="D137">
        <v>4044.9</v>
      </c>
      <c r="F137">
        <f t="shared" si="34"/>
        <v>4022.7333333333336</v>
      </c>
      <c r="G137">
        <f t="shared" ref="G137:G151" si="35">AVERAGE(F137:F138)</f>
        <v>4028.083333333333</v>
      </c>
      <c r="H137">
        <f t="shared" ref="H137:H151" si="36">D137-G137</f>
        <v>16.816666666667061</v>
      </c>
      <c r="I137">
        <v>16.816666666667061</v>
      </c>
      <c r="J137">
        <v>-3.8836516203703066</v>
      </c>
      <c r="K137">
        <f t="shared" si="28"/>
        <v>4048.7836516203706</v>
      </c>
      <c r="L137">
        <f t="shared" si="30"/>
        <v>4030</v>
      </c>
      <c r="M137">
        <f t="shared" si="31"/>
        <v>4026.1163483796295</v>
      </c>
      <c r="N137">
        <f t="shared" si="29"/>
        <v>18.78365162037062</v>
      </c>
      <c r="O137">
        <f t="shared" si="32"/>
        <v>-24.647482638888807</v>
      </c>
      <c r="P137">
        <f t="shared" si="33"/>
        <v>43.431134259259423</v>
      </c>
    </row>
    <row r="138" spans="1:16">
      <c r="B138">
        <v>137</v>
      </c>
      <c r="C138">
        <v>5</v>
      </c>
      <c r="D138">
        <v>4068.6</v>
      </c>
      <c r="F138">
        <f t="shared" si="34"/>
        <v>4033.4333333333329</v>
      </c>
      <c r="G138">
        <f t="shared" si="35"/>
        <v>4039.6333333333332</v>
      </c>
      <c r="H138">
        <f t="shared" si="36"/>
        <v>28.966666666666697</v>
      </c>
      <c r="I138">
        <v>28.966666666666697</v>
      </c>
      <c r="J138">
        <v>7.0028067129630491</v>
      </c>
      <c r="K138">
        <f t="shared" si="28"/>
        <v>4061.597193287037</v>
      </c>
      <c r="L138">
        <f t="shared" si="30"/>
        <v>4038.25</v>
      </c>
      <c r="M138">
        <f t="shared" si="31"/>
        <v>4045.2528067129629</v>
      </c>
      <c r="N138">
        <f t="shared" si="29"/>
        <v>23.347193287037044</v>
      </c>
      <c r="O138">
        <f t="shared" si="32"/>
        <v>35.693489583333452</v>
      </c>
      <c r="P138">
        <f t="shared" si="33"/>
        <v>-12.346296296296408</v>
      </c>
    </row>
    <row r="139" spans="1:16">
      <c r="B139">
        <v>138</v>
      </c>
      <c r="C139">
        <v>6</v>
      </c>
      <c r="D139">
        <v>4240.1000000000004</v>
      </c>
      <c r="F139">
        <f t="shared" si="34"/>
        <v>4045.8333333333335</v>
      </c>
      <c r="G139">
        <f t="shared" si="35"/>
        <v>4049.0291666666667</v>
      </c>
      <c r="H139">
        <f t="shared" si="36"/>
        <v>191.07083333333367</v>
      </c>
      <c r="I139">
        <v>191.07083333333367</v>
      </c>
      <c r="J139">
        <v>128.65037615740735</v>
      </c>
      <c r="K139">
        <f t="shared" si="28"/>
        <v>4111.4496238425927</v>
      </c>
      <c r="L139">
        <f t="shared" si="30"/>
        <v>4046.5</v>
      </c>
      <c r="M139">
        <f t="shared" si="31"/>
        <v>4175.1503761574077</v>
      </c>
      <c r="N139">
        <f t="shared" si="29"/>
        <v>64.9496238425927</v>
      </c>
      <c r="O139">
        <f t="shared" si="32"/>
        <v>7.3911747685184919</v>
      </c>
      <c r="P139">
        <f t="shared" si="33"/>
        <v>57.558449074074211</v>
      </c>
    </row>
    <row r="140" spans="1:16">
      <c r="B140">
        <v>139</v>
      </c>
      <c r="C140">
        <v>7</v>
      </c>
      <c r="D140">
        <v>4052.5</v>
      </c>
      <c r="F140">
        <f t="shared" si="34"/>
        <v>4052.2249999999999</v>
      </c>
      <c r="G140">
        <f t="shared" si="35"/>
        <v>4062.2041666666669</v>
      </c>
      <c r="H140">
        <f t="shared" si="36"/>
        <v>-9.7041666666668789</v>
      </c>
      <c r="I140">
        <v>-9.7041666666668789</v>
      </c>
      <c r="J140">
        <v>63.873292824073964</v>
      </c>
      <c r="K140">
        <f t="shared" si="28"/>
        <v>3988.6267071759262</v>
      </c>
      <c r="L140">
        <f t="shared" si="30"/>
        <v>4054.75</v>
      </c>
      <c r="M140">
        <f t="shared" si="31"/>
        <v>4118.6232928240743</v>
      </c>
      <c r="N140">
        <f t="shared" si="29"/>
        <v>-66.123292824074269</v>
      </c>
      <c r="O140">
        <f t="shared" si="32"/>
        <v>17.709693287036924</v>
      </c>
      <c r="P140">
        <f t="shared" si="33"/>
        <v>-83.832986111111197</v>
      </c>
    </row>
    <row r="141" spans="1:16">
      <c r="B141">
        <v>140</v>
      </c>
      <c r="C141">
        <v>8</v>
      </c>
      <c r="D141">
        <v>4230.7</v>
      </c>
      <c r="F141">
        <f t="shared" si="34"/>
        <v>4072.1833333333338</v>
      </c>
      <c r="G141">
        <f t="shared" si="35"/>
        <v>4077.1958333333341</v>
      </c>
      <c r="H141">
        <f t="shared" si="36"/>
        <v>153.5041666666657</v>
      </c>
      <c r="I141">
        <v>153.5041666666657</v>
      </c>
      <c r="J141">
        <v>113.39725115740724</v>
      </c>
      <c r="K141">
        <f t="shared" si="28"/>
        <v>4117.3027488425923</v>
      </c>
      <c r="L141">
        <f t="shared" si="30"/>
        <v>4063</v>
      </c>
      <c r="M141">
        <f t="shared" si="31"/>
        <v>4176.3972511574075</v>
      </c>
      <c r="N141">
        <f t="shared" si="29"/>
        <v>54.302748842592337</v>
      </c>
      <c r="O141">
        <f t="shared" si="32"/>
        <v>-15.357089120370498</v>
      </c>
      <c r="P141">
        <f t="shared" si="33"/>
        <v>69.65983796296284</v>
      </c>
    </row>
    <row r="142" spans="1:16">
      <c r="B142">
        <v>141</v>
      </c>
      <c r="C142">
        <v>9</v>
      </c>
      <c r="D142">
        <v>4093</v>
      </c>
      <c r="F142">
        <f t="shared" si="34"/>
        <v>4082.2083333333339</v>
      </c>
      <c r="G142">
        <f t="shared" si="35"/>
        <v>4087.5041666666675</v>
      </c>
      <c r="H142">
        <f t="shared" si="36"/>
        <v>5.4958333333324845</v>
      </c>
      <c r="I142">
        <v>5.4958333333324845</v>
      </c>
      <c r="J142">
        <v>56.000723379629449</v>
      </c>
      <c r="K142">
        <f t="shared" si="28"/>
        <v>4036.9992766203704</v>
      </c>
      <c r="L142">
        <f t="shared" si="30"/>
        <v>4071.25</v>
      </c>
      <c r="M142">
        <f t="shared" si="31"/>
        <v>4127.2507233796296</v>
      </c>
      <c r="N142">
        <f t="shared" si="29"/>
        <v>-34.250723379629562</v>
      </c>
      <c r="O142">
        <f t="shared" si="32"/>
        <v>25.660387731481631</v>
      </c>
      <c r="P142">
        <f t="shared" si="33"/>
        <v>-59.911111111111197</v>
      </c>
    </row>
    <row r="143" spans="1:16">
      <c r="B143">
        <v>142</v>
      </c>
      <c r="C143">
        <v>10</v>
      </c>
      <c r="D143">
        <v>4174.1000000000004</v>
      </c>
      <c r="F143">
        <f t="shared" si="34"/>
        <v>4092.8000000000006</v>
      </c>
      <c r="G143">
        <f t="shared" si="35"/>
        <v>4088.0500000000006</v>
      </c>
      <c r="H143">
        <f t="shared" si="36"/>
        <v>86.049999999999727</v>
      </c>
      <c r="I143">
        <v>86.049999999999727</v>
      </c>
      <c r="J143">
        <v>37.670862268518434</v>
      </c>
      <c r="K143">
        <f t="shared" si="28"/>
        <v>4136.4291377314821</v>
      </c>
      <c r="L143">
        <f t="shared" si="30"/>
        <v>4079.5</v>
      </c>
      <c r="M143">
        <f t="shared" si="31"/>
        <v>4117.1708622685182</v>
      </c>
      <c r="N143">
        <f t="shared" si="29"/>
        <v>56.929137731482115</v>
      </c>
      <c r="O143">
        <f t="shared" si="32"/>
        <v>21.781684027777981</v>
      </c>
      <c r="P143">
        <f t="shared" si="33"/>
        <v>35.14745370370413</v>
      </c>
    </row>
    <row r="144" spans="1:16">
      <c r="B144">
        <v>143</v>
      </c>
      <c r="C144">
        <v>11</v>
      </c>
      <c r="D144">
        <v>4192.3</v>
      </c>
      <c r="F144">
        <f t="shared" si="34"/>
        <v>4083.3000000000006</v>
      </c>
      <c r="G144">
        <f t="shared" si="35"/>
        <v>4087.4958333333338</v>
      </c>
      <c r="H144">
        <f t="shared" si="36"/>
        <v>104.80416666666633</v>
      </c>
      <c r="I144">
        <v>104.80416666666633</v>
      </c>
      <c r="J144">
        <v>61.883362268518454</v>
      </c>
      <c r="K144">
        <f t="shared" si="28"/>
        <v>4130.4166377314814</v>
      </c>
      <c r="L144">
        <f t="shared" si="30"/>
        <v>4087.75</v>
      </c>
      <c r="M144">
        <f t="shared" si="31"/>
        <v>4149.6333622685188</v>
      </c>
      <c r="N144">
        <f t="shared" si="29"/>
        <v>42.666637731481387</v>
      </c>
      <c r="O144">
        <f t="shared" si="32"/>
        <v>22.199276620370558</v>
      </c>
      <c r="P144">
        <f t="shared" si="33"/>
        <v>20.467361111110829</v>
      </c>
    </row>
    <row r="145" spans="1:16">
      <c r="B145">
        <v>144</v>
      </c>
      <c r="C145">
        <v>12</v>
      </c>
      <c r="D145">
        <v>3998.1</v>
      </c>
      <c r="F145">
        <f t="shared" si="34"/>
        <v>4091.6916666666671</v>
      </c>
      <c r="G145">
        <f t="shared" si="35"/>
        <v>4084.6291666666671</v>
      </c>
      <c r="H145">
        <f t="shared" si="36"/>
        <v>-86.529166666667152</v>
      </c>
      <c r="I145">
        <v>-86.529166666667152</v>
      </c>
      <c r="J145">
        <v>-64.902054398148081</v>
      </c>
      <c r="K145">
        <f t="shared" si="28"/>
        <v>4063.0020543981482</v>
      </c>
      <c r="L145">
        <f t="shared" si="30"/>
        <v>4096</v>
      </c>
      <c r="M145">
        <f t="shared" si="31"/>
        <v>4031.0979456018517</v>
      </c>
      <c r="N145">
        <f t="shared" si="29"/>
        <v>-32.997945601851825</v>
      </c>
      <c r="O145">
        <f t="shared" si="32"/>
        <v>37.40795717592588</v>
      </c>
      <c r="P145">
        <f t="shared" si="33"/>
        <v>-70.405902777777698</v>
      </c>
    </row>
    <row r="146" spans="1:16">
      <c r="A146">
        <v>13</v>
      </c>
      <c r="B146">
        <v>145</v>
      </c>
      <c r="C146">
        <v>1</v>
      </c>
      <c r="D146">
        <v>4115.8</v>
      </c>
      <c r="F146">
        <f t="shared" si="34"/>
        <v>4077.5666666666671</v>
      </c>
      <c r="G146">
        <f t="shared" si="35"/>
        <v>4084.6916666666671</v>
      </c>
      <c r="H146">
        <f t="shared" si="36"/>
        <v>31.108333333333121</v>
      </c>
      <c r="I146">
        <v>31.108333333333121</v>
      </c>
      <c r="J146">
        <v>-91.005179398147831</v>
      </c>
      <c r="K146">
        <f t="shared" si="28"/>
        <v>4206.8051793981476</v>
      </c>
      <c r="L146">
        <f t="shared" si="30"/>
        <v>4104.25</v>
      </c>
      <c r="M146">
        <f t="shared" si="31"/>
        <v>4013.2448206018521</v>
      </c>
      <c r="N146">
        <f t="shared" si="29"/>
        <v>102.55517939814808</v>
      </c>
      <c r="O146">
        <f t="shared" si="32"/>
        <v>45.489438657407241</v>
      </c>
      <c r="P146">
        <f t="shared" si="33"/>
        <v>57.065740740740843</v>
      </c>
    </row>
    <row r="147" spans="1:16">
      <c r="B147">
        <v>146</v>
      </c>
      <c r="C147">
        <v>2</v>
      </c>
      <c r="D147">
        <v>4048.7</v>
      </c>
      <c r="F147">
        <f t="shared" si="34"/>
        <v>4091.8166666666671</v>
      </c>
      <c r="G147">
        <f t="shared" si="35"/>
        <v>4097.5916666666672</v>
      </c>
      <c r="H147">
        <f t="shared" si="36"/>
        <v>-48.891666666667334</v>
      </c>
      <c r="I147">
        <v>-48.891666666667334</v>
      </c>
      <c r="J147">
        <v>-130.71108217592581</v>
      </c>
      <c r="K147">
        <f t="shared" si="28"/>
        <v>4179.4110821759259</v>
      </c>
      <c r="L147">
        <f t="shared" si="30"/>
        <v>4112.5</v>
      </c>
      <c r="M147">
        <f t="shared" si="31"/>
        <v>3981.7889178240744</v>
      </c>
      <c r="N147">
        <f t="shared" si="29"/>
        <v>66.911082175925458</v>
      </c>
      <c r="O147">
        <f t="shared" si="32"/>
        <v>27.164322916666606</v>
      </c>
      <c r="P147">
        <f t="shared" si="33"/>
        <v>39.746759259258852</v>
      </c>
    </row>
    <row r="148" spans="1:16">
      <c r="B148">
        <v>147</v>
      </c>
      <c r="C148">
        <v>3</v>
      </c>
      <c r="D148">
        <v>3854.8</v>
      </c>
      <c r="F148">
        <f t="shared" si="34"/>
        <v>4103.3666666666668</v>
      </c>
      <c r="G148">
        <f t="shared" si="35"/>
        <v>4104.1833333333343</v>
      </c>
      <c r="H148">
        <f t="shared" si="36"/>
        <v>-249.38333333333412</v>
      </c>
      <c r="I148">
        <v>-249.38333333333412</v>
      </c>
      <c r="J148">
        <v>-177.97670717592592</v>
      </c>
      <c r="K148">
        <f t="shared" si="28"/>
        <v>4032.7767071759263</v>
      </c>
      <c r="L148">
        <f t="shared" si="30"/>
        <v>4120.75</v>
      </c>
      <c r="M148">
        <f t="shared" si="31"/>
        <v>3942.7732928240739</v>
      </c>
      <c r="N148">
        <f t="shared" si="29"/>
        <v>-87.973292824073724</v>
      </c>
      <c r="O148">
        <f t="shared" si="32"/>
        <v>-71.759519675926029</v>
      </c>
      <c r="P148">
        <f t="shared" si="33"/>
        <v>-16.213773148147695</v>
      </c>
    </row>
    <row r="149" spans="1:16">
      <c r="B149">
        <v>148</v>
      </c>
      <c r="C149">
        <v>4</v>
      </c>
      <c r="D149">
        <v>3930.9</v>
      </c>
      <c r="F149">
        <f t="shared" si="34"/>
        <v>4105.0000000000009</v>
      </c>
      <c r="G149">
        <f t="shared" si="35"/>
        <v>4104.6458333333339</v>
      </c>
      <c r="H149">
        <f t="shared" si="36"/>
        <v>-173.74583333333385</v>
      </c>
      <c r="I149">
        <v>-173.74583333333385</v>
      </c>
      <c r="J149">
        <v>-3.8836516203703066</v>
      </c>
      <c r="K149">
        <f t="shared" si="28"/>
        <v>3934.7836516203706</v>
      </c>
      <c r="L149">
        <f t="shared" si="30"/>
        <v>4129</v>
      </c>
      <c r="M149">
        <f t="shared" si="31"/>
        <v>4125.1163483796299</v>
      </c>
      <c r="N149">
        <f t="shared" si="29"/>
        <v>-194.21634837962984</v>
      </c>
      <c r="O149">
        <f t="shared" si="32"/>
        <v>-85.714149305555566</v>
      </c>
      <c r="P149">
        <f t="shared" si="33"/>
        <v>-108.50219907407427</v>
      </c>
    </row>
    <row r="150" spans="1:16">
      <c r="B150">
        <v>149</v>
      </c>
      <c r="C150">
        <v>5</v>
      </c>
      <c r="D150">
        <v>4169.3</v>
      </c>
      <c r="F150">
        <f t="shared" si="34"/>
        <v>4104.291666666667</v>
      </c>
      <c r="G150">
        <f t="shared" si="35"/>
        <v>4105.1374999999998</v>
      </c>
      <c r="H150">
        <f t="shared" si="36"/>
        <v>64.162500000000364</v>
      </c>
      <c r="I150">
        <v>64.162500000000364</v>
      </c>
      <c r="J150">
        <v>7.0028067129630491</v>
      </c>
      <c r="K150">
        <f t="shared" si="28"/>
        <v>4162.2971932870369</v>
      </c>
      <c r="L150">
        <f t="shared" si="30"/>
        <v>4137.25</v>
      </c>
      <c r="M150">
        <f t="shared" si="31"/>
        <v>4144.2528067129633</v>
      </c>
      <c r="N150">
        <f t="shared" si="29"/>
        <v>25.047193287036862</v>
      </c>
      <c r="O150">
        <f t="shared" si="32"/>
        <v>-124.23984375000025</v>
      </c>
      <c r="P150">
        <f t="shared" si="33"/>
        <v>149.28703703703712</v>
      </c>
    </row>
    <row r="151" spans="1:16">
      <c r="B151">
        <v>150</v>
      </c>
      <c r="C151">
        <v>6</v>
      </c>
      <c r="D151">
        <v>4070.6</v>
      </c>
      <c r="F151">
        <f t="shared" si="34"/>
        <v>4105.9833333333327</v>
      </c>
      <c r="G151">
        <f t="shared" si="35"/>
        <v>4112.875</v>
      </c>
      <c r="H151">
        <f t="shared" si="36"/>
        <v>-42.275000000000091</v>
      </c>
      <c r="I151">
        <v>-42.275000000000091</v>
      </c>
      <c r="J151">
        <v>128.65037615740735</v>
      </c>
      <c r="K151">
        <f t="shared" si="28"/>
        <v>3941.9496238425927</v>
      </c>
      <c r="L151">
        <f t="shared" si="30"/>
        <v>4145.5</v>
      </c>
      <c r="M151">
        <f t="shared" si="31"/>
        <v>4274.1503761574077</v>
      </c>
      <c r="N151">
        <f t="shared" si="29"/>
        <v>-203.55037615740775</v>
      </c>
      <c r="O151">
        <f t="shared" si="32"/>
        <v>-57.542158564815054</v>
      </c>
      <c r="P151">
        <f t="shared" si="33"/>
        <v>-146.0082175925927</v>
      </c>
    </row>
    <row r="152" spans="1:16">
      <c r="B152">
        <v>151</v>
      </c>
      <c r="C152">
        <v>7</v>
      </c>
      <c r="D152">
        <v>4223.5</v>
      </c>
      <c r="F152">
        <f t="shared" si="34"/>
        <v>4119.7666666666664</v>
      </c>
      <c r="J152">
        <v>63.873292824073964</v>
      </c>
      <c r="K152">
        <f t="shared" si="28"/>
        <v>4159.6267071759257</v>
      </c>
      <c r="L152">
        <f t="shared" si="30"/>
        <v>4153.75</v>
      </c>
      <c r="M152">
        <f t="shared" si="31"/>
        <v>4217.6232928240743</v>
      </c>
      <c r="N152">
        <f t="shared" si="29"/>
        <v>5.8767071759257306</v>
      </c>
      <c r="O152">
        <f t="shared" si="32"/>
        <v>-34.590306712963105</v>
      </c>
      <c r="P152">
        <f t="shared" si="33"/>
        <v>40.467013888888836</v>
      </c>
    </row>
    <row r="153" spans="1:16">
      <c r="B153">
        <v>152</v>
      </c>
      <c r="C153">
        <v>8</v>
      </c>
      <c r="D153">
        <v>4369.3</v>
      </c>
      <c r="J153">
        <v>113.39725115740724</v>
      </c>
      <c r="K153">
        <f t="shared" si="28"/>
        <v>4255.9027488425927</v>
      </c>
      <c r="L153">
        <f t="shared" si="30"/>
        <v>4162</v>
      </c>
      <c r="M153">
        <f t="shared" si="31"/>
        <v>4275.3972511574075</v>
      </c>
      <c r="N153">
        <f t="shared" si="29"/>
        <v>93.9027488425927</v>
      </c>
      <c r="O153">
        <f t="shared" si="32"/>
        <v>-4.6237557870369228</v>
      </c>
      <c r="P153">
        <f t="shared" si="33"/>
        <v>98.526504629629628</v>
      </c>
    </row>
    <row r="154" spans="1:16">
      <c r="B154">
        <v>153</v>
      </c>
      <c r="C154">
        <v>9</v>
      </c>
      <c r="D154">
        <v>4112.6000000000004</v>
      </c>
      <c r="J154">
        <v>56.000723379629449</v>
      </c>
      <c r="K154">
        <f t="shared" si="28"/>
        <v>4056.5992766203708</v>
      </c>
      <c r="L154">
        <f t="shared" si="30"/>
        <v>4170.25</v>
      </c>
      <c r="M154">
        <f t="shared" si="31"/>
        <v>4226.2507233796296</v>
      </c>
      <c r="N154">
        <f t="shared" si="29"/>
        <v>-113.6507233796292</v>
      </c>
      <c r="O154">
        <f t="shared" si="32"/>
        <v>-23.439612268518129</v>
      </c>
      <c r="P154">
        <f t="shared" si="33"/>
        <v>-90.211111111111066</v>
      </c>
    </row>
    <row r="155" spans="1:16">
      <c r="B155">
        <v>154</v>
      </c>
      <c r="C155">
        <v>10</v>
      </c>
      <c r="D155">
        <v>4165.6000000000004</v>
      </c>
      <c r="J155">
        <v>37.670862268518434</v>
      </c>
      <c r="K155">
        <f t="shared" si="28"/>
        <v>4127.9291377314821</v>
      </c>
      <c r="L155">
        <f t="shared" si="30"/>
        <v>4178.5</v>
      </c>
      <c r="M155">
        <f t="shared" si="31"/>
        <v>4216.1708622685182</v>
      </c>
      <c r="N155">
        <f t="shared" si="29"/>
        <v>-50.570862268517885</v>
      </c>
      <c r="O155">
        <f t="shared" si="32"/>
        <v>-66.751649305555176</v>
      </c>
      <c r="P155">
        <f t="shared" si="33"/>
        <v>16.180787037037291</v>
      </c>
    </row>
    <row r="156" spans="1:16">
      <c r="B156">
        <v>155</v>
      </c>
      <c r="C156">
        <v>11</v>
      </c>
      <c r="D156">
        <v>4212.6000000000004</v>
      </c>
      <c r="J156">
        <v>61.883362268518454</v>
      </c>
      <c r="K156">
        <f t="shared" si="28"/>
        <v>4150.7166377314816</v>
      </c>
      <c r="L156">
        <f t="shared" si="30"/>
        <v>4186.75</v>
      </c>
      <c r="M156">
        <f t="shared" si="31"/>
        <v>4248.6333622685188</v>
      </c>
      <c r="N156">
        <f t="shared" si="29"/>
        <v>-36.033362268518431</v>
      </c>
      <c r="O156">
        <f t="shared" si="32"/>
        <v>-17.734056712962836</v>
      </c>
      <c r="P156">
        <f t="shared" si="33"/>
        <v>-18.299305555555595</v>
      </c>
    </row>
    <row r="157" spans="1:16">
      <c r="B157">
        <v>156</v>
      </c>
      <c r="C157">
        <v>12</v>
      </c>
      <c r="D157">
        <v>4163.5</v>
      </c>
      <c r="J157">
        <v>-64.902054398148081</v>
      </c>
      <c r="K157">
        <f t="shared" si="28"/>
        <v>4228.4020543981478</v>
      </c>
      <c r="L157">
        <f t="shared" si="30"/>
        <v>4195</v>
      </c>
      <c r="M157">
        <f t="shared" si="31"/>
        <v>4130.0979456018522</v>
      </c>
      <c r="N157">
        <f t="shared" si="29"/>
        <v>33.402054398147811</v>
      </c>
      <c r="P157">
        <f t="shared" si="33"/>
        <v>33.402054398147811</v>
      </c>
    </row>
  </sheetData>
  <autoFilter ref="C1:C157" xr:uid="{751DAD39-3FF7-4D99-B794-259300E4C77D}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EC29D-D086-4C6D-BE0E-F8BDA61E6A50}">
  <sheetPr codeName="Sheet5"/>
  <dimension ref="A1:O157"/>
  <sheetViews>
    <sheetView workbookViewId="0">
      <selection activeCell="N2" sqref="N2"/>
    </sheetView>
  </sheetViews>
  <sheetFormatPr baseColWidth="10" defaultColWidth="8.83203125" defaultRowHeight="15"/>
  <cols>
    <col min="2" max="2" width="15.33203125" bestFit="1" customWidth="1"/>
    <col min="3" max="3" width="11.83203125" bestFit="1" customWidth="1"/>
  </cols>
  <sheetData>
    <row r="1" spans="1:15">
      <c r="B1" t="s">
        <v>0</v>
      </c>
      <c r="C1" t="s">
        <v>264</v>
      </c>
      <c r="D1" t="s">
        <v>223</v>
      </c>
      <c r="E1" t="s">
        <v>221</v>
      </c>
      <c r="F1" t="s">
        <v>225</v>
      </c>
      <c r="G1" t="s">
        <v>223</v>
      </c>
      <c r="H1" t="s">
        <v>221</v>
      </c>
      <c r="I1" t="s">
        <v>224</v>
      </c>
      <c r="J1" t="s">
        <v>223</v>
      </c>
      <c r="K1" t="s">
        <v>221</v>
      </c>
      <c r="L1" t="s">
        <v>222</v>
      </c>
      <c r="M1" t="s">
        <v>226</v>
      </c>
      <c r="N1" t="s">
        <v>221</v>
      </c>
      <c r="O1" t="s">
        <v>270</v>
      </c>
    </row>
    <row r="2" spans="1:15">
      <c r="A2">
        <v>1</v>
      </c>
      <c r="B2">
        <v>2796.8</v>
      </c>
      <c r="C2">
        <v>2796.8</v>
      </c>
      <c r="D2">
        <f>B2-C2</f>
        <v>0</v>
      </c>
      <c r="E2">
        <f>SQRT(SUMSQ(D3:D157)/COUNTA(D3:D157))</f>
        <v>132.72553722141112</v>
      </c>
      <c r="F2" t="e">
        <v>#N/A</v>
      </c>
      <c r="H2">
        <f>SQRT(SUMSQ(G3:G157)/COUNTA(G3:G157))</f>
        <v>132.54703281623534</v>
      </c>
      <c r="J2">
        <f>B2-I2</f>
        <v>2796.8</v>
      </c>
      <c r="K2">
        <f>SQRT(SUMSQ(J3:J157)/COUNTA(J3:J157))</f>
        <v>131.24328681189237</v>
      </c>
      <c r="M2">
        <f>B2-L2</f>
        <v>2796.8</v>
      </c>
      <c r="N2">
        <f>SQRT(SUMSQ(M3:M157)/COUNTA(M3:M157))</f>
        <v>138.63823898389256</v>
      </c>
    </row>
    <row r="3" spans="1:15">
      <c r="A3">
        <v>2</v>
      </c>
      <c r="B3">
        <v>2791</v>
      </c>
      <c r="C3">
        <f>B2</f>
        <v>2796.8</v>
      </c>
      <c r="D3">
        <f t="shared" ref="D3:D66" si="0">B3-C3</f>
        <v>-5.8000000000001819</v>
      </c>
      <c r="F3">
        <f>B2</f>
        <v>2796.8</v>
      </c>
      <c r="G3">
        <f t="shared" ref="G3:G66" si="1">B3-F3</f>
        <v>-5.8000000000001819</v>
      </c>
      <c r="I3">
        <f>B2</f>
        <v>2796.8</v>
      </c>
      <c r="J3">
        <f t="shared" ref="J3:J66" si="2">B3-I3</f>
        <v>-5.8000000000001819</v>
      </c>
      <c r="L3">
        <f>B2</f>
        <v>2796.8</v>
      </c>
      <c r="M3">
        <f t="shared" ref="M3:M66" si="3">B3-L3</f>
        <v>-5.8000000000001819</v>
      </c>
    </row>
    <row r="4" spans="1:15">
      <c r="A4">
        <v>3</v>
      </c>
      <c r="B4">
        <v>2754.2</v>
      </c>
      <c r="C4">
        <f t="shared" ref="C4:C35" si="4">0.8*B3+0.2*C3</f>
        <v>2792.1600000000003</v>
      </c>
      <c r="D4">
        <f t="shared" si="0"/>
        <v>-37.960000000000491</v>
      </c>
      <c r="F4">
        <f t="shared" ref="F4:F35" si="5">0.5*B3+0.5*F3</f>
        <v>2793.9</v>
      </c>
      <c r="G4">
        <f t="shared" si="1"/>
        <v>-39.700000000000273</v>
      </c>
      <c r="I4">
        <f t="shared" ref="I4:I35" si="6">0.7*B3+0.3*I3</f>
        <v>2792.74</v>
      </c>
      <c r="J4">
        <f t="shared" si="2"/>
        <v>-38.539999999999964</v>
      </c>
      <c r="L4">
        <f t="shared" ref="L4:L35" si="7">0.3*B3+0.7*L3</f>
        <v>2795.06</v>
      </c>
      <c r="M4">
        <f t="shared" si="3"/>
        <v>-40.860000000000127</v>
      </c>
    </row>
    <row r="5" spans="1:15">
      <c r="A5">
        <v>4</v>
      </c>
      <c r="B5">
        <v>2968.7</v>
      </c>
      <c r="C5">
        <f t="shared" si="4"/>
        <v>2761.7920000000004</v>
      </c>
      <c r="D5">
        <f t="shared" si="0"/>
        <v>206.90799999999945</v>
      </c>
      <c r="F5">
        <f t="shared" si="5"/>
        <v>2774.05</v>
      </c>
      <c r="G5">
        <f t="shared" si="1"/>
        <v>194.64999999999964</v>
      </c>
      <c r="I5">
        <f t="shared" si="6"/>
        <v>2765.7619999999997</v>
      </c>
      <c r="J5">
        <f t="shared" si="2"/>
        <v>202.9380000000001</v>
      </c>
      <c r="L5">
        <f t="shared" si="7"/>
        <v>2782.8019999999997</v>
      </c>
      <c r="M5">
        <f t="shared" si="3"/>
        <v>185.89800000000014</v>
      </c>
    </row>
    <row r="6" spans="1:15">
      <c r="A6">
        <v>5</v>
      </c>
      <c r="B6">
        <v>2957.3</v>
      </c>
      <c r="C6">
        <f t="shared" si="4"/>
        <v>2927.3184000000001</v>
      </c>
      <c r="D6">
        <f t="shared" si="0"/>
        <v>29.981600000000071</v>
      </c>
      <c r="F6">
        <f t="shared" si="5"/>
        <v>2871.375</v>
      </c>
      <c r="G6">
        <f t="shared" si="1"/>
        <v>85.925000000000182</v>
      </c>
      <c r="I6">
        <f t="shared" si="6"/>
        <v>2907.8185999999996</v>
      </c>
      <c r="J6">
        <f t="shared" si="2"/>
        <v>49.481400000000576</v>
      </c>
      <c r="L6">
        <f t="shared" si="7"/>
        <v>2838.5713999999998</v>
      </c>
      <c r="M6">
        <f t="shared" si="3"/>
        <v>118.72860000000037</v>
      </c>
    </row>
    <row r="7" spans="1:15">
      <c r="A7">
        <v>6</v>
      </c>
      <c r="B7">
        <v>3097.4</v>
      </c>
      <c r="C7">
        <f t="shared" si="4"/>
        <v>2951.30368</v>
      </c>
      <c r="D7">
        <f t="shared" si="0"/>
        <v>146.09632000000011</v>
      </c>
      <c r="F7">
        <f t="shared" si="5"/>
        <v>2914.3375000000001</v>
      </c>
      <c r="G7">
        <f t="shared" si="1"/>
        <v>183.0625</v>
      </c>
      <c r="I7">
        <f t="shared" si="6"/>
        <v>2942.4555799999998</v>
      </c>
      <c r="J7">
        <f t="shared" si="2"/>
        <v>154.94442000000026</v>
      </c>
      <c r="L7">
        <f t="shared" si="7"/>
        <v>2874.1899800000001</v>
      </c>
      <c r="M7">
        <f t="shared" si="3"/>
        <v>223.21001999999999</v>
      </c>
    </row>
    <row r="8" spans="1:15">
      <c r="A8">
        <v>7</v>
      </c>
      <c r="B8">
        <v>2994.9</v>
      </c>
      <c r="C8">
        <f t="shared" si="4"/>
        <v>3068.1807360000003</v>
      </c>
      <c r="D8">
        <f t="shared" si="0"/>
        <v>-73.280736000000161</v>
      </c>
      <c r="F8">
        <f t="shared" si="5"/>
        <v>3005.8687500000001</v>
      </c>
      <c r="G8">
        <f t="shared" si="1"/>
        <v>-10.96875</v>
      </c>
      <c r="I8">
        <f t="shared" si="6"/>
        <v>3050.9166739999996</v>
      </c>
      <c r="J8">
        <f t="shared" si="2"/>
        <v>-56.016673999999512</v>
      </c>
      <c r="L8">
        <f t="shared" si="7"/>
        <v>2941.1529860000001</v>
      </c>
      <c r="M8">
        <f t="shared" si="3"/>
        <v>53.747014000000036</v>
      </c>
    </row>
    <row r="9" spans="1:15">
      <c r="A9">
        <v>8</v>
      </c>
      <c r="B9">
        <v>3116.5</v>
      </c>
      <c r="C9">
        <f t="shared" si="4"/>
        <v>3009.5561471999999</v>
      </c>
      <c r="D9">
        <f t="shared" si="0"/>
        <v>106.94385280000006</v>
      </c>
      <c r="F9">
        <f t="shared" si="5"/>
        <v>3000.3843750000001</v>
      </c>
      <c r="G9">
        <f t="shared" si="1"/>
        <v>116.11562499999991</v>
      </c>
      <c r="I9">
        <f t="shared" si="6"/>
        <v>3011.7050021999999</v>
      </c>
      <c r="J9">
        <f t="shared" si="2"/>
        <v>104.79499780000015</v>
      </c>
      <c r="L9">
        <f t="shared" si="7"/>
        <v>2957.2770902000002</v>
      </c>
      <c r="M9">
        <f t="shared" si="3"/>
        <v>159.2229097999998</v>
      </c>
    </row>
    <row r="10" spans="1:15">
      <c r="A10">
        <v>9</v>
      </c>
      <c r="B10">
        <v>3037.8</v>
      </c>
      <c r="C10">
        <f t="shared" si="4"/>
        <v>3095.1112294400004</v>
      </c>
      <c r="D10">
        <f t="shared" si="0"/>
        <v>-57.311229440000261</v>
      </c>
      <c r="F10">
        <f t="shared" si="5"/>
        <v>3058.4421874999998</v>
      </c>
      <c r="G10">
        <f t="shared" si="1"/>
        <v>-20.642187499999636</v>
      </c>
      <c r="I10">
        <f t="shared" si="6"/>
        <v>3085.0615006599996</v>
      </c>
      <c r="J10">
        <f t="shared" si="2"/>
        <v>-47.261500659999456</v>
      </c>
      <c r="L10">
        <f t="shared" si="7"/>
        <v>3005.04396314</v>
      </c>
      <c r="M10">
        <f t="shared" si="3"/>
        <v>32.756036860000222</v>
      </c>
    </row>
    <row r="11" spans="1:15">
      <c r="A11">
        <v>10</v>
      </c>
      <c r="B11">
        <v>2916.7</v>
      </c>
      <c r="C11">
        <f t="shared" si="4"/>
        <v>3049.2622458880005</v>
      </c>
      <c r="D11">
        <f t="shared" si="0"/>
        <v>-132.56224588800069</v>
      </c>
      <c r="F11">
        <f t="shared" si="5"/>
        <v>3048.12109375</v>
      </c>
      <c r="G11">
        <f t="shared" si="1"/>
        <v>-131.42109375000018</v>
      </c>
      <c r="I11">
        <f t="shared" si="6"/>
        <v>3051.9784501979998</v>
      </c>
      <c r="J11">
        <f t="shared" si="2"/>
        <v>-135.27845019799997</v>
      </c>
      <c r="L11">
        <f t="shared" si="7"/>
        <v>3014.8707741980002</v>
      </c>
      <c r="M11">
        <f t="shared" si="3"/>
        <v>-98.170774198000345</v>
      </c>
    </row>
    <row r="12" spans="1:15">
      <c r="A12">
        <v>11</v>
      </c>
      <c r="B12">
        <v>3156.6</v>
      </c>
      <c r="C12">
        <f t="shared" si="4"/>
        <v>2943.2124491776003</v>
      </c>
      <c r="D12">
        <f t="shared" si="0"/>
        <v>213.38755082239959</v>
      </c>
      <c r="F12">
        <f t="shared" si="5"/>
        <v>2982.4105468749999</v>
      </c>
      <c r="G12">
        <f t="shared" si="1"/>
        <v>174.189453125</v>
      </c>
      <c r="I12">
        <f t="shared" si="6"/>
        <v>2957.2835350593996</v>
      </c>
      <c r="J12">
        <f t="shared" si="2"/>
        <v>199.31646494060033</v>
      </c>
      <c r="L12">
        <f t="shared" si="7"/>
        <v>2985.4195419385997</v>
      </c>
      <c r="M12">
        <f t="shared" si="3"/>
        <v>171.18045806140026</v>
      </c>
    </row>
    <row r="13" spans="1:15">
      <c r="A13">
        <v>12</v>
      </c>
      <c r="B13">
        <v>2901.3</v>
      </c>
      <c r="C13">
        <f t="shared" si="4"/>
        <v>3113.9224898355205</v>
      </c>
      <c r="D13">
        <f t="shared" si="0"/>
        <v>-212.62248983552035</v>
      </c>
      <c r="F13">
        <f t="shared" si="5"/>
        <v>3069.5052734374999</v>
      </c>
      <c r="G13">
        <f t="shared" si="1"/>
        <v>-168.20527343749973</v>
      </c>
      <c r="I13">
        <f t="shared" si="6"/>
        <v>3096.8050605178196</v>
      </c>
      <c r="J13">
        <f t="shared" si="2"/>
        <v>-195.5050605178194</v>
      </c>
      <c r="L13">
        <f t="shared" si="7"/>
        <v>3036.7736793570198</v>
      </c>
      <c r="M13">
        <f t="shared" si="3"/>
        <v>-135.47367935701959</v>
      </c>
    </row>
    <row r="14" spans="1:15">
      <c r="A14">
        <v>13</v>
      </c>
      <c r="B14">
        <v>2975.3</v>
      </c>
      <c r="C14">
        <f t="shared" si="4"/>
        <v>2943.8244979671044</v>
      </c>
      <c r="D14">
        <f t="shared" si="0"/>
        <v>31.475502032895747</v>
      </c>
      <c r="F14">
        <f t="shared" si="5"/>
        <v>2985.4026367187498</v>
      </c>
      <c r="G14">
        <f t="shared" si="1"/>
        <v>-10.102636718749636</v>
      </c>
      <c r="I14">
        <f t="shared" si="6"/>
        <v>2959.9515181553461</v>
      </c>
      <c r="J14">
        <f t="shared" si="2"/>
        <v>15.348481844654088</v>
      </c>
      <c r="L14">
        <f t="shared" si="7"/>
        <v>2996.1315755499136</v>
      </c>
      <c r="M14">
        <f t="shared" si="3"/>
        <v>-20.831575549913396</v>
      </c>
    </row>
    <row r="15" spans="1:15">
      <c r="A15">
        <v>14</v>
      </c>
      <c r="B15">
        <v>2887.4</v>
      </c>
      <c r="C15">
        <f t="shared" si="4"/>
        <v>2969.0048995934212</v>
      </c>
      <c r="D15">
        <f t="shared" si="0"/>
        <v>-81.604899593421123</v>
      </c>
      <c r="F15">
        <f t="shared" si="5"/>
        <v>2980.351318359375</v>
      </c>
      <c r="G15">
        <f t="shared" si="1"/>
        <v>-92.951318359374909</v>
      </c>
      <c r="I15">
        <f t="shared" si="6"/>
        <v>2970.6954554466038</v>
      </c>
      <c r="J15">
        <f t="shared" si="2"/>
        <v>-83.295455446603683</v>
      </c>
      <c r="L15">
        <f t="shared" si="7"/>
        <v>2989.8821028849397</v>
      </c>
      <c r="M15">
        <f t="shared" si="3"/>
        <v>-102.48210288493965</v>
      </c>
    </row>
    <row r="16" spans="1:15">
      <c r="A16">
        <v>15</v>
      </c>
      <c r="B16">
        <v>2893.8</v>
      </c>
      <c r="C16">
        <f t="shared" si="4"/>
        <v>2903.7209799186844</v>
      </c>
      <c r="D16">
        <f t="shared" si="0"/>
        <v>-9.9209799186842247</v>
      </c>
      <c r="F16">
        <f t="shared" si="5"/>
        <v>2933.8756591796873</v>
      </c>
      <c r="G16">
        <f t="shared" si="1"/>
        <v>-40.075659179687136</v>
      </c>
      <c r="I16">
        <f t="shared" si="6"/>
        <v>2912.3886366339812</v>
      </c>
      <c r="J16">
        <f t="shared" si="2"/>
        <v>-18.588636633980968</v>
      </c>
      <c r="L16">
        <f t="shared" si="7"/>
        <v>2959.1374720194581</v>
      </c>
      <c r="M16">
        <f t="shared" si="3"/>
        <v>-65.337472019457891</v>
      </c>
    </row>
    <row r="17" spans="1:13">
      <c r="A17">
        <v>16</v>
      </c>
      <c r="B17">
        <v>3023.6</v>
      </c>
      <c r="C17">
        <f t="shared" si="4"/>
        <v>2895.7841959837374</v>
      </c>
      <c r="D17">
        <f t="shared" si="0"/>
        <v>127.81580401626252</v>
      </c>
      <c r="F17">
        <f t="shared" si="5"/>
        <v>2913.8378295898438</v>
      </c>
      <c r="G17">
        <f t="shared" si="1"/>
        <v>109.76217041015616</v>
      </c>
      <c r="I17">
        <f t="shared" si="6"/>
        <v>2899.3765909901945</v>
      </c>
      <c r="J17">
        <f t="shared" si="2"/>
        <v>124.22340900980544</v>
      </c>
      <c r="L17">
        <f t="shared" si="7"/>
        <v>2939.5362304136206</v>
      </c>
      <c r="M17">
        <f t="shared" si="3"/>
        <v>84.063769586379294</v>
      </c>
    </row>
    <row r="18" spans="1:13">
      <c r="A18">
        <v>17</v>
      </c>
      <c r="B18">
        <v>3092.5</v>
      </c>
      <c r="C18">
        <f t="shared" si="4"/>
        <v>2998.0368391967477</v>
      </c>
      <c r="D18">
        <f t="shared" si="0"/>
        <v>94.463160803252322</v>
      </c>
      <c r="F18">
        <f t="shared" si="5"/>
        <v>2968.7189147949221</v>
      </c>
      <c r="G18">
        <f t="shared" si="1"/>
        <v>123.78108520507794</v>
      </c>
      <c r="I18">
        <f t="shared" si="6"/>
        <v>2986.3329772970583</v>
      </c>
      <c r="J18">
        <f t="shared" si="2"/>
        <v>106.16702270294172</v>
      </c>
      <c r="L18">
        <f t="shared" si="7"/>
        <v>2964.7553612895344</v>
      </c>
      <c r="M18">
        <f t="shared" si="3"/>
        <v>127.74463871046555</v>
      </c>
    </row>
    <row r="19" spans="1:13">
      <c r="A19">
        <v>18</v>
      </c>
      <c r="B19">
        <v>3182.1</v>
      </c>
      <c r="C19">
        <f t="shared" si="4"/>
        <v>3073.6073678393495</v>
      </c>
      <c r="D19">
        <f t="shared" si="0"/>
        <v>108.49263216065037</v>
      </c>
      <c r="F19">
        <f t="shared" si="5"/>
        <v>3030.609457397461</v>
      </c>
      <c r="G19">
        <f t="shared" si="1"/>
        <v>151.49054260253888</v>
      </c>
      <c r="I19">
        <f t="shared" si="6"/>
        <v>3060.6498931891174</v>
      </c>
      <c r="J19">
        <f t="shared" si="2"/>
        <v>121.45010681088252</v>
      </c>
      <c r="L19">
        <f t="shared" si="7"/>
        <v>3003.0787529026738</v>
      </c>
      <c r="M19">
        <f t="shared" si="3"/>
        <v>179.02124709732607</v>
      </c>
    </row>
    <row r="20" spans="1:13">
      <c r="A20">
        <v>19</v>
      </c>
      <c r="B20">
        <v>3007.5</v>
      </c>
      <c r="C20">
        <f t="shared" si="4"/>
        <v>3160.4014735678702</v>
      </c>
      <c r="D20">
        <f t="shared" si="0"/>
        <v>-152.9014735678702</v>
      </c>
      <c r="F20">
        <f t="shared" si="5"/>
        <v>3106.3547286987305</v>
      </c>
      <c r="G20">
        <f t="shared" si="1"/>
        <v>-98.854728698730469</v>
      </c>
      <c r="I20">
        <f t="shared" si="6"/>
        <v>3145.6649679567349</v>
      </c>
      <c r="J20">
        <f t="shared" si="2"/>
        <v>-138.16496795673493</v>
      </c>
      <c r="L20">
        <f t="shared" si="7"/>
        <v>3056.7851270318715</v>
      </c>
      <c r="M20">
        <f t="shared" si="3"/>
        <v>-49.285127031871525</v>
      </c>
    </row>
    <row r="21" spans="1:13">
      <c r="A21">
        <v>20</v>
      </c>
      <c r="B21">
        <v>3264</v>
      </c>
      <c r="C21">
        <f t="shared" si="4"/>
        <v>3038.0802947135739</v>
      </c>
      <c r="D21">
        <f t="shared" si="0"/>
        <v>225.91970528642605</v>
      </c>
      <c r="F21">
        <f t="shared" si="5"/>
        <v>3056.9273643493652</v>
      </c>
      <c r="G21">
        <f t="shared" si="1"/>
        <v>207.07263565063477</v>
      </c>
      <c r="I21">
        <f t="shared" si="6"/>
        <v>3048.9494903870204</v>
      </c>
      <c r="J21">
        <f t="shared" si="2"/>
        <v>215.05050961297957</v>
      </c>
      <c r="L21">
        <f t="shared" si="7"/>
        <v>3041.9995889223101</v>
      </c>
      <c r="M21">
        <f t="shared" si="3"/>
        <v>222.00041107768993</v>
      </c>
    </row>
    <row r="22" spans="1:13">
      <c r="A22">
        <v>21</v>
      </c>
      <c r="B22">
        <v>3114</v>
      </c>
      <c r="C22">
        <f t="shared" si="4"/>
        <v>3218.8160589427152</v>
      </c>
      <c r="D22">
        <f t="shared" si="0"/>
        <v>-104.81605894271524</v>
      </c>
      <c r="F22">
        <f t="shared" si="5"/>
        <v>3160.4636821746826</v>
      </c>
      <c r="G22">
        <f t="shared" si="1"/>
        <v>-46.463682174682617</v>
      </c>
      <c r="I22">
        <f t="shared" si="6"/>
        <v>3199.4848471161058</v>
      </c>
      <c r="J22">
        <f t="shared" si="2"/>
        <v>-85.484847116105811</v>
      </c>
      <c r="L22">
        <f t="shared" si="7"/>
        <v>3108.599712245617</v>
      </c>
      <c r="M22">
        <f t="shared" si="3"/>
        <v>5.4002877543830436</v>
      </c>
    </row>
    <row r="23" spans="1:13">
      <c r="A23">
        <v>22</v>
      </c>
      <c r="B23">
        <v>3107.1</v>
      </c>
      <c r="C23">
        <f t="shared" si="4"/>
        <v>3134.9632117885435</v>
      </c>
      <c r="D23">
        <f t="shared" si="0"/>
        <v>-27.863211788543595</v>
      </c>
      <c r="F23">
        <f t="shared" si="5"/>
        <v>3137.2318410873413</v>
      </c>
      <c r="G23">
        <f t="shared" si="1"/>
        <v>-30.1318410873414</v>
      </c>
      <c r="I23">
        <f t="shared" si="6"/>
        <v>3139.6454541348312</v>
      </c>
      <c r="J23">
        <f t="shared" si="2"/>
        <v>-32.545454134831289</v>
      </c>
      <c r="L23">
        <f t="shared" si="7"/>
        <v>3110.2197985719317</v>
      </c>
      <c r="M23">
        <f t="shared" si="3"/>
        <v>-3.119798571931824</v>
      </c>
    </row>
    <row r="24" spans="1:13">
      <c r="A24">
        <v>23</v>
      </c>
      <c r="B24">
        <v>3215</v>
      </c>
      <c r="C24">
        <f t="shared" si="4"/>
        <v>3112.6726423577093</v>
      </c>
      <c r="D24">
        <f t="shared" si="0"/>
        <v>102.32735764229074</v>
      </c>
      <c r="F24">
        <f t="shared" si="5"/>
        <v>3122.1659205436708</v>
      </c>
      <c r="G24">
        <f t="shared" si="1"/>
        <v>92.834079456329164</v>
      </c>
      <c r="I24">
        <f t="shared" si="6"/>
        <v>3116.8636362404491</v>
      </c>
      <c r="J24">
        <f t="shared" si="2"/>
        <v>98.136363759550932</v>
      </c>
      <c r="L24">
        <f t="shared" si="7"/>
        <v>3109.2838590003521</v>
      </c>
      <c r="M24">
        <f t="shared" si="3"/>
        <v>105.71614099964791</v>
      </c>
    </row>
    <row r="25" spans="1:13">
      <c r="A25">
        <v>24</v>
      </c>
      <c r="B25">
        <v>3039.4</v>
      </c>
      <c r="C25">
        <f t="shared" si="4"/>
        <v>3194.5345284715418</v>
      </c>
      <c r="D25">
        <f t="shared" si="0"/>
        <v>-155.13452847154167</v>
      </c>
      <c r="F25">
        <f t="shared" si="5"/>
        <v>3168.5829602718354</v>
      </c>
      <c r="G25">
        <f t="shared" si="1"/>
        <v>-129.18296027183533</v>
      </c>
      <c r="I25">
        <f t="shared" si="6"/>
        <v>3185.5590908721347</v>
      </c>
      <c r="J25">
        <f t="shared" si="2"/>
        <v>-146.15909087213458</v>
      </c>
      <c r="L25">
        <f t="shared" si="7"/>
        <v>3140.9987013002465</v>
      </c>
      <c r="M25">
        <f t="shared" si="3"/>
        <v>-101.59870130024638</v>
      </c>
    </row>
    <row r="26" spans="1:13">
      <c r="A26">
        <v>25</v>
      </c>
      <c r="B26">
        <v>3166.4</v>
      </c>
      <c r="C26">
        <f t="shared" si="4"/>
        <v>3070.4269056943085</v>
      </c>
      <c r="D26">
        <f t="shared" si="0"/>
        <v>95.973094305691575</v>
      </c>
      <c r="F26">
        <f t="shared" si="5"/>
        <v>3103.9914801359178</v>
      </c>
      <c r="G26">
        <f t="shared" si="1"/>
        <v>62.408519864082336</v>
      </c>
      <c r="I26">
        <f t="shared" si="6"/>
        <v>3083.2477272616402</v>
      </c>
      <c r="J26">
        <f t="shared" si="2"/>
        <v>83.152272738359898</v>
      </c>
      <c r="L26">
        <f t="shared" si="7"/>
        <v>3110.5190909101725</v>
      </c>
      <c r="M26">
        <f t="shared" si="3"/>
        <v>55.880909089827583</v>
      </c>
    </row>
    <row r="27" spans="1:13">
      <c r="A27">
        <v>26</v>
      </c>
      <c r="B27">
        <v>2938.6</v>
      </c>
      <c r="C27">
        <f t="shared" si="4"/>
        <v>3147.2053811388623</v>
      </c>
      <c r="D27">
        <f t="shared" si="0"/>
        <v>-208.60538113886241</v>
      </c>
      <c r="F27">
        <f t="shared" si="5"/>
        <v>3135.1957400679589</v>
      </c>
      <c r="G27">
        <f t="shared" si="1"/>
        <v>-196.59574006795901</v>
      </c>
      <c r="I27">
        <f t="shared" si="6"/>
        <v>3141.454318178492</v>
      </c>
      <c r="J27">
        <f t="shared" si="2"/>
        <v>-202.85431817849212</v>
      </c>
      <c r="L27">
        <f t="shared" si="7"/>
        <v>3127.2833636371206</v>
      </c>
      <c r="M27">
        <f t="shared" si="3"/>
        <v>-188.68336363712069</v>
      </c>
    </row>
    <row r="28" spans="1:13">
      <c r="A28">
        <v>27</v>
      </c>
      <c r="B28">
        <v>3018.8</v>
      </c>
      <c r="C28">
        <f t="shared" si="4"/>
        <v>2980.3210762277727</v>
      </c>
      <c r="D28">
        <f t="shared" si="0"/>
        <v>38.478923772227517</v>
      </c>
      <c r="F28">
        <f t="shared" si="5"/>
        <v>3036.8978700339794</v>
      </c>
      <c r="G28">
        <f t="shared" si="1"/>
        <v>-18.097870033979234</v>
      </c>
      <c r="I28">
        <f t="shared" si="6"/>
        <v>2999.4562954535477</v>
      </c>
      <c r="J28">
        <f t="shared" si="2"/>
        <v>19.3437045464525</v>
      </c>
      <c r="L28">
        <f t="shared" si="7"/>
        <v>3070.6783545459843</v>
      </c>
      <c r="M28">
        <f t="shared" si="3"/>
        <v>-51.878354545984166</v>
      </c>
    </row>
    <row r="29" spans="1:13">
      <c r="A29">
        <v>28</v>
      </c>
      <c r="B29">
        <v>3150</v>
      </c>
      <c r="C29">
        <f t="shared" si="4"/>
        <v>3011.1042152455548</v>
      </c>
      <c r="D29">
        <f t="shared" si="0"/>
        <v>138.89578475444523</v>
      </c>
      <c r="F29">
        <f t="shared" si="5"/>
        <v>3027.8489350169898</v>
      </c>
      <c r="G29">
        <f t="shared" si="1"/>
        <v>122.1510649830102</v>
      </c>
      <c r="I29">
        <f t="shared" si="6"/>
        <v>3012.9968886360639</v>
      </c>
      <c r="J29">
        <f t="shared" si="2"/>
        <v>137.00311136393611</v>
      </c>
      <c r="L29">
        <f t="shared" si="7"/>
        <v>3055.1148481821888</v>
      </c>
      <c r="M29">
        <f t="shared" si="3"/>
        <v>94.88515181781122</v>
      </c>
    </row>
    <row r="30" spans="1:13">
      <c r="A30">
        <v>29</v>
      </c>
      <c r="B30">
        <v>3271.1</v>
      </c>
      <c r="C30">
        <f t="shared" si="4"/>
        <v>3122.220843049111</v>
      </c>
      <c r="D30">
        <f t="shared" si="0"/>
        <v>148.87915695088896</v>
      </c>
      <c r="F30">
        <f t="shared" si="5"/>
        <v>3088.9244675084947</v>
      </c>
      <c r="G30">
        <f t="shared" si="1"/>
        <v>182.17553249150524</v>
      </c>
      <c r="I30">
        <f t="shared" si="6"/>
        <v>3108.8990665908191</v>
      </c>
      <c r="J30">
        <f t="shared" si="2"/>
        <v>162.20093340918083</v>
      </c>
      <c r="L30">
        <f t="shared" si="7"/>
        <v>3083.5803937275318</v>
      </c>
      <c r="M30">
        <f t="shared" si="3"/>
        <v>187.51960627246808</v>
      </c>
    </row>
    <row r="31" spans="1:13">
      <c r="A31">
        <v>30</v>
      </c>
      <c r="B31">
        <v>3222.5</v>
      </c>
      <c r="C31">
        <f t="shared" si="4"/>
        <v>3241.3241686098222</v>
      </c>
      <c r="D31">
        <f t="shared" si="0"/>
        <v>-18.824168609822209</v>
      </c>
      <c r="F31">
        <f t="shared" si="5"/>
        <v>3180.0122337542471</v>
      </c>
      <c r="G31">
        <f t="shared" si="1"/>
        <v>42.487766245752937</v>
      </c>
      <c r="I31">
        <f t="shared" si="6"/>
        <v>3222.4397199772457</v>
      </c>
      <c r="J31">
        <f t="shared" si="2"/>
        <v>6.0280022754341189E-2</v>
      </c>
      <c r="L31">
        <f t="shared" si="7"/>
        <v>3139.836275609272</v>
      </c>
      <c r="M31">
        <f t="shared" si="3"/>
        <v>82.663724390728021</v>
      </c>
    </row>
    <row r="32" spans="1:13">
      <c r="A32">
        <v>31</v>
      </c>
      <c r="B32">
        <v>3288.9</v>
      </c>
      <c r="C32">
        <f t="shared" si="4"/>
        <v>3226.2648337219644</v>
      </c>
      <c r="D32">
        <f t="shared" si="0"/>
        <v>62.63516627803574</v>
      </c>
      <c r="F32">
        <f t="shared" si="5"/>
        <v>3201.2561168771235</v>
      </c>
      <c r="G32">
        <f t="shared" si="1"/>
        <v>87.643883122876559</v>
      </c>
      <c r="I32">
        <f t="shared" si="6"/>
        <v>3222.4819159931735</v>
      </c>
      <c r="J32">
        <f t="shared" si="2"/>
        <v>66.418084006826575</v>
      </c>
      <c r="L32">
        <f t="shared" si="7"/>
        <v>3164.6353929264901</v>
      </c>
      <c r="M32">
        <f t="shared" si="3"/>
        <v>124.26460707350998</v>
      </c>
    </row>
    <row r="33" spans="1:13">
      <c r="A33">
        <v>32</v>
      </c>
      <c r="B33">
        <v>3277.4</v>
      </c>
      <c r="C33">
        <f t="shared" si="4"/>
        <v>3276.3729667443931</v>
      </c>
      <c r="D33">
        <f t="shared" si="0"/>
        <v>1.0270332556069661</v>
      </c>
      <c r="F33">
        <f t="shared" si="5"/>
        <v>3245.078058438562</v>
      </c>
      <c r="G33">
        <f t="shared" si="1"/>
        <v>32.321941561438052</v>
      </c>
      <c r="I33">
        <f t="shared" si="6"/>
        <v>3268.9745747979523</v>
      </c>
      <c r="J33">
        <f t="shared" si="2"/>
        <v>8.4254252020477907</v>
      </c>
      <c r="L33">
        <f t="shared" si="7"/>
        <v>3201.9147750485431</v>
      </c>
      <c r="M33">
        <f t="shared" si="3"/>
        <v>75.485224951456985</v>
      </c>
    </row>
    <row r="34" spans="1:13">
      <c r="A34">
        <v>33</v>
      </c>
      <c r="B34">
        <v>3205.8</v>
      </c>
      <c r="C34">
        <f t="shared" si="4"/>
        <v>3277.1945933488787</v>
      </c>
      <c r="D34">
        <f t="shared" si="0"/>
        <v>-71.394593348878516</v>
      </c>
      <c r="F34">
        <f t="shared" si="5"/>
        <v>3261.2390292192813</v>
      </c>
      <c r="G34">
        <f t="shared" si="1"/>
        <v>-55.43902921928111</v>
      </c>
      <c r="I34">
        <f t="shared" si="6"/>
        <v>3274.8723724393853</v>
      </c>
      <c r="J34">
        <f t="shared" si="2"/>
        <v>-69.072372439385163</v>
      </c>
      <c r="L34">
        <f t="shared" si="7"/>
        <v>3224.5603425339805</v>
      </c>
      <c r="M34">
        <f t="shared" si="3"/>
        <v>-18.760342533980293</v>
      </c>
    </row>
    <row r="35" spans="1:13">
      <c r="A35">
        <v>34</v>
      </c>
      <c r="B35">
        <v>3268.2</v>
      </c>
      <c r="C35">
        <f t="shared" si="4"/>
        <v>3220.0789186697762</v>
      </c>
      <c r="D35">
        <f t="shared" si="0"/>
        <v>48.12108133022366</v>
      </c>
      <c r="F35">
        <f t="shared" si="5"/>
        <v>3233.5195146096407</v>
      </c>
      <c r="G35">
        <f t="shared" si="1"/>
        <v>34.680485390359081</v>
      </c>
      <c r="I35">
        <f t="shared" si="6"/>
        <v>3226.5217117318152</v>
      </c>
      <c r="J35">
        <f t="shared" si="2"/>
        <v>41.678288268184588</v>
      </c>
      <c r="L35">
        <f t="shared" si="7"/>
        <v>3218.932239773786</v>
      </c>
      <c r="M35">
        <f t="shared" si="3"/>
        <v>49.267760226213795</v>
      </c>
    </row>
    <row r="36" spans="1:13">
      <c r="A36">
        <v>35</v>
      </c>
      <c r="B36">
        <v>3378.1</v>
      </c>
      <c r="C36">
        <f t="shared" ref="C36:C67" si="8">0.8*B35+0.2*C35</f>
        <v>3258.5757837339552</v>
      </c>
      <c r="D36">
        <f t="shared" si="0"/>
        <v>119.52421626604473</v>
      </c>
      <c r="F36">
        <f t="shared" ref="F36:F67" si="9">0.5*B35+0.5*F35</f>
        <v>3250.8597573048201</v>
      </c>
      <c r="G36">
        <f t="shared" si="1"/>
        <v>127.24024269517986</v>
      </c>
      <c r="I36">
        <f t="shared" ref="I36:I67" si="10">0.7*B35+0.3*I35</f>
        <v>3255.6965135195442</v>
      </c>
      <c r="J36">
        <f t="shared" si="2"/>
        <v>122.40348648045574</v>
      </c>
      <c r="L36">
        <f t="shared" ref="L36:L67" si="11">0.3*B35+0.7*L35</f>
        <v>3233.7125678416501</v>
      </c>
      <c r="M36">
        <f t="shared" si="3"/>
        <v>144.38743215834984</v>
      </c>
    </row>
    <row r="37" spans="1:13">
      <c r="A37">
        <v>36</v>
      </c>
      <c r="B37">
        <v>3119.2</v>
      </c>
      <c r="C37">
        <f t="shared" si="8"/>
        <v>3354.1951567467913</v>
      </c>
      <c r="D37">
        <f t="shared" si="0"/>
        <v>-234.99515674679151</v>
      </c>
      <c r="F37">
        <f t="shared" si="9"/>
        <v>3314.4798786524098</v>
      </c>
      <c r="G37">
        <f t="shared" si="1"/>
        <v>-195.27987865240993</v>
      </c>
      <c r="I37">
        <f t="shared" si="10"/>
        <v>3341.3789540558628</v>
      </c>
      <c r="J37">
        <f t="shared" si="2"/>
        <v>-222.17895405586296</v>
      </c>
      <c r="L37">
        <f t="shared" si="11"/>
        <v>3277.0287974891548</v>
      </c>
      <c r="M37">
        <f t="shared" si="3"/>
        <v>-157.82879748915502</v>
      </c>
    </row>
    <row r="38" spans="1:13">
      <c r="A38">
        <v>37</v>
      </c>
      <c r="B38">
        <v>3149.8</v>
      </c>
      <c r="C38">
        <f t="shared" si="8"/>
        <v>3166.1990313493584</v>
      </c>
      <c r="D38">
        <f t="shared" si="0"/>
        <v>-16.399031349358211</v>
      </c>
      <c r="F38">
        <f t="shared" si="9"/>
        <v>3216.8399393262048</v>
      </c>
      <c r="G38">
        <f t="shared" si="1"/>
        <v>-67.039939326204603</v>
      </c>
      <c r="I38">
        <f t="shared" si="10"/>
        <v>3185.8536862167584</v>
      </c>
      <c r="J38">
        <f t="shared" si="2"/>
        <v>-36.053686216758251</v>
      </c>
      <c r="L38">
        <f t="shared" si="11"/>
        <v>3229.6801582424082</v>
      </c>
      <c r="M38">
        <f t="shared" si="3"/>
        <v>-79.880158242408015</v>
      </c>
    </row>
    <row r="39" spans="1:13">
      <c r="A39">
        <v>38</v>
      </c>
      <c r="B39">
        <v>3166.2</v>
      </c>
      <c r="C39">
        <f t="shared" si="8"/>
        <v>3153.0798062698718</v>
      </c>
      <c r="D39">
        <f t="shared" si="0"/>
        <v>13.120193730127994</v>
      </c>
      <c r="F39">
        <f t="shared" si="9"/>
        <v>3183.3199696631027</v>
      </c>
      <c r="G39">
        <f t="shared" si="1"/>
        <v>-17.119969663102893</v>
      </c>
      <c r="I39">
        <f t="shared" si="10"/>
        <v>3160.6161058650277</v>
      </c>
      <c r="J39">
        <f t="shared" si="2"/>
        <v>5.5838941349720699</v>
      </c>
      <c r="L39">
        <f t="shared" si="11"/>
        <v>3205.7161107696857</v>
      </c>
      <c r="M39">
        <f t="shared" si="3"/>
        <v>-39.516110769685838</v>
      </c>
    </row>
    <row r="40" spans="1:13">
      <c r="A40">
        <v>39</v>
      </c>
      <c r="B40">
        <v>2987.2</v>
      </c>
      <c r="C40">
        <f t="shared" si="8"/>
        <v>3163.5759612539746</v>
      </c>
      <c r="D40">
        <f t="shared" si="0"/>
        <v>-176.37596125397476</v>
      </c>
      <c r="F40">
        <f t="shared" si="9"/>
        <v>3174.7599848315513</v>
      </c>
      <c r="G40">
        <f t="shared" si="1"/>
        <v>-187.55998483155145</v>
      </c>
      <c r="I40">
        <f t="shared" si="10"/>
        <v>3164.5248317595078</v>
      </c>
      <c r="J40">
        <f t="shared" si="2"/>
        <v>-177.32483175950802</v>
      </c>
      <c r="L40">
        <f t="shared" si="11"/>
        <v>3193.8612775387801</v>
      </c>
      <c r="M40">
        <f t="shared" si="3"/>
        <v>-206.66127753878027</v>
      </c>
    </row>
    <row r="41" spans="1:13">
      <c r="A41">
        <v>40</v>
      </c>
      <c r="B41">
        <v>3289</v>
      </c>
      <c r="C41">
        <f t="shared" si="8"/>
        <v>3022.4751922507949</v>
      </c>
      <c r="D41">
        <f t="shared" si="0"/>
        <v>266.52480774920514</v>
      </c>
      <c r="F41">
        <f t="shared" si="9"/>
        <v>3080.9799924157755</v>
      </c>
      <c r="G41">
        <f t="shared" si="1"/>
        <v>208.02000758422446</v>
      </c>
      <c r="I41">
        <f t="shared" si="10"/>
        <v>3040.3974495278521</v>
      </c>
      <c r="J41">
        <f t="shared" si="2"/>
        <v>248.60255047214787</v>
      </c>
      <c r="L41">
        <f t="shared" si="11"/>
        <v>3131.8628942771456</v>
      </c>
      <c r="M41">
        <f t="shared" si="3"/>
        <v>157.13710572285436</v>
      </c>
    </row>
    <row r="42" spans="1:13">
      <c r="A42">
        <v>41</v>
      </c>
      <c r="B42">
        <v>3279.6</v>
      </c>
      <c r="C42">
        <f t="shared" si="8"/>
        <v>3235.6950384501592</v>
      </c>
      <c r="D42">
        <f t="shared" si="0"/>
        <v>43.904961549840664</v>
      </c>
      <c r="F42">
        <f t="shared" si="9"/>
        <v>3184.989996207888</v>
      </c>
      <c r="G42">
        <f t="shared" si="1"/>
        <v>94.610003792111911</v>
      </c>
      <c r="I42">
        <f t="shared" si="10"/>
        <v>3214.4192348583556</v>
      </c>
      <c r="J42">
        <f t="shared" si="2"/>
        <v>65.180765141644315</v>
      </c>
      <c r="L42">
        <f t="shared" si="11"/>
        <v>3179.0040259940015</v>
      </c>
      <c r="M42">
        <f t="shared" si="3"/>
        <v>100.59597400599841</v>
      </c>
    </row>
    <row r="43" spans="1:13">
      <c r="A43">
        <v>42</v>
      </c>
      <c r="B43">
        <v>3396.1</v>
      </c>
      <c r="C43">
        <f t="shared" si="8"/>
        <v>3270.8190076900323</v>
      </c>
      <c r="D43">
        <f t="shared" si="0"/>
        <v>125.28099230996759</v>
      </c>
      <c r="F43">
        <f t="shared" si="9"/>
        <v>3232.2949981039437</v>
      </c>
      <c r="G43">
        <f t="shared" si="1"/>
        <v>163.80500189605618</v>
      </c>
      <c r="I43">
        <f t="shared" si="10"/>
        <v>3260.0457704575065</v>
      </c>
      <c r="J43">
        <f t="shared" si="2"/>
        <v>136.05422954249343</v>
      </c>
      <c r="L43">
        <f t="shared" si="11"/>
        <v>3209.1828181958008</v>
      </c>
      <c r="M43">
        <f t="shared" si="3"/>
        <v>186.91718180419912</v>
      </c>
    </row>
    <row r="44" spans="1:13">
      <c r="A44">
        <v>43</v>
      </c>
      <c r="B44">
        <v>3368.5</v>
      </c>
      <c r="C44">
        <f t="shared" si="8"/>
        <v>3371.0438015380068</v>
      </c>
      <c r="D44">
        <f t="shared" si="0"/>
        <v>-2.5438015380068464</v>
      </c>
      <c r="F44">
        <f t="shared" si="9"/>
        <v>3314.197499051972</v>
      </c>
      <c r="G44">
        <f t="shared" si="1"/>
        <v>54.302500948027955</v>
      </c>
      <c r="I44">
        <f t="shared" si="10"/>
        <v>3355.2837311372518</v>
      </c>
      <c r="J44">
        <f t="shared" si="2"/>
        <v>13.216268862748166</v>
      </c>
      <c r="L44">
        <f t="shared" si="11"/>
        <v>3265.2579727370603</v>
      </c>
      <c r="M44">
        <f t="shared" si="3"/>
        <v>103.2420272629397</v>
      </c>
    </row>
    <row r="45" spans="1:13">
      <c r="A45">
        <v>44</v>
      </c>
      <c r="B45">
        <v>3176.1</v>
      </c>
      <c r="C45">
        <f t="shared" si="8"/>
        <v>3369.0087603076017</v>
      </c>
      <c r="D45">
        <f t="shared" si="0"/>
        <v>-192.90876030760182</v>
      </c>
      <c r="F45">
        <f t="shared" si="9"/>
        <v>3341.348749525986</v>
      </c>
      <c r="G45">
        <f t="shared" si="1"/>
        <v>-165.24874952598611</v>
      </c>
      <c r="I45">
        <f t="shared" si="10"/>
        <v>3364.5351193411752</v>
      </c>
      <c r="J45">
        <f t="shared" si="2"/>
        <v>-188.43511934117532</v>
      </c>
      <c r="L45">
        <f t="shared" si="11"/>
        <v>3296.2305809159416</v>
      </c>
      <c r="M45">
        <f t="shared" si="3"/>
        <v>-120.13058091594166</v>
      </c>
    </row>
    <row r="46" spans="1:13">
      <c r="A46">
        <v>45</v>
      </c>
      <c r="B46">
        <v>3381.5</v>
      </c>
      <c r="C46">
        <f t="shared" si="8"/>
        <v>3214.6817520615205</v>
      </c>
      <c r="D46">
        <f t="shared" si="0"/>
        <v>166.81824793847954</v>
      </c>
      <c r="F46">
        <f t="shared" si="9"/>
        <v>3258.7243747629927</v>
      </c>
      <c r="G46">
        <f t="shared" si="1"/>
        <v>122.77562523700726</v>
      </c>
      <c r="I46">
        <f t="shared" si="10"/>
        <v>3232.6305358023524</v>
      </c>
      <c r="J46">
        <f t="shared" si="2"/>
        <v>148.86946419764763</v>
      </c>
      <c r="L46">
        <f t="shared" si="11"/>
        <v>3260.1914066411587</v>
      </c>
      <c r="M46">
        <f t="shared" si="3"/>
        <v>121.30859335884134</v>
      </c>
    </row>
    <row r="47" spans="1:13">
      <c r="A47">
        <v>46</v>
      </c>
      <c r="B47">
        <v>3364.9</v>
      </c>
      <c r="C47">
        <f t="shared" si="8"/>
        <v>3348.1363504123046</v>
      </c>
      <c r="D47">
        <f t="shared" si="0"/>
        <v>16.763649587695454</v>
      </c>
      <c r="F47">
        <f t="shared" si="9"/>
        <v>3320.1121873814964</v>
      </c>
      <c r="G47">
        <f t="shared" si="1"/>
        <v>44.787812618503722</v>
      </c>
      <c r="I47">
        <f t="shared" si="10"/>
        <v>3336.8391607407057</v>
      </c>
      <c r="J47">
        <f t="shared" si="2"/>
        <v>28.060839259294426</v>
      </c>
      <c r="L47">
        <f t="shared" si="11"/>
        <v>3296.5839846488107</v>
      </c>
      <c r="M47">
        <f t="shared" si="3"/>
        <v>68.316015351189435</v>
      </c>
    </row>
    <row r="48" spans="1:13">
      <c r="A48">
        <v>47</v>
      </c>
      <c r="B48">
        <v>3249</v>
      </c>
      <c r="C48">
        <f t="shared" si="8"/>
        <v>3361.5472700824612</v>
      </c>
      <c r="D48">
        <f t="shared" si="0"/>
        <v>-112.54727008246118</v>
      </c>
      <c r="F48">
        <f t="shared" si="9"/>
        <v>3342.5060936907485</v>
      </c>
      <c r="G48">
        <f t="shared" si="1"/>
        <v>-93.506093690748457</v>
      </c>
      <c r="I48">
        <f t="shared" si="10"/>
        <v>3356.4817482222115</v>
      </c>
      <c r="J48">
        <f t="shared" si="2"/>
        <v>-107.48174822221154</v>
      </c>
      <c r="L48">
        <f t="shared" si="11"/>
        <v>3317.0787892541675</v>
      </c>
      <c r="M48">
        <f t="shared" si="3"/>
        <v>-68.078789254167532</v>
      </c>
    </row>
    <row r="49" spans="1:13">
      <c r="A49">
        <v>48</v>
      </c>
      <c r="B49">
        <v>3179.2</v>
      </c>
      <c r="C49">
        <f t="shared" si="8"/>
        <v>3271.5094540164928</v>
      </c>
      <c r="D49">
        <f t="shared" si="0"/>
        <v>-92.309454016492964</v>
      </c>
      <c r="F49">
        <f t="shared" si="9"/>
        <v>3295.7530468453742</v>
      </c>
      <c r="G49">
        <f t="shared" si="1"/>
        <v>-116.55304684537441</v>
      </c>
      <c r="I49">
        <f t="shared" si="10"/>
        <v>3281.2445244666633</v>
      </c>
      <c r="J49">
        <f t="shared" si="2"/>
        <v>-102.04452446666346</v>
      </c>
      <c r="L49">
        <f t="shared" si="11"/>
        <v>3296.655152477917</v>
      </c>
      <c r="M49">
        <f t="shared" si="3"/>
        <v>-117.45515247791718</v>
      </c>
    </row>
    <row r="50" spans="1:13">
      <c r="A50">
        <v>49</v>
      </c>
      <c r="B50">
        <v>3005.9</v>
      </c>
      <c r="C50">
        <f t="shared" si="8"/>
        <v>3197.6618908032988</v>
      </c>
      <c r="D50">
        <f t="shared" si="0"/>
        <v>-191.76189080329868</v>
      </c>
      <c r="F50">
        <f t="shared" si="9"/>
        <v>3237.476523422687</v>
      </c>
      <c r="G50">
        <f t="shared" si="1"/>
        <v>-231.57652342268693</v>
      </c>
      <c r="I50">
        <f t="shared" si="10"/>
        <v>3209.8133573399987</v>
      </c>
      <c r="J50">
        <f t="shared" si="2"/>
        <v>-203.91335733999858</v>
      </c>
      <c r="L50">
        <f t="shared" si="11"/>
        <v>3261.4186067345413</v>
      </c>
      <c r="M50">
        <f t="shared" si="3"/>
        <v>-255.51860673454121</v>
      </c>
    </row>
    <row r="51" spans="1:13">
      <c r="A51">
        <v>50</v>
      </c>
      <c r="B51">
        <v>3004.8</v>
      </c>
      <c r="C51">
        <f t="shared" si="8"/>
        <v>3044.2523781606601</v>
      </c>
      <c r="D51">
        <f t="shared" si="0"/>
        <v>-39.452378160659919</v>
      </c>
      <c r="F51">
        <f t="shared" si="9"/>
        <v>3121.6882617113433</v>
      </c>
      <c r="G51">
        <f t="shared" si="1"/>
        <v>-116.88826171134315</v>
      </c>
      <c r="I51">
        <f t="shared" si="10"/>
        <v>3067.0740072019998</v>
      </c>
      <c r="J51">
        <f t="shared" si="2"/>
        <v>-62.274007201999666</v>
      </c>
      <c r="L51">
        <f t="shared" si="11"/>
        <v>3184.7630247141788</v>
      </c>
      <c r="M51">
        <f t="shared" si="3"/>
        <v>-179.96302471417857</v>
      </c>
    </row>
    <row r="52" spans="1:13">
      <c r="A52">
        <v>51</v>
      </c>
      <c r="B52">
        <v>2931.1</v>
      </c>
      <c r="C52">
        <f t="shared" si="8"/>
        <v>3012.6904756321323</v>
      </c>
      <c r="D52">
        <f t="shared" si="0"/>
        <v>-81.590475632132438</v>
      </c>
      <c r="F52">
        <f t="shared" si="9"/>
        <v>3063.2441308556718</v>
      </c>
      <c r="G52">
        <f t="shared" si="1"/>
        <v>-132.14413085567185</v>
      </c>
      <c r="I52">
        <f t="shared" si="10"/>
        <v>3023.4822021606001</v>
      </c>
      <c r="J52">
        <f t="shared" si="2"/>
        <v>-92.382202160600173</v>
      </c>
      <c r="L52">
        <f t="shared" si="11"/>
        <v>3130.7741172999249</v>
      </c>
      <c r="M52">
        <f t="shared" si="3"/>
        <v>-199.674117299925</v>
      </c>
    </row>
    <row r="53" spans="1:13">
      <c r="A53">
        <v>52</v>
      </c>
      <c r="B53">
        <v>3103.5</v>
      </c>
      <c r="C53">
        <f t="shared" si="8"/>
        <v>2947.4180951264266</v>
      </c>
      <c r="D53">
        <f t="shared" si="0"/>
        <v>156.08190487357342</v>
      </c>
      <c r="F53">
        <f t="shared" si="9"/>
        <v>2997.1720654278361</v>
      </c>
      <c r="G53">
        <f t="shared" si="1"/>
        <v>106.32793457216394</v>
      </c>
      <c r="I53">
        <f t="shared" si="10"/>
        <v>2958.8146606481801</v>
      </c>
      <c r="J53">
        <f t="shared" si="2"/>
        <v>144.68533935181995</v>
      </c>
      <c r="L53">
        <f t="shared" si="11"/>
        <v>3070.8718821099474</v>
      </c>
      <c r="M53">
        <f t="shared" si="3"/>
        <v>32.628117890052636</v>
      </c>
    </row>
    <row r="54" spans="1:13">
      <c r="A54">
        <v>53</v>
      </c>
      <c r="B54">
        <v>3054.9</v>
      </c>
      <c r="C54">
        <f t="shared" si="8"/>
        <v>3072.2836190252856</v>
      </c>
      <c r="D54">
        <f t="shared" si="0"/>
        <v>-17.383619025285498</v>
      </c>
      <c r="F54">
        <f t="shared" si="9"/>
        <v>3050.336032713918</v>
      </c>
      <c r="G54">
        <f t="shared" si="1"/>
        <v>4.563967286082061</v>
      </c>
      <c r="I54">
        <f t="shared" si="10"/>
        <v>3060.0943981944538</v>
      </c>
      <c r="J54">
        <f t="shared" si="2"/>
        <v>-5.1943981944536972</v>
      </c>
      <c r="L54">
        <f t="shared" si="11"/>
        <v>3080.6603174769634</v>
      </c>
      <c r="M54">
        <f t="shared" si="3"/>
        <v>-25.760317476963337</v>
      </c>
    </row>
    <row r="55" spans="1:13">
      <c r="A55">
        <v>54</v>
      </c>
      <c r="B55">
        <v>3425.6</v>
      </c>
      <c r="C55">
        <f t="shared" si="8"/>
        <v>3058.3767238050573</v>
      </c>
      <c r="D55">
        <f t="shared" si="0"/>
        <v>367.22327619494263</v>
      </c>
      <c r="F55">
        <f t="shared" si="9"/>
        <v>3052.6180163569588</v>
      </c>
      <c r="G55">
        <f t="shared" si="1"/>
        <v>372.98198364304108</v>
      </c>
      <c r="I55">
        <f t="shared" si="10"/>
        <v>3056.4583194583361</v>
      </c>
      <c r="J55">
        <f t="shared" si="2"/>
        <v>369.14168054166385</v>
      </c>
      <c r="L55">
        <f t="shared" si="11"/>
        <v>3072.9322222338742</v>
      </c>
      <c r="M55">
        <f t="shared" si="3"/>
        <v>352.66777776612571</v>
      </c>
    </row>
    <row r="56" spans="1:13">
      <c r="A56">
        <v>55</v>
      </c>
      <c r="B56">
        <v>3414.1</v>
      </c>
      <c r="C56">
        <f t="shared" si="8"/>
        <v>3352.1553447610113</v>
      </c>
      <c r="D56">
        <f t="shared" si="0"/>
        <v>61.944655238988616</v>
      </c>
      <c r="F56">
        <f t="shared" si="9"/>
        <v>3239.1090081784796</v>
      </c>
      <c r="G56">
        <f t="shared" si="1"/>
        <v>174.99099182152031</v>
      </c>
      <c r="I56">
        <f t="shared" si="10"/>
        <v>3314.8574958375002</v>
      </c>
      <c r="J56">
        <f t="shared" si="2"/>
        <v>99.242504162499699</v>
      </c>
      <c r="L56">
        <f t="shared" si="11"/>
        <v>3178.7325555637117</v>
      </c>
      <c r="M56">
        <f t="shared" si="3"/>
        <v>235.36744443628822</v>
      </c>
    </row>
    <row r="57" spans="1:13">
      <c r="A57">
        <v>56</v>
      </c>
      <c r="B57">
        <v>3342.7</v>
      </c>
      <c r="C57">
        <f t="shared" si="8"/>
        <v>3401.7110689522024</v>
      </c>
      <c r="D57">
        <f t="shared" si="0"/>
        <v>-59.01106895220255</v>
      </c>
      <c r="F57">
        <f t="shared" si="9"/>
        <v>3326.6045040892395</v>
      </c>
      <c r="G57">
        <f t="shared" si="1"/>
        <v>16.095495910760292</v>
      </c>
      <c r="I57">
        <f t="shared" si="10"/>
        <v>3384.32724875125</v>
      </c>
      <c r="J57">
        <f t="shared" si="2"/>
        <v>-41.627248751250136</v>
      </c>
      <c r="L57">
        <f t="shared" si="11"/>
        <v>3249.342788894598</v>
      </c>
      <c r="M57">
        <f t="shared" si="3"/>
        <v>93.357211105401802</v>
      </c>
    </row>
    <row r="58" spans="1:13">
      <c r="A58">
        <v>57</v>
      </c>
      <c r="B58">
        <v>3395.7</v>
      </c>
      <c r="C58">
        <f t="shared" si="8"/>
        <v>3354.5022137904402</v>
      </c>
      <c r="D58">
        <f t="shared" si="0"/>
        <v>41.197786209559581</v>
      </c>
      <c r="F58">
        <f t="shared" si="9"/>
        <v>3334.6522520446197</v>
      </c>
      <c r="G58">
        <f t="shared" si="1"/>
        <v>61.047747955380146</v>
      </c>
      <c r="I58">
        <f t="shared" si="10"/>
        <v>3355.1881746253748</v>
      </c>
      <c r="J58">
        <f t="shared" si="2"/>
        <v>40.511825374625005</v>
      </c>
      <c r="L58">
        <f t="shared" si="11"/>
        <v>3277.3499522262182</v>
      </c>
      <c r="M58">
        <f t="shared" si="3"/>
        <v>118.35004777378163</v>
      </c>
    </row>
    <row r="59" spans="1:13">
      <c r="A59">
        <v>58</v>
      </c>
      <c r="B59">
        <v>3419.5</v>
      </c>
      <c r="C59">
        <f t="shared" si="8"/>
        <v>3387.460442758088</v>
      </c>
      <c r="D59">
        <f t="shared" si="0"/>
        <v>32.039557241912007</v>
      </c>
      <c r="F59">
        <f t="shared" si="9"/>
        <v>3365.1761260223097</v>
      </c>
      <c r="G59">
        <f t="shared" si="1"/>
        <v>54.323873977690255</v>
      </c>
      <c r="I59">
        <f t="shared" si="10"/>
        <v>3383.5464523876121</v>
      </c>
      <c r="J59">
        <f t="shared" si="2"/>
        <v>35.953547612387865</v>
      </c>
      <c r="L59">
        <f t="shared" si="11"/>
        <v>3312.8549665583528</v>
      </c>
      <c r="M59">
        <f t="shared" si="3"/>
        <v>106.64503344164723</v>
      </c>
    </row>
    <row r="60" spans="1:13">
      <c r="A60">
        <v>59</v>
      </c>
      <c r="B60">
        <v>3379.9</v>
      </c>
      <c r="C60">
        <f t="shared" si="8"/>
        <v>3413.092088551618</v>
      </c>
      <c r="D60">
        <f t="shared" si="0"/>
        <v>-33.192088551617871</v>
      </c>
      <c r="F60">
        <f t="shared" si="9"/>
        <v>3392.3380630111551</v>
      </c>
      <c r="G60">
        <f t="shared" si="1"/>
        <v>-12.438063011155009</v>
      </c>
      <c r="I60">
        <f t="shared" si="10"/>
        <v>3408.7139357162832</v>
      </c>
      <c r="J60">
        <f t="shared" si="2"/>
        <v>-28.81393571628314</v>
      </c>
      <c r="L60">
        <f t="shared" si="11"/>
        <v>3344.8484765908465</v>
      </c>
      <c r="M60">
        <f t="shared" si="3"/>
        <v>35.05152340915356</v>
      </c>
    </row>
    <row r="61" spans="1:13">
      <c r="A61">
        <v>60</v>
      </c>
      <c r="B61">
        <v>3345.1</v>
      </c>
      <c r="C61">
        <f t="shared" si="8"/>
        <v>3386.5384177103238</v>
      </c>
      <c r="D61">
        <f t="shared" si="0"/>
        <v>-41.438417710323847</v>
      </c>
      <c r="F61">
        <f t="shared" si="9"/>
        <v>3386.1190315055774</v>
      </c>
      <c r="G61">
        <f t="shared" si="1"/>
        <v>-41.019031505577459</v>
      </c>
      <c r="I61">
        <f t="shared" si="10"/>
        <v>3388.5441807148845</v>
      </c>
      <c r="J61">
        <f t="shared" si="2"/>
        <v>-43.444180714884624</v>
      </c>
      <c r="L61">
        <f t="shared" si="11"/>
        <v>3355.3639336135921</v>
      </c>
      <c r="M61">
        <f t="shared" si="3"/>
        <v>-10.263933613592144</v>
      </c>
    </row>
    <row r="62" spans="1:13">
      <c r="A62">
        <v>61</v>
      </c>
      <c r="B62">
        <v>3242.9</v>
      </c>
      <c r="C62">
        <f t="shared" si="8"/>
        <v>3353.3876835420647</v>
      </c>
      <c r="D62">
        <f t="shared" si="0"/>
        <v>-110.48768354206459</v>
      </c>
      <c r="F62">
        <f t="shared" si="9"/>
        <v>3365.6095157527889</v>
      </c>
      <c r="G62">
        <f t="shared" si="1"/>
        <v>-122.70951575278877</v>
      </c>
      <c r="I62">
        <f t="shared" si="10"/>
        <v>3358.1332542144651</v>
      </c>
      <c r="J62">
        <f t="shared" si="2"/>
        <v>-115.23325421446498</v>
      </c>
      <c r="L62">
        <f t="shared" si="11"/>
        <v>3352.2847535295141</v>
      </c>
      <c r="M62">
        <f t="shared" si="3"/>
        <v>-109.384753529514</v>
      </c>
    </row>
    <row r="63" spans="1:13">
      <c r="A63">
        <v>62</v>
      </c>
      <c r="B63">
        <v>3287.1</v>
      </c>
      <c r="C63">
        <f t="shared" si="8"/>
        <v>3264.997536708413</v>
      </c>
      <c r="D63">
        <f t="shared" si="0"/>
        <v>22.102463291586901</v>
      </c>
      <c r="F63">
        <f t="shared" si="9"/>
        <v>3304.2547578763943</v>
      </c>
      <c r="G63">
        <f t="shared" si="1"/>
        <v>-17.154757876394342</v>
      </c>
      <c r="I63">
        <f t="shared" si="10"/>
        <v>3277.4699762643395</v>
      </c>
      <c r="J63">
        <f t="shared" si="2"/>
        <v>9.6300237356604157</v>
      </c>
      <c r="L63">
        <f t="shared" si="11"/>
        <v>3319.4693274706597</v>
      </c>
      <c r="M63">
        <f t="shared" si="3"/>
        <v>-32.369327470659755</v>
      </c>
    </row>
    <row r="64" spans="1:13">
      <c r="A64">
        <v>63</v>
      </c>
      <c r="B64">
        <v>3420.6</v>
      </c>
      <c r="C64">
        <f t="shared" si="8"/>
        <v>3282.6795073416829</v>
      </c>
      <c r="D64">
        <f t="shared" si="0"/>
        <v>137.92049265831702</v>
      </c>
      <c r="F64">
        <f t="shared" si="9"/>
        <v>3295.6773789381969</v>
      </c>
      <c r="G64">
        <f t="shared" si="1"/>
        <v>124.92262106180306</v>
      </c>
      <c r="I64">
        <f t="shared" si="10"/>
        <v>3284.2109928793016</v>
      </c>
      <c r="J64">
        <f t="shared" si="2"/>
        <v>136.38900712069835</v>
      </c>
      <c r="L64">
        <f t="shared" si="11"/>
        <v>3309.7585292294616</v>
      </c>
      <c r="M64">
        <f t="shared" si="3"/>
        <v>110.84147077053831</v>
      </c>
    </row>
    <row r="65" spans="1:13">
      <c r="A65">
        <v>64</v>
      </c>
      <c r="B65">
        <v>3588.8</v>
      </c>
      <c r="C65">
        <f t="shared" si="8"/>
        <v>3393.0159014683368</v>
      </c>
      <c r="D65">
        <f t="shared" si="0"/>
        <v>195.7840985316634</v>
      </c>
      <c r="F65">
        <f t="shared" si="9"/>
        <v>3358.1386894690986</v>
      </c>
      <c r="G65">
        <f t="shared" si="1"/>
        <v>230.66131053090157</v>
      </c>
      <c r="I65">
        <f t="shared" si="10"/>
        <v>3379.6832978637899</v>
      </c>
      <c r="J65">
        <f t="shared" si="2"/>
        <v>209.11670213621028</v>
      </c>
      <c r="L65">
        <f t="shared" si="11"/>
        <v>3343.010970460623</v>
      </c>
      <c r="M65">
        <f t="shared" si="3"/>
        <v>245.78902953937722</v>
      </c>
    </row>
    <row r="66" spans="1:13">
      <c r="A66">
        <v>65</v>
      </c>
      <c r="B66">
        <v>3479.4</v>
      </c>
      <c r="C66">
        <f t="shared" si="8"/>
        <v>3549.6431802936677</v>
      </c>
      <c r="D66">
        <f t="shared" si="0"/>
        <v>-70.243180293667592</v>
      </c>
      <c r="F66">
        <f t="shared" si="9"/>
        <v>3473.4693447345494</v>
      </c>
      <c r="G66">
        <f t="shared" si="1"/>
        <v>5.9306552654506959</v>
      </c>
      <c r="I66">
        <f t="shared" si="10"/>
        <v>3526.0649893591367</v>
      </c>
      <c r="J66">
        <f t="shared" si="2"/>
        <v>-46.664989359136598</v>
      </c>
      <c r="L66">
        <f t="shared" si="11"/>
        <v>3416.7476793224359</v>
      </c>
      <c r="M66">
        <f t="shared" si="3"/>
        <v>62.652320677564148</v>
      </c>
    </row>
    <row r="67" spans="1:13">
      <c r="A67">
        <v>66</v>
      </c>
      <c r="B67">
        <v>3718.7</v>
      </c>
      <c r="C67">
        <f t="shared" si="8"/>
        <v>3493.4486360587339</v>
      </c>
      <c r="D67">
        <f t="shared" ref="D67:D130" si="12">B67-C67</f>
        <v>225.25136394126594</v>
      </c>
      <c r="F67">
        <f t="shared" si="9"/>
        <v>3476.4346723672747</v>
      </c>
      <c r="G67">
        <f t="shared" ref="G67:G130" si="13">B67-F67</f>
        <v>242.26532763272508</v>
      </c>
      <c r="I67">
        <f t="shared" si="10"/>
        <v>3493.3994968077409</v>
      </c>
      <c r="J67">
        <f t="shared" ref="J67:J130" si="14">B67-I67</f>
        <v>225.30050319225893</v>
      </c>
      <c r="L67">
        <f t="shared" si="11"/>
        <v>3435.5433755257045</v>
      </c>
      <c r="M67">
        <f t="shared" ref="M67:M130" si="15">B67-L67</f>
        <v>283.15662447429531</v>
      </c>
    </row>
    <row r="68" spans="1:13">
      <c r="A68">
        <v>67</v>
      </c>
      <c r="B68">
        <v>3571.7</v>
      </c>
      <c r="C68">
        <f t="shared" ref="C68:C99" si="16">0.8*B67+0.2*C67</f>
        <v>3673.6497272117467</v>
      </c>
      <c r="D68">
        <f t="shared" si="12"/>
        <v>-101.9497272117469</v>
      </c>
      <c r="F68">
        <f t="shared" ref="F68:F99" si="17">0.5*B67+0.5*F67</f>
        <v>3597.5673361836371</v>
      </c>
      <c r="G68">
        <f t="shared" si="13"/>
        <v>-25.867336183637235</v>
      </c>
      <c r="I68">
        <f t="shared" ref="I68:I99" si="18">0.7*B67+0.3*I67</f>
        <v>3651.1098490423219</v>
      </c>
      <c r="J68">
        <f t="shared" si="14"/>
        <v>-79.409849042322094</v>
      </c>
      <c r="L68">
        <f t="shared" ref="L68:L99" si="19">0.3*B67+0.7*L67</f>
        <v>3520.4903628679931</v>
      </c>
      <c r="M68">
        <f t="shared" si="15"/>
        <v>51.209637132006719</v>
      </c>
    </row>
    <row r="69" spans="1:13">
      <c r="A69">
        <v>68</v>
      </c>
      <c r="B69">
        <v>3601.5</v>
      </c>
      <c r="C69">
        <f t="shared" si="16"/>
        <v>3592.0899454423497</v>
      </c>
      <c r="D69">
        <f t="shared" si="12"/>
        <v>9.4100545576502554</v>
      </c>
      <c r="F69">
        <f t="shared" si="17"/>
        <v>3584.6336680918184</v>
      </c>
      <c r="G69">
        <f t="shared" si="13"/>
        <v>16.866331908181564</v>
      </c>
      <c r="I69">
        <f t="shared" si="18"/>
        <v>3595.5229547126964</v>
      </c>
      <c r="J69">
        <f t="shared" si="14"/>
        <v>5.9770452873035538</v>
      </c>
      <c r="L69">
        <f t="shared" si="19"/>
        <v>3535.8532540075948</v>
      </c>
      <c r="M69">
        <f t="shared" si="15"/>
        <v>65.646745992405158</v>
      </c>
    </row>
    <row r="70" spans="1:13">
      <c r="A70">
        <v>69</v>
      </c>
      <c r="B70">
        <v>3555.8</v>
      </c>
      <c r="C70">
        <f t="shared" si="16"/>
        <v>3599.6179890884705</v>
      </c>
      <c r="D70">
        <f t="shared" si="12"/>
        <v>-43.817989088470313</v>
      </c>
      <c r="F70">
        <f t="shared" si="17"/>
        <v>3593.0668340459092</v>
      </c>
      <c r="G70">
        <f t="shared" si="13"/>
        <v>-37.266834045909036</v>
      </c>
      <c r="I70">
        <f t="shared" si="18"/>
        <v>3599.7068864138087</v>
      </c>
      <c r="J70">
        <f t="shared" si="14"/>
        <v>-43.906886413808479</v>
      </c>
      <c r="L70">
        <f t="shared" si="19"/>
        <v>3555.5472778053163</v>
      </c>
      <c r="M70">
        <f t="shared" si="15"/>
        <v>0.25272219468388357</v>
      </c>
    </row>
    <row r="71" spans="1:13">
      <c r="A71">
        <v>70</v>
      </c>
      <c r="B71">
        <v>3514.9</v>
      </c>
      <c r="C71">
        <f t="shared" si="16"/>
        <v>3564.5635978176942</v>
      </c>
      <c r="D71">
        <f t="shared" si="12"/>
        <v>-49.663597817694153</v>
      </c>
      <c r="F71">
        <f t="shared" si="17"/>
        <v>3574.4334170229549</v>
      </c>
      <c r="G71">
        <f t="shared" si="13"/>
        <v>-59.533417022954836</v>
      </c>
      <c r="I71">
        <f t="shared" si="18"/>
        <v>3568.9720659241425</v>
      </c>
      <c r="J71">
        <f t="shared" si="14"/>
        <v>-54.072065924142407</v>
      </c>
      <c r="L71">
        <f t="shared" si="19"/>
        <v>3555.6230944637209</v>
      </c>
      <c r="M71">
        <f t="shared" si="15"/>
        <v>-40.723094463720827</v>
      </c>
    </row>
    <row r="72" spans="1:13">
      <c r="A72">
        <v>71</v>
      </c>
      <c r="B72">
        <v>3614.4</v>
      </c>
      <c r="C72">
        <f t="shared" si="16"/>
        <v>3524.8327195635388</v>
      </c>
      <c r="D72">
        <f t="shared" si="12"/>
        <v>89.56728043646126</v>
      </c>
      <c r="F72">
        <f t="shared" si="17"/>
        <v>3544.6667085114777</v>
      </c>
      <c r="G72">
        <f t="shared" si="13"/>
        <v>69.733291488522354</v>
      </c>
      <c r="I72">
        <f t="shared" si="18"/>
        <v>3531.1216197772428</v>
      </c>
      <c r="J72">
        <f t="shared" si="14"/>
        <v>83.278380222757278</v>
      </c>
      <c r="L72">
        <f t="shared" si="19"/>
        <v>3543.4061661246042</v>
      </c>
      <c r="M72">
        <f t="shared" si="15"/>
        <v>70.993833875395921</v>
      </c>
    </row>
    <row r="73" spans="1:13">
      <c r="A73">
        <v>72</v>
      </c>
      <c r="B73">
        <v>3656</v>
      </c>
      <c r="C73">
        <f t="shared" si="16"/>
        <v>3596.4865439127084</v>
      </c>
      <c r="D73">
        <f t="shared" si="12"/>
        <v>59.513456087291615</v>
      </c>
      <c r="F73">
        <f t="shared" si="17"/>
        <v>3579.5333542557391</v>
      </c>
      <c r="G73">
        <f t="shared" si="13"/>
        <v>76.466645744260859</v>
      </c>
      <c r="I73">
        <f t="shared" si="18"/>
        <v>3589.4164859331727</v>
      </c>
      <c r="J73">
        <f t="shared" si="14"/>
        <v>66.58351406682732</v>
      </c>
      <c r="L73">
        <f t="shared" si="19"/>
        <v>3564.7043162872224</v>
      </c>
      <c r="M73">
        <f t="shared" si="15"/>
        <v>91.295683712777645</v>
      </c>
    </row>
    <row r="74" spans="1:13">
      <c r="A74">
        <v>73</v>
      </c>
      <c r="B74">
        <v>3470.4</v>
      </c>
      <c r="C74">
        <f t="shared" si="16"/>
        <v>3644.0973087825419</v>
      </c>
      <c r="D74">
        <f t="shared" si="12"/>
        <v>-173.69730878254177</v>
      </c>
      <c r="F74">
        <f t="shared" si="17"/>
        <v>3617.7666771278696</v>
      </c>
      <c r="G74">
        <f t="shared" si="13"/>
        <v>-147.36667712786948</v>
      </c>
      <c r="I74">
        <f t="shared" si="18"/>
        <v>3636.0249457799518</v>
      </c>
      <c r="J74">
        <f t="shared" si="14"/>
        <v>-165.62494577995176</v>
      </c>
      <c r="L74">
        <f t="shared" si="19"/>
        <v>3592.093021401055</v>
      </c>
      <c r="M74">
        <f t="shared" si="15"/>
        <v>-121.69302140105492</v>
      </c>
    </row>
    <row r="75" spans="1:13">
      <c r="A75">
        <v>74</v>
      </c>
      <c r="B75">
        <v>3426.5</v>
      </c>
      <c r="C75">
        <f t="shared" si="16"/>
        <v>3505.1394617565084</v>
      </c>
      <c r="D75">
        <f t="shared" si="12"/>
        <v>-78.639461756508354</v>
      </c>
      <c r="F75">
        <f t="shared" si="17"/>
        <v>3544.0833385639348</v>
      </c>
      <c r="G75">
        <f t="shared" si="13"/>
        <v>-117.58333856393483</v>
      </c>
      <c r="I75">
        <f t="shared" si="18"/>
        <v>3520.0874837339852</v>
      </c>
      <c r="J75">
        <f t="shared" si="14"/>
        <v>-93.587483733985209</v>
      </c>
      <c r="L75">
        <f t="shared" si="19"/>
        <v>3555.5851149807381</v>
      </c>
      <c r="M75">
        <f t="shared" si="15"/>
        <v>-129.08511498073813</v>
      </c>
    </row>
    <row r="76" spans="1:13">
      <c r="A76">
        <v>75</v>
      </c>
      <c r="B76">
        <v>3308</v>
      </c>
      <c r="C76">
        <f t="shared" si="16"/>
        <v>3442.2278923513022</v>
      </c>
      <c r="D76">
        <f t="shared" si="12"/>
        <v>-134.22789235130222</v>
      </c>
      <c r="F76">
        <f t="shared" si="17"/>
        <v>3485.2916692819672</v>
      </c>
      <c r="G76">
        <f t="shared" si="13"/>
        <v>-177.29166928196719</v>
      </c>
      <c r="I76">
        <f t="shared" si="18"/>
        <v>3454.5762451201954</v>
      </c>
      <c r="J76">
        <f t="shared" si="14"/>
        <v>-146.57624512019538</v>
      </c>
      <c r="L76">
        <f t="shared" si="19"/>
        <v>3516.8595804865163</v>
      </c>
      <c r="M76">
        <f t="shared" si="15"/>
        <v>-208.85958048651628</v>
      </c>
    </row>
    <row r="77" spans="1:13">
      <c r="A77">
        <v>76</v>
      </c>
      <c r="B77">
        <v>3489.2</v>
      </c>
      <c r="C77">
        <f t="shared" si="16"/>
        <v>3334.8455784702605</v>
      </c>
      <c r="D77">
        <f t="shared" si="12"/>
        <v>154.35442152973928</v>
      </c>
      <c r="F77">
        <f t="shared" si="17"/>
        <v>3396.6458346409836</v>
      </c>
      <c r="G77">
        <f t="shared" si="13"/>
        <v>92.554165359016224</v>
      </c>
      <c r="I77">
        <f t="shared" si="18"/>
        <v>3351.9728735360586</v>
      </c>
      <c r="J77">
        <f t="shared" si="14"/>
        <v>137.2271264639412</v>
      </c>
      <c r="L77">
        <f t="shared" si="19"/>
        <v>3454.2017063405615</v>
      </c>
      <c r="M77">
        <f t="shared" si="15"/>
        <v>34.998293659438332</v>
      </c>
    </row>
    <row r="78" spans="1:13">
      <c r="A78">
        <v>77</v>
      </c>
      <c r="B78">
        <v>3552</v>
      </c>
      <c r="C78">
        <f t="shared" si="16"/>
        <v>3458.3291156940522</v>
      </c>
      <c r="D78">
        <f t="shared" si="12"/>
        <v>93.670884305947766</v>
      </c>
      <c r="F78">
        <f t="shared" si="17"/>
        <v>3442.9229173204917</v>
      </c>
      <c r="G78">
        <f t="shared" si="13"/>
        <v>109.07708267950829</v>
      </c>
      <c r="I78">
        <f t="shared" si="18"/>
        <v>3448.0318620608173</v>
      </c>
      <c r="J78">
        <f t="shared" si="14"/>
        <v>103.96813793918272</v>
      </c>
      <c r="L78">
        <f t="shared" si="19"/>
        <v>3464.701194438393</v>
      </c>
      <c r="M78">
        <f t="shared" si="15"/>
        <v>87.298805561606969</v>
      </c>
    </row>
    <row r="79" spans="1:13">
      <c r="A79">
        <v>78</v>
      </c>
      <c r="B79">
        <v>3859.7</v>
      </c>
      <c r="C79">
        <f t="shared" si="16"/>
        <v>3533.2658231388109</v>
      </c>
      <c r="D79">
        <f t="shared" si="12"/>
        <v>326.43417686118892</v>
      </c>
      <c r="F79">
        <f t="shared" si="17"/>
        <v>3497.4614586602456</v>
      </c>
      <c r="G79">
        <f t="shared" si="13"/>
        <v>362.23854133975419</v>
      </c>
      <c r="I79">
        <f t="shared" si="18"/>
        <v>3520.8095586182449</v>
      </c>
      <c r="J79">
        <f t="shared" si="14"/>
        <v>338.89044138175495</v>
      </c>
      <c r="L79">
        <f t="shared" si="19"/>
        <v>3490.8908361068748</v>
      </c>
      <c r="M79">
        <f t="shared" si="15"/>
        <v>368.80916389312506</v>
      </c>
    </row>
    <row r="80" spans="1:13">
      <c r="A80">
        <v>79</v>
      </c>
      <c r="B80">
        <v>3639.9</v>
      </c>
      <c r="C80">
        <f t="shared" si="16"/>
        <v>3794.4131646277624</v>
      </c>
      <c r="D80">
        <f t="shared" si="12"/>
        <v>-154.51316462776231</v>
      </c>
      <c r="F80">
        <f t="shared" si="17"/>
        <v>3678.5807293301227</v>
      </c>
      <c r="G80">
        <f t="shared" si="13"/>
        <v>-38.680729330122631</v>
      </c>
      <c r="I80">
        <f t="shared" si="18"/>
        <v>3758.032867585473</v>
      </c>
      <c r="J80">
        <f t="shared" si="14"/>
        <v>-118.13286758547292</v>
      </c>
      <c r="L80">
        <f t="shared" si="19"/>
        <v>3601.5335852748121</v>
      </c>
      <c r="M80">
        <f t="shared" si="15"/>
        <v>38.366414725187951</v>
      </c>
    </row>
    <row r="81" spans="1:13">
      <c r="A81">
        <v>80</v>
      </c>
      <c r="B81">
        <v>3854.2</v>
      </c>
      <c r="C81">
        <f t="shared" si="16"/>
        <v>3670.8026329255526</v>
      </c>
      <c r="D81">
        <f t="shared" si="12"/>
        <v>183.39736707444717</v>
      </c>
      <c r="F81">
        <f t="shared" si="17"/>
        <v>3659.2403646650614</v>
      </c>
      <c r="G81">
        <f t="shared" si="13"/>
        <v>194.95963533493841</v>
      </c>
      <c r="I81">
        <f t="shared" si="18"/>
        <v>3675.3398602756415</v>
      </c>
      <c r="J81">
        <f t="shared" si="14"/>
        <v>178.86013972435831</v>
      </c>
      <c r="L81">
        <f t="shared" si="19"/>
        <v>3613.0435096923684</v>
      </c>
      <c r="M81">
        <f t="shared" si="15"/>
        <v>241.15649030763143</v>
      </c>
    </row>
    <row r="82" spans="1:13">
      <c r="A82">
        <v>81</v>
      </c>
      <c r="B82">
        <v>3697.8</v>
      </c>
      <c r="C82">
        <f t="shared" si="16"/>
        <v>3817.5205265851109</v>
      </c>
      <c r="D82">
        <f t="shared" si="12"/>
        <v>-119.72052658511075</v>
      </c>
      <c r="F82">
        <f t="shared" si="17"/>
        <v>3756.7201823325304</v>
      </c>
      <c r="G82">
        <f t="shared" si="13"/>
        <v>-58.920182332530203</v>
      </c>
      <c r="I82">
        <f t="shared" si="18"/>
        <v>3800.541958082692</v>
      </c>
      <c r="J82">
        <f t="shared" si="14"/>
        <v>-102.74195808269178</v>
      </c>
      <c r="L82">
        <f t="shared" si="19"/>
        <v>3685.3904567846575</v>
      </c>
      <c r="M82">
        <f t="shared" si="15"/>
        <v>12.409543215342637</v>
      </c>
    </row>
    <row r="83" spans="1:13">
      <c r="A83">
        <v>82</v>
      </c>
      <c r="B83">
        <v>3582</v>
      </c>
      <c r="C83">
        <f t="shared" si="16"/>
        <v>3721.7441053170223</v>
      </c>
      <c r="D83">
        <f t="shared" si="12"/>
        <v>-139.74410531702233</v>
      </c>
      <c r="F83">
        <f t="shared" si="17"/>
        <v>3727.2600911662653</v>
      </c>
      <c r="G83">
        <f t="shared" si="13"/>
        <v>-145.26009116626528</v>
      </c>
      <c r="I83">
        <f t="shared" si="18"/>
        <v>3728.6225874248075</v>
      </c>
      <c r="J83">
        <f t="shared" si="14"/>
        <v>-146.62258742480753</v>
      </c>
      <c r="L83">
        <f t="shared" si="19"/>
        <v>3689.11331974926</v>
      </c>
      <c r="M83">
        <f t="shared" si="15"/>
        <v>-107.11331974925997</v>
      </c>
    </row>
    <row r="84" spans="1:13">
      <c r="A84">
        <v>83</v>
      </c>
      <c r="B84">
        <v>3652.8</v>
      </c>
      <c r="C84">
        <f t="shared" si="16"/>
        <v>3609.9488210634049</v>
      </c>
      <c r="D84">
        <f t="shared" si="12"/>
        <v>42.851178936595261</v>
      </c>
      <c r="F84">
        <f t="shared" si="17"/>
        <v>3654.6300455831324</v>
      </c>
      <c r="G84">
        <f t="shared" si="13"/>
        <v>-1.8300455831322324</v>
      </c>
      <c r="I84">
        <f t="shared" si="18"/>
        <v>3625.9867762274416</v>
      </c>
      <c r="J84">
        <f t="shared" si="14"/>
        <v>26.813223772558558</v>
      </c>
      <c r="L84">
        <f t="shared" si="19"/>
        <v>3656.9793238244815</v>
      </c>
      <c r="M84">
        <f t="shared" si="15"/>
        <v>-4.1793238244813438</v>
      </c>
    </row>
    <row r="85" spans="1:13">
      <c r="A85">
        <v>84</v>
      </c>
      <c r="B85">
        <v>3474.7</v>
      </c>
      <c r="C85">
        <f t="shared" si="16"/>
        <v>3644.2297642126814</v>
      </c>
      <c r="D85">
        <f t="shared" si="12"/>
        <v>-169.52976421268158</v>
      </c>
      <c r="F85">
        <f t="shared" si="17"/>
        <v>3653.7150227915663</v>
      </c>
      <c r="G85">
        <f t="shared" si="13"/>
        <v>-179.01502279156648</v>
      </c>
      <c r="I85">
        <f t="shared" si="18"/>
        <v>3644.7560328682325</v>
      </c>
      <c r="J85">
        <f t="shared" si="14"/>
        <v>-170.05603286823271</v>
      </c>
      <c r="L85">
        <f t="shared" si="19"/>
        <v>3655.7255266771372</v>
      </c>
      <c r="M85">
        <f t="shared" si="15"/>
        <v>-181.02552667713735</v>
      </c>
    </row>
    <row r="86" spans="1:13">
      <c r="A86">
        <v>85</v>
      </c>
      <c r="B86">
        <v>3413.9</v>
      </c>
      <c r="C86">
        <f t="shared" si="16"/>
        <v>3508.6059528425367</v>
      </c>
      <c r="D86">
        <f t="shared" si="12"/>
        <v>-94.70595284253659</v>
      </c>
      <c r="F86">
        <f t="shared" si="17"/>
        <v>3564.2075113957831</v>
      </c>
      <c r="G86">
        <f t="shared" si="13"/>
        <v>-150.30751139578297</v>
      </c>
      <c r="I86">
        <f t="shared" si="18"/>
        <v>3525.7168098604693</v>
      </c>
      <c r="J86">
        <f t="shared" si="14"/>
        <v>-111.81680986046922</v>
      </c>
      <c r="L86">
        <f t="shared" si="19"/>
        <v>3601.4178686739956</v>
      </c>
      <c r="M86">
        <f t="shared" si="15"/>
        <v>-187.51786867399551</v>
      </c>
    </row>
    <row r="87" spans="1:13">
      <c r="A87">
        <v>86</v>
      </c>
      <c r="B87">
        <v>3520.9</v>
      </c>
      <c r="C87">
        <f t="shared" si="16"/>
        <v>3432.841190568508</v>
      </c>
      <c r="D87">
        <f t="shared" si="12"/>
        <v>88.058809431492136</v>
      </c>
      <c r="F87">
        <f t="shared" si="17"/>
        <v>3489.0537556978916</v>
      </c>
      <c r="G87">
        <f t="shared" si="13"/>
        <v>31.846244302108516</v>
      </c>
      <c r="I87">
        <f t="shared" si="18"/>
        <v>3447.4450429581407</v>
      </c>
      <c r="J87">
        <f t="shared" si="14"/>
        <v>73.454957041859416</v>
      </c>
      <c r="L87">
        <f t="shared" si="19"/>
        <v>3545.1625080717968</v>
      </c>
      <c r="M87">
        <f t="shared" si="15"/>
        <v>-24.262508071796674</v>
      </c>
    </row>
    <row r="88" spans="1:13">
      <c r="A88">
        <v>87</v>
      </c>
      <c r="B88">
        <v>3464.8</v>
      </c>
      <c r="C88">
        <f t="shared" si="16"/>
        <v>3503.2882381137019</v>
      </c>
      <c r="D88">
        <f t="shared" si="12"/>
        <v>-38.488238113701755</v>
      </c>
      <c r="F88">
        <f t="shared" si="17"/>
        <v>3504.9768778489461</v>
      </c>
      <c r="G88">
        <f t="shared" si="13"/>
        <v>-40.176877848945878</v>
      </c>
      <c r="I88">
        <f t="shared" si="18"/>
        <v>3498.8635128874421</v>
      </c>
      <c r="J88">
        <f t="shared" si="14"/>
        <v>-34.063512887441902</v>
      </c>
      <c r="L88">
        <f t="shared" si="19"/>
        <v>3537.8837556502576</v>
      </c>
      <c r="M88">
        <f t="shared" si="15"/>
        <v>-73.083755650257444</v>
      </c>
    </row>
    <row r="89" spans="1:13">
      <c r="A89">
        <v>88</v>
      </c>
      <c r="B89">
        <v>3713.5</v>
      </c>
      <c r="C89">
        <f t="shared" si="16"/>
        <v>3472.4976476227407</v>
      </c>
      <c r="D89">
        <f t="shared" si="12"/>
        <v>241.00235237725929</v>
      </c>
      <c r="F89">
        <f t="shared" si="17"/>
        <v>3484.8884389244731</v>
      </c>
      <c r="G89">
        <f t="shared" si="13"/>
        <v>228.61156107552688</v>
      </c>
      <c r="I89">
        <f t="shared" si="18"/>
        <v>3475.0190538662328</v>
      </c>
      <c r="J89">
        <f t="shared" si="14"/>
        <v>238.48094613376725</v>
      </c>
      <c r="L89">
        <f t="shared" si="19"/>
        <v>3515.9586289551803</v>
      </c>
      <c r="M89">
        <f t="shared" si="15"/>
        <v>197.5413710448197</v>
      </c>
    </row>
    <row r="90" spans="1:13">
      <c r="A90">
        <v>89</v>
      </c>
      <c r="B90">
        <v>3689.9</v>
      </c>
      <c r="C90">
        <f t="shared" si="16"/>
        <v>3665.2995295245482</v>
      </c>
      <c r="D90">
        <f t="shared" si="12"/>
        <v>24.600470475451857</v>
      </c>
      <c r="F90">
        <f t="shared" si="17"/>
        <v>3599.1942194622366</v>
      </c>
      <c r="G90">
        <f t="shared" si="13"/>
        <v>90.70578053776353</v>
      </c>
      <c r="I90">
        <f t="shared" si="18"/>
        <v>3641.9557161598696</v>
      </c>
      <c r="J90">
        <f t="shared" si="14"/>
        <v>47.944283840130538</v>
      </c>
      <c r="L90">
        <f t="shared" si="19"/>
        <v>3575.221040268626</v>
      </c>
      <c r="M90">
        <f t="shared" si="15"/>
        <v>114.67895973137411</v>
      </c>
    </row>
    <row r="91" spans="1:13">
      <c r="A91">
        <v>90</v>
      </c>
      <c r="B91">
        <v>3820</v>
      </c>
      <c r="C91">
        <f t="shared" si="16"/>
        <v>3684.9799059049096</v>
      </c>
      <c r="D91">
        <f t="shared" si="12"/>
        <v>135.02009409509037</v>
      </c>
      <c r="F91">
        <f t="shared" si="17"/>
        <v>3644.5471097311183</v>
      </c>
      <c r="G91">
        <f t="shared" si="13"/>
        <v>175.45289026888167</v>
      </c>
      <c r="I91">
        <f t="shared" si="18"/>
        <v>3675.5167148479604</v>
      </c>
      <c r="J91">
        <f t="shared" si="14"/>
        <v>144.48328515203957</v>
      </c>
      <c r="L91">
        <f t="shared" si="19"/>
        <v>3609.6247281880378</v>
      </c>
      <c r="M91">
        <f t="shared" si="15"/>
        <v>210.37527181196219</v>
      </c>
    </row>
    <row r="92" spans="1:13">
      <c r="A92">
        <v>91</v>
      </c>
      <c r="B92">
        <v>3736</v>
      </c>
      <c r="C92">
        <f t="shared" si="16"/>
        <v>3792.9959811809822</v>
      </c>
      <c r="D92">
        <f t="shared" si="12"/>
        <v>-56.995981180982199</v>
      </c>
      <c r="F92">
        <f t="shared" si="17"/>
        <v>3732.2735548655592</v>
      </c>
      <c r="G92">
        <f t="shared" si="13"/>
        <v>3.7264451344408371</v>
      </c>
      <c r="I92">
        <f t="shared" si="18"/>
        <v>3776.655014454388</v>
      </c>
      <c r="J92">
        <f t="shared" si="14"/>
        <v>-40.655014454388038</v>
      </c>
      <c r="L92">
        <f t="shared" si="19"/>
        <v>3672.7373097316263</v>
      </c>
      <c r="M92">
        <f t="shared" si="15"/>
        <v>63.262690268373717</v>
      </c>
    </row>
    <row r="93" spans="1:13">
      <c r="A93">
        <v>92</v>
      </c>
      <c r="B93">
        <v>3869.3</v>
      </c>
      <c r="C93">
        <f t="shared" si="16"/>
        <v>3747.3991962361965</v>
      </c>
      <c r="D93">
        <f t="shared" si="12"/>
        <v>121.90080376380365</v>
      </c>
      <c r="F93">
        <f t="shared" si="17"/>
        <v>3734.1367774327796</v>
      </c>
      <c r="G93">
        <f t="shared" si="13"/>
        <v>135.1632225672206</v>
      </c>
      <c r="I93">
        <f t="shared" si="18"/>
        <v>3748.1965043363161</v>
      </c>
      <c r="J93">
        <f t="shared" si="14"/>
        <v>121.10349566368404</v>
      </c>
      <c r="L93">
        <f t="shared" si="19"/>
        <v>3691.7161168121384</v>
      </c>
      <c r="M93">
        <f t="shared" si="15"/>
        <v>177.58388318786183</v>
      </c>
    </row>
    <row r="94" spans="1:13">
      <c r="A94">
        <v>93</v>
      </c>
      <c r="B94">
        <v>3833.2</v>
      </c>
      <c r="C94">
        <f t="shared" si="16"/>
        <v>3844.9198392472399</v>
      </c>
      <c r="D94">
        <f t="shared" si="12"/>
        <v>-11.719839247240088</v>
      </c>
      <c r="F94">
        <f t="shared" si="17"/>
        <v>3801.7183887163901</v>
      </c>
      <c r="G94">
        <f t="shared" si="13"/>
        <v>31.481611283609709</v>
      </c>
      <c r="I94">
        <f t="shared" si="18"/>
        <v>3832.9689513008943</v>
      </c>
      <c r="J94">
        <f t="shared" si="14"/>
        <v>0.23104869910548587</v>
      </c>
      <c r="L94">
        <f t="shared" si="19"/>
        <v>3744.9912817684967</v>
      </c>
      <c r="M94">
        <f t="shared" si="15"/>
        <v>88.208718231503099</v>
      </c>
    </row>
    <row r="95" spans="1:13">
      <c r="A95">
        <v>94</v>
      </c>
      <c r="B95">
        <v>3716.3</v>
      </c>
      <c r="C95">
        <f t="shared" si="16"/>
        <v>3835.5439678494481</v>
      </c>
      <c r="D95">
        <f t="shared" si="12"/>
        <v>-119.24396784944793</v>
      </c>
      <c r="F95">
        <f t="shared" si="17"/>
        <v>3817.459194358195</v>
      </c>
      <c r="G95">
        <f t="shared" si="13"/>
        <v>-101.15919435819478</v>
      </c>
      <c r="I95">
        <f t="shared" si="18"/>
        <v>3833.1306853902679</v>
      </c>
      <c r="J95">
        <f t="shared" si="14"/>
        <v>-116.83068539026772</v>
      </c>
      <c r="L95">
        <f t="shared" si="19"/>
        <v>3771.4538972379478</v>
      </c>
      <c r="M95">
        <f t="shared" si="15"/>
        <v>-55.153897237947604</v>
      </c>
    </row>
    <row r="96" spans="1:13">
      <c r="A96">
        <v>95</v>
      </c>
      <c r="B96">
        <v>3772.2</v>
      </c>
      <c r="C96">
        <f t="shared" si="16"/>
        <v>3740.1487935698901</v>
      </c>
      <c r="D96">
        <f t="shared" si="12"/>
        <v>32.051206430109687</v>
      </c>
      <c r="F96">
        <f t="shared" si="17"/>
        <v>3766.8795971790978</v>
      </c>
      <c r="G96">
        <f t="shared" si="13"/>
        <v>5.320402820902018</v>
      </c>
      <c r="I96">
        <f t="shared" si="18"/>
        <v>3751.3492056170799</v>
      </c>
      <c r="J96">
        <f t="shared" si="14"/>
        <v>20.850794382919958</v>
      </c>
      <c r="L96">
        <f t="shared" si="19"/>
        <v>3754.9077280665633</v>
      </c>
      <c r="M96">
        <f t="shared" si="15"/>
        <v>17.292271933436496</v>
      </c>
    </row>
    <row r="97" spans="1:13">
      <c r="A97">
        <v>96</v>
      </c>
      <c r="B97">
        <v>3650.8</v>
      </c>
      <c r="C97">
        <f t="shared" si="16"/>
        <v>3765.7897587139782</v>
      </c>
      <c r="D97">
        <f t="shared" si="12"/>
        <v>-114.98975871397806</v>
      </c>
      <c r="F97">
        <f t="shared" si="17"/>
        <v>3769.5397985895488</v>
      </c>
      <c r="G97">
        <f t="shared" si="13"/>
        <v>-118.73979858954863</v>
      </c>
      <c r="I97">
        <f t="shared" si="18"/>
        <v>3765.9447616851235</v>
      </c>
      <c r="J97">
        <f t="shared" si="14"/>
        <v>-115.14476168512329</v>
      </c>
      <c r="L97">
        <f t="shared" si="19"/>
        <v>3760.0954096465939</v>
      </c>
      <c r="M97">
        <f t="shared" si="15"/>
        <v>-109.29540964659373</v>
      </c>
    </row>
    <row r="98" spans="1:13">
      <c r="A98">
        <v>97</v>
      </c>
      <c r="B98">
        <v>3711</v>
      </c>
      <c r="C98">
        <f t="shared" si="16"/>
        <v>3673.7979517427962</v>
      </c>
      <c r="D98">
        <f t="shared" si="12"/>
        <v>37.202048257203842</v>
      </c>
      <c r="F98">
        <f t="shared" si="17"/>
        <v>3710.1698992947745</v>
      </c>
      <c r="G98">
        <f t="shared" si="13"/>
        <v>0.8301007052255045</v>
      </c>
      <c r="I98">
        <f t="shared" si="18"/>
        <v>3685.3434285055368</v>
      </c>
      <c r="J98">
        <f t="shared" si="14"/>
        <v>25.656571494463151</v>
      </c>
      <c r="L98">
        <f t="shared" si="19"/>
        <v>3727.3067867526152</v>
      </c>
      <c r="M98">
        <f t="shared" si="15"/>
        <v>-16.306786752615153</v>
      </c>
    </row>
    <row r="99" spans="1:13">
      <c r="A99">
        <v>98</v>
      </c>
      <c r="B99">
        <v>3470.8</v>
      </c>
      <c r="C99">
        <f t="shared" si="16"/>
        <v>3703.5595903485596</v>
      </c>
      <c r="D99">
        <f t="shared" si="12"/>
        <v>-232.75959034855941</v>
      </c>
      <c r="F99">
        <f t="shared" si="17"/>
        <v>3710.5849496473875</v>
      </c>
      <c r="G99">
        <f t="shared" si="13"/>
        <v>-239.78494964738729</v>
      </c>
      <c r="I99">
        <f t="shared" si="18"/>
        <v>3703.3030285516606</v>
      </c>
      <c r="J99">
        <f t="shared" si="14"/>
        <v>-232.50302855166046</v>
      </c>
      <c r="L99">
        <f t="shared" si="19"/>
        <v>3722.4147507268308</v>
      </c>
      <c r="M99">
        <f t="shared" si="15"/>
        <v>-251.61475072683061</v>
      </c>
    </row>
    <row r="100" spans="1:13">
      <c r="A100">
        <v>99</v>
      </c>
      <c r="B100">
        <v>3397.3</v>
      </c>
      <c r="C100">
        <f t="shared" ref="C100:C131" si="20">0.8*B99+0.2*C99</f>
        <v>3517.3519180697122</v>
      </c>
      <c r="D100">
        <f t="shared" si="12"/>
        <v>-120.05191806971197</v>
      </c>
      <c r="F100">
        <f t="shared" ref="F100:F131" si="21">0.5*B99+0.5*F99</f>
        <v>3590.6924748236938</v>
      </c>
      <c r="G100">
        <f t="shared" si="13"/>
        <v>-193.39247482369365</v>
      </c>
      <c r="I100">
        <f t="shared" ref="I100:I131" si="22">0.7*B99+0.3*I99</f>
        <v>3540.550908565498</v>
      </c>
      <c r="J100">
        <f t="shared" si="14"/>
        <v>-143.25090856549787</v>
      </c>
      <c r="L100">
        <f t="shared" ref="L100:L131" si="23">0.3*B99+0.7*L99</f>
        <v>3646.9303255087816</v>
      </c>
      <c r="M100">
        <f t="shared" si="15"/>
        <v>-249.63032550878143</v>
      </c>
    </row>
    <row r="101" spans="1:13">
      <c r="A101">
        <v>100</v>
      </c>
      <c r="B101">
        <v>3772</v>
      </c>
      <c r="C101">
        <f t="shared" si="20"/>
        <v>3421.3103836139426</v>
      </c>
      <c r="D101">
        <f t="shared" si="12"/>
        <v>350.68961638605742</v>
      </c>
      <c r="F101">
        <f t="shared" si="21"/>
        <v>3493.9962374118468</v>
      </c>
      <c r="G101">
        <f t="shared" si="13"/>
        <v>278.00376258815322</v>
      </c>
      <c r="I101">
        <f t="shared" si="22"/>
        <v>3440.2752725696496</v>
      </c>
      <c r="J101">
        <f t="shared" si="14"/>
        <v>331.72472743035041</v>
      </c>
      <c r="L101">
        <f t="shared" si="23"/>
        <v>3572.0412278561471</v>
      </c>
      <c r="M101">
        <f t="shared" si="15"/>
        <v>199.95877214385291</v>
      </c>
    </row>
    <row r="102" spans="1:13">
      <c r="A102">
        <v>101</v>
      </c>
      <c r="B102">
        <v>3793.3</v>
      </c>
      <c r="C102">
        <f t="shared" si="20"/>
        <v>3701.862076722789</v>
      </c>
      <c r="D102">
        <f t="shared" si="12"/>
        <v>91.437923277211212</v>
      </c>
      <c r="F102">
        <f t="shared" si="21"/>
        <v>3632.9981187059234</v>
      </c>
      <c r="G102">
        <f t="shared" si="13"/>
        <v>160.30188129407679</v>
      </c>
      <c r="I102">
        <f t="shared" si="22"/>
        <v>3672.4825817708943</v>
      </c>
      <c r="J102">
        <f t="shared" si="14"/>
        <v>120.8174182291059</v>
      </c>
      <c r="L102">
        <f t="shared" si="23"/>
        <v>3632.0288594993026</v>
      </c>
      <c r="M102">
        <f t="shared" si="15"/>
        <v>161.27114050069758</v>
      </c>
    </row>
    <row r="103" spans="1:13">
      <c r="A103">
        <v>102</v>
      </c>
      <c r="B103">
        <v>3853.7</v>
      </c>
      <c r="C103">
        <f t="shared" si="20"/>
        <v>3775.0124153445581</v>
      </c>
      <c r="D103">
        <f t="shared" si="12"/>
        <v>78.687584655441697</v>
      </c>
      <c r="F103">
        <f t="shared" si="21"/>
        <v>3713.1490593529616</v>
      </c>
      <c r="G103">
        <f t="shared" si="13"/>
        <v>140.55094064703826</v>
      </c>
      <c r="I103">
        <f t="shared" si="22"/>
        <v>3757.0547745312679</v>
      </c>
      <c r="J103">
        <f t="shared" si="14"/>
        <v>96.645225468731951</v>
      </c>
      <c r="L103">
        <f t="shared" si="23"/>
        <v>3680.4102016495117</v>
      </c>
      <c r="M103">
        <f t="shared" si="15"/>
        <v>173.28979835048813</v>
      </c>
    </row>
    <row r="104" spans="1:13">
      <c r="A104">
        <v>103</v>
      </c>
      <c r="B104">
        <v>3904.5</v>
      </c>
      <c r="C104">
        <f t="shared" si="20"/>
        <v>3837.9624830689118</v>
      </c>
      <c r="D104">
        <f t="shared" si="12"/>
        <v>66.537516931088248</v>
      </c>
      <c r="F104">
        <f t="shared" si="21"/>
        <v>3783.4245296764807</v>
      </c>
      <c r="G104">
        <f t="shared" si="13"/>
        <v>121.07547032351931</v>
      </c>
      <c r="I104">
        <f t="shared" si="22"/>
        <v>3824.70643235938</v>
      </c>
      <c r="J104">
        <f t="shared" si="14"/>
        <v>79.79356764062004</v>
      </c>
      <c r="L104">
        <f t="shared" si="23"/>
        <v>3732.3971411546581</v>
      </c>
      <c r="M104">
        <f t="shared" si="15"/>
        <v>172.10285884534187</v>
      </c>
    </row>
    <row r="105" spans="1:13">
      <c r="A105">
        <v>104</v>
      </c>
      <c r="B105">
        <v>3911.2</v>
      </c>
      <c r="C105">
        <f t="shared" si="20"/>
        <v>3891.1924966137826</v>
      </c>
      <c r="D105">
        <f t="shared" si="12"/>
        <v>20.007503386217195</v>
      </c>
      <c r="F105">
        <f t="shared" si="21"/>
        <v>3843.9622648382401</v>
      </c>
      <c r="G105">
        <f t="shared" si="13"/>
        <v>67.237735161759701</v>
      </c>
      <c r="I105">
        <f t="shared" si="22"/>
        <v>3880.5619297078138</v>
      </c>
      <c r="J105">
        <f t="shared" si="14"/>
        <v>30.638070292186057</v>
      </c>
      <c r="L105">
        <f t="shared" si="23"/>
        <v>3784.0279988082602</v>
      </c>
      <c r="M105">
        <f t="shared" si="15"/>
        <v>127.17200119173958</v>
      </c>
    </row>
    <row r="106" spans="1:13">
      <c r="A106">
        <v>105</v>
      </c>
      <c r="B106">
        <v>3832.5</v>
      </c>
      <c r="C106">
        <f t="shared" si="20"/>
        <v>3907.1984993227566</v>
      </c>
      <c r="D106">
        <f t="shared" si="12"/>
        <v>-74.698499322756561</v>
      </c>
      <c r="F106">
        <f t="shared" si="21"/>
        <v>3877.58113241912</v>
      </c>
      <c r="G106">
        <f t="shared" si="13"/>
        <v>-45.081132419119967</v>
      </c>
      <c r="I106">
        <f t="shared" si="22"/>
        <v>3902.0085789123441</v>
      </c>
      <c r="J106">
        <f t="shared" si="14"/>
        <v>-69.508578912344092</v>
      </c>
      <c r="L106">
        <f t="shared" si="23"/>
        <v>3822.1795991657818</v>
      </c>
      <c r="M106">
        <f t="shared" si="15"/>
        <v>10.320400834218162</v>
      </c>
    </row>
    <row r="107" spans="1:13">
      <c r="A107">
        <v>106</v>
      </c>
      <c r="B107">
        <v>3717.4</v>
      </c>
      <c r="C107">
        <f t="shared" si="20"/>
        <v>3847.4396998645516</v>
      </c>
      <c r="D107">
        <f t="shared" si="12"/>
        <v>-130.03969986455149</v>
      </c>
      <c r="F107">
        <f t="shared" si="21"/>
        <v>3855.04056620956</v>
      </c>
      <c r="G107">
        <f t="shared" si="13"/>
        <v>-137.64056620955989</v>
      </c>
      <c r="I107">
        <f t="shared" si="22"/>
        <v>3853.3525736737029</v>
      </c>
      <c r="J107">
        <f t="shared" si="14"/>
        <v>-135.95257367370277</v>
      </c>
      <c r="L107">
        <f t="shared" si="23"/>
        <v>3825.2757194160472</v>
      </c>
      <c r="M107">
        <f t="shared" si="15"/>
        <v>-107.8757194160471</v>
      </c>
    </row>
    <row r="108" spans="1:13">
      <c r="A108">
        <v>107</v>
      </c>
      <c r="B108">
        <v>3884.6</v>
      </c>
      <c r="C108">
        <f t="shared" si="20"/>
        <v>3743.4079399729103</v>
      </c>
      <c r="D108">
        <f t="shared" si="12"/>
        <v>141.19206002708961</v>
      </c>
      <c r="F108">
        <f t="shared" si="21"/>
        <v>3786.2202831047798</v>
      </c>
      <c r="G108">
        <f t="shared" si="13"/>
        <v>98.379716895220099</v>
      </c>
      <c r="I108">
        <f t="shared" si="22"/>
        <v>3758.1857721021106</v>
      </c>
      <c r="J108">
        <f t="shared" si="14"/>
        <v>126.4142278978893</v>
      </c>
      <c r="L108">
        <f t="shared" si="23"/>
        <v>3792.9130035912331</v>
      </c>
      <c r="M108">
        <f t="shared" si="15"/>
        <v>91.686996408766845</v>
      </c>
    </row>
    <row r="109" spans="1:13">
      <c r="A109">
        <v>108</v>
      </c>
      <c r="B109">
        <v>3700.4</v>
      </c>
      <c r="C109">
        <f t="shared" si="20"/>
        <v>3856.3615879945824</v>
      </c>
      <c r="D109">
        <f t="shared" si="12"/>
        <v>-155.96158799458226</v>
      </c>
      <c r="F109">
        <f t="shared" si="21"/>
        <v>3835.4101415523901</v>
      </c>
      <c r="G109">
        <f t="shared" si="13"/>
        <v>-135.01014155239</v>
      </c>
      <c r="I109">
        <f t="shared" si="22"/>
        <v>3846.675731630633</v>
      </c>
      <c r="J109">
        <f t="shared" si="14"/>
        <v>-146.27573163063289</v>
      </c>
      <c r="L109">
        <f t="shared" si="23"/>
        <v>3820.4191025138625</v>
      </c>
      <c r="M109">
        <f t="shared" si="15"/>
        <v>-120.01910251386244</v>
      </c>
    </row>
    <row r="110" spans="1:13">
      <c r="A110">
        <v>109</v>
      </c>
      <c r="B110">
        <v>3726.7</v>
      </c>
      <c r="C110">
        <f t="shared" si="20"/>
        <v>3731.5923175989165</v>
      </c>
      <c r="D110">
        <f t="shared" si="12"/>
        <v>-4.8923175989166339</v>
      </c>
      <c r="F110">
        <f t="shared" si="21"/>
        <v>3767.9050707761953</v>
      </c>
      <c r="G110">
        <f t="shared" si="13"/>
        <v>-41.205070776195498</v>
      </c>
      <c r="I110">
        <f t="shared" si="22"/>
        <v>3744.2827194891897</v>
      </c>
      <c r="J110">
        <f t="shared" si="14"/>
        <v>-17.582719489189913</v>
      </c>
      <c r="L110">
        <f t="shared" si="23"/>
        <v>3784.4133717597033</v>
      </c>
      <c r="M110">
        <f t="shared" si="15"/>
        <v>-57.713371759703477</v>
      </c>
    </row>
    <row r="111" spans="1:13">
      <c r="A111">
        <v>110</v>
      </c>
      <c r="B111">
        <v>3680.6</v>
      </c>
      <c r="C111">
        <f t="shared" si="20"/>
        <v>3727.6784635197837</v>
      </c>
      <c r="D111">
        <f t="shared" si="12"/>
        <v>-47.078463519783782</v>
      </c>
      <c r="F111">
        <f t="shared" si="21"/>
        <v>3747.3025353880976</v>
      </c>
      <c r="G111">
        <f t="shared" si="13"/>
        <v>-66.702535388097658</v>
      </c>
      <c r="I111">
        <f t="shared" si="22"/>
        <v>3731.9748158467564</v>
      </c>
      <c r="J111">
        <f t="shared" si="14"/>
        <v>-51.374815846756519</v>
      </c>
      <c r="L111">
        <f t="shared" si="23"/>
        <v>3767.0993602317922</v>
      </c>
      <c r="M111">
        <f t="shared" si="15"/>
        <v>-86.499360231792252</v>
      </c>
    </row>
    <row r="112" spans="1:13">
      <c r="A112">
        <v>111</v>
      </c>
      <c r="B112">
        <v>3491.4</v>
      </c>
      <c r="C112">
        <f t="shared" si="20"/>
        <v>3690.015692703957</v>
      </c>
      <c r="D112">
        <f t="shared" si="12"/>
        <v>-198.61569270395694</v>
      </c>
      <c r="F112">
        <f t="shared" si="21"/>
        <v>3713.9512676940485</v>
      </c>
      <c r="G112">
        <f t="shared" si="13"/>
        <v>-222.55126769404842</v>
      </c>
      <c r="I112">
        <f t="shared" si="22"/>
        <v>3696.0124447540265</v>
      </c>
      <c r="J112">
        <f t="shared" si="14"/>
        <v>-204.61244475402646</v>
      </c>
      <c r="L112">
        <f t="shared" si="23"/>
        <v>3741.1495521622542</v>
      </c>
      <c r="M112">
        <f t="shared" si="15"/>
        <v>-249.74955216225408</v>
      </c>
    </row>
    <row r="113" spans="1:13">
      <c r="A113">
        <v>112</v>
      </c>
      <c r="B113">
        <v>3874.3</v>
      </c>
      <c r="C113">
        <f t="shared" si="20"/>
        <v>3531.1231385407918</v>
      </c>
      <c r="D113">
        <f t="shared" si="12"/>
        <v>343.17686145920834</v>
      </c>
      <c r="F113">
        <f t="shared" si="21"/>
        <v>3602.6756338470241</v>
      </c>
      <c r="G113">
        <f t="shared" si="13"/>
        <v>271.62436615297611</v>
      </c>
      <c r="I113">
        <f t="shared" si="22"/>
        <v>3552.7837334262076</v>
      </c>
      <c r="J113">
        <f t="shared" si="14"/>
        <v>321.51626657379256</v>
      </c>
      <c r="L113">
        <f t="shared" si="23"/>
        <v>3666.224686513578</v>
      </c>
      <c r="M113">
        <f t="shared" si="15"/>
        <v>208.07531348642215</v>
      </c>
    </row>
    <row r="114" spans="1:13">
      <c r="A114">
        <v>113</v>
      </c>
      <c r="B114">
        <v>3931.1</v>
      </c>
      <c r="C114">
        <f t="shared" si="20"/>
        <v>3805.6646277081591</v>
      </c>
      <c r="D114">
        <f t="shared" si="12"/>
        <v>125.43537229184085</v>
      </c>
      <c r="F114">
        <f t="shared" si="21"/>
        <v>3738.4878169235121</v>
      </c>
      <c r="G114">
        <f t="shared" si="13"/>
        <v>192.61218307648778</v>
      </c>
      <c r="I114">
        <f t="shared" si="22"/>
        <v>3777.8451200278623</v>
      </c>
      <c r="J114">
        <f t="shared" si="14"/>
        <v>153.25487997213759</v>
      </c>
      <c r="L114">
        <f t="shared" si="23"/>
        <v>3728.6472805595045</v>
      </c>
      <c r="M114">
        <f t="shared" si="15"/>
        <v>202.45271944049546</v>
      </c>
    </row>
    <row r="115" spans="1:13">
      <c r="A115">
        <v>114</v>
      </c>
      <c r="B115">
        <v>3973</v>
      </c>
      <c r="C115">
        <f t="shared" si="20"/>
        <v>3906.0129255416318</v>
      </c>
      <c r="D115">
        <f t="shared" si="12"/>
        <v>66.98707445836817</v>
      </c>
      <c r="F115">
        <f t="shared" si="21"/>
        <v>3834.793908461756</v>
      </c>
      <c r="G115">
        <f t="shared" si="13"/>
        <v>138.20609153824398</v>
      </c>
      <c r="I115">
        <f t="shared" si="22"/>
        <v>3885.1235360083583</v>
      </c>
      <c r="J115">
        <f t="shared" si="14"/>
        <v>87.876463991641685</v>
      </c>
      <c r="L115">
        <f t="shared" si="23"/>
        <v>3789.383096391653</v>
      </c>
      <c r="M115">
        <f t="shared" si="15"/>
        <v>183.616903608347</v>
      </c>
    </row>
    <row r="116" spans="1:13">
      <c r="A116">
        <v>115</v>
      </c>
      <c r="B116">
        <v>3971.4</v>
      </c>
      <c r="C116">
        <f t="shared" si="20"/>
        <v>3959.6025851083264</v>
      </c>
      <c r="D116">
        <f t="shared" si="12"/>
        <v>11.797414891673725</v>
      </c>
      <c r="F116">
        <f t="shared" si="21"/>
        <v>3903.8969542308778</v>
      </c>
      <c r="G116">
        <f t="shared" si="13"/>
        <v>67.503045769122309</v>
      </c>
      <c r="I116">
        <f t="shared" si="22"/>
        <v>3946.6370608025072</v>
      </c>
      <c r="J116">
        <f t="shared" si="14"/>
        <v>24.762939197492869</v>
      </c>
      <c r="L116">
        <f t="shared" si="23"/>
        <v>3844.4681674741569</v>
      </c>
      <c r="M116">
        <f t="shared" si="15"/>
        <v>126.93183252584322</v>
      </c>
    </row>
    <row r="117" spans="1:13">
      <c r="A117">
        <v>116</v>
      </c>
      <c r="B117">
        <v>4103.6000000000004</v>
      </c>
      <c r="C117">
        <f t="shared" si="20"/>
        <v>3969.0405170216654</v>
      </c>
      <c r="D117">
        <f t="shared" si="12"/>
        <v>134.55948297833493</v>
      </c>
      <c r="F117">
        <f t="shared" si="21"/>
        <v>3937.6484771154392</v>
      </c>
      <c r="G117">
        <f t="shared" si="13"/>
        <v>165.9515228845612</v>
      </c>
      <c r="I117">
        <f t="shared" si="22"/>
        <v>3963.9711182407518</v>
      </c>
      <c r="J117">
        <f t="shared" si="14"/>
        <v>139.62888175924854</v>
      </c>
      <c r="L117">
        <f t="shared" si="23"/>
        <v>3882.5477172319097</v>
      </c>
      <c r="M117">
        <f t="shared" si="15"/>
        <v>221.05228276809066</v>
      </c>
    </row>
    <row r="118" spans="1:13">
      <c r="A118">
        <v>117</v>
      </c>
      <c r="B118">
        <v>3945.7</v>
      </c>
      <c r="C118">
        <f t="shared" si="20"/>
        <v>4076.6881034043336</v>
      </c>
      <c r="D118">
        <f t="shared" si="12"/>
        <v>-130.98810340433374</v>
      </c>
      <c r="F118">
        <f t="shared" si="21"/>
        <v>4020.6242385577198</v>
      </c>
      <c r="G118">
        <f t="shared" si="13"/>
        <v>-74.924238557719946</v>
      </c>
      <c r="I118">
        <f t="shared" si="22"/>
        <v>4061.7113354722255</v>
      </c>
      <c r="J118">
        <f t="shared" si="14"/>
        <v>-116.01133547222571</v>
      </c>
      <c r="L118">
        <f t="shared" si="23"/>
        <v>3948.8634020623367</v>
      </c>
      <c r="M118">
        <f t="shared" si="15"/>
        <v>-3.1634020623368997</v>
      </c>
    </row>
    <row r="119" spans="1:13">
      <c r="A119">
        <v>118</v>
      </c>
      <c r="B119">
        <v>3977.8</v>
      </c>
      <c r="C119">
        <f t="shared" si="20"/>
        <v>3971.8976206808666</v>
      </c>
      <c r="D119">
        <f t="shared" si="12"/>
        <v>5.9023793191336154</v>
      </c>
      <c r="F119">
        <f t="shared" si="21"/>
        <v>3983.1621192788598</v>
      </c>
      <c r="G119">
        <f t="shared" si="13"/>
        <v>-5.362119278859609</v>
      </c>
      <c r="I119">
        <f t="shared" si="22"/>
        <v>3980.5034006416672</v>
      </c>
      <c r="J119">
        <f t="shared" si="14"/>
        <v>-2.7034006416670309</v>
      </c>
      <c r="L119">
        <f t="shared" si="23"/>
        <v>3947.9143814436356</v>
      </c>
      <c r="M119">
        <f t="shared" si="15"/>
        <v>29.885618556364534</v>
      </c>
    </row>
    <row r="120" spans="1:13">
      <c r="A120">
        <v>119</v>
      </c>
      <c r="B120">
        <v>3931.2</v>
      </c>
      <c r="C120">
        <f t="shared" si="20"/>
        <v>3976.6195241361738</v>
      </c>
      <c r="D120">
        <f t="shared" si="12"/>
        <v>-45.419524136174005</v>
      </c>
      <c r="F120">
        <f t="shared" si="21"/>
        <v>3980.48105963943</v>
      </c>
      <c r="G120">
        <f t="shared" si="13"/>
        <v>-49.281059639430168</v>
      </c>
      <c r="I120">
        <f t="shared" si="22"/>
        <v>3978.6110201925003</v>
      </c>
      <c r="J120">
        <f t="shared" si="14"/>
        <v>-47.411020192500473</v>
      </c>
      <c r="L120">
        <f t="shared" si="23"/>
        <v>3956.8800670105447</v>
      </c>
      <c r="M120">
        <f t="shared" si="15"/>
        <v>-25.680067010544917</v>
      </c>
    </row>
    <row r="121" spans="1:13">
      <c r="A121">
        <v>120</v>
      </c>
      <c r="B121">
        <v>3796.3</v>
      </c>
      <c r="C121">
        <f t="shared" si="20"/>
        <v>3940.2839048272349</v>
      </c>
      <c r="D121">
        <f t="shared" si="12"/>
        <v>-143.98390482723471</v>
      </c>
      <c r="F121">
        <f t="shared" si="21"/>
        <v>3955.8405298197149</v>
      </c>
      <c r="G121">
        <f t="shared" si="13"/>
        <v>-159.54052981971472</v>
      </c>
      <c r="I121">
        <f t="shared" si="22"/>
        <v>3945.4233060577499</v>
      </c>
      <c r="J121">
        <f t="shared" si="14"/>
        <v>-149.12330605774969</v>
      </c>
      <c r="L121">
        <f t="shared" si="23"/>
        <v>3949.1760469073806</v>
      </c>
      <c r="M121">
        <f t="shared" si="15"/>
        <v>-152.87604690738044</v>
      </c>
    </row>
    <row r="122" spans="1:13">
      <c r="A122">
        <v>121</v>
      </c>
      <c r="B122">
        <v>3897.3</v>
      </c>
      <c r="C122">
        <f t="shared" si="20"/>
        <v>3825.0967809654476</v>
      </c>
      <c r="D122">
        <f t="shared" si="12"/>
        <v>72.203219034552603</v>
      </c>
      <c r="F122">
        <f t="shared" si="21"/>
        <v>3876.0702649098575</v>
      </c>
      <c r="G122">
        <f t="shared" si="13"/>
        <v>21.22973509014264</v>
      </c>
      <c r="I122">
        <f t="shared" si="22"/>
        <v>3841.0369918173246</v>
      </c>
      <c r="J122">
        <f t="shared" si="14"/>
        <v>56.263008182675549</v>
      </c>
      <c r="L122">
        <f t="shared" si="23"/>
        <v>3903.3132328351667</v>
      </c>
      <c r="M122">
        <f t="shared" si="15"/>
        <v>-6.013232835166491</v>
      </c>
    </row>
    <row r="123" spans="1:13">
      <c r="A123">
        <v>122</v>
      </c>
      <c r="B123">
        <v>3685.9</v>
      </c>
      <c r="C123">
        <f t="shared" si="20"/>
        <v>3882.8593561930898</v>
      </c>
      <c r="D123">
        <f t="shared" si="12"/>
        <v>-196.95935619308966</v>
      </c>
      <c r="F123">
        <f t="shared" si="21"/>
        <v>3886.6851324549289</v>
      </c>
      <c r="G123">
        <f t="shared" si="13"/>
        <v>-200.78513245492877</v>
      </c>
      <c r="I123">
        <f t="shared" si="22"/>
        <v>3880.4210975451974</v>
      </c>
      <c r="J123">
        <f t="shared" si="14"/>
        <v>-194.52109754519734</v>
      </c>
      <c r="L123">
        <f t="shared" si="23"/>
        <v>3901.5092629846167</v>
      </c>
      <c r="M123">
        <f t="shared" si="15"/>
        <v>-215.60926298461663</v>
      </c>
    </row>
    <row r="124" spans="1:13">
      <c r="A124">
        <v>123</v>
      </c>
      <c r="B124">
        <v>3687</v>
      </c>
      <c r="C124">
        <f t="shared" si="20"/>
        <v>3725.2918712386181</v>
      </c>
      <c r="D124">
        <f t="shared" si="12"/>
        <v>-38.291871238618114</v>
      </c>
      <c r="F124">
        <f t="shared" si="21"/>
        <v>3786.2925662274647</v>
      </c>
      <c r="G124">
        <f t="shared" si="13"/>
        <v>-99.292566227464704</v>
      </c>
      <c r="I124">
        <f t="shared" si="22"/>
        <v>3744.2563292635596</v>
      </c>
      <c r="J124">
        <f t="shared" si="14"/>
        <v>-57.256329263559564</v>
      </c>
      <c r="L124">
        <f t="shared" si="23"/>
        <v>3836.8264840892316</v>
      </c>
      <c r="M124">
        <f t="shared" si="15"/>
        <v>-149.8264840892316</v>
      </c>
    </row>
    <row r="125" spans="1:13">
      <c r="A125">
        <v>124</v>
      </c>
      <c r="B125">
        <v>3973.2</v>
      </c>
      <c r="C125">
        <f t="shared" si="20"/>
        <v>3694.6583742477242</v>
      </c>
      <c r="D125">
        <f t="shared" si="12"/>
        <v>278.54162575227565</v>
      </c>
      <c r="F125">
        <f t="shared" si="21"/>
        <v>3736.6462831137324</v>
      </c>
      <c r="G125">
        <f t="shared" si="13"/>
        <v>236.55371688626747</v>
      </c>
      <c r="I125">
        <f t="shared" si="22"/>
        <v>3704.1768987790674</v>
      </c>
      <c r="J125">
        <f t="shared" si="14"/>
        <v>269.0231012209324</v>
      </c>
      <c r="L125">
        <f t="shared" si="23"/>
        <v>3791.8785388624619</v>
      </c>
      <c r="M125">
        <f t="shared" si="15"/>
        <v>181.32146113753788</v>
      </c>
    </row>
    <row r="126" spans="1:13">
      <c r="A126">
        <v>125</v>
      </c>
      <c r="B126">
        <v>3981.6</v>
      </c>
      <c r="C126">
        <f t="shared" si="20"/>
        <v>3917.4916748495448</v>
      </c>
      <c r="D126">
        <f t="shared" si="12"/>
        <v>64.10832515045513</v>
      </c>
      <c r="F126">
        <f t="shared" si="21"/>
        <v>3854.9231415568661</v>
      </c>
      <c r="G126">
        <f t="shared" si="13"/>
        <v>126.67685844313382</v>
      </c>
      <c r="I126">
        <f t="shared" si="22"/>
        <v>3892.4930696337196</v>
      </c>
      <c r="J126">
        <f t="shared" si="14"/>
        <v>89.106930366280267</v>
      </c>
      <c r="L126">
        <f t="shared" si="23"/>
        <v>3846.2749772037232</v>
      </c>
      <c r="M126">
        <f t="shared" si="15"/>
        <v>135.3250227962767</v>
      </c>
    </row>
    <row r="127" spans="1:13">
      <c r="A127">
        <v>126</v>
      </c>
      <c r="B127">
        <v>4030.6</v>
      </c>
      <c r="C127">
        <f t="shared" si="20"/>
        <v>3968.7783349699093</v>
      </c>
      <c r="D127">
        <f t="shared" si="12"/>
        <v>61.821665030090571</v>
      </c>
      <c r="F127">
        <f t="shared" si="21"/>
        <v>3918.261570778433</v>
      </c>
      <c r="G127">
        <f t="shared" si="13"/>
        <v>112.33842922156691</v>
      </c>
      <c r="I127">
        <f t="shared" si="22"/>
        <v>3954.8679208901158</v>
      </c>
      <c r="J127">
        <f t="shared" si="14"/>
        <v>75.732079109884126</v>
      </c>
      <c r="L127">
        <f t="shared" si="23"/>
        <v>3886.8724840426062</v>
      </c>
      <c r="M127">
        <f t="shared" si="15"/>
        <v>143.72751595739373</v>
      </c>
    </row>
    <row r="128" spans="1:13">
      <c r="A128">
        <v>127</v>
      </c>
      <c r="B128">
        <v>4030.6</v>
      </c>
      <c r="C128">
        <f t="shared" si="20"/>
        <v>4018.2356669939818</v>
      </c>
      <c r="D128">
        <f t="shared" si="12"/>
        <v>12.364333006018114</v>
      </c>
      <c r="F128">
        <f t="shared" si="21"/>
        <v>3974.4307853892165</v>
      </c>
      <c r="G128">
        <f t="shared" si="13"/>
        <v>56.169214610783456</v>
      </c>
      <c r="I128">
        <f t="shared" si="22"/>
        <v>4007.8803762670341</v>
      </c>
      <c r="J128">
        <f t="shared" si="14"/>
        <v>22.719623732965829</v>
      </c>
      <c r="L128">
        <f t="shared" si="23"/>
        <v>3929.9907388298238</v>
      </c>
      <c r="M128">
        <f t="shared" si="15"/>
        <v>100.60926117017607</v>
      </c>
    </row>
    <row r="129" spans="1:13">
      <c r="A129">
        <v>128</v>
      </c>
      <c r="B129">
        <v>4148.3</v>
      </c>
      <c r="C129">
        <f t="shared" si="20"/>
        <v>4028.1271333987966</v>
      </c>
      <c r="D129">
        <f t="shared" si="12"/>
        <v>120.17286660120362</v>
      </c>
      <c r="F129">
        <f t="shared" si="21"/>
        <v>4002.5153926946082</v>
      </c>
      <c r="G129">
        <f t="shared" si="13"/>
        <v>145.784607305392</v>
      </c>
      <c r="I129">
        <f t="shared" si="22"/>
        <v>4023.7841128801101</v>
      </c>
      <c r="J129">
        <f t="shared" si="14"/>
        <v>124.51588711989007</v>
      </c>
      <c r="L129">
        <f t="shared" si="23"/>
        <v>3960.1735171808764</v>
      </c>
      <c r="M129">
        <f t="shared" si="15"/>
        <v>188.12648281912379</v>
      </c>
    </row>
    <row r="130" spans="1:13">
      <c r="A130">
        <v>129</v>
      </c>
      <c r="B130">
        <v>4068.8</v>
      </c>
      <c r="C130">
        <f t="shared" si="20"/>
        <v>4124.2654266797599</v>
      </c>
      <c r="D130">
        <f t="shared" si="12"/>
        <v>-55.46542667975973</v>
      </c>
      <c r="F130">
        <f t="shared" si="21"/>
        <v>4075.4076963473044</v>
      </c>
      <c r="G130">
        <f t="shared" si="13"/>
        <v>-6.6076963473042269</v>
      </c>
      <c r="I130">
        <f t="shared" si="22"/>
        <v>4110.9452338640331</v>
      </c>
      <c r="J130">
        <f t="shared" si="14"/>
        <v>-42.145233864032889</v>
      </c>
      <c r="L130">
        <f t="shared" si="23"/>
        <v>4016.6114620266135</v>
      </c>
      <c r="M130">
        <f t="shared" si="15"/>
        <v>52.188537973386701</v>
      </c>
    </row>
    <row r="131" spans="1:13">
      <c r="A131">
        <v>130</v>
      </c>
      <c r="B131">
        <v>4045.7</v>
      </c>
      <c r="C131">
        <f t="shared" si="20"/>
        <v>4079.8930853359525</v>
      </c>
      <c r="D131">
        <f t="shared" ref="D131:D157" si="24">B131-C131</f>
        <v>-34.193085335952674</v>
      </c>
      <c r="F131">
        <f t="shared" si="21"/>
        <v>4072.1038481736523</v>
      </c>
      <c r="G131">
        <f t="shared" ref="G131:G157" si="25">B131-F131</f>
        <v>-26.403848173652477</v>
      </c>
      <c r="I131">
        <f t="shared" si="22"/>
        <v>4081.4435701592097</v>
      </c>
      <c r="J131">
        <f t="shared" ref="J131:J157" si="26">B131-I131</f>
        <v>-35.743570159209867</v>
      </c>
      <c r="L131">
        <f t="shared" si="23"/>
        <v>4032.2680234186291</v>
      </c>
      <c r="M131">
        <f t="shared" ref="M131:M157" si="27">B131-L131</f>
        <v>13.431976581370691</v>
      </c>
    </row>
    <row r="132" spans="1:13">
      <c r="A132">
        <v>131</v>
      </c>
      <c r="B132">
        <v>4043.5</v>
      </c>
      <c r="C132">
        <f t="shared" ref="C132:C157" si="28">0.8*B131+0.2*C131</f>
        <v>4052.5386170671904</v>
      </c>
      <c r="D132">
        <f t="shared" si="24"/>
        <v>-9.0386170671904438</v>
      </c>
      <c r="F132">
        <f t="shared" ref="F132:F157" si="29">0.5*B131+0.5*F131</f>
        <v>4058.9019240868261</v>
      </c>
      <c r="G132">
        <f t="shared" si="25"/>
        <v>-15.401924086826057</v>
      </c>
      <c r="I132">
        <f t="shared" ref="I132:I157" si="30">0.7*B131+0.3*I131</f>
        <v>4056.4230710477627</v>
      </c>
      <c r="J132">
        <f t="shared" si="26"/>
        <v>-12.923071047762733</v>
      </c>
      <c r="L132">
        <f t="shared" ref="L132:L157" si="31">0.3*B131+0.7*L131</f>
        <v>4036.2976163930398</v>
      </c>
      <c r="M132">
        <f t="shared" si="27"/>
        <v>7.2023836069602112</v>
      </c>
    </row>
    <row r="133" spans="1:13">
      <c r="A133">
        <v>132</v>
      </c>
      <c r="B133">
        <v>3921.4</v>
      </c>
      <c r="C133">
        <f t="shared" si="28"/>
        <v>4045.3077234134385</v>
      </c>
      <c r="D133">
        <f t="shared" si="24"/>
        <v>-123.90772341343836</v>
      </c>
      <c r="F133">
        <f t="shared" si="29"/>
        <v>4051.2009620434128</v>
      </c>
      <c r="G133">
        <f t="shared" si="25"/>
        <v>-129.80096204341271</v>
      </c>
      <c r="I133">
        <f t="shared" si="30"/>
        <v>4047.3769213143287</v>
      </c>
      <c r="J133">
        <f t="shared" si="26"/>
        <v>-125.97692131432859</v>
      </c>
      <c r="L133">
        <f t="shared" si="31"/>
        <v>4038.458331475128</v>
      </c>
      <c r="M133">
        <f t="shared" si="27"/>
        <v>-117.05833147512794</v>
      </c>
    </row>
    <row r="134" spans="1:13">
      <c r="A134">
        <v>133</v>
      </c>
      <c r="B134">
        <v>3876.3</v>
      </c>
      <c r="C134">
        <f t="shared" si="28"/>
        <v>3946.1815446826881</v>
      </c>
      <c r="D134">
        <f t="shared" si="24"/>
        <v>-69.881544682687945</v>
      </c>
      <c r="F134">
        <f t="shared" si="29"/>
        <v>3986.3004810217062</v>
      </c>
      <c r="G134">
        <f t="shared" si="25"/>
        <v>-110.00048102170604</v>
      </c>
      <c r="I134">
        <f t="shared" si="30"/>
        <v>3959.1930763942983</v>
      </c>
      <c r="J134">
        <f t="shared" si="26"/>
        <v>-82.893076394298078</v>
      </c>
      <c r="L134">
        <f t="shared" si="31"/>
        <v>4003.3408320325893</v>
      </c>
      <c r="M134">
        <f t="shared" si="27"/>
        <v>-127.04083203258915</v>
      </c>
    </row>
    <row r="135" spans="1:13">
      <c r="A135">
        <v>134</v>
      </c>
      <c r="B135">
        <v>3928.4</v>
      </c>
      <c r="C135">
        <f t="shared" si="28"/>
        <v>3890.276308936538</v>
      </c>
      <c r="D135">
        <f t="shared" si="24"/>
        <v>38.123691063462047</v>
      </c>
      <c r="F135">
        <f t="shared" si="29"/>
        <v>3931.3002405108532</v>
      </c>
      <c r="G135">
        <f t="shared" si="25"/>
        <v>-2.9002405108531093</v>
      </c>
      <c r="I135">
        <f t="shared" si="30"/>
        <v>3901.1679229182892</v>
      </c>
      <c r="J135">
        <f t="shared" si="26"/>
        <v>27.232077081710941</v>
      </c>
      <c r="L135">
        <f t="shared" si="31"/>
        <v>3965.2285824228129</v>
      </c>
      <c r="M135">
        <f t="shared" si="27"/>
        <v>-36.828582422812815</v>
      </c>
    </row>
    <row r="136" spans="1:13">
      <c r="A136">
        <v>135</v>
      </c>
      <c r="B136">
        <v>3727.7</v>
      </c>
      <c r="C136">
        <f t="shared" si="28"/>
        <v>3920.775261787308</v>
      </c>
      <c r="D136">
        <f t="shared" si="24"/>
        <v>-193.07526178730814</v>
      </c>
      <c r="F136">
        <f t="shared" si="29"/>
        <v>3929.8501202554266</v>
      </c>
      <c r="G136">
        <f t="shared" si="25"/>
        <v>-202.15012025542683</v>
      </c>
      <c r="I136">
        <f t="shared" si="30"/>
        <v>3920.2303768754869</v>
      </c>
      <c r="J136">
        <f t="shared" si="26"/>
        <v>-192.53037687548704</v>
      </c>
      <c r="L136">
        <f t="shared" si="31"/>
        <v>3954.1800076959689</v>
      </c>
      <c r="M136">
        <f t="shared" si="27"/>
        <v>-226.48000769596911</v>
      </c>
    </row>
    <row r="137" spans="1:13">
      <c r="A137">
        <v>136</v>
      </c>
      <c r="B137">
        <v>4044.9</v>
      </c>
      <c r="C137">
        <f t="shared" si="28"/>
        <v>3766.3150523574614</v>
      </c>
      <c r="D137">
        <f t="shared" si="24"/>
        <v>278.58494764253874</v>
      </c>
      <c r="F137">
        <f t="shared" si="29"/>
        <v>3828.775060127713</v>
      </c>
      <c r="G137">
        <f t="shared" si="25"/>
        <v>216.12493987228709</v>
      </c>
      <c r="I137">
        <f t="shared" si="30"/>
        <v>3785.4591130626459</v>
      </c>
      <c r="J137">
        <f t="shared" si="26"/>
        <v>259.44088693735421</v>
      </c>
      <c r="L137">
        <f t="shared" si="31"/>
        <v>3886.236005387178</v>
      </c>
      <c r="M137">
        <f t="shared" si="27"/>
        <v>158.66399461282208</v>
      </c>
    </row>
    <row r="138" spans="1:13">
      <c r="A138">
        <v>137</v>
      </c>
      <c r="B138">
        <v>4068.6</v>
      </c>
      <c r="C138">
        <f t="shared" si="28"/>
        <v>3989.1830104714923</v>
      </c>
      <c r="D138">
        <f t="shared" si="24"/>
        <v>79.416989528507656</v>
      </c>
      <c r="F138">
        <f t="shared" si="29"/>
        <v>3936.8375300638563</v>
      </c>
      <c r="G138">
        <f t="shared" si="25"/>
        <v>131.76246993614359</v>
      </c>
      <c r="I138">
        <f t="shared" si="30"/>
        <v>3967.0677339187932</v>
      </c>
      <c r="J138">
        <f t="shared" si="26"/>
        <v>101.53226608120667</v>
      </c>
      <c r="L138">
        <f t="shared" si="31"/>
        <v>3933.8352037710247</v>
      </c>
      <c r="M138">
        <f t="shared" si="27"/>
        <v>134.76479622897523</v>
      </c>
    </row>
    <row r="139" spans="1:13">
      <c r="A139">
        <v>138</v>
      </c>
      <c r="B139">
        <v>4240.1000000000004</v>
      </c>
      <c r="C139">
        <f t="shared" si="28"/>
        <v>4052.7166020942987</v>
      </c>
      <c r="D139">
        <f t="shared" si="24"/>
        <v>187.38339790570171</v>
      </c>
      <c r="F139">
        <f t="shared" si="29"/>
        <v>4002.7187650319283</v>
      </c>
      <c r="G139">
        <f t="shared" si="25"/>
        <v>237.38123496807202</v>
      </c>
      <c r="I139">
        <f t="shared" si="30"/>
        <v>4038.140320175638</v>
      </c>
      <c r="J139">
        <f t="shared" si="26"/>
        <v>201.95967982436241</v>
      </c>
      <c r="L139">
        <f t="shared" si="31"/>
        <v>3974.2646426397168</v>
      </c>
      <c r="M139">
        <f t="shared" si="27"/>
        <v>265.83535736028352</v>
      </c>
    </row>
    <row r="140" spans="1:13">
      <c r="A140">
        <v>139</v>
      </c>
      <c r="B140">
        <v>4052.5</v>
      </c>
      <c r="C140">
        <f t="shared" si="28"/>
        <v>4202.6233204188602</v>
      </c>
      <c r="D140">
        <f t="shared" si="24"/>
        <v>-150.1233204188602</v>
      </c>
      <c r="F140">
        <f t="shared" si="29"/>
        <v>4121.4093825159644</v>
      </c>
      <c r="G140">
        <f t="shared" si="25"/>
        <v>-68.909382515964353</v>
      </c>
      <c r="I140">
        <f t="shared" si="30"/>
        <v>4179.512096052691</v>
      </c>
      <c r="J140">
        <f t="shared" si="26"/>
        <v>-127.01209605269105</v>
      </c>
      <c r="L140">
        <f t="shared" si="31"/>
        <v>4054.0152498478019</v>
      </c>
      <c r="M140">
        <f t="shared" si="27"/>
        <v>-1.515249847801897</v>
      </c>
    </row>
    <row r="141" spans="1:13">
      <c r="A141">
        <v>140</v>
      </c>
      <c r="B141">
        <v>4230.7</v>
      </c>
      <c r="C141">
        <f t="shared" si="28"/>
        <v>4082.5246640837722</v>
      </c>
      <c r="D141">
        <f t="shared" si="24"/>
        <v>148.1753359162276</v>
      </c>
      <c r="F141">
        <f t="shared" si="29"/>
        <v>4086.9546912579822</v>
      </c>
      <c r="G141">
        <f t="shared" si="25"/>
        <v>143.74530874201764</v>
      </c>
      <c r="I141">
        <f t="shared" si="30"/>
        <v>4090.6036288158075</v>
      </c>
      <c r="J141">
        <f t="shared" si="26"/>
        <v>140.09637118419232</v>
      </c>
      <c r="L141">
        <f t="shared" si="31"/>
        <v>4053.5606748934611</v>
      </c>
      <c r="M141">
        <f t="shared" si="27"/>
        <v>177.13932510653876</v>
      </c>
    </row>
    <row r="142" spans="1:13">
      <c r="A142">
        <v>141</v>
      </c>
      <c r="B142">
        <v>4093</v>
      </c>
      <c r="C142">
        <f t="shared" si="28"/>
        <v>4201.0649328167547</v>
      </c>
      <c r="D142">
        <f t="shared" si="24"/>
        <v>-108.06493281675466</v>
      </c>
      <c r="F142">
        <f t="shared" si="29"/>
        <v>4158.8273456289908</v>
      </c>
      <c r="G142">
        <f t="shared" si="25"/>
        <v>-65.82734562899077</v>
      </c>
      <c r="I142">
        <f t="shared" si="30"/>
        <v>4188.6710886447418</v>
      </c>
      <c r="J142">
        <f t="shared" si="26"/>
        <v>-95.671088644741758</v>
      </c>
      <c r="L142">
        <f t="shared" si="31"/>
        <v>4106.7024724254225</v>
      </c>
      <c r="M142">
        <f t="shared" si="27"/>
        <v>-13.702472425422457</v>
      </c>
    </row>
    <row r="143" spans="1:13">
      <c r="A143">
        <v>142</v>
      </c>
      <c r="B143">
        <v>4174.1000000000004</v>
      </c>
      <c r="C143">
        <f t="shared" si="28"/>
        <v>4114.6129865633511</v>
      </c>
      <c r="D143">
        <f t="shared" si="24"/>
        <v>59.487013436649249</v>
      </c>
      <c r="F143">
        <f t="shared" si="29"/>
        <v>4125.9136728144949</v>
      </c>
      <c r="G143">
        <f t="shared" si="25"/>
        <v>48.186327185505434</v>
      </c>
      <c r="I143">
        <f t="shared" si="30"/>
        <v>4121.701326593422</v>
      </c>
      <c r="J143">
        <f t="shared" si="26"/>
        <v>52.398673406578382</v>
      </c>
      <c r="L143">
        <f t="shared" si="31"/>
        <v>4102.5917306977954</v>
      </c>
      <c r="M143">
        <f t="shared" si="27"/>
        <v>71.508269302205008</v>
      </c>
    </row>
    <row r="144" spans="1:13">
      <c r="A144">
        <v>143</v>
      </c>
      <c r="B144">
        <v>4192.3</v>
      </c>
      <c r="C144">
        <f t="shared" si="28"/>
        <v>4162.2025973126711</v>
      </c>
      <c r="D144">
        <f t="shared" si="24"/>
        <v>30.097402687329122</v>
      </c>
      <c r="F144">
        <f t="shared" si="29"/>
        <v>4150.0068364072476</v>
      </c>
      <c r="G144">
        <f t="shared" si="25"/>
        <v>42.293163592752535</v>
      </c>
      <c r="I144">
        <f t="shared" si="30"/>
        <v>4158.3803979780259</v>
      </c>
      <c r="J144">
        <f t="shared" si="26"/>
        <v>33.919602021974242</v>
      </c>
      <c r="L144">
        <f t="shared" si="31"/>
        <v>4124.0442114884572</v>
      </c>
      <c r="M144">
        <f t="shared" si="27"/>
        <v>68.25578851154296</v>
      </c>
    </row>
    <row r="145" spans="1:13">
      <c r="A145">
        <v>144</v>
      </c>
      <c r="B145">
        <v>3998.1</v>
      </c>
      <c r="C145">
        <f t="shared" si="28"/>
        <v>4186.2805194625344</v>
      </c>
      <c r="D145">
        <f t="shared" si="24"/>
        <v>-188.18051946253445</v>
      </c>
      <c r="F145">
        <f t="shared" si="29"/>
        <v>4171.1534182036239</v>
      </c>
      <c r="G145">
        <f t="shared" si="25"/>
        <v>-173.05341820362401</v>
      </c>
      <c r="I145">
        <f t="shared" si="30"/>
        <v>4182.1241193934075</v>
      </c>
      <c r="J145">
        <f t="shared" si="26"/>
        <v>-184.02411939340755</v>
      </c>
      <c r="L145">
        <f t="shared" si="31"/>
        <v>4144.5209480419198</v>
      </c>
      <c r="M145">
        <f t="shared" si="27"/>
        <v>-146.42094804191993</v>
      </c>
    </row>
    <row r="146" spans="1:13">
      <c r="A146">
        <v>145</v>
      </c>
      <c r="B146">
        <v>4115.8</v>
      </c>
      <c r="C146">
        <f t="shared" si="28"/>
        <v>4035.7361038925069</v>
      </c>
      <c r="D146">
        <f t="shared" si="24"/>
        <v>80.063896107493292</v>
      </c>
      <c r="F146">
        <f t="shared" si="29"/>
        <v>4084.6267091018117</v>
      </c>
      <c r="G146">
        <f t="shared" si="25"/>
        <v>31.173290898188498</v>
      </c>
      <c r="I146">
        <f t="shared" si="30"/>
        <v>4053.3072358180216</v>
      </c>
      <c r="J146">
        <f t="shared" si="26"/>
        <v>62.4927641819786</v>
      </c>
      <c r="L146">
        <f t="shared" si="31"/>
        <v>4100.5946636293429</v>
      </c>
      <c r="M146">
        <f t="shared" si="27"/>
        <v>15.205336370657278</v>
      </c>
    </row>
    <row r="147" spans="1:13">
      <c r="A147">
        <v>146</v>
      </c>
      <c r="B147">
        <v>4048.7</v>
      </c>
      <c r="C147">
        <f t="shared" si="28"/>
        <v>4099.7872207785022</v>
      </c>
      <c r="D147">
        <f t="shared" si="24"/>
        <v>-51.087220778502342</v>
      </c>
      <c r="F147">
        <f t="shared" si="29"/>
        <v>4100.2133545509059</v>
      </c>
      <c r="G147">
        <f t="shared" si="25"/>
        <v>-51.513354550906115</v>
      </c>
      <c r="I147">
        <f t="shared" si="30"/>
        <v>4097.0521707454063</v>
      </c>
      <c r="J147">
        <f t="shared" si="26"/>
        <v>-48.352170745406511</v>
      </c>
      <c r="L147">
        <f t="shared" si="31"/>
        <v>4105.1562645405402</v>
      </c>
      <c r="M147">
        <f t="shared" si="27"/>
        <v>-56.45626454054036</v>
      </c>
    </row>
    <row r="148" spans="1:13">
      <c r="A148">
        <v>147</v>
      </c>
      <c r="B148">
        <v>3854.8</v>
      </c>
      <c r="C148">
        <f t="shared" si="28"/>
        <v>4058.9174441557007</v>
      </c>
      <c r="D148">
        <f t="shared" si="24"/>
        <v>-204.11744415570047</v>
      </c>
      <c r="F148">
        <f t="shared" si="29"/>
        <v>4074.4566772754529</v>
      </c>
      <c r="G148">
        <f t="shared" si="25"/>
        <v>-219.65667727545269</v>
      </c>
      <c r="I148">
        <f t="shared" si="30"/>
        <v>4063.2056512236213</v>
      </c>
      <c r="J148">
        <f t="shared" si="26"/>
        <v>-208.40565122362113</v>
      </c>
      <c r="L148">
        <f t="shared" si="31"/>
        <v>4088.2193851783777</v>
      </c>
      <c r="M148">
        <f t="shared" si="27"/>
        <v>-233.41938517837752</v>
      </c>
    </row>
    <row r="149" spans="1:13">
      <c r="A149">
        <v>148</v>
      </c>
      <c r="B149">
        <v>3930.9</v>
      </c>
      <c r="C149">
        <f t="shared" si="28"/>
        <v>3895.6234888311401</v>
      </c>
      <c r="D149">
        <f t="shared" si="24"/>
        <v>35.276511168859997</v>
      </c>
      <c r="F149">
        <f t="shared" si="29"/>
        <v>3964.6283386377263</v>
      </c>
      <c r="G149">
        <f t="shared" si="25"/>
        <v>-33.72833863772621</v>
      </c>
      <c r="I149">
        <f t="shared" si="30"/>
        <v>3917.3216953670862</v>
      </c>
      <c r="J149">
        <f t="shared" si="26"/>
        <v>13.578304632913841</v>
      </c>
      <c r="L149">
        <f t="shared" si="31"/>
        <v>4018.1935696248643</v>
      </c>
      <c r="M149">
        <f t="shared" si="27"/>
        <v>-87.293569624864176</v>
      </c>
    </row>
    <row r="150" spans="1:13">
      <c r="A150">
        <v>149</v>
      </c>
      <c r="B150">
        <v>4169.3</v>
      </c>
      <c r="C150">
        <f t="shared" si="28"/>
        <v>3923.8446977662284</v>
      </c>
      <c r="D150">
        <f t="shared" si="24"/>
        <v>245.45530223377182</v>
      </c>
      <c r="F150">
        <f t="shared" si="29"/>
        <v>3947.7641693188634</v>
      </c>
      <c r="G150">
        <f t="shared" si="25"/>
        <v>221.53583068113676</v>
      </c>
      <c r="I150">
        <f t="shared" si="30"/>
        <v>3926.826508610126</v>
      </c>
      <c r="J150">
        <f t="shared" si="26"/>
        <v>242.4734913898742</v>
      </c>
      <c r="L150">
        <f t="shared" si="31"/>
        <v>3992.0054987374047</v>
      </c>
      <c r="M150">
        <f t="shared" si="27"/>
        <v>177.29450126259553</v>
      </c>
    </row>
    <row r="151" spans="1:13">
      <c r="A151">
        <v>150</v>
      </c>
      <c r="B151">
        <v>4070.6</v>
      </c>
      <c r="C151">
        <f t="shared" si="28"/>
        <v>4120.2089395532457</v>
      </c>
      <c r="D151">
        <f t="shared" si="24"/>
        <v>-49.608939553245818</v>
      </c>
      <c r="F151">
        <f t="shared" si="29"/>
        <v>4058.5320846594318</v>
      </c>
      <c r="G151">
        <f t="shared" si="25"/>
        <v>12.067915340568106</v>
      </c>
      <c r="I151">
        <f t="shared" si="30"/>
        <v>4096.5579525830381</v>
      </c>
      <c r="J151">
        <f t="shared" si="26"/>
        <v>-25.95795258303815</v>
      </c>
      <c r="L151">
        <f t="shared" si="31"/>
        <v>4045.1938491161832</v>
      </c>
      <c r="M151">
        <f t="shared" si="27"/>
        <v>25.406150883816736</v>
      </c>
    </row>
    <row r="152" spans="1:13">
      <c r="A152">
        <v>151</v>
      </c>
      <c r="B152">
        <v>4223.5</v>
      </c>
      <c r="C152">
        <f t="shared" si="28"/>
        <v>4080.5217879106494</v>
      </c>
      <c r="D152">
        <f t="shared" si="24"/>
        <v>142.97821208935056</v>
      </c>
      <c r="F152">
        <f t="shared" si="29"/>
        <v>4064.5660423297159</v>
      </c>
      <c r="G152">
        <f t="shared" si="25"/>
        <v>158.93395767028414</v>
      </c>
      <c r="I152">
        <f t="shared" si="30"/>
        <v>4078.3873857749113</v>
      </c>
      <c r="J152">
        <f t="shared" si="26"/>
        <v>145.11261422508869</v>
      </c>
      <c r="L152">
        <f t="shared" si="31"/>
        <v>4052.8156943813278</v>
      </c>
      <c r="M152">
        <f t="shared" si="27"/>
        <v>170.68430561867217</v>
      </c>
    </row>
    <row r="153" spans="1:13">
      <c r="A153">
        <v>152</v>
      </c>
      <c r="B153">
        <v>4369.3</v>
      </c>
      <c r="C153">
        <f t="shared" si="28"/>
        <v>4194.9043575821306</v>
      </c>
      <c r="D153">
        <f t="shared" si="24"/>
        <v>174.39564241786957</v>
      </c>
      <c r="F153">
        <f t="shared" si="29"/>
        <v>4144.0330211648579</v>
      </c>
      <c r="G153">
        <f t="shared" si="25"/>
        <v>225.26697883514225</v>
      </c>
      <c r="I153">
        <f t="shared" si="30"/>
        <v>4179.9662157324728</v>
      </c>
      <c r="J153">
        <f t="shared" si="26"/>
        <v>189.33378426752734</v>
      </c>
      <c r="L153">
        <f t="shared" si="31"/>
        <v>4104.0209860669293</v>
      </c>
      <c r="M153">
        <f t="shared" si="27"/>
        <v>265.27901393307093</v>
      </c>
    </row>
    <row r="154" spans="1:13">
      <c r="A154">
        <v>153</v>
      </c>
      <c r="B154">
        <v>4112.6000000000004</v>
      </c>
      <c r="C154">
        <f t="shared" si="28"/>
        <v>4334.4208715164268</v>
      </c>
      <c r="D154">
        <f t="shared" si="24"/>
        <v>-221.82087151642645</v>
      </c>
      <c r="F154">
        <f t="shared" si="29"/>
        <v>4256.6665105824286</v>
      </c>
      <c r="G154">
        <f t="shared" si="25"/>
        <v>-144.06651058242824</v>
      </c>
      <c r="I154">
        <f t="shared" si="30"/>
        <v>4312.4998647197417</v>
      </c>
      <c r="J154">
        <f t="shared" si="26"/>
        <v>-199.89986471974134</v>
      </c>
      <c r="L154">
        <f t="shared" si="31"/>
        <v>4183.6046902468497</v>
      </c>
      <c r="M154">
        <f t="shared" si="27"/>
        <v>-71.00469024684935</v>
      </c>
    </row>
    <row r="155" spans="1:13">
      <c r="A155">
        <v>154</v>
      </c>
      <c r="B155">
        <v>4165.6000000000004</v>
      </c>
      <c r="C155">
        <f t="shared" si="28"/>
        <v>4156.9641743032862</v>
      </c>
      <c r="D155">
        <f t="shared" si="24"/>
        <v>8.6358256967141642</v>
      </c>
      <c r="F155">
        <f t="shared" si="29"/>
        <v>4184.6332552912145</v>
      </c>
      <c r="G155">
        <f t="shared" si="25"/>
        <v>-19.033255291214118</v>
      </c>
      <c r="I155">
        <f t="shared" si="30"/>
        <v>4172.5699594159223</v>
      </c>
      <c r="J155">
        <f t="shared" si="26"/>
        <v>-6.9699594159219487</v>
      </c>
      <c r="L155">
        <f t="shared" si="31"/>
        <v>4162.3032831727942</v>
      </c>
      <c r="M155">
        <f t="shared" si="27"/>
        <v>3.2967168272061826</v>
      </c>
    </row>
    <row r="156" spans="1:13">
      <c r="A156">
        <v>155</v>
      </c>
      <c r="B156">
        <v>4212.6000000000004</v>
      </c>
      <c r="C156">
        <f t="shared" si="28"/>
        <v>4163.8728348606583</v>
      </c>
      <c r="D156">
        <f t="shared" si="24"/>
        <v>48.727165139342105</v>
      </c>
      <c r="F156">
        <f t="shared" si="29"/>
        <v>4175.1166276456079</v>
      </c>
      <c r="G156">
        <f t="shared" si="25"/>
        <v>37.483372354392486</v>
      </c>
      <c r="I156">
        <f t="shared" si="30"/>
        <v>4167.690987824777</v>
      </c>
      <c r="J156">
        <f t="shared" si="26"/>
        <v>44.909012175223324</v>
      </c>
      <c r="L156">
        <f t="shared" si="31"/>
        <v>4163.2922982209557</v>
      </c>
      <c r="M156">
        <f t="shared" si="27"/>
        <v>49.307701779044692</v>
      </c>
    </row>
    <row r="157" spans="1:13">
      <c r="A157">
        <v>156</v>
      </c>
      <c r="B157">
        <v>4163.5</v>
      </c>
      <c r="C157">
        <f t="shared" si="28"/>
        <v>4202.8545669721316</v>
      </c>
      <c r="D157">
        <f t="shared" si="24"/>
        <v>-39.354566972131579</v>
      </c>
      <c r="F157">
        <f t="shared" si="29"/>
        <v>4193.8583138228041</v>
      </c>
      <c r="G157">
        <f t="shared" si="25"/>
        <v>-30.358313822804121</v>
      </c>
      <c r="I157">
        <f t="shared" si="30"/>
        <v>4199.127296347433</v>
      </c>
      <c r="J157">
        <f t="shared" si="26"/>
        <v>-35.627296347433003</v>
      </c>
      <c r="L157">
        <f t="shared" si="31"/>
        <v>4178.0846087546688</v>
      </c>
      <c r="M157">
        <f t="shared" si="27"/>
        <v>-14.584608754668807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C1D18-8D0A-43B0-8ACD-4F6849A56F7C}">
  <sheetPr codeName="Sheet6">
    <tabColor rgb="FF007800"/>
  </sheetPr>
  <dimension ref="B1:I225"/>
  <sheetViews>
    <sheetView topLeftCell="A22" zoomScaleNormal="100" workbookViewId="0">
      <selection activeCell="H35" sqref="H35"/>
    </sheetView>
  </sheetViews>
  <sheetFormatPr baseColWidth="10" defaultColWidth="8.83203125" defaultRowHeight="15"/>
  <cols>
    <col min="1" max="1" width="4.6640625" customWidth="1"/>
    <col min="3" max="3" width="16.6640625" bestFit="1" customWidth="1"/>
  </cols>
  <sheetData>
    <row r="1" spans="2:9">
      <c r="B1" t="s">
        <v>293</v>
      </c>
    </row>
    <row r="2" spans="2:9">
      <c r="B2" t="s">
        <v>271</v>
      </c>
    </row>
    <row r="3" spans="2:9">
      <c r="B3" t="s">
        <v>272</v>
      </c>
    </row>
    <row r="4" spans="2:9">
      <c r="B4" t="s">
        <v>273</v>
      </c>
    </row>
    <row r="5" spans="2:9">
      <c r="B5" t="s">
        <v>274</v>
      </c>
    </row>
    <row r="6" spans="2:9">
      <c r="B6" t="s">
        <v>275</v>
      </c>
    </row>
    <row r="7" spans="2:9">
      <c r="B7" t="s">
        <v>276</v>
      </c>
    </row>
    <row r="8" spans="2:9">
      <c r="B8" t="s">
        <v>277</v>
      </c>
    </row>
    <row r="9" spans="2:9">
      <c r="B9" t="s">
        <v>227</v>
      </c>
    </row>
    <row r="10" spans="2:9" ht="34.25" customHeight="1"/>
    <row r="14" spans="2:9">
      <c r="B14" s="21" t="s">
        <v>228</v>
      </c>
    </row>
    <row r="15" spans="2:9" ht="16" thickBot="1"/>
    <row r="16" spans="2:9">
      <c r="B16" s="6" t="s">
        <v>229</v>
      </c>
      <c r="C16" s="7" t="s">
        <v>195</v>
      </c>
      <c r="D16" s="7" t="s">
        <v>230</v>
      </c>
      <c r="E16" s="7" t="s">
        <v>231</v>
      </c>
      <c r="F16" s="7" t="s">
        <v>232</v>
      </c>
      <c r="G16" s="7" t="s">
        <v>233</v>
      </c>
      <c r="H16" s="7" t="s">
        <v>234</v>
      </c>
      <c r="I16" s="7" t="s">
        <v>235</v>
      </c>
    </row>
    <row r="17" spans="2:9" ht="16" thickBot="1">
      <c r="B17" s="23" t="s">
        <v>0</v>
      </c>
      <c r="C17" s="24">
        <v>156</v>
      </c>
      <c r="D17" s="24">
        <v>0</v>
      </c>
      <c r="E17" s="24">
        <v>156</v>
      </c>
      <c r="F17" s="25">
        <v>2754.2</v>
      </c>
      <c r="G17" s="25">
        <v>4369.3</v>
      </c>
      <c r="H17" s="25">
        <v>3556.3794871794889</v>
      </c>
      <c r="I17" s="25">
        <v>400.10739989092474</v>
      </c>
    </row>
    <row r="20" spans="2:9">
      <c r="B20" s="21" t="s">
        <v>278</v>
      </c>
    </row>
    <row r="21" spans="2:9" ht="16" thickBot="1"/>
    <row r="22" spans="2:9">
      <c r="B22" s="6" t="s">
        <v>279</v>
      </c>
      <c r="C22" s="7" t="s">
        <v>251</v>
      </c>
    </row>
    <row r="23" spans="2:9">
      <c r="B23" s="26" t="s">
        <v>195</v>
      </c>
      <c r="C23" s="18">
        <v>156</v>
      </c>
    </row>
    <row r="24" spans="2:9">
      <c r="B24" s="22" t="s">
        <v>237</v>
      </c>
      <c r="C24" s="19">
        <v>140</v>
      </c>
    </row>
    <row r="25" spans="2:9">
      <c r="B25" s="22" t="s">
        <v>238</v>
      </c>
      <c r="C25" s="15">
        <v>1187534.0024555312</v>
      </c>
    </row>
    <row r="26" spans="2:9">
      <c r="B26" s="22" t="s">
        <v>239</v>
      </c>
      <c r="C26" s="15">
        <v>8482.385731825223</v>
      </c>
    </row>
    <row r="27" spans="2:9">
      <c r="B27" s="38" t="s">
        <v>221</v>
      </c>
      <c r="C27" s="39">
        <v>92.099868250857028</v>
      </c>
    </row>
    <row r="28" spans="2:9">
      <c r="B28" s="38" t="s">
        <v>242</v>
      </c>
      <c r="C28" s="39">
        <v>2.0562391360055243</v>
      </c>
    </row>
    <row r="29" spans="2:9">
      <c r="B29" s="22" t="s">
        <v>280</v>
      </c>
      <c r="C29" s="15">
        <v>0.22763872639498176</v>
      </c>
    </row>
    <row r="30" spans="2:9">
      <c r="B30" s="22" t="s">
        <v>281</v>
      </c>
      <c r="C30" s="15">
        <v>72.716812270359469</v>
      </c>
    </row>
    <row r="31" spans="2:9">
      <c r="B31" s="22" t="s">
        <v>282</v>
      </c>
      <c r="C31" s="15">
        <v>0.93927720726232344</v>
      </c>
    </row>
    <row r="32" spans="2:9">
      <c r="B32" s="22" t="s">
        <v>248</v>
      </c>
      <c r="C32" s="19">
        <v>14</v>
      </c>
    </row>
    <row r="33" spans="2:9" ht="16" thickBot="1">
      <c r="B33" s="27" t="s">
        <v>283</v>
      </c>
      <c r="C33" s="28" t="s">
        <v>284</v>
      </c>
    </row>
    <row r="36" spans="2:9">
      <c r="B36" s="21" t="s">
        <v>285</v>
      </c>
    </row>
    <row r="37" spans="2:9" ht="16" thickBot="1"/>
    <row r="38" spans="2:9">
      <c r="B38" s="6" t="s">
        <v>279</v>
      </c>
      <c r="C38" s="7" t="s">
        <v>250</v>
      </c>
      <c r="D38" s="7" t="s">
        <v>262</v>
      </c>
    </row>
    <row r="39" spans="2:9">
      <c r="B39" s="26" t="s">
        <v>286</v>
      </c>
      <c r="C39" s="18">
        <v>0.24421160631357949</v>
      </c>
      <c r="D39" s="18">
        <v>4.2622986396968554E-4</v>
      </c>
    </row>
    <row r="40" spans="2:9">
      <c r="B40" s="22" t="s">
        <v>287</v>
      </c>
      <c r="C40" s="19">
        <v>2.0477064672483808E-2</v>
      </c>
      <c r="D40" s="19">
        <v>1.1390239815335974E-4</v>
      </c>
    </row>
    <row r="41" spans="2:9">
      <c r="B41" s="22" t="s">
        <v>288</v>
      </c>
      <c r="C41" s="15">
        <v>0.23252153720257929</v>
      </c>
      <c r="D41" s="15">
        <v>6.3822141623772681E-4</v>
      </c>
    </row>
    <row r="42" spans="2:9">
      <c r="B42" s="22" t="s">
        <v>289</v>
      </c>
      <c r="C42" s="15">
        <v>2957.4333333333334</v>
      </c>
      <c r="D42" s="15"/>
    </row>
    <row r="43" spans="2:9" ht="16" thickBot="1">
      <c r="B43" s="27" t="s">
        <v>290</v>
      </c>
      <c r="C43" s="16">
        <v>0</v>
      </c>
      <c r="D43" s="16"/>
    </row>
    <row r="46" spans="2:9">
      <c r="B46" s="21" t="s">
        <v>291</v>
      </c>
    </row>
    <row r="47" spans="2:9" ht="16" thickBot="1"/>
    <row r="48" spans="2:9">
      <c r="B48" s="17"/>
      <c r="C48" s="7" t="s">
        <v>0</v>
      </c>
      <c r="D48" s="7" t="s">
        <v>292</v>
      </c>
      <c r="E48" s="7" t="s">
        <v>217</v>
      </c>
      <c r="F48" s="7" t="s">
        <v>253</v>
      </c>
      <c r="G48" s="7" t="s">
        <v>254</v>
      </c>
      <c r="I48" s="30" t="s">
        <v>221</v>
      </c>
    </row>
    <row r="49" spans="2:9">
      <c r="B49" s="18">
        <v>1</v>
      </c>
      <c r="C49" s="14">
        <v>2796.8</v>
      </c>
      <c r="D49" s="14"/>
      <c r="E49" s="14"/>
      <c r="F49" s="14"/>
      <c r="G49" s="14"/>
      <c r="I49">
        <f>SQRT(SUMSQ(E61:E204)/COUNTA(E61:E204))</f>
        <v>92.021897018813888</v>
      </c>
    </row>
    <row r="50" spans="2:9">
      <c r="B50" s="19">
        <v>2</v>
      </c>
      <c r="C50" s="15">
        <v>2791</v>
      </c>
      <c r="D50" s="15"/>
      <c r="E50" s="15"/>
      <c r="F50" s="15"/>
      <c r="G50" s="15"/>
    </row>
    <row r="51" spans="2:9">
      <c r="B51" s="19">
        <v>3</v>
      </c>
      <c r="C51" s="15">
        <v>2754.2</v>
      </c>
      <c r="D51" s="15"/>
      <c r="E51" s="15"/>
      <c r="F51" s="15"/>
      <c r="G51" s="15"/>
    </row>
    <row r="52" spans="2:9">
      <c r="B52" s="19">
        <v>4</v>
      </c>
      <c r="C52" s="15">
        <v>2968.7</v>
      </c>
      <c r="D52" s="15"/>
      <c r="E52" s="15"/>
      <c r="F52" s="15"/>
      <c r="G52" s="15"/>
    </row>
    <row r="53" spans="2:9">
      <c r="B53" s="19">
        <v>5</v>
      </c>
      <c r="C53" s="15">
        <v>2957.3</v>
      </c>
      <c r="D53" s="15"/>
      <c r="E53" s="15"/>
      <c r="F53" s="15"/>
      <c r="G53" s="15"/>
    </row>
    <row r="54" spans="2:9">
      <c r="B54" s="19">
        <v>6</v>
      </c>
      <c r="C54" s="15">
        <v>3097.4</v>
      </c>
      <c r="D54" s="15"/>
      <c r="E54" s="15"/>
      <c r="F54" s="15"/>
      <c r="G54" s="15"/>
    </row>
    <row r="55" spans="2:9">
      <c r="B55" s="19">
        <v>7</v>
      </c>
      <c r="C55" s="15">
        <v>2994.9</v>
      </c>
      <c r="D55" s="15"/>
      <c r="E55" s="15"/>
      <c r="F55" s="15"/>
      <c r="G55" s="15"/>
    </row>
    <row r="56" spans="2:9">
      <c r="B56" s="19">
        <v>8</v>
      </c>
      <c r="C56" s="15">
        <v>3116.5</v>
      </c>
      <c r="D56" s="15"/>
      <c r="E56" s="15"/>
      <c r="F56" s="15"/>
      <c r="G56" s="15"/>
    </row>
    <row r="57" spans="2:9">
      <c r="B57" s="19">
        <v>9</v>
      </c>
      <c r="C57" s="15">
        <v>3037.8</v>
      </c>
      <c r="D57" s="15"/>
      <c r="E57" s="15"/>
      <c r="F57" s="15"/>
      <c r="G57" s="15"/>
    </row>
    <row r="58" spans="2:9">
      <c r="B58" s="19">
        <v>10</v>
      </c>
      <c r="C58" s="15">
        <v>2916.7</v>
      </c>
      <c r="D58" s="15"/>
      <c r="E58" s="15"/>
      <c r="F58" s="15"/>
      <c r="G58" s="15"/>
    </row>
    <row r="59" spans="2:9">
      <c r="B59" s="19">
        <v>11</v>
      </c>
      <c r="C59" s="15">
        <v>3156.6</v>
      </c>
      <c r="D59" s="15"/>
      <c r="E59" s="15"/>
      <c r="F59" s="15"/>
      <c r="G59" s="15"/>
    </row>
    <row r="60" spans="2:9">
      <c r="B60" s="19">
        <v>12</v>
      </c>
      <c r="C60" s="15">
        <v>2901.3</v>
      </c>
      <c r="D60" s="15"/>
      <c r="E60" s="15"/>
      <c r="F60" s="15"/>
      <c r="G60" s="15"/>
    </row>
    <row r="61" spans="2:9">
      <c r="B61" s="19">
        <v>13</v>
      </c>
      <c r="C61" s="15">
        <v>2975.3</v>
      </c>
      <c r="D61" s="15">
        <v>2796.8</v>
      </c>
      <c r="E61" s="15">
        <v>178.5</v>
      </c>
      <c r="F61" s="15"/>
      <c r="G61" s="15"/>
    </row>
    <row r="62" spans="2:9">
      <c r="B62" s="19">
        <v>14</v>
      </c>
      <c r="C62" s="15">
        <v>2887.4</v>
      </c>
      <c r="D62" s="15">
        <v>2835.4844032558153</v>
      </c>
      <c r="E62" s="15">
        <v>51.915596744184768</v>
      </c>
      <c r="F62" s="15"/>
      <c r="G62" s="15"/>
    </row>
    <row r="63" spans="2:9">
      <c r="B63" s="19">
        <v>15</v>
      </c>
      <c r="C63" s="15">
        <v>2893.8</v>
      </c>
      <c r="D63" s="15">
        <v>2812.5150422963352</v>
      </c>
      <c r="E63" s="15">
        <v>81.284957703664986</v>
      </c>
      <c r="F63" s="15"/>
      <c r="G63" s="15"/>
    </row>
    <row r="64" spans="2:9">
      <c r="B64" s="19">
        <v>16</v>
      </c>
      <c r="C64" s="15">
        <v>3023.6</v>
      </c>
      <c r="D64" s="15">
        <v>3048.4245048370208</v>
      </c>
      <c r="E64" s="15">
        <v>-24.824504837020868</v>
      </c>
      <c r="F64" s="15"/>
      <c r="G64" s="15"/>
    </row>
    <row r="65" spans="2:7">
      <c r="B65" s="19">
        <v>17</v>
      </c>
      <c r="C65" s="15">
        <v>3092.5</v>
      </c>
      <c r="D65" s="15">
        <v>3032.3966642692985</v>
      </c>
      <c r="E65" s="15">
        <v>60.103335730701474</v>
      </c>
      <c r="F65" s="15"/>
      <c r="G65" s="15"/>
    </row>
    <row r="66" spans="2:7">
      <c r="B66" s="19">
        <v>18</v>
      </c>
      <c r="C66" s="15">
        <v>3182.1</v>
      </c>
      <c r="D66" s="15">
        <v>3188.9097490335353</v>
      </c>
      <c r="E66" s="15">
        <v>-6.8097490335353541</v>
      </c>
      <c r="F66" s="15"/>
      <c r="G66" s="15"/>
    </row>
    <row r="67" spans="2:7">
      <c r="B67" s="19">
        <v>19</v>
      </c>
      <c r="C67" s="15">
        <v>3007.5</v>
      </c>
      <c r="D67" s="15">
        <v>3086.4478281211277</v>
      </c>
      <c r="E67" s="15">
        <v>-78.947828121127714</v>
      </c>
      <c r="F67" s="15"/>
      <c r="G67" s="15"/>
    </row>
    <row r="68" spans="2:7">
      <c r="B68" s="19">
        <v>20</v>
      </c>
      <c r="C68" s="15">
        <v>3264</v>
      </c>
      <c r="D68" s="15">
        <v>3190.0741537245563</v>
      </c>
      <c r="E68" s="15">
        <v>73.925846275443746</v>
      </c>
      <c r="F68" s="15"/>
      <c r="G68" s="15"/>
    </row>
    <row r="69" spans="2:7">
      <c r="B69" s="19">
        <v>21</v>
      </c>
      <c r="C69" s="15">
        <v>3114</v>
      </c>
      <c r="D69" s="15">
        <v>3131.1036886195302</v>
      </c>
      <c r="E69" s="15">
        <v>-17.103688619530203</v>
      </c>
      <c r="F69" s="15"/>
      <c r="G69" s="15"/>
    </row>
    <row r="70" spans="2:7">
      <c r="B70" s="19">
        <v>22</v>
      </c>
      <c r="C70" s="15">
        <v>3107.1</v>
      </c>
      <c r="D70" s="15">
        <v>3007.417223529766</v>
      </c>
      <c r="E70" s="15">
        <v>99.682776470233875</v>
      </c>
      <c r="F70" s="15"/>
      <c r="G70" s="15"/>
    </row>
    <row r="71" spans="2:7">
      <c r="B71" s="19">
        <v>23</v>
      </c>
      <c r="C71" s="15">
        <v>3215</v>
      </c>
      <c r="D71" s="15">
        <v>3273.7498560094873</v>
      </c>
      <c r="E71" s="15">
        <v>-58.749856009487303</v>
      </c>
      <c r="F71" s="15"/>
      <c r="G71" s="15"/>
    </row>
    <row r="72" spans="2:7">
      <c r="B72" s="19">
        <v>24</v>
      </c>
      <c r="C72" s="15">
        <v>3039.4</v>
      </c>
      <c r="D72" s="15">
        <v>3005.8976082486006</v>
      </c>
      <c r="E72" s="15">
        <v>33.5023917513995</v>
      </c>
      <c r="F72" s="15"/>
      <c r="G72" s="15"/>
    </row>
    <row r="73" spans="2:7">
      <c r="B73" s="19">
        <v>25</v>
      </c>
      <c r="C73" s="15">
        <v>3166.4</v>
      </c>
      <c r="D73" s="15">
        <v>2942.9110353639626</v>
      </c>
      <c r="E73" s="15">
        <v>223.48896463603751</v>
      </c>
      <c r="F73" s="15"/>
      <c r="G73" s="15"/>
    </row>
    <row r="74" spans="2:7">
      <c r="B74" s="19">
        <v>26</v>
      </c>
      <c r="C74" s="15">
        <v>2938.6</v>
      </c>
      <c r="D74" s="15">
        <v>2972.5243562168221</v>
      </c>
      <c r="E74" s="15">
        <v>-33.924356216822162</v>
      </c>
      <c r="F74" s="15"/>
      <c r="G74" s="15"/>
    </row>
    <row r="75" spans="2:7">
      <c r="B75" s="19">
        <v>27</v>
      </c>
      <c r="C75" s="15">
        <v>3018.8</v>
      </c>
      <c r="D75" s="15">
        <v>2935.5115687170546</v>
      </c>
      <c r="E75" s="15">
        <v>83.288431282945567</v>
      </c>
      <c r="F75" s="15"/>
      <c r="G75" s="15"/>
    </row>
    <row r="76" spans="2:7">
      <c r="B76" s="19">
        <v>28</v>
      </c>
      <c r="C76" s="15">
        <v>3150</v>
      </c>
      <c r="D76" s="15">
        <v>3155.0313551393124</v>
      </c>
      <c r="E76" s="15">
        <v>-5.0313551393123817</v>
      </c>
      <c r="F76" s="15"/>
      <c r="G76" s="15"/>
    </row>
    <row r="77" spans="2:7">
      <c r="B77" s="19">
        <v>29</v>
      </c>
      <c r="C77" s="15">
        <v>3271.1</v>
      </c>
      <c r="D77" s="15">
        <v>3160.629601814418</v>
      </c>
      <c r="E77" s="15">
        <v>110.47039818558187</v>
      </c>
      <c r="F77" s="15"/>
      <c r="G77" s="15"/>
    </row>
    <row r="78" spans="2:7">
      <c r="B78" s="19">
        <v>30</v>
      </c>
      <c r="C78" s="15">
        <v>3222.5</v>
      </c>
      <c r="D78" s="15">
        <v>3319.8030698871075</v>
      </c>
      <c r="E78" s="15">
        <v>-97.30306988710754</v>
      </c>
      <c r="F78" s="15"/>
      <c r="G78" s="15"/>
    </row>
    <row r="79" spans="2:7">
      <c r="B79" s="19">
        <v>31</v>
      </c>
      <c r="C79" s="15">
        <v>3288.9</v>
      </c>
      <c r="D79" s="15">
        <v>3184.2310332839115</v>
      </c>
      <c r="E79" s="15">
        <v>104.66896671608856</v>
      </c>
      <c r="F79" s="15"/>
      <c r="G79" s="15"/>
    </row>
    <row r="80" spans="2:7">
      <c r="B80" s="19">
        <v>32</v>
      </c>
      <c r="C80" s="15">
        <v>3277.4</v>
      </c>
      <c r="D80" s="15">
        <v>3362.1492424500098</v>
      </c>
      <c r="E80" s="15">
        <v>-84.74924245000966</v>
      </c>
      <c r="F80" s="15"/>
      <c r="G80" s="15"/>
    </row>
    <row r="81" spans="2:7">
      <c r="B81" s="19">
        <v>33</v>
      </c>
      <c r="C81" s="15">
        <v>3205.8</v>
      </c>
      <c r="D81" s="15">
        <v>3250.222680246382</v>
      </c>
      <c r="E81" s="15">
        <v>-44.422680246381788</v>
      </c>
      <c r="F81" s="15"/>
      <c r="G81" s="15"/>
    </row>
    <row r="82" spans="2:7">
      <c r="B82" s="19">
        <v>34</v>
      </c>
      <c r="C82" s="15">
        <v>3268.2</v>
      </c>
      <c r="D82" s="15">
        <v>3142.0431632687737</v>
      </c>
      <c r="E82" s="15">
        <v>126.15683673122612</v>
      </c>
      <c r="F82" s="15"/>
      <c r="G82" s="15"/>
    </row>
    <row r="83" spans="2:7">
      <c r="B83" s="19">
        <v>35</v>
      </c>
      <c r="C83" s="15">
        <v>3378.1</v>
      </c>
      <c r="D83" s="15">
        <v>3388.7858209602186</v>
      </c>
      <c r="E83" s="15">
        <v>-10.685820960218734</v>
      </c>
      <c r="F83" s="15"/>
      <c r="G83" s="15"/>
    </row>
    <row r="84" spans="2:7">
      <c r="B84" s="19">
        <v>36</v>
      </c>
      <c r="C84" s="15">
        <v>3119.2</v>
      </c>
      <c r="D84" s="15">
        <v>3150.9111050538781</v>
      </c>
      <c r="E84" s="15">
        <v>-31.711105053878327</v>
      </c>
      <c r="F84" s="15"/>
      <c r="G84" s="15"/>
    </row>
    <row r="85" spans="2:7">
      <c r="B85" s="19">
        <v>37</v>
      </c>
      <c r="C85" s="15">
        <v>3149.8</v>
      </c>
      <c r="D85" s="15">
        <v>3107.0878052983917</v>
      </c>
      <c r="E85" s="15">
        <v>42.712194701608496</v>
      </c>
      <c r="F85" s="15"/>
      <c r="G85" s="15"/>
    </row>
    <row r="86" spans="2:7">
      <c r="B86" s="19">
        <v>38</v>
      </c>
      <c r="C86" s="15">
        <v>3166.2</v>
      </c>
      <c r="D86" s="15">
        <v>3048.1137391475081</v>
      </c>
      <c r="E86" s="15">
        <v>118.08626085249171</v>
      </c>
      <c r="F86" s="15"/>
      <c r="G86" s="15"/>
    </row>
    <row r="87" spans="2:7">
      <c r="B87" s="19">
        <v>39</v>
      </c>
      <c r="C87" s="15">
        <v>2987.2</v>
      </c>
      <c r="D87" s="15">
        <v>3070.3799701168296</v>
      </c>
      <c r="E87" s="15">
        <v>-83.179970116829736</v>
      </c>
      <c r="F87" s="15"/>
      <c r="G87" s="15"/>
    </row>
    <row r="88" spans="2:7">
      <c r="B88" s="19">
        <v>40</v>
      </c>
      <c r="C88" s="15">
        <v>3289</v>
      </c>
      <c r="D88" s="15">
        <v>3234.4503434594585</v>
      </c>
      <c r="E88" s="15">
        <v>54.549656540541491</v>
      </c>
      <c r="F88" s="15"/>
      <c r="G88" s="15"/>
    </row>
    <row r="89" spans="2:7">
      <c r="B89" s="19">
        <v>41</v>
      </c>
      <c r="C89" s="15">
        <v>3279.6</v>
      </c>
      <c r="D89" s="15">
        <v>3275.9200183431899</v>
      </c>
      <c r="E89" s="15">
        <v>3.6799816568100141</v>
      </c>
      <c r="F89" s="15"/>
      <c r="G89" s="15"/>
    </row>
    <row r="90" spans="2:7">
      <c r="B90" s="19">
        <v>42</v>
      </c>
      <c r="C90" s="15">
        <v>3396.1</v>
      </c>
      <c r="D90" s="15">
        <v>3372.9896069713977</v>
      </c>
      <c r="E90" s="15">
        <v>23.110393028602175</v>
      </c>
      <c r="F90" s="15"/>
      <c r="G90" s="15"/>
    </row>
    <row r="91" spans="2:7">
      <c r="B91" s="19">
        <v>43</v>
      </c>
      <c r="C91" s="15">
        <v>3368.5</v>
      </c>
      <c r="D91" s="15">
        <v>3303.4091494915538</v>
      </c>
      <c r="E91" s="15">
        <v>65.090850508446238</v>
      </c>
      <c r="F91" s="15"/>
      <c r="G91" s="15"/>
    </row>
    <row r="92" spans="2:7">
      <c r="B92" s="19">
        <v>44</v>
      </c>
      <c r="C92" s="15">
        <v>3176.1</v>
      </c>
      <c r="D92" s="15">
        <v>3439.2674389225608</v>
      </c>
      <c r="E92" s="15">
        <v>-263.1674389225609</v>
      </c>
      <c r="F92" s="15"/>
      <c r="G92" s="15"/>
    </row>
    <row r="93" spans="2:7">
      <c r="B93" s="19">
        <v>45</v>
      </c>
      <c r="C93" s="15">
        <v>3381.5</v>
      </c>
      <c r="D93" s="15">
        <v>3290.8570505696912</v>
      </c>
      <c r="E93" s="15">
        <v>90.642949430308818</v>
      </c>
      <c r="F93" s="15"/>
      <c r="G93" s="15"/>
    </row>
    <row r="94" spans="2:7">
      <c r="B94" s="19">
        <v>46</v>
      </c>
      <c r="C94" s="15">
        <v>3364.9</v>
      </c>
      <c r="D94" s="15">
        <v>3246.3157976685129</v>
      </c>
      <c r="E94" s="15">
        <v>118.58420233148718</v>
      </c>
      <c r="F94" s="15"/>
      <c r="G94" s="15"/>
    </row>
    <row r="95" spans="2:7">
      <c r="B95" s="19">
        <v>47</v>
      </c>
      <c r="C95" s="15">
        <v>3249</v>
      </c>
      <c r="D95" s="15">
        <v>3467.799456065703</v>
      </c>
      <c r="E95" s="15">
        <v>-218.799456065703</v>
      </c>
      <c r="F95" s="15"/>
      <c r="G95" s="15"/>
    </row>
    <row r="96" spans="2:7">
      <c r="B96" s="19">
        <v>48</v>
      </c>
      <c r="C96" s="15">
        <v>3179.2</v>
      </c>
      <c r="D96" s="15">
        <v>3175.003986370752</v>
      </c>
      <c r="E96" s="15">
        <v>4.1960136292477728</v>
      </c>
      <c r="F96" s="15"/>
      <c r="G96" s="15"/>
    </row>
    <row r="97" spans="2:7">
      <c r="B97" s="19">
        <v>49</v>
      </c>
      <c r="C97" s="15">
        <v>3005.9</v>
      </c>
      <c r="D97" s="15">
        <v>3152.8060504648879</v>
      </c>
      <c r="E97" s="15">
        <v>-146.90605046488781</v>
      </c>
      <c r="F97" s="15"/>
      <c r="G97" s="15"/>
    </row>
    <row r="98" spans="2:7">
      <c r="B98" s="19">
        <v>50</v>
      </c>
      <c r="C98" s="15">
        <v>3004.8</v>
      </c>
      <c r="D98" s="15">
        <v>3059.6002907554666</v>
      </c>
      <c r="E98" s="15">
        <v>-54.800290755466449</v>
      </c>
      <c r="F98" s="15"/>
      <c r="G98" s="15"/>
    </row>
    <row r="99" spans="2:7">
      <c r="B99" s="19">
        <v>51</v>
      </c>
      <c r="C99" s="15">
        <v>2931.1</v>
      </c>
      <c r="D99" s="15">
        <v>3002.240383998736</v>
      </c>
      <c r="E99" s="15">
        <v>-71.14038399873607</v>
      </c>
      <c r="F99" s="15"/>
      <c r="G99" s="15"/>
    </row>
    <row r="100" spans="2:7">
      <c r="B100" s="19">
        <v>52</v>
      </c>
      <c r="C100" s="15">
        <v>3103.5</v>
      </c>
      <c r="D100" s="15">
        <v>3191.4800774070513</v>
      </c>
      <c r="E100" s="15">
        <v>-87.98007740705134</v>
      </c>
      <c r="F100" s="15"/>
      <c r="G100" s="15"/>
    </row>
    <row r="101" spans="2:7">
      <c r="B101" s="19">
        <v>53</v>
      </c>
      <c r="C101" s="15">
        <v>3054.9</v>
      </c>
      <c r="D101" s="15">
        <v>3186.5148063496636</v>
      </c>
      <c r="E101" s="15">
        <v>-131.61480634966347</v>
      </c>
      <c r="F101" s="15"/>
      <c r="G101" s="15"/>
    </row>
    <row r="102" spans="2:7">
      <c r="B102" s="19">
        <v>54</v>
      </c>
      <c r="C102" s="15">
        <v>3425.6</v>
      </c>
      <c r="D102" s="15">
        <v>3250.5940649927943</v>
      </c>
      <c r="E102" s="15">
        <v>175.00593500720561</v>
      </c>
      <c r="F102" s="15"/>
      <c r="G102" s="15"/>
    </row>
    <row r="103" spans="2:7">
      <c r="B103" s="19">
        <v>55</v>
      </c>
      <c r="C103" s="15">
        <v>3414.1</v>
      </c>
      <c r="D103" s="15">
        <v>3222.8809582029239</v>
      </c>
      <c r="E103" s="15">
        <v>191.21904179707599</v>
      </c>
      <c r="F103" s="15"/>
      <c r="G103" s="15"/>
    </row>
    <row r="104" spans="2:7">
      <c r="B104" s="19">
        <v>56</v>
      </c>
      <c r="C104" s="15">
        <v>3342.7</v>
      </c>
      <c r="D104" s="15">
        <v>3329.8799701645553</v>
      </c>
      <c r="E104" s="15">
        <v>12.820029835444529</v>
      </c>
      <c r="F104" s="15"/>
      <c r="G104" s="15"/>
    </row>
    <row r="105" spans="2:7">
      <c r="B105" s="19">
        <v>57</v>
      </c>
      <c r="C105" s="15">
        <v>3395.7</v>
      </c>
      <c r="D105" s="15">
        <v>3310.4525771002054</v>
      </c>
      <c r="E105" s="15">
        <v>85.247422899794401</v>
      </c>
      <c r="F105" s="15"/>
      <c r="G105" s="15"/>
    </row>
    <row r="106" spans="2:7">
      <c r="B106" s="19">
        <v>58</v>
      </c>
      <c r="C106" s="15">
        <v>3419.5</v>
      </c>
      <c r="D106" s="15">
        <v>3268.8830545773631</v>
      </c>
      <c r="E106" s="15">
        <v>150.61694542263695</v>
      </c>
      <c r="F106" s="15"/>
      <c r="G106" s="15"/>
    </row>
    <row r="107" spans="2:7">
      <c r="B107" s="19">
        <v>59</v>
      </c>
      <c r="C107" s="15">
        <v>3379.9</v>
      </c>
      <c r="D107" s="15">
        <v>3438.4379156837344</v>
      </c>
      <c r="E107" s="15">
        <v>-58.537915683734354</v>
      </c>
      <c r="F107" s="15"/>
      <c r="G107" s="15"/>
    </row>
    <row r="108" spans="2:7">
      <c r="B108" s="19">
        <v>60</v>
      </c>
      <c r="C108" s="15">
        <v>3345.1</v>
      </c>
      <c r="D108" s="15">
        <v>3224.3094262110671</v>
      </c>
      <c r="E108" s="15">
        <v>120.79057378893276</v>
      </c>
      <c r="F108" s="15"/>
      <c r="G108" s="15"/>
    </row>
    <row r="109" spans="2:7">
      <c r="B109" s="19">
        <v>61</v>
      </c>
      <c r="C109" s="15">
        <v>3242.9</v>
      </c>
      <c r="D109" s="15">
        <v>3204.954737972223</v>
      </c>
      <c r="E109" s="15">
        <v>37.945262027777062</v>
      </c>
      <c r="F109" s="15"/>
      <c r="G109" s="15"/>
    </row>
    <row r="110" spans="2:7">
      <c r="B110" s="19">
        <v>62</v>
      </c>
      <c r="C110" s="15">
        <v>3287.1</v>
      </c>
      <c r="D110" s="15">
        <v>3174.9263423995808</v>
      </c>
      <c r="E110" s="15">
        <v>112.17365760041912</v>
      </c>
      <c r="F110" s="15"/>
      <c r="G110" s="15"/>
    </row>
    <row r="111" spans="2:7">
      <c r="B111" s="19">
        <v>63</v>
      </c>
      <c r="C111" s="15">
        <v>3420.6</v>
      </c>
      <c r="D111" s="15">
        <v>3158.1549753063141</v>
      </c>
      <c r="E111" s="15">
        <v>262.44502469368581</v>
      </c>
      <c r="F111" s="15"/>
      <c r="G111" s="15"/>
    </row>
    <row r="112" spans="2:7">
      <c r="B112" s="19">
        <v>64</v>
      </c>
      <c r="C112" s="15">
        <v>3588.8</v>
      </c>
      <c r="D112" s="15">
        <v>3430.252035311365</v>
      </c>
      <c r="E112" s="15">
        <v>158.54796468863515</v>
      </c>
      <c r="F112" s="15"/>
      <c r="G112" s="15"/>
    </row>
    <row r="113" spans="2:7">
      <c r="B113" s="19">
        <v>65</v>
      </c>
      <c r="C113" s="15">
        <v>3479.4</v>
      </c>
      <c r="D113" s="15">
        <v>3483.4076520997278</v>
      </c>
      <c r="E113" s="15">
        <v>-4.007652099727693</v>
      </c>
      <c r="F113" s="15"/>
      <c r="G113" s="15"/>
    </row>
    <row r="114" spans="2:7">
      <c r="B114" s="19">
        <v>66</v>
      </c>
      <c r="C114" s="15">
        <v>3718.7</v>
      </c>
      <c r="D114" s="15">
        <v>3638.7569406321109</v>
      </c>
      <c r="E114" s="15">
        <v>79.943059367888964</v>
      </c>
      <c r="F114" s="15"/>
      <c r="G114" s="15"/>
    </row>
    <row r="115" spans="2:7">
      <c r="B115" s="19">
        <v>67</v>
      </c>
      <c r="C115" s="15">
        <v>3571.7</v>
      </c>
      <c r="D115" s="15">
        <v>3596.4244841813784</v>
      </c>
      <c r="E115" s="15">
        <v>-24.724484181378557</v>
      </c>
      <c r="F115" s="15"/>
      <c r="G115" s="15"/>
    </row>
    <row r="116" spans="2:7">
      <c r="B116" s="19">
        <v>68</v>
      </c>
      <c r="C116" s="15">
        <v>3601.5</v>
      </c>
      <c r="D116" s="15">
        <v>3624.0032466345469</v>
      </c>
      <c r="E116" s="15">
        <v>-22.50324663454694</v>
      </c>
      <c r="F116" s="15"/>
      <c r="G116" s="15"/>
    </row>
    <row r="117" spans="2:7">
      <c r="B117" s="19">
        <v>69</v>
      </c>
      <c r="C117" s="15">
        <v>3555.8</v>
      </c>
      <c r="D117" s="15">
        <v>3613.1680226968065</v>
      </c>
      <c r="E117" s="15">
        <v>-57.368022696806293</v>
      </c>
      <c r="F117" s="15"/>
      <c r="G117" s="15"/>
    </row>
    <row r="118" spans="2:7">
      <c r="B118" s="19">
        <v>70</v>
      </c>
      <c r="C118" s="15">
        <v>3514.9</v>
      </c>
      <c r="D118" s="15">
        <v>3552.0351644646007</v>
      </c>
      <c r="E118" s="15">
        <v>-37.135164464600621</v>
      </c>
      <c r="F118" s="15"/>
      <c r="G118" s="15"/>
    </row>
    <row r="119" spans="2:7">
      <c r="B119" s="19">
        <v>71</v>
      </c>
      <c r="C119" s="15">
        <v>3614.4</v>
      </c>
      <c r="D119" s="15">
        <v>3641.8207803551222</v>
      </c>
      <c r="E119" s="15">
        <v>-27.420780355122133</v>
      </c>
      <c r="F119" s="15"/>
      <c r="G119" s="15"/>
    </row>
    <row r="120" spans="2:7">
      <c r="B120" s="19">
        <v>72</v>
      </c>
      <c r="C120" s="15">
        <v>3656</v>
      </c>
      <c r="D120" s="15">
        <v>3469.7999935285848</v>
      </c>
      <c r="E120" s="15">
        <v>186.20000647141524</v>
      </c>
      <c r="F120" s="15"/>
      <c r="G120" s="15"/>
    </row>
    <row r="121" spans="2:7">
      <c r="B121" s="19">
        <v>73</v>
      </c>
      <c r="C121" s="15">
        <v>3470.4</v>
      </c>
      <c r="D121" s="15">
        <v>3455.181022272272</v>
      </c>
      <c r="E121" s="15">
        <v>15.218977727728088</v>
      </c>
      <c r="F121" s="15"/>
      <c r="G121" s="15"/>
    </row>
    <row r="122" spans="2:7">
      <c r="B122" s="19">
        <v>74</v>
      </c>
      <c r="C122" s="15">
        <v>3426.5</v>
      </c>
      <c r="D122" s="15">
        <v>3435.8546050269761</v>
      </c>
      <c r="E122" s="15">
        <v>-9.3546050269760599</v>
      </c>
      <c r="F122" s="15"/>
      <c r="G122" s="15"/>
    </row>
    <row r="123" spans="2:7">
      <c r="B123" s="19">
        <v>75</v>
      </c>
      <c r="C123" s="15">
        <v>3308</v>
      </c>
      <c r="D123" s="15">
        <v>3418.4124652658847</v>
      </c>
      <c r="E123" s="15">
        <v>-110.41246526588475</v>
      </c>
      <c r="F123" s="15"/>
      <c r="G123" s="15"/>
    </row>
    <row r="124" spans="2:7">
      <c r="B124" s="19">
        <v>76</v>
      </c>
      <c r="C124" s="15">
        <v>3489.2</v>
      </c>
      <c r="D124" s="15">
        <v>3581.9298591129404</v>
      </c>
      <c r="E124" s="15">
        <v>-92.72985911294063</v>
      </c>
      <c r="F124" s="15"/>
      <c r="G124" s="15"/>
    </row>
    <row r="125" spans="2:7">
      <c r="B125" s="19">
        <v>77</v>
      </c>
      <c r="C125" s="15">
        <v>3552</v>
      </c>
      <c r="D125" s="15">
        <v>3544.631917602866</v>
      </c>
      <c r="E125" s="15">
        <v>7.3680823971340033</v>
      </c>
      <c r="F125" s="15"/>
      <c r="G125" s="15"/>
    </row>
    <row r="126" spans="2:7">
      <c r="B126" s="19">
        <v>78</v>
      </c>
      <c r="C126" s="15">
        <v>3859.7</v>
      </c>
      <c r="D126" s="15">
        <v>3717.0478843749465</v>
      </c>
      <c r="E126" s="15">
        <v>142.65211562505328</v>
      </c>
      <c r="F126" s="15"/>
      <c r="G126" s="15"/>
    </row>
    <row r="127" spans="2:7">
      <c r="B127" s="19">
        <v>79</v>
      </c>
      <c r="C127" s="15">
        <v>3639.9</v>
      </c>
      <c r="D127" s="15">
        <v>3671.4846694156781</v>
      </c>
      <c r="E127" s="15">
        <v>-31.584669415678036</v>
      </c>
      <c r="F127" s="15"/>
      <c r="G127" s="15"/>
    </row>
    <row r="128" spans="2:7">
      <c r="B128" s="19">
        <v>80</v>
      </c>
      <c r="C128" s="15">
        <v>3854.2</v>
      </c>
      <c r="D128" s="15">
        <v>3697.5930733428913</v>
      </c>
      <c r="E128" s="15">
        <v>156.60692665710849</v>
      </c>
      <c r="F128" s="15"/>
      <c r="G128" s="15"/>
    </row>
    <row r="129" spans="2:7">
      <c r="B129" s="19">
        <v>81</v>
      </c>
      <c r="C129" s="15">
        <v>3697.8</v>
      </c>
      <c r="D129" s="15">
        <v>3725.0819059993228</v>
      </c>
      <c r="E129" s="15">
        <v>-27.281905999322589</v>
      </c>
      <c r="F129" s="15"/>
      <c r="G129" s="15"/>
    </row>
    <row r="130" spans="2:7">
      <c r="B130" s="19">
        <v>82</v>
      </c>
      <c r="C130" s="15">
        <v>3582</v>
      </c>
      <c r="D130" s="15">
        <v>3675.7128501899115</v>
      </c>
      <c r="E130" s="15">
        <v>-93.712850189911478</v>
      </c>
      <c r="F130" s="15"/>
      <c r="G130" s="15"/>
    </row>
    <row r="131" spans="2:7">
      <c r="B131" s="19">
        <v>83</v>
      </c>
      <c r="C131" s="15">
        <v>3652.8</v>
      </c>
      <c r="D131" s="15">
        <v>3753.9665460671508</v>
      </c>
      <c r="E131" s="15">
        <v>-101.16654606715065</v>
      </c>
      <c r="F131" s="15"/>
      <c r="G131" s="15"/>
    </row>
    <row r="132" spans="2:7">
      <c r="B132" s="19">
        <v>84</v>
      </c>
      <c r="C132" s="15">
        <v>3474.7</v>
      </c>
      <c r="D132" s="15">
        <v>3601.686327291116</v>
      </c>
      <c r="E132" s="15">
        <v>-126.98632729111614</v>
      </c>
      <c r="F132" s="15"/>
      <c r="G132" s="15"/>
    </row>
    <row r="133" spans="2:7">
      <c r="B133" s="19">
        <v>85</v>
      </c>
      <c r="C133" s="15">
        <v>3413.9</v>
      </c>
      <c r="D133" s="15">
        <v>3479.1787962181306</v>
      </c>
      <c r="E133" s="15">
        <v>-65.278796218130537</v>
      </c>
      <c r="F133" s="15"/>
      <c r="G133" s="15"/>
    </row>
    <row r="134" spans="2:7">
      <c r="B134" s="19">
        <v>86</v>
      </c>
      <c r="C134" s="15">
        <v>3520.9</v>
      </c>
      <c r="D134" s="15">
        <v>3434.1157348513384</v>
      </c>
      <c r="E134" s="15">
        <v>86.784265148661689</v>
      </c>
      <c r="F134" s="15"/>
      <c r="G134" s="15"/>
    </row>
    <row r="135" spans="2:7">
      <c r="B135" s="19">
        <v>87</v>
      </c>
      <c r="C135" s="15">
        <v>3464.8</v>
      </c>
      <c r="D135" s="15">
        <v>3421.113311232772</v>
      </c>
      <c r="E135" s="15">
        <v>43.686688767228134</v>
      </c>
      <c r="F135" s="15"/>
      <c r="G135" s="15"/>
    </row>
    <row r="136" spans="2:7">
      <c r="B136" s="19">
        <v>88</v>
      </c>
      <c r="C136" s="15">
        <v>3713.5</v>
      </c>
      <c r="D136" s="15">
        <v>3624.8627072993249</v>
      </c>
      <c r="E136" s="15">
        <v>88.637292700675061</v>
      </c>
      <c r="F136" s="15"/>
      <c r="G136" s="15"/>
    </row>
    <row r="137" spans="2:7">
      <c r="B137" s="19">
        <v>89</v>
      </c>
      <c r="C137" s="15">
        <v>3689.9</v>
      </c>
      <c r="D137" s="15">
        <v>3649.8463292569631</v>
      </c>
      <c r="E137" s="15">
        <v>40.053670743036946</v>
      </c>
      <c r="F137" s="15"/>
      <c r="G137" s="15"/>
    </row>
    <row r="138" spans="2:7">
      <c r="B138" s="19">
        <v>90</v>
      </c>
      <c r="C138" s="15">
        <v>3820</v>
      </c>
      <c r="D138" s="15">
        <v>3854.5810490628346</v>
      </c>
      <c r="E138" s="15">
        <v>-34.581049062834609</v>
      </c>
      <c r="F138" s="15"/>
      <c r="G138" s="15"/>
    </row>
    <row r="139" spans="2:7">
      <c r="B139" s="19">
        <v>91</v>
      </c>
      <c r="C139" s="15">
        <v>3736</v>
      </c>
      <c r="D139" s="15">
        <v>3734.7914103217026</v>
      </c>
      <c r="E139" s="15">
        <v>1.2085896782973578</v>
      </c>
      <c r="F139" s="15"/>
      <c r="G139" s="15"/>
    </row>
    <row r="140" spans="2:7">
      <c r="B140" s="19">
        <v>92</v>
      </c>
      <c r="C140" s="15">
        <v>3869.3</v>
      </c>
      <c r="D140" s="15">
        <v>3801.8203763262773</v>
      </c>
      <c r="E140" s="15">
        <v>67.479623673722926</v>
      </c>
      <c r="F140" s="15"/>
      <c r="G140" s="15"/>
    </row>
    <row r="141" spans="2:7">
      <c r="B141" s="19">
        <v>93</v>
      </c>
      <c r="C141" s="15">
        <v>3833.2</v>
      </c>
      <c r="D141" s="15">
        <v>3774.6213248284885</v>
      </c>
      <c r="E141" s="15">
        <v>58.57867517151135</v>
      </c>
      <c r="F141" s="15"/>
      <c r="G141" s="15"/>
    </row>
    <row r="142" spans="2:7">
      <c r="B142" s="19">
        <v>94</v>
      </c>
      <c r="C142" s="15">
        <v>3716.3</v>
      </c>
      <c r="D142" s="15">
        <v>3734.369529548555</v>
      </c>
      <c r="E142" s="15">
        <v>-18.069529548554783</v>
      </c>
      <c r="F142" s="15"/>
      <c r="G142" s="15"/>
    </row>
    <row r="143" spans="2:7">
      <c r="B143" s="19">
        <v>95</v>
      </c>
      <c r="C143" s="15">
        <v>3772.2</v>
      </c>
      <c r="D143" s="15">
        <v>3829.9880740426388</v>
      </c>
      <c r="E143" s="15">
        <v>-57.788074042638982</v>
      </c>
      <c r="F143" s="15"/>
      <c r="G143" s="15"/>
    </row>
    <row r="144" spans="2:7">
      <c r="B144" s="19">
        <v>96</v>
      </c>
      <c r="C144" s="15">
        <v>3650.8</v>
      </c>
      <c r="D144" s="15">
        <v>3684.182575505753</v>
      </c>
      <c r="E144" s="15">
        <v>-33.382575505752811</v>
      </c>
      <c r="F144" s="15"/>
      <c r="G144" s="15"/>
    </row>
    <row r="145" spans="2:7">
      <c r="B145" s="19">
        <v>97</v>
      </c>
      <c r="C145" s="15">
        <v>3711</v>
      </c>
      <c r="D145" s="15">
        <v>3596.2652428558254</v>
      </c>
      <c r="E145" s="15">
        <v>114.73475714417464</v>
      </c>
      <c r="F145" s="15"/>
      <c r="G145" s="15"/>
    </row>
    <row r="146" spans="2:7">
      <c r="B146" s="19">
        <v>98</v>
      </c>
      <c r="C146" s="15">
        <v>3470.8</v>
      </c>
      <c r="D146" s="15">
        <v>3623.6736737417082</v>
      </c>
      <c r="E146" s="15">
        <v>-152.87367374170799</v>
      </c>
      <c r="F146" s="15"/>
      <c r="G146" s="15"/>
    </row>
    <row r="147" spans="2:7">
      <c r="B147" s="19">
        <v>99</v>
      </c>
      <c r="C147" s="15">
        <v>3397.3</v>
      </c>
      <c r="D147" s="15">
        <v>3545.1586664077372</v>
      </c>
      <c r="E147" s="15">
        <v>-147.85866640773702</v>
      </c>
      <c r="F147" s="15"/>
      <c r="G147" s="15"/>
    </row>
    <row r="148" spans="2:7">
      <c r="B148" s="19">
        <v>100</v>
      </c>
      <c r="C148" s="15">
        <v>3772</v>
      </c>
      <c r="D148" s="15">
        <v>3709.6605922232452</v>
      </c>
      <c r="E148" s="15">
        <v>62.339407776754797</v>
      </c>
      <c r="F148" s="15"/>
      <c r="G148" s="15"/>
    </row>
    <row r="149" spans="2:7">
      <c r="B149" s="19">
        <v>101</v>
      </c>
      <c r="C149" s="15">
        <v>3793.3</v>
      </c>
      <c r="D149" s="15">
        <v>3719.1831536227583</v>
      </c>
      <c r="E149" s="15">
        <v>74.116846377241927</v>
      </c>
      <c r="F149" s="15"/>
      <c r="G149" s="15"/>
    </row>
    <row r="150" spans="2:7">
      <c r="B150" s="19">
        <v>102</v>
      </c>
      <c r="C150" s="15">
        <v>3853.7</v>
      </c>
      <c r="D150" s="15">
        <v>3918.7898815628378</v>
      </c>
      <c r="E150" s="15">
        <v>-65.089881562837945</v>
      </c>
      <c r="F150" s="15"/>
      <c r="G150" s="15"/>
    </row>
    <row r="151" spans="2:7">
      <c r="B151" s="19">
        <v>103</v>
      </c>
      <c r="C151" s="15">
        <v>3904.5</v>
      </c>
      <c r="D151" s="15">
        <v>3797.3561047159642</v>
      </c>
      <c r="E151" s="15">
        <v>107.14389528403581</v>
      </c>
      <c r="F151" s="15"/>
      <c r="G151" s="15"/>
    </row>
    <row r="152" spans="2:7">
      <c r="B152" s="19">
        <v>104</v>
      </c>
      <c r="C152" s="15">
        <v>3911.2</v>
      </c>
      <c r="D152" s="15">
        <v>3901.9486407096706</v>
      </c>
      <c r="E152" s="15">
        <v>9.2513592903292192</v>
      </c>
      <c r="F152" s="15"/>
      <c r="G152" s="15"/>
    </row>
    <row r="153" spans="2:7">
      <c r="B153" s="19">
        <v>105</v>
      </c>
      <c r="C153" s="15">
        <v>3832.5</v>
      </c>
      <c r="D153" s="15">
        <v>3858.7208212137398</v>
      </c>
      <c r="E153" s="15">
        <v>-26.220821213739782</v>
      </c>
      <c r="F153" s="15"/>
      <c r="G153" s="15"/>
    </row>
    <row r="154" spans="2:7">
      <c r="B154" s="19">
        <v>106</v>
      </c>
      <c r="C154" s="15">
        <v>3717.4</v>
      </c>
      <c r="D154" s="15">
        <v>3783.6214897950404</v>
      </c>
      <c r="E154" s="15">
        <v>-66.22148979504027</v>
      </c>
      <c r="F154" s="15"/>
      <c r="G154" s="15"/>
    </row>
    <row r="155" spans="2:7">
      <c r="B155" s="19">
        <v>107</v>
      </c>
      <c r="C155" s="15">
        <v>3884.6</v>
      </c>
      <c r="D155" s="15">
        <v>3859.5913671561993</v>
      </c>
      <c r="E155" s="15">
        <v>25.008632843800569</v>
      </c>
      <c r="F155" s="15"/>
      <c r="G155" s="15"/>
    </row>
    <row r="156" spans="2:7">
      <c r="B156" s="19">
        <v>108</v>
      </c>
      <c r="C156" s="15">
        <v>3700.4</v>
      </c>
      <c r="D156" s="15">
        <v>3737.7994023975807</v>
      </c>
      <c r="E156" s="15">
        <v>-37.399402397580616</v>
      </c>
      <c r="F156" s="15"/>
      <c r="G156" s="15"/>
    </row>
    <row r="157" spans="2:7">
      <c r="B157" s="19">
        <v>109</v>
      </c>
      <c r="C157" s="15">
        <v>3726.7</v>
      </c>
      <c r="D157" s="15">
        <v>3674.4154002749974</v>
      </c>
      <c r="E157" s="15">
        <v>52.284599725002408</v>
      </c>
      <c r="F157" s="15"/>
      <c r="G157" s="15"/>
    </row>
    <row r="158" spans="2:7">
      <c r="B158" s="19">
        <v>110</v>
      </c>
      <c r="C158" s="15">
        <v>3680.6</v>
      </c>
      <c r="D158" s="15">
        <v>3638.7163359836727</v>
      </c>
      <c r="E158" s="15">
        <v>41.883664016327202</v>
      </c>
      <c r="F158" s="15"/>
      <c r="G158" s="15"/>
    </row>
    <row r="159" spans="2:7">
      <c r="B159" s="19">
        <v>111</v>
      </c>
      <c r="C159" s="15">
        <v>3491.4</v>
      </c>
      <c r="D159" s="15">
        <v>3608.790865949476</v>
      </c>
      <c r="E159" s="15">
        <v>-117.39086594947594</v>
      </c>
      <c r="F159" s="15"/>
      <c r="G159" s="15"/>
    </row>
    <row r="160" spans="2:7">
      <c r="B160" s="19">
        <v>112</v>
      </c>
      <c r="C160" s="15">
        <v>3874.3</v>
      </c>
      <c r="D160" s="15">
        <v>3817.9715515620037</v>
      </c>
      <c r="E160" s="15">
        <v>56.328448437996485</v>
      </c>
      <c r="F160" s="15"/>
      <c r="G160" s="15"/>
    </row>
    <row r="161" spans="2:7">
      <c r="B161" s="19">
        <v>113</v>
      </c>
      <c r="C161" s="15">
        <v>3931.1</v>
      </c>
      <c r="D161" s="15">
        <v>3828.3644140756055</v>
      </c>
      <c r="E161" s="15">
        <v>102.7355859243944</v>
      </c>
      <c r="F161" s="15"/>
      <c r="G161" s="15"/>
    </row>
    <row r="162" spans="2:7">
      <c r="B162" s="19">
        <v>114</v>
      </c>
      <c r="C162" s="15">
        <v>3973</v>
      </c>
      <c r="D162" s="15">
        <v>4010.9080158883289</v>
      </c>
      <c r="E162" s="15">
        <v>-37.908015888328919</v>
      </c>
      <c r="F162" s="15"/>
      <c r="G162" s="15"/>
    </row>
    <row r="163" spans="2:7">
      <c r="B163" s="19">
        <v>115</v>
      </c>
      <c r="C163" s="15">
        <v>3971.4</v>
      </c>
      <c r="D163" s="15">
        <v>3926.9277856197291</v>
      </c>
      <c r="E163" s="15">
        <v>44.472214380270998</v>
      </c>
      <c r="F163" s="15"/>
      <c r="G163" s="15"/>
    </row>
    <row r="164" spans="2:7">
      <c r="B164" s="19">
        <v>116</v>
      </c>
      <c r="C164" s="15">
        <v>4103.6000000000004</v>
      </c>
      <c r="D164" s="15">
        <v>3999.2459754577058</v>
      </c>
      <c r="E164" s="15">
        <v>104.35402454229461</v>
      </c>
      <c r="F164" s="15"/>
      <c r="G164" s="15"/>
    </row>
    <row r="165" spans="2:7">
      <c r="B165" s="19">
        <v>117</v>
      </c>
      <c r="C165" s="15">
        <v>3945.7</v>
      </c>
      <c r="D165" s="15">
        <v>3973.7192906691866</v>
      </c>
      <c r="E165" s="15">
        <v>-28.01929066918683</v>
      </c>
      <c r="F165" s="15"/>
      <c r="G165" s="15"/>
    </row>
    <row r="166" spans="2:7">
      <c r="B166" s="19">
        <v>118</v>
      </c>
      <c r="C166" s="15">
        <v>3977.8</v>
      </c>
      <c r="D166" s="15">
        <v>3891.8518952574714</v>
      </c>
      <c r="E166" s="15">
        <v>85.948104742528812</v>
      </c>
      <c r="F166" s="15"/>
      <c r="G166" s="15"/>
    </row>
    <row r="167" spans="2:7">
      <c r="B167" s="19">
        <v>119</v>
      </c>
      <c r="C167" s="15">
        <v>3931.2</v>
      </c>
      <c r="D167" s="15">
        <v>4022.4775728911341</v>
      </c>
      <c r="E167" s="15">
        <v>-91.277572891134241</v>
      </c>
      <c r="F167" s="15"/>
      <c r="G167" s="15"/>
    </row>
    <row r="168" spans="2:7">
      <c r="B168" s="19">
        <v>120</v>
      </c>
      <c r="C168" s="15">
        <v>3796.3</v>
      </c>
      <c r="D168" s="15">
        <v>3862.199948377232</v>
      </c>
      <c r="E168" s="15">
        <v>-65.899948377231794</v>
      </c>
      <c r="F168" s="15"/>
      <c r="G168" s="15"/>
    </row>
    <row r="169" spans="2:7">
      <c r="B169" s="19">
        <v>121</v>
      </c>
      <c r="C169" s="15">
        <v>3897.3</v>
      </c>
      <c r="D169" s="15">
        <v>3808.3542501494821</v>
      </c>
      <c r="E169" s="15">
        <v>88.945749850518041</v>
      </c>
      <c r="F169" s="15"/>
      <c r="G169" s="15"/>
    </row>
    <row r="170" spans="2:7">
      <c r="B170" s="19">
        <v>122</v>
      </c>
      <c r="C170" s="15">
        <v>3685.9</v>
      </c>
      <c r="D170" s="15">
        <v>3780.7014303572223</v>
      </c>
      <c r="E170" s="15">
        <v>-94.801430357222216</v>
      </c>
      <c r="F170" s="15"/>
      <c r="G170" s="15"/>
    </row>
    <row r="171" spans="2:7">
      <c r="B171" s="19">
        <v>123</v>
      </c>
      <c r="C171" s="15">
        <v>3687</v>
      </c>
      <c r="D171" s="15">
        <v>3689.6429032055712</v>
      </c>
      <c r="E171" s="15">
        <v>-2.6429032055712014</v>
      </c>
      <c r="F171" s="15"/>
      <c r="G171" s="15"/>
    </row>
    <row r="172" spans="2:7">
      <c r="B172" s="19">
        <v>124</v>
      </c>
      <c r="C172" s="15">
        <v>3973.2</v>
      </c>
      <c r="D172" s="15">
        <v>3958.186592390975</v>
      </c>
      <c r="E172" s="15">
        <v>15.013407609024853</v>
      </c>
      <c r="F172" s="15"/>
      <c r="G172" s="15"/>
    </row>
    <row r="173" spans="2:7">
      <c r="B173" s="19">
        <v>125</v>
      </c>
      <c r="C173" s="15">
        <v>3981.6</v>
      </c>
      <c r="D173" s="15">
        <v>3967.2499859389723</v>
      </c>
      <c r="E173" s="15">
        <v>14.35001406102765</v>
      </c>
      <c r="F173" s="15"/>
      <c r="G173" s="15"/>
    </row>
    <row r="174" spans="2:7">
      <c r="B174" s="19">
        <v>126</v>
      </c>
      <c r="C174" s="15">
        <v>4030.6</v>
      </c>
      <c r="D174" s="15">
        <v>4103.6552052374773</v>
      </c>
      <c r="E174" s="15">
        <v>-73.055205237477367</v>
      </c>
      <c r="F174" s="15"/>
      <c r="G174" s="15"/>
    </row>
    <row r="175" spans="2:7">
      <c r="B175" s="19">
        <v>127</v>
      </c>
      <c r="C175" s="15">
        <v>4030.6</v>
      </c>
      <c r="D175" s="15">
        <v>4025.5558183404446</v>
      </c>
      <c r="E175" s="15">
        <v>5.0441816595553064</v>
      </c>
      <c r="F175" s="15"/>
      <c r="G175" s="15"/>
    </row>
    <row r="176" spans="2:7">
      <c r="B176" s="19">
        <v>128</v>
      </c>
      <c r="C176" s="15">
        <v>4148.3</v>
      </c>
      <c r="D176" s="15">
        <v>4098.5584440635548</v>
      </c>
      <c r="E176" s="15">
        <v>49.741555936445366</v>
      </c>
      <c r="F176" s="15"/>
      <c r="G176" s="15"/>
    </row>
    <row r="177" spans="2:7">
      <c r="B177" s="19">
        <v>129</v>
      </c>
      <c r="C177" s="15">
        <v>4068.8</v>
      </c>
      <c r="D177" s="15">
        <v>4035.948522922014</v>
      </c>
      <c r="E177" s="15">
        <v>32.851477077986146</v>
      </c>
      <c r="F177" s="15"/>
      <c r="G177" s="15"/>
    </row>
    <row r="178" spans="2:7">
      <c r="B178" s="19">
        <v>130</v>
      </c>
      <c r="C178" s="15">
        <v>4045.7</v>
      </c>
      <c r="D178" s="15">
        <v>3988.7958334493801</v>
      </c>
      <c r="E178" s="15">
        <v>56.904166550619721</v>
      </c>
      <c r="F178" s="15"/>
      <c r="G178" s="15"/>
    </row>
    <row r="179" spans="2:7">
      <c r="B179" s="19">
        <v>131</v>
      </c>
      <c r="C179" s="15">
        <v>4043.5</v>
      </c>
      <c r="D179" s="15">
        <v>4080.8593410502608</v>
      </c>
      <c r="E179" s="15">
        <v>-37.359341050260809</v>
      </c>
      <c r="F179" s="15"/>
      <c r="G179" s="15"/>
    </row>
    <row r="180" spans="2:7">
      <c r="B180" s="19">
        <v>132</v>
      </c>
      <c r="C180" s="15">
        <v>3921.4</v>
      </c>
      <c r="D180" s="15">
        <v>3938.1544147351278</v>
      </c>
      <c r="E180" s="15">
        <v>-16.754414735127739</v>
      </c>
      <c r="F180" s="15"/>
      <c r="G180" s="15"/>
    </row>
    <row r="181" spans="2:7">
      <c r="B181" s="19">
        <v>133</v>
      </c>
      <c r="C181" s="15">
        <v>3876.3</v>
      </c>
      <c r="D181" s="15">
        <v>3923.7139714051336</v>
      </c>
      <c r="E181" s="15">
        <v>-47.413971405133452</v>
      </c>
      <c r="F181" s="15"/>
      <c r="G181" s="15"/>
    </row>
    <row r="182" spans="2:7">
      <c r="B182" s="19">
        <v>134</v>
      </c>
      <c r="C182" s="15">
        <v>3928.4</v>
      </c>
      <c r="D182" s="15">
        <v>3829.9786476883887</v>
      </c>
      <c r="E182" s="15">
        <v>98.421352311611372</v>
      </c>
      <c r="F182" s="15"/>
      <c r="G182" s="15"/>
    </row>
    <row r="183" spans="2:7">
      <c r="B183" s="19">
        <v>135</v>
      </c>
      <c r="C183" s="15">
        <v>3727.7</v>
      </c>
      <c r="D183" s="15">
        <v>3802.7786087175759</v>
      </c>
      <c r="E183" s="15">
        <v>-75.078608717576117</v>
      </c>
      <c r="F183" s="15"/>
      <c r="G183" s="15"/>
    </row>
    <row r="184" spans="2:7">
      <c r="B184" s="19">
        <v>136</v>
      </c>
      <c r="C184" s="15">
        <v>4044.9</v>
      </c>
      <c r="D184" s="15">
        <v>4056.8488661665374</v>
      </c>
      <c r="E184" s="15">
        <v>-11.9488661665373</v>
      </c>
      <c r="F184" s="15"/>
      <c r="G184" s="15"/>
    </row>
    <row r="185" spans="2:7">
      <c r="B185" s="19">
        <v>137</v>
      </c>
      <c r="C185" s="15">
        <v>4068.6</v>
      </c>
      <c r="D185" s="15">
        <v>4059.1896852161876</v>
      </c>
      <c r="E185" s="15">
        <v>9.4103147838122823</v>
      </c>
      <c r="F185" s="15"/>
      <c r="G185" s="15"/>
    </row>
    <row r="186" spans="2:7">
      <c r="B186" s="19">
        <v>138</v>
      </c>
      <c r="C186" s="15">
        <v>4240.1000000000004</v>
      </c>
      <c r="D186" s="15">
        <v>4178.9820410803322</v>
      </c>
      <c r="E186" s="15">
        <v>61.117958919668126</v>
      </c>
      <c r="F186" s="15"/>
      <c r="G186" s="15"/>
    </row>
    <row r="187" spans="2:7">
      <c r="B187" s="19">
        <v>139</v>
      </c>
      <c r="C187" s="15">
        <v>4052.5</v>
      </c>
      <c r="D187" s="15">
        <v>4147.9990273446183</v>
      </c>
      <c r="E187" s="15">
        <v>-95.499027344618298</v>
      </c>
      <c r="F187" s="15"/>
      <c r="G187" s="15"/>
    </row>
    <row r="188" spans="2:7">
      <c r="B188" s="19">
        <v>140</v>
      </c>
      <c r="C188" s="15">
        <v>4230.7</v>
      </c>
      <c r="D188" s="15">
        <v>4204.4248014463919</v>
      </c>
      <c r="E188" s="15">
        <v>26.275198553607879</v>
      </c>
      <c r="F188" s="15"/>
      <c r="G188" s="15"/>
    </row>
    <row r="189" spans="2:7">
      <c r="B189" s="19">
        <v>141</v>
      </c>
      <c r="C189" s="15">
        <v>4093</v>
      </c>
      <c r="D189" s="15">
        <v>4133.1205422261037</v>
      </c>
      <c r="E189" s="15">
        <v>-40.12054222610368</v>
      </c>
      <c r="F189" s="15"/>
      <c r="G189" s="15"/>
    </row>
    <row r="190" spans="2:7">
      <c r="B190" s="19">
        <v>142</v>
      </c>
      <c r="C190" s="15">
        <v>4174.1000000000004</v>
      </c>
      <c r="D190" s="15">
        <v>4072.0139061056743</v>
      </c>
      <c r="E190" s="15">
        <v>102.08609389432604</v>
      </c>
      <c r="F190" s="15"/>
      <c r="G190" s="15"/>
    </row>
    <row r="191" spans="2:7">
      <c r="B191" s="19">
        <v>143</v>
      </c>
      <c r="C191" s="15">
        <v>4192.3</v>
      </c>
      <c r="D191" s="15">
        <v>4158.411432207311</v>
      </c>
      <c r="E191" s="15">
        <v>33.888567792689173</v>
      </c>
      <c r="F191" s="15"/>
      <c r="G191" s="15"/>
    </row>
    <row r="192" spans="2:7">
      <c r="B192" s="19">
        <v>144</v>
      </c>
      <c r="C192" s="15">
        <v>3998.1</v>
      </c>
      <c r="D192" s="15">
        <v>4036.9490747058594</v>
      </c>
      <c r="E192" s="15">
        <v>-38.849074705859493</v>
      </c>
      <c r="F192" s="15"/>
      <c r="G192" s="15"/>
    </row>
    <row r="193" spans="2:8">
      <c r="B193" s="19">
        <v>145</v>
      </c>
      <c r="C193" s="15">
        <v>4115.8</v>
      </c>
      <c r="D193" s="15">
        <v>4011.836301440308</v>
      </c>
      <c r="E193" s="15">
        <v>103.96369855969215</v>
      </c>
      <c r="F193" s="15"/>
      <c r="G193" s="15"/>
    </row>
    <row r="194" spans="2:8">
      <c r="B194" s="19">
        <v>146</v>
      </c>
      <c r="C194" s="15">
        <v>4048.7</v>
      </c>
      <c r="D194" s="15">
        <v>3981.5662987811775</v>
      </c>
      <c r="E194" s="15">
        <v>67.133701218822353</v>
      </c>
      <c r="F194" s="15"/>
      <c r="G194" s="15"/>
    </row>
    <row r="195" spans="2:8">
      <c r="B195" s="19">
        <v>147</v>
      </c>
      <c r="C195" s="15">
        <v>3854.8</v>
      </c>
      <c r="D195" s="15">
        <v>3916.9470778899827</v>
      </c>
      <c r="E195" s="15">
        <v>-62.147077889982484</v>
      </c>
      <c r="F195" s="15"/>
      <c r="G195" s="15"/>
    </row>
    <row r="196" spans="2:8">
      <c r="B196" s="19">
        <v>148</v>
      </c>
      <c r="C196" s="15">
        <v>3930.9</v>
      </c>
      <c r="D196" s="15">
        <v>4186.0462709834774</v>
      </c>
      <c r="E196" s="15">
        <v>-255.14627098347728</v>
      </c>
      <c r="F196" s="15"/>
      <c r="G196" s="15"/>
    </row>
    <row r="197" spans="2:8">
      <c r="B197" s="19">
        <v>149</v>
      </c>
      <c r="C197" s="15">
        <v>4169.3</v>
      </c>
      <c r="D197" s="15">
        <v>4132.3095641668433</v>
      </c>
      <c r="E197" s="15">
        <v>36.99043583315688</v>
      </c>
      <c r="F197" s="15"/>
      <c r="G197" s="15"/>
    </row>
    <row r="198" spans="2:8">
      <c r="B198" s="19">
        <v>150</v>
      </c>
      <c r="C198" s="15">
        <v>4070.6</v>
      </c>
      <c r="D198" s="15">
        <v>4267.6226799133474</v>
      </c>
      <c r="E198" s="15">
        <v>-197.02267991334747</v>
      </c>
      <c r="F198" s="15"/>
      <c r="G198" s="15"/>
    </row>
    <row r="199" spans="2:8">
      <c r="B199" s="19">
        <v>151</v>
      </c>
      <c r="C199" s="15">
        <v>4223.5</v>
      </c>
      <c r="D199" s="15">
        <v>4144.4828448742028</v>
      </c>
      <c r="E199" s="15">
        <v>79.017155125797217</v>
      </c>
      <c r="F199" s="15"/>
      <c r="G199" s="15"/>
    </row>
    <row r="200" spans="2:8">
      <c r="B200" s="19">
        <v>152</v>
      </c>
      <c r="C200" s="15">
        <v>4369.3</v>
      </c>
      <c r="D200" s="15">
        <v>4264.2079829637778</v>
      </c>
      <c r="E200" s="15">
        <v>105.09201703622239</v>
      </c>
      <c r="F200" s="15"/>
      <c r="G200" s="15"/>
    </row>
    <row r="201" spans="2:8">
      <c r="B201" s="19">
        <v>153</v>
      </c>
      <c r="C201" s="15">
        <v>4112.6000000000004</v>
      </c>
      <c r="D201" s="15">
        <v>4200.1578941794278</v>
      </c>
      <c r="E201" s="15">
        <v>-87.557894179427421</v>
      </c>
      <c r="F201" s="15"/>
      <c r="G201" s="15"/>
    </row>
    <row r="202" spans="2:8">
      <c r="B202" s="19">
        <v>154</v>
      </c>
      <c r="C202" s="15">
        <v>4165.6000000000004</v>
      </c>
      <c r="D202" s="15">
        <v>4151.8946454244242</v>
      </c>
      <c r="E202" s="15">
        <v>13.705354575576166</v>
      </c>
      <c r="F202" s="15"/>
      <c r="G202" s="15"/>
    </row>
    <row r="203" spans="2:8">
      <c r="B203" s="19">
        <v>155</v>
      </c>
      <c r="C203" s="15">
        <v>4212.6000000000004</v>
      </c>
      <c r="D203" s="15">
        <v>4203.7189267752101</v>
      </c>
      <c r="E203" s="15">
        <v>8.8810732247902706</v>
      </c>
      <c r="F203" s="15"/>
      <c r="G203" s="15"/>
    </row>
    <row r="204" spans="2:8">
      <c r="B204" s="19">
        <v>156</v>
      </c>
      <c r="C204" s="15">
        <v>4163.5</v>
      </c>
      <c r="D204" s="15">
        <v>4062.2368837266808</v>
      </c>
      <c r="E204" s="15">
        <v>101.26311627331916</v>
      </c>
      <c r="F204" s="15"/>
      <c r="G204" s="15"/>
      <c r="H204" s="29">
        <v>0</v>
      </c>
    </row>
    <row r="205" spans="2:8" ht="16" thickBot="1">
      <c r="B205" s="20">
        <v>157</v>
      </c>
      <c r="C205" s="16"/>
      <c r="D205" s="16">
        <v>4096.0094332180743</v>
      </c>
      <c r="E205" s="16"/>
      <c r="F205" s="16">
        <v>3915.4970084655106</v>
      </c>
      <c r="G205" s="16">
        <v>4276.5218579706379</v>
      </c>
    </row>
    <row r="225" spans="7:7">
      <c r="G225" t="s">
        <v>187</v>
      </c>
    </row>
  </sheetData>
  <pageMargins left="0.7" right="0.7" top="0.75" bottom="0.75" header="0.3" footer="0.3"/>
  <ignoredErrors>
    <ignoredError sqref="A1"/>
  </ignoredError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F03BD-385A-46CD-A826-3327CC130A69}">
  <sheetPr codeName="Sheet16">
    <tabColor rgb="FF007800"/>
  </sheetPr>
  <dimension ref="B1:I234"/>
  <sheetViews>
    <sheetView topLeftCell="A18" workbookViewId="0">
      <selection activeCell="H37" sqref="H37"/>
    </sheetView>
  </sheetViews>
  <sheetFormatPr baseColWidth="10" defaultColWidth="8.83203125" defaultRowHeight="15"/>
  <cols>
    <col min="1" max="1" width="4.6640625" customWidth="1"/>
  </cols>
  <sheetData>
    <row r="1" spans="2:9">
      <c r="B1" t="s">
        <v>315</v>
      </c>
    </row>
    <row r="2" spans="2:9">
      <c r="B2" t="s">
        <v>295</v>
      </c>
    </row>
    <row r="3" spans="2:9">
      <c r="B3" t="s">
        <v>227</v>
      </c>
    </row>
    <row r="4" spans="2:9">
      <c r="B4" t="s">
        <v>296</v>
      </c>
    </row>
    <row r="5" spans="2:9">
      <c r="B5" t="s">
        <v>316</v>
      </c>
    </row>
    <row r="6" spans="2:9">
      <c r="B6" t="s">
        <v>294</v>
      </c>
    </row>
    <row r="7" spans="2:9">
      <c r="B7" t="s">
        <v>227</v>
      </c>
    </row>
    <row r="9" spans="2:9" ht="34.25" customHeight="1"/>
    <row r="13" spans="2:9">
      <c r="B13" t="s">
        <v>228</v>
      </c>
    </row>
    <row r="14" spans="2:9" ht="16" thickBot="1"/>
    <row r="15" spans="2:9">
      <c r="B15" s="6" t="s">
        <v>229</v>
      </c>
      <c r="C15" s="7" t="s">
        <v>195</v>
      </c>
      <c r="D15" s="7" t="s">
        <v>230</v>
      </c>
      <c r="E15" s="7" t="s">
        <v>231</v>
      </c>
      <c r="F15" s="7" t="s">
        <v>232</v>
      </c>
      <c r="G15" s="7" t="s">
        <v>233</v>
      </c>
      <c r="H15" s="7" t="s">
        <v>234</v>
      </c>
      <c r="I15" s="7" t="s">
        <v>235</v>
      </c>
    </row>
    <row r="16" spans="2:9" ht="16" thickBot="1">
      <c r="B16" s="8" t="s">
        <v>297</v>
      </c>
      <c r="C16" s="9">
        <v>156</v>
      </c>
      <c r="D16" s="9">
        <v>0</v>
      </c>
      <c r="E16" s="9">
        <v>156</v>
      </c>
      <c r="F16" s="10">
        <v>2754.2</v>
      </c>
      <c r="G16" s="10">
        <v>4369.3</v>
      </c>
      <c r="H16" s="10">
        <v>3556.3794871794889</v>
      </c>
      <c r="I16" s="10">
        <v>400.1073998909248</v>
      </c>
    </row>
    <row r="19" spans="2:3">
      <c r="B19" s="11" t="s">
        <v>298</v>
      </c>
    </row>
    <row r="21" spans="2:3">
      <c r="B21" t="s">
        <v>309</v>
      </c>
    </row>
    <row r="23" spans="2:3">
      <c r="B23" t="s">
        <v>236</v>
      </c>
    </row>
    <row r="24" spans="2:3" ht="16" thickBot="1"/>
    <row r="25" spans="2:3">
      <c r="B25" s="12" t="s">
        <v>195</v>
      </c>
      <c r="C25" s="12">
        <v>143</v>
      </c>
    </row>
    <row r="26" spans="2:3">
      <c r="B26" s="5" t="s">
        <v>237</v>
      </c>
      <c r="C26" s="5">
        <v>135</v>
      </c>
    </row>
    <row r="27" spans="2:3">
      <c r="B27" s="5" t="s">
        <v>238</v>
      </c>
      <c r="C27" s="5">
        <v>1248924.3465191575</v>
      </c>
    </row>
    <row r="28" spans="2:3">
      <c r="B28" s="5" t="s">
        <v>239</v>
      </c>
      <c r="C28" s="5">
        <v>9251.2914556974629</v>
      </c>
    </row>
    <row r="29" spans="2:3">
      <c r="B29" s="40" t="s">
        <v>221</v>
      </c>
      <c r="C29" s="40">
        <v>96.183634032497764</v>
      </c>
    </row>
    <row r="30" spans="2:3">
      <c r="B30" s="5" t="s">
        <v>240</v>
      </c>
      <c r="C30" s="5">
        <v>9251.2914556974629</v>
      </c>
    </row>
    <row r="31" spans="2:3">
      <c r="B31" s="5" t="s">
        <v>241</v>
      </c>
      <c r="C31" s="5">
        <v>236.63215970379116</v>
      </c>
    </row>
    <row r="32" spans="2:3">
      <c r="B32" s="40" t="s">
        <v>242</v>
      </c>
      <c r="C32" s="40">
        <v>1.928545498635132</v>
      </c>
    </row>
    <row r="33" spans="2:9">
      <c r="B33" s="5" t="s">
        <v>243</v>
      </c>
      <c r="C33" s="5">
        <v>1720.6777323498568</v>
      </c>
    </row>
    <row r="34" spans="2:9">
      <c r="B34" s="5" t="s">
        <v>244</v>
      </c>
      <c r="C34" s="5">
        <v>16189.76004747056</v>
      </c>
    </row>
    <row r="35" spans="2:9">
      <c r="B35" s="5" t="s">
        <v>245</v>
      </c>
      <c r="C35" s="5">
        <v>1736.6777323498568</v>
      </c>
    </row>
    <row r="36" spans="2:9">
      <c r="B36" s="5" t="s">
        <v>246</v>
      </c>
      <c r="C36" s="5">
        <v>1737.7523592155285</v>
      </c>
    </row>
    <row r="37" spans="2:9">
      <c r="B37" s="5" t="s">
        <v>247</v>
      </c>
      <c r="C37" s="5">
        <v>1760.380489391936</v>
      </c>
    </row>
    <row r="38" spans="2:9" ht="16" thickBot="1">
      <c r="B38" s="13" t="s">
        <v>248</v>
      </c>
      <c r="C38" s="13">
        <v>104</v>
      </c>
    </row>
    <row r="41" spans="2:9">
      <c r="B41" t="s">
        <v>249</v>
      </c>
    </row>
    <row r="42" spans="2:9" ht="16" thickBot="1"/>
    <row r="43" spans="2:9">
      <c r="B43" s="6" t="s">
        <v>250</v>
      </c>
      <c r="C43" s="7" t="s">
        <v>251</v>
      </c>
      <c r="D43" s="7" t="s">
        <v>252</v>
      </c>
      <c r="E43" s="7" t="s">
        <v>253</v>
      </c>
      <c r="F43" s="7" t="s">
        <v>254</v>
      </c>
    </row>
    <row r="44" spans="2:9" ht="16" thickBot="1">
      <c r="B44" s="8" t="s">
        <v>255</v>
      </c>
      <c r="C44" s="10">
        <v>1.0077910097399796E-2</v>
      </c>
      <c r="D44" s="10">
        <v>1.3809340858068177E-3</v>
      </c>
      <c r="E44" s="10">
        <v>7.371329024194689E-3</v>
      </c>
      <c r="F44" s="10">
        <v>1.2784491170604902E-2</v>
      </c>
    </row>
    <row r="46" spans="2:9" ht="16" thickBot="1"/>
    <row r="47" spans="2:9">
      <c r="B47" s="6" t="s">
        <v>250</v>
      </c>
      <c r="C47" s="7" t="s">
        <v>251</v>
      </c>
      <c r="D47" s="7" t="s">
        <v>252</v>
      </c>
      <c r="E47" s="7" t="s">
        <v>253</v>
      </c>
      <c r="F47" s="7" t="s">
        <v>254</v>
      </c>
      <c r="G47" s="7" t="s">
        <v>256</v>
      </c>
      <c r="H47" s="7" t="s">
        <v>253</v>
      </c>
      <c r="I47" s="7" t="s">
        <v>254</v>
      </c>
    </row>
    <row r="48" spans="2:9">
      <c r="B48" s="31" t="s">
        <v>257</v>
      </c>
      <c r="C48" s="14">
        <v>-0.76705886064585016</v>
      </c>
      <c r="D48" s="14">
        <v>9.2330622216352382E-2</v>
      </c>
      <c r="E48" s="14">
        <v>-0.94802355486007461</v>
      </c>
      <c r="F48" s="14">
        <v>-0.58609416643162571</v>
      </c>
      <c r="G48" s="14">
        <v>8.35920117697347E-2</v>
      </c>
      <c r="H48" s="14">
        <v>-0.93089619310977845</v>
      </c>
      <c r="I48" s="14">
        <v>-0.60322152818192187</v>
      </c>
    </row>
    <row r="49" spans="2:9">
      <c r="B49" s="5" t="s">
        <v>312</v>
      </c>
      <c r="C49" s="15">
        <v>-0.44756961260053257</v>
      </c>
      <c r="D49" s="15">
        <v>0.1080159162086004</v>
      </c>
      <c r="E49" s="15">
        <v>-0.65927691812648559</v>
      </c>
      <c r="F49" s="15">
        <v>-0.23586230707457956</v>
      </c>
      <c r="G49" s="15">
        <v>0.10493009594321226</v>
      </c>
      <c r="H49" s="15">
        <v>-0.65322882154356099</v>
      </c>
      <c r="I49" s="15">
        <v>-0.24191040365750416</v>
      </c>
    </row>
    <row r="50" spans="2:9">
      <c r="B50" s="5" t="s">
        <v>317</v>
      </c>
      <c r="C50" s="15">
        <v>-0.10835259609743315</v>
      </c>
      <c r="D50" s="15">
        <v>8.4114667816975228E-2</v>
      </c>
      <c r="E50" s="15">
        <v>-0.27321431559025494</v>
      </c>
      <c r="F50" s="15">
        <v>5.6509123395388619E-2</v>
      </c>
      <c r="G50" s="15">
        <v>0.11018802211609616</v>
      </c>
      <c r="H50" s="15">
        <v>-0.32431715097268454</v>
      </c>
      <c r="I50" s="15">
        <v>0.10761195877781822</v>
      </c>
    </row>
    <row r="51" spans="2:9">
      <c r="B51" s="5" t="s">
        <v>310</v>
      </c>
      <c r="C51" s="15">
        <v>-0.74584085298525271</v>
      </c>
      <c r="D51" s="15">
        <v>9.6814972400734597E-2</v>
      </c>
      <c r="E51" s="15">
        <v>-0.93559471205493183</v>
      </c>
      <c r="F51" s="15">
        <v>-0.55608699391557359</v>
      </c>
      <c r="G51" s="15">
        <v>0.10846672636010425</v>
      </c>
      <c r="H51" s="15">
        <v>-0.95843173017201833</v>
      </c>
      <c r="I51" s="15">
        <v>-0.5332499757984871</v>
      </c>
    </row>
    <row r="52" spans="2:9">
      <c r="B52" s="5" t="s">
        <v>313</v>
      </c>
      <c r="C52" s="15">
        <v>-0.39574728666456677</v>
      </c>
      <c r="D52" s="15">
        <v>0.10957076809989651</v>
      </c>
      <c r="E52" s="15">
        <v>-0.61050204589875412</v>
      </c>
      <c r="F52" s="15">
        <v>-0.18099252743037941</v>
      </c>
      <c r="G52" s="15">
        <v>0.12960314075294924</v>
      </c>
      <c r="H52" s="15">
        <v>-0.6497647748236226</v>
      </c>
      <c r="I52" s="15">
        <v>-0.14172979850551098</v>
      </c>
    </row>
    <row r="53" spans="2:9" ht="16" thickBot="1">
      <c r="B53" s="13" t="s">
        <v>318</v>
      </c>
      <c r="C53" s="16">
        <v>-0.25604906216178697</v>
      </c>
      <c r="D53" s="16">
        <v>8.9496821757607453E-2</v>
      </c>
      <c r="E53" s="16">
        <v>-0.43145960953749823</v>
      </c>
      <c r="F53" s="16">
        <v>-8.0638514786075699E-2</v>
      </c>
      <c r="G53" s="16">
        <v>0.10846672636010425</v>
      </c>
      <c r="H53" s="16">
        <v>-0.46863993934855253</v>
      </c>
      <c r="I53" s="16">
        <v>-4.345818497502138E-2</v>
      </c>
    </row>
    <row r="56" spans="2:9">
      <c r="B56" t="s">
        <v>258</v>
      </c>
    </row>
    <row r="57" spans="2:9" ht="16" thickBot="1"/>
    <row r="58" spans="2:9">
      <c r="B58" s="17" t="s">
        <v>195</v>
      </c>
      <c r="C58" s="7" t="s">
        <v>297</v>
      </c>
      <c r="D58" s="7" t="s">
        <v>311</v>
      </c>
      <c r="E58" s="7" t="s">
        <v>217</v>
      </c>
      <c r="F58" s="7" t="s">
        <v>259</v>
      </c>
    </row>
    <row r="59" spans="2:9">
      <c r="B59" s="18">
        <v>1</v>
      </c>
      <c r="C59" s="14">
        <v>2796.8</v>
      </c>
      <c r="D59" s="14">
        <v>2796.8</v>
      </c>
      <c r="E59" s="14">
        <v>0</v>
      </c>
      <c r="F59" s="14">
        <v>0</v>
      </c>
    </row>
    <row r="60" spans="2:9">
      <c r="B60" s="19">
        <v>2</v>
      </c>
      <c r="C60" s="15">
        <v>2791</v>
      </c>
      <c r="D60" s="15">
        <v>2791</v>
      </c>
      <c r="E60" s="15">
        <v>0</v>
      </c>
      <c r="F60" s="15">
        <v>0</v>
      </c>
    </row>
    <row r="61" spans="2:9">
      <c r="B61" s="19">
        <v>3</v>
      </c>
      <c r="C61" s="15">
        <v>2754.2</v>
      </c>
      <c r="D61" s="15">
        <v>2754.2</v>
      </c>
      <c r="E61" s="15">
        <v>0</v>
      </c>
      <c r="F61" s="15">
        <v>0</v>
      </c>
    </row>
    <row r="62" spans="2:9">
      <c r="B62" s="19">
        <v>4</v>
      </c>
      <c r="C62" s="15">
        <v>2968.7</v>
      </c>
      <c r="D62" s="15">
        <v>2968.7</v>
      </c>
      <c r="E62" s="15">
        <v>0</v>
      </c>
      <c r="F62" s="15">
        <v>0</v>
      </c>
    </row>
    <row r="63" spans="2:9">
      <c r="B63" s="19">
        <v>5</v>
      </c>
      <c r="C63" s="15">
        <v>2957.3</v>
      </c>
      <c r="D63" s="15">
        <v>2957.3</v>
      </c>
      <c r="E63" s="15">
        <v>0</v>
      </c>
      <c r="F63" s="15">
        <v>0</v>
      </c>
    </row>
    <row r="64" spans="2:9">
      <c r="B64" s="19">
        <v>6</v>
      </c>
      <c r="C64" s="15">
        <v>3097.4</v>
      </c>
      <c r="D64" s="15">
        <v>3097.4</v>
      </c>
      <c r="E64" s="15">
        <v>0</v>
      </c>
      <c r="F64" s="15">
        <v>0</v>
      </c>
    </row>
    <row r="65" spans="2:6">
      <c r="B65" s="19">
        <v>7</v>
      </c>
      <c r="C65" s="15">
        <v>2994.9</v>
      </c>
      <c r="D65" s="15">
        <v>2994.9</v>
      </c>
      <c r="E65" s="15">
        <v>0</v>
      </c>
      <c r="F65" s="15">
        <v>0</v>
      </c>
    </row>
    <row r="66" spans="2:6">
      <c r="B66" s="19">
        <v>8</v>
      </c>
      <c r="C66" s="15">
        <v>3116.5</v>
      </c>
      <c r="D66" s="15">
        <v>3116.5</v>
      </c>
      <c r="E66" s="15">
        <v>0</v>
      </c>
      <c r="F66" s="15">
        <v>0</v>
      </c>
    </row>
    <row r="67" spans="2:6">
      <c r="B67" s="19">
        <v>9</v>
      </c>
      <c r="C67" s="15">
        <v>3037.8</v>
      </c>
      <c r="D67" s="15">
        <v>3037.8</v>
      </c>
      <c r="E67" s="15">
        <v>0</v>
      </c>
      <c r="F67" s="15">
        <v>0</v>
      </c>
    </row>
    <row r="68" spans="2:6">
      <c r="B68" s="19">
        <v>10</v>
      </c>
      <c r="C68" s="15">
        <v>2916.7</v>
      </c>
      <c r="D68" s="15">
        <v>2916.7</v>
      </c>
      <c r="E68" s="15">
        <v>0</v>
      </c>
      <c r="F68" s="15">
        <v>0</v>
      </c>
    </row>
    <row r="69" spans="2:6">
      <c r="B69" s="19">
        <v>11</v>
      </c>
      <c r="C69" s="15">
        <v>3156.6</v>
      </c>
      <c r="D69" s="15">
        <v>3156.6</v>
      </c>
      <c r="E69" s="15">
        <v>0</v>
      </c>
      <c r="F69" s="15">
        <v>0</v>
      </c>
    </row>
    <row r="70" spans="2:6">
      <c r="B70" s="19">
        <v>12</v>
      </c>
      <c r="C70" s="15">
        <v>2901.3</v>
      </c>
      <c r="D70" s="15">
        <v>2901.3</v>
      </c>
      <c r="E70" s="15">
        <v>0</v>
      </c>
      <c r="F70" s="15">
        <v>0</v>
      </c>
    </row>
    <row r="71" spans="2:6">
      <c r="B71" s="19">
        <v>13</v>
      </c>
      <c r="C71" s="15">
        <v>2975.3</v>
      </c>
      <c r="D71" s="15">
        <v>2975.3</v>
      </c>
      <c r="E71" s="15">
        <v>0</v>
      </c>
      <c r="F71" s="15">
        <v>0</v>
      </c>
    </row>
    <row r="72" spans="2:6">
      <c r="B72" s="19">
        <v>14</v>
      </c>
      <c r="C72" s="15">
        <v>2887.4</v>
      </c>
      <c r="D72" s="15">
        <v>2937.403057347793</v>
      </c>
      <c r="E72" s="15">
        <v>-50.003057347792947</v>
      </c>
      <c r="F72" s="15">
        <v>-0.51987074361214414</v>
      </c>
    </row>
    <row r="73" spans="2:6">
      <c r="B73" s="19">
        <v>15</v>
      </c>
      <c r="C73" s="15">
        <v>2893.8</v>
      </c>
      <c r="D73" s="15">
        <v>2894.0877030626089</v>
      </c>
      <c r="E73" s="15">
        <v>-0.28770306260867073</v>
      </c>
      <c r="F73" s="15">
        <v>-2.9911852000878226E-3</v>
      </c>
    </row>
    <row r="74" spans="2:6">
      <c r="B74" s="19">
        <v>16</v>
      </c>
      <c r="C74" s="15">
        <v>3023.6</v>
      </c>
      <c r="D74" s="15">
        <v>3088.2029866378207</v>
      </c>
      <c r="E74" s="15">
        <v>-64.602986637820777</v>
      </c>
      <c r="F74" s="15">
        <v>-0.67166298391255663</v>
      </c>
    </row>
    <row r="75" spans="2:6">
      <c r="B75" s="19">
        <v>17</v>
      </c>
      <c r="C75" s="15">
        <v>3092.5</v>
      </c>
      <c r="D75" s="15">
        <v>3072.5907371897297</v>
      </c>
      <c r="E75" s="15">
        <v>19.90926281027032</v>
      </c>
      <c r="F75" s="15">
        <v>0.20699220829547296</v>
      </c>
    </row>
    <row r="76" spans="2:6">
      <c r="B76" s="19">
        <v>18</v>
      </c>
      <c r="C76" s="15">
        <v>3182.1</v>
      </c>
      <c r="D76" s="15">
        <v>3199.2635841220008</v>
      </c>
      <c r="E76" s="15">
        <v>-17.163584122000884</v>
      </c>
      <c r="F76" s="15">
        <v>-0.17844599338180328</v>
      </c>
    </row>
    <row r="77" spans="2:6">
      <c r="B77" s="19">
        <v>19</v>
      </c>
      <c r="C77" s="15">
        <v>3007.5</v>
      </c>
      <c r="D77" s="15">
        <v>3072.6096504304537</v>
      </c>
      <c r="E77" s="15">
        <v>-65.109650430453712</v>
      </c>
      <c r="F77" s="15">
        <v>-0.67693065546322551</v>
      </c>
    </row>
    <row r="78" spans="2:6">
      <c r="B78" s="19">
        <v>20</v>
      </c>
      <c r="C78" s="15">
        <v>3264</v>
      </c>
      <c r="D78" s="15">
        <v>3213.5723999090778</v>
      </c>
      <c r="E78" s="15">
        <v>50.427600090922169</v>
      </c>
      <c r="F78" s="15">
        <v>0.52428462074830828</v>
      </c>
    </row>
    <row r="79" spans="2:6">
      <c r="B79" s="19">
        <v>21</v>
      </c>
      <c r="C79" s="15">
        <v>3114</v>
      </c>
      <c r="D79" s="15">
        <v>3118.3621940584526</v>
      </c>
      <c r="E79" s="15">
        <v>-4.3621940584525873</v>
      </c>
      <c r="F79" s="15">
        <v>-4.5352768195249554E-2</v>
      </c>
    </row>
    <row r="80" spans="2:6">
      <c r="B80" s="19">
        <v>22</v>
      </c>
      <c r="C80" s="15">
        <v>3107.1</v>
      </c>
      <c r="D80" s="15">
        <v>3017.9398396917827</v>
      </c>
      <c r="E80" s="15">
        <v>89.160160308217201</v>
      </c>
      <c r="F80" s="15">
        <v>0.92697849488710804</v>
      </c>
    </row>
    <row r="81" spans="2:6">
      <c r="B81" s="19">
        <v>23</v>
      </c>
      <c r="C81" s="15">
        <v>3215</v>
      </c>
      <c r="D81" s="15">
        <v>3265.1869150843058</v>
      </c>
      <c r="E81" s="15">
        <v>-50.186915084305838</v>
      </c>
      <c r="F81" s="15">
        <v>-0.52178227189200488</v>
      </c>
    </row>
    <row r="82" spans="2:6">
      <c r="B82" s="19">
        <v>24</v>
      </c>
      <c r="C82" s="15">
        <v>3039.4</v>
      </c>
      <c r="D82" s="15">
        <v>3028.4004567846841</v>
      </c>
      <c r="E82" s="15">
        <v>10.999543215315953</v>
      </c>
      <c r="F82" s="15">
        <v>0.11435982145984955</v>
      </c>
    </row>
    <row r="83" spans="2:6">
      <c r="B83" s="19">
        <v>25</v>
      </c>
      <c r="C83" s="15">
        <v>3166.4</v>
      </c>
      <c r="D83" s="15">
        <v>3087.9385808565921</v>
      </c>
      <c r="E83" s="15">
        <v>78.461419143407966</v>
      </c>
      <c r="F83" s="15">
        <v>0.81574604591149091</v>
      </c>
    </row>
    <row r="84" spans="2:6">
      <c r="B84" s="19">
        <v>26</v>
      </c>
      <c r="C84" s="15">
        <v>2938.6</v>
      </c>
      <c r="D84" s="15">
        <v>3046.022117218216</v>
      </c>
      <c r="E84" s="15">
        <v>-107.42211721821604</v>
      </c>
      <c r="F84" s="15">
        <v>-1.1168440275600433</v>
      </c>
    </row>
    <row r="85" spans="2:6">
      <c r="B85" s="19">
        <v>27</v>
      </c>
      <c r="C85" s="15">
        <v>3018.8</v>
      </c>
      <c r="D85" s="15">
        <v>3018.6824408940447</v>
      </c>
      <c r="E85" s="15">
        <v>0.11755910595547903</v>
      </c>
      <c r="F85" s="15">
        <v>1.2222360606146268E-3</v>
      </c>
    </row>
    <row r="86" spans="2:6">
      <c r="B86" s="19">
        <v>28</v>
      </c>
      <c r="C86" s="15">
        <v>3150</v>
      </c>
      <c r="D86" s="15">
        <v>3192.4030294942122</v>
      </c>
      <c r="E86" s="15">
        <v>-42.403029494212205</v>
      </c>
      <c r="F86" s="15">
        <v>-0.44085493255417452</v>
      </c>
    </row>
    <row r="87" spans="2:6">
      <c r="B87" s="19">
        <v>29</v>
      </c>
      <c r="C87" s="15">
        <v>3271.1</v>
      </c>
      <c r="D87" s="15">
        <v>3190.3833090085777</v>
      </c>
      <c r="E87" s="15">
        <v>80.716690991422183</v>
      </c>
      <c r="F87" s="15">
        <v>0.83919360921786623</v>
      </c>
    </row>
    <row r="88" spans="2:6">
      <c r="B88" s="19">
        <v>30</v>
      </c>
      <c r="C88" s="15">
        <v>3222.5</v>
      </c>
      <c r="D88" s="15">
        <v>3318.7090674830838</v>
      </c>
      <c r="E88" s="15">
        <v>-96.2090674830838</v>
      </c>
      <c r="F88" s="15">
        <v>-1.0002644259685327</v>
      </c>
    </row>
    <row r="89" spans="2:6">
      <c r="B89" s="19">
        <v>31</v>
      </c>
      <c r="C89" s="15">
        <v>3288.9</v>
      </c>
      <c r="D89" s="15">
        <v>3184.0643147910241</v>
      </c>
      <c r="E89" s="15">
        <v>104.83568520897597</v>
      </c>
      <c r="F89" s="15">
        <v>1.0899534651971554</v>
      </c>
    </row>
    <row r="90" spans="2:6">
      <c r="B90" s="19">
        <v>32</v>
      </c>
      <c r="C90" s="15">
        <v>3277.4</v>
      </c>
      <c r="D90" s="15">
        <v>3374.4168248868891</v>
      </c>
      <c r="E90" s="15">
        <v>-97.016824886889026</v>
      </c>
      <c r="F90" s="15">
        <v>-1.0086625012952801</v>
      </c>
    </row>
    <row r="91" spans="2:6">
      <c r="B91" s="19">
        <v>33</v>
      </c>
      <c r="C91" s="15">
        <v>3205.8</v>
      </c>
      <c r="D91" s="15">
        <v>3241.0157324908896</v>
      </c>
      <c r="E91" s="15">
        <v>-35.215732490889422</v>
      </c>
      <c r="F91" s="15">
        <v>-0.36613019299095112</v>
      </c>
    </row>
    <row r="92" spans="2:6">
      <c r="B92" s="19">
        <v>34</v>
      </c>
      <c r="C92" s="15">
        <v>3268.2</v>
      </c>
      <c r="D92" s="15">
        <v>3173.1237813746661</v>
      </c>
      <c r="E92" s="15">
        <v>95.076218625333695</v>
      </c>
      <c r="F92" s="15">
        <v>0.98848644659454321</v>
      </c>
    </row>
    <row r="93" spans="2:6">
      <c r="B93" s="19">
        <v>35</v>
      </c>
      <c r="C93" s="15">
        <v>3378.1</v>
      </c>
      <c r="D93" s="15">
        <v>3355.5779937833136</v>
      </c>
      <c r="E93" s="15">
        <v>22.52200621668635</v>
      </c>
      <c r="F93" s="15">
        <v>0.23415632444368648</v>
      </c>
    </row>
    <row r="94" spans="2:6">
      <c r="B94" s="19">
        <v>36</v>
      </c>
      <c r="C94" s="15">
        <v>3119.2</v>
      </c>
      <c r="D94" s="15">
        <v>3151.5904842130576</v>
      </c>
      <c r="E94" s="15">
        <v>-32.390484213057789</v>
      </c>
      <c r="F94" s="15">
        <v>-0.33675671062827539</v>
      </c>
    </row>
    <row r="95" spans="2:6">
      <c r="B95" s="19">
        <v>37</v>
      </c>
      <c r="C95" s="15">
        <v>3149.8</v>
      </c>
      <c r="D95" s="15">
        <v>3241.0210125536441</v>
      </c>
      <c r="E95" s="15">
        <v>-91.221012553643959</v>
      </c>
      <c r="F95" s="15">
        <v>-0.94840472052473013</v>
      </c>
    </row>
    <row r="96" spans="2:6">
      <c r="B96" s="19">
        <v>38</v>
      </c>
      <c r="C96" s="15">
        <v>3166.2</v>
      </c>
      <c r="D96" s="15">
        <v>3099.0497965065151</v>
      </c>
      <c r="E96" s="15">
        <v>67.150203493484696</v>
      </c>
      <c r="F96" s="15">
        <v>0.69814583498473881</v>
      </c>
    </row>
    <row r="97" spans="2:6">
      <c r="B97" s="19">
        <v>39</v>
      </c>
      <c r="C97" s="15">
        <v>2987.2</v>
      </c>
      <c r="D97" s="15">
        <v>3107.0185714476966</v>
      </c>
      <c r="E97" s="15">
        <v>-119.81857144769674</v>
      </c>
      <c r="F97" s="15">
        <v>-1.2457272243135811</v>
      </c>
    </row>
    <row r="98" spans="2:6">
      <c r="B98" s="19">
        <v>40</v>
      </c>
      <c r="C98" s="15">
        <v>3289</v>
      </c>
      <c r="D98" s="15">
        <v>3237.0980655254752</v>
      </c>
      <c r="E98" s="15">
        <v>51.901934474524751</v>
      </c>
      <c r="F98" s="15">
        <v>0.53961294971438212</v>
      </c>
    </row>
    <row r="99" spans="2:6">
      <c r="B99" s="19">
        <v>41</v>
      </c>
      <c r="C99" s="15">
        <v>3279.6</v>
      </c>
      <c r="D99" s="15">
        <v>3313.0732534666172</v>
      </c>
      <c r="E99" s="15">
        <v>-33.47325346661728</v>
      </c>
      <c r="F99" s="15">
        <v>-0.34801402341803389</v>
      </c>
    </row>
    <row r="100" spans="2:6">
      <c r="B100" s="19">
        <v>42</v>
      </c>
      <c r="C100" s="15">
        <v>3396.1</v>
      </c>
      <c r="D100" s="15">
        <v>3350.9714724232367</v>
      </c>
      <c r="E100" s="15">
        <v>45.12852757676319</v>
      </c>
      <c r="F100" s="15">
        <v>0.46919133416726094</v>
      </c>
    </row>
    <row r="101" spans="2:6">
      <c r="B101" s="19">
        <v>43</v>
      </c>
      <c r="C101" s="15">
        <v>3368.5</v>
      </c>
      <c r="D101" s="15">
        <v>3287.4299666331153</v>
      </c>
      <c r="E101" s="15">
        <v>81.070033366884672</v>
      </c>
      <c r="F101" s="15">
        <v>0.84286723185665213</v>
      </c>
    </row>
    <row r="102" spans="2:6">
      <c r="B102" s="19">
        <v>44</v>
      </c>
      <c r="C102" s="15">
        <v>3176.1</v>
      </c>
      <c r="D102" s="15">
        <v>3442.5559370906158</v>
      </c>
      <c r="E102" s="15">
        <v>-266.45593709061586</v>
      </c>
      <c r="F102" s="15">
        <v>-2.7702835286987373</v>
      </c>
    </row>
    <row r="103" spans="2:6">
      <c r="B103" s="19">
        <v>45</v>
      </c>
      <c r="C103" s="15">
        <v>3381.5</v>
      </c>
      <c r="D103" s="15">
        <v>3295.356559878609</v>
      </c>
      <c r="E103" s="15">
        <v>86.143440121390995</v>
      </c>
      <c r="F103" s="15">
        <v>0.89561432137493924</v>
      </c>
    </row>
    <row r="104" spans="2:6">
      <c r="B104" s="19">
        <v>46</v>
      </c>
      <c r="C104" s="15">
        <v>3364.9</v>
      </c>
      <c r="D104" s="15">
        <v>3274.5862017241025</v>
      </c>
      <c r="E104" s="15">
        <v>90.313798275897625</v>
      </c>
      <c r="F104" s="15">
        <v>0.93897261404557775</v>
      </c>
    </row>
    <row r="105" spans="2:6">
      <c r="B105" s="19">
        <v>47</v>
      </c>
      <c r="C105" s="15">
        <v>3249</v>
      </c>
      <c r="D105" s="15">
        <v>3399.3874419549447</v>
      </c>
      <c r="E105" s="15">
        <v>-150.38744195494473</v>
      </c>
      <c r="F105" s="15">
        <v>-1.563545019562611</v>
      </c>
    </row>
    <row r="106" spans="2:6">
      <c r="B106" s="19">
        <v>48</v>
      </c>
      <c r="C106" s="15">
        <v>3179.2</v>
      </c>
      <c r="D106" s="15">
        <v>3197.8424656790871</v>
      </c>
      <c r="E106" s="15">
        <v>-18.642465679087309</v>
      </c>
      <c r="F106" s="15">
        <v>-0.19382159830630374</v>
      </c>
    </row>
    <row r="107" spans="2:6">
      <c r="B107" s="19">
        <v>49</v>
      </c>
      <c r="C107" s="15">
        <v>3005.9</v>
      </c>
      <c r="D107" s="15">
        <v>3240.71649394215</v>
      </c>
      <c r="E107" s="15">
        <v>-234.81649394214992</v>
      </c>
      <c r="F107" s="15">
        <v>-2.4413352261447305</v>
      </c>
    </row>
    <row r="108" spans="2:6">
      <c r="B108" s="19">
        <v>50</v>
      </c>
      <c r="C108" s="15">
        <v>3004.8</v>
      </c>
      <c r="D108" s="15">
        <v>3055.3611126799983</v>
      </c>
      <c r="E108" s="15">
        <v>-50.561112679998132</v>
      </c>
      <c r="F108" s="15">
        <v>-0.52567272164945389</v>
      </c>
    </row>
    <row r="109" spans="2:6">
      <c r="B109" s="19">
        <v>51</v>
      </c>
      <c r="C109" s="15">
        <v>2931.1</v>
      </c>
      <c r="D109" s="15">
        <v>2997.3684422204319</v>
      </c>
      <c r="E109" s="15">
        <v>-66.268442220432007</v>
      </c>
      <c r="F109" s="15">
        <v>-0.68897835777385741</v>
      </c>
    </row>
    <row r="110" spans="2:6">
      <c r="B110" s="19">
        <v>52</v>
      </c>
      <c r="C110" s="15">
        <v>3103.5</v>
      </c>
      <c r="D110" s="15">
        <v>3148.3253513377699</v>
      </c>
      <c r="E110" s="15">
        <v>-44.825351337769916</v>
      </c>
      <c r="F110" s="15">
        <v>-0.466039277769695</v>
      </c>
    </row>
    <row r="111" spans="2:6">
      <c r="B111" s="19">
        <v>53</v>
      </c>
      <c r="C111" s="15">
        <v>3054.9</v>
      </c>
      <c r="D111" s="15">
        <v>3179.9481990578638</v>
      </c>
      <c r="E111" s="15">
        <v>-125.04819905786371</v>
      </c>
      <c r="F111" s="15">
        <v>-1.3000985075653662</v>
      </c>
    </row>
    <row r="112" spans="2:6">
      <c r="B112" s="19">
        <v>54</v>
      </c>
      <c r="C112" s="15">
        <v>3425.6</v>
      </c>
      <c r="D112" s="15">
        <v>3204.6511084170347</v>
      </c>
      <c r="E112" s="15">
        <v>220.94889158296519</v>
      </c>
      <c r="F112" s="15">
        <v>2.2971568272031884</v>
      </c>
    </row>
    <row r="113" spans="2:6">
      <c r="B113" s="19">
        <v>55</v>
      </c>
      <c r="C113" s="15">
        <v>3414.1</v>
      </c>
      <c r="D113" s="15">
        <v>3198.8643987661339</v>
      </c>
      <c r="E113" s="15">
        <v>215.23560123386596</v>
      </c>
      <c r="F113" s="15">
        <v>2.2377570092760672</v>
      </c>
    </row>
    <row r="114" spans="2:6">
      <c r="B114" s="19">
        <v>56</v>
      </c>
      <c r="C114" s="15">
        <v>3342.7</v>
      </c>
      <c r="D114" s="15">
        <v>3282.3367592320601</v>
      </c>
      <c r="E114" s="15">
        <v>60.363240767939715</v>
      </c>
      <c r="F114" s="15">
        <v>0.62758328249008211</v>
      </c>
    </row>
    <row r="115" spans="2:6">
      <c r="B115" s="19">
        <v>57</v>
      </c>
      <c r="C115" s="15">
        <v>3395.7</v>
      </c>
      <c r="D115" s="15">
        <v>3350.5168327117867</v>
      </c>
      <c r="E115" s="15">
        <v>45.183167288213099</v>
      </c>
      <c r="F115" s="15">
        <v>0.4697594111795253</v>
      </c>
    </row>
    <row r="116" spans="2:6">
      <c r="B116" s="19">
        <v>58</v>
      </c>
      <c r="C116" s="15">
        <v>3419.5</v>
      </c>
      <c r="D116" s="15">
        <v>3365.8022876380269</v>
      </c>
      <c r="E116" s="15">
        <v>53.697712361973117</v>
      </c>
      <c r="F116" s="15">
        <v>0.55828325579620086</v>
      </c>
    </row>
    <row r="117" spans="2:6">
      <c r="B117" s="19">
        <v>59</v>
      </c>
      <c r="C117" s="15">
        <v>3379.9</v>
      </c>
      <c r="D117" s="15">
        <v>3455.0996895805174</v>
      </c>
      <c r="E117" s="15">
        <v>-75.199689580517315</v>
      </c>
      <c r="F117" s="15">
        <v>-0.78183456402894325</v>
      </c>
    </row>
    <row r="118" spans="2:6">
      <c r="B118" s="19">
        <v>60</v>
      </c>
      <c r="C118" s="15">
        <v>3345.1</v>
      </c>
      <c r="D118" s="15">
        <v>3253.3204458755699</v>
      </c>
      <c r="E118" s="15">
        <v>91.779554124429978</v>
      </c>
      <c r="F118" s="15">
        <v>0.9542117538771745</v>
      </c>
    </row>
    <row r="119" spans="2:6">
      <c r="B119" s="19">
        <v>61</v>
      </c>
      <c r="C119" s="15">
        <v>3242.9</v>
      </c>
      <c r="D119" s="15">
        <v>3274.9797112242695</v>
      </c>
      <c r="E119" s="15">
        <v>-32.079711224269431</v>
      </c>
      <c r="F119" s="15">
        <v>-0.3335256725009017</v>
      </c>
    </row>
    <row r="120" spans="2:6">
      <c r="B120" s="19">
        <v>62</v>
      </c>
      <c r="C120" s="15">
        <v>3287.1</v>
      </c>
      <c r="D120" s="15">
        <v>3215.4443075806475</v>
      </c>
      <c r="E120" s="15">
        <v>71.655692419352363</v>
      </c>
      <c r="F120" s="15">
        <v>0.74498840826852009</v>
      </c>
    </row>
    <row r="121" spans="2:6">
      <c r="B121" s="19">
        <v>63</v>
      </c>
      <c r="C121" s="15">
        <v>3420.6</v>
      </c>
      <c r="D121" s="15">
        <v>3176.7420877476757</v>
      </c>
      <c r="E121" s="15">
        <v>243.85791225232424</v>
      </c>
      <c r="F121" s="15">
        <v>2.535336855435629</v>
      </c>
    </row>
    <row r="122" spans="2:6">
      <c r="B122" s="19">
        <v>64</v>
      </c>
      <c r="C122" s="15">
        <v>3588.8</v>
      </c>
      <c r="D122" s="15">
        <v>3436.4892116860274</v>
      </c>
      <c r="E122" s="15">
        <v>152.31078831397281</v>
      </c>
      <c r="F122" s="15">
        <v>1.5835416268687794</v>
      </c>
    </row>
    <row r="123" spans="2:6">
      <c r="B123" s="19">
        <v>65</v>
      </c>
      <c r="C123" s="15">
        <v>3479.4</v>
      </c>
      <c r="D123" s="15">
        <v>3532.4435019843459</v>
      </c>
      <c r="E123" s="15">
        <v>-53.043501984345767</v>
      </c>
      <c r="F123" s="15">
        <v>-0.5514815749883587</v>
      </c>
    </row>
    <row r="124" spans="2:6">
      <c r="B124" s="19">
        <v>66</v>
      </c>
      <c r="C124" s="15">
        <v>3718.7</v>
      </c>
      <c r="D124" s="15">
        <v>3721.8419884814884</v>
      </c>
      <c r="E124" s="15">
        <v>-3.1419884814886245</v>
      </c>
      <c r="F124" s="15">
        <v>-3.2666560305124617E-2</v>
      </c>
    </row>
    <row r="125" spans="2:6">
      <c r="B125" s="19">
        <v>67</v>
      </c>
      <c r="C125" s="15">
        <v>3571.7</v>
      </c>
      <c r="D125" s="15">
        <v>3664.1170017407903</v>
      </c>
      <c r="E125" s="15">
        <v>-92.417001740790511</v>
      </c>
      <c r="F125" s="15">
        <v>-0.96083915595833469</v>
      </c>
    </row>
    <row r="126" spans="2:6">
      <c r="B126" s="19">
        <v>68</v>
      </c>
      <c r="C126" s="15">
        <v>3601.5</v>
      </c>
      <c r="D126" s="15">
        <v>3600.7006010868085</v>
      </c>
      <c r="E126" s="15">
        <v>0.79939891319145318</v>
      </c>
      <c r="F126" s="15">
        <v>8.3111739458852068E-3</v>
      </c>
    </row>
    <row r="127" spans="2:6">
      <c r="B127" s="19">
        <v>69</v>
      </c>
      <c r="C127" s="15">
        <v>3555.8</v>
      </c>
      <c r="D127" s="15">
        <v>3633.9775410364769</v>
      </c>
      <c r="E127" s="15">
        <v>-78.177541036476669</v>
      </c>
      <c r="F127" s="15">
        <v>-0.81279462793080437</v>
      </c>
    </row>
    <row r="128" spans="2:6">
      <c r="B128" s="19">
        <v>70</v>
      </c>
      <c r="C128" s="15">
        <v>3514.9</v>
      </c>
      <c r="D128" s="15">
        <v>3614.2507018284368</v>
      </c>
      <c r="E128" s="15">
        <v>-99.35070182843674</v>
      </c>
      <c r="F128" s="15">
        <v>-1.0329273043984688</v>
      </c>
    </row>
    <row r="129" spans="2:6">
      <c r="B129" s="19">
        <v>71</v>
      </c>
      <c r="C129" s="15">
        <v>3614.4</v>
      </c>
      <c r="D129" s="15">
        <v>3575.6314358515724</v>
      </c>
      <c r="E129" s="15">
        <v>38.768564148427686</v>
      </c>
      <c r="F129" s="15">
        <v>0.40306819905898827</v>
      </c>
    </row>
    <row r="130" spans="2:6">
      <c r="B130" s="19">
        <v>72</v>
      </c>
      <c r="C130" s="15">
        <v>3656</v>
      </c>
      <c r="D130" s="15">
        <v>3448.3269000798814</v>
      </c>
      <c r="E130" s="15">
        <v>207.6730999201186</v>
      </c>
      <c r="F130" s="15">
        <v>2.1591313533646654</v>
      </c>
    </row>
    <row r="131" spans="2:6">
      <c r="B131" s="19">
        <v>73</v>
      </c>
      <c r="C131" s="15">
        <v>3470.4</v>
      </c>
      <c r="D131" s="15">
        <v>3443.781832506711</v>
      </c>
      <c r="E131" s="15">
        <v>26.618167493289093</v>
      </c>
      <c r="F131" s="15">
        <v>0.27674320856181789</v>
      </c>
    </row>
    <row r="132" spans="2:6">
      <c r="B132" s="19">
        <v>74</v>
      </c>
      <c r="C132" s="15">
        <v>3426.5</v>
      </c>
      <c r="D132" s="15">
        <v>3447.9566505313201</v>
      </c>
      <c r="E132" s="15">
        <v>-21.456650531320065</v>
      </c>
      <c r="F132" s="15">
        <v>-0.22308005667648678</v>
      </c>
    </row>
    <row r="133" spans="2:6">
      <c r="B133" s="19">
        <v>75</v>
      </c>
      <c r="C133" s="15">
        <v>3308</v>
      </c>
      <c r="D133" s="15">
        <v>3473.0773828592123</v>
      </c>
      <c r="E133" s="15">
        <v>-165.07738285921232</v>
      </c>
      <c r="F133" s="15">
        <v>-1.7162730907363855</v>
      </c>
    </row>
    <row r="134" spans="2:6">
      <c r="B134" s="19">
        <v>76</v>
      </c>
      <c r="C134" s="15">
        <v>3489.2</v>
      </c>
      <c r="D134" s="15">
        <v>3594.7503386781273</v>
      </c>
      <c r="E134" s="15">
        <v>-105.55033867812745</v>
      </c>
      <c r="F134" s="15">
        <v>-1.0973835594781638</v>
      </c>
    </row>
    <row r="135" spans="2:6">
      <c r="B135" s="19">
        <v>77</v>
      </c>
      <c r="C135" s="15">
        <v>3552</v>
      </c>
      <c r="D135" s="15">
        <v>3526.8706398343734</v>
      </c>
      <c r="E135" s="15">
        <v>25.129360165626622</v>
      </c>
      <c r="F135" s="15">
        <v>0.26126440759283553</v>
      </c>
    </row>
    <row r="136" spans="2:6">
      <c r="B136" s="19">
        <v>78</v>
      </c>
      <c r="C136" s="15">
        <v>3859.7</v>
      </c>
      <c r="D136" s="15">
        <v>3698.9026447959764</v>
      </c>
      <c r="E136" s="15">
        <v>160.79735520402346</v>
      </c>
      <c r="F136" s="15">
        <v>1.6717745884886666</v>
      </c>
    </row>
    <row r="137" spans="2:6">
      <c r="B137" s="19">
        <v>79</v>
      </c>
      <c r="C137" s="15">
        <v>3639.9</v>
      </c>
      <c r="D137" s="15">
        <v>3709.500064982396</v>
      </c>
      <c r="E137" s="15">
        <v>-69.600064982395907</v>
      </c>
      <c r="F137" s="15">
        <v>-0.72361650381061693</v>
      </c>
    </row>
    <row r="138" spans="2:6">
      <c r="B138" s="19">
        <v>80</v>
      </c>
      <c r="C138" s="15">
        <v>3854.2</v>
      </c>
      <c r="D138" s="15">
        <v>3680.5083119094547</v>
      </c>
      <c r="E138" s="15">
        <v>173.69168809054509</v>
      </c>
      <c r="F138" s="15">
        <v>1.8058341196784009</v>
      </c>
    </row>
    <row r="139" spans="2:6">
      <c r="B139" s="19">
        <v>81</v>
      </c>
      <c r="C139" s="15">
        <v>3697.8</v>
      </c>
      <c r="D139" s="15">
        <v>3744.3990867018852</v>
      </c>
      <c r="E139" s="15">
        <v>-46.599086701884971</v>
      </c>
      <c r="F139" s="15">
        <v>-0.48448041260471031</v>
      </c>
    </row>
    <row r="140" spans="2:6">
      <c r="B140" s="19">
        <v>82</v>
      </c>
      <c r="C140" s="15">
        <v>3582</v>
      </c>
      <c r="D140" s="15">
        <v>3746.3866086810208</v>
      </c>
      <c r="E140" s="15">
        <v>-164.38660868102079</v>
      </c>
      <c r="F140" s="15">
        <v>-1.7090912641695275</v>
      </c>
    </row>
    <row r="141" spans="2:6">
      <c r="B141" s="19">
        <v>83</v>
      </c>
      <c r="C141" s="15">
        <v>3652.8</v>
      </c>
      <c r="D141" s="15">
        <v>3752.5540321139524</v>
      </c>
      <c r="E141" s="15">
        <v>-99.754032113952235</v>
      </c>
      <c r="F141" s="15">
        <v>-1.0371206402977884</v>
      </c>
    </row>
    <row r="142" spans="2:6">
      <c r="B142" s="19">
        <v>84</v>
      </c>
      <c r="C142" s="15">
        <v>3474.7</v>
      </c>
      <c r="D142" s="15">
        <v>3614.6645703368717</v>
      </c>
      <c r="E142" s="15">
        <v>-139.96457033687193</v>
      </c>
      <c r="F142" s="15">
        <v>-1.4551807253360984</v>
      </c>
    </row>
    <row r="143" spans="2:6">
      <c r="B143" s="19">
        <v>85</v>
      </c>
      <c r="C143" s="15">
        <v>3413.9</v>
      </c>
      <c r="D143" s="15">
        <v>3445.0565082903977</v>
      </c>
      <c r="E143" s="15">
        <v>-31.156508290397596</v>
      </c>
      <c r="F143" s="15">
        <v>-0.3239273354952536</v>
      </c>
    </row>
    <row r="144" spans="2:6">
      <c r="B144" s="19">
        <v>86</v>
      </c>
      <c r="C144" s="15">
        <v>3520.9</v>
      </c>
      <c r="D144" s="15">
        <v>3432.585037534765</v>
      </c>
      <c r="E144" s="15">
        <v>88.314962465235112</v>
      </c>
      <c r="F144" s="15">
        <v>0.91819115958330244</v>
      </c>
    </row>
    <row r="145" spans="2:6">
      <c r="B145" s="19">
        <v>87</v>
      </c>
      <c r="C145" s="15">
        <v>3464.8</v>
      </c>
      <c r="D145" s="15">
        <v>3399.426795028377</v>
      </c>
      <c r="E145" s="15">
        <v>65.373204971623181</v>
      </c>
      <c r="F145" s="15">
        <v>0.67967077381933194</v>
      </c>
    </row>
    <row r="146" spans="2:6">
      <c r="B146" s="19">
        <v>88</v>
      </c>
      <c r="C146" s="15">
        <v>3713.5</v>
      </c>
      <c r="D146" s="15">
        <v>3635.5596938480776</v>
      </c>
      <c r="E146" s="15">
        <v>77.940306151922414</v>
      </c>
      <c r="F146" s="15">
        <v>0.81032814923158925</v>
      </c>
    </row>
    <row r="147" spans="2:6">
      <c r="B147" s="19">
        <v>89</v>
      </c>
      <c r="C147" s="15">
        <v>3689.9</v>
      </c>
      <c r="D147" s="15">
        <v>3646.2347916320996</v>
      </c>
      <c r="E147" s="15">
        <v>43.665208367900505</v>
      </c>
      <c r="F147" s="15">
        <v>0.45397752754015563</v>
      </c>
    </row>
    <row r="148" spans="2:6">
      <c r="B148" s="19">
        <v>90</v>
      </c>
      <c r="C148" s="15">
        <v>3820</v>
      </c>
      <c r="D148" s="15">
        <v>3910.2876135606275</v>
      </c>
      <c r="E148" s="15">
        <v>-90.287613560627506</v>
      </c>
      <c r="F148" s="15">
        <v>-0.93870037734404843</v>
      </c>
    </row>
    <row r="149" spans="2:6">
      <c r="B149" s="19">
        <v>91</v>
      </c>
      <c r="C149" s="15">
        <v>3736</v>
      </c>
      <c r="D149" s="15">
        <v>3782.9685305100074</v>
      </c>
      <c r="E149" s="15">
        <v>-46.96853051000744</v>
      </c>
      <c r="F149" s="15">
        <v>-0.48832143828271329</v>
      </c>
    </row>
    <row r="150" spans="2:6">
      <c r="B150" s="19">
        <v>92</v>
      </c>
      <c r="C150" s="15">
        <v>3869.3</v>
      </c>
      <c r="D150" s="15">
        <v>3767.108415469736</v>
      </c>
      <c r="E150" s="15">
        <v>102.19158453026421</v>
      </c>
      <c r="F150" s="15">
        <v>1.0624633344144236</v>
      </c>
    </row>
    <row r="151" spans="2:6">
      <c r="B151" s="19">
        <v>93</v>
      </c>
      <c r="C151" s="15">
        <v>3833.2</v>
      </c>
      <c r="D151" s="15">
        <v>3773.6710097933301</v>
      </c>
      <c r="E151" s="15">
        <v>59.528990206669732</v>
      </c>
      <c r="F151" s="15">
        <v>0.6189097636564298</v>
      </c>
    </row>
    <row r="152" spans="2:6">
      <c r="B152" s="19">
        <v>94</v>
      </c>
      <c r="C152" s="15">
        <v>3716.3</v>
      </c>
      <c r="D152" s="15">
        <v>3758.9335205972634</v>
      </c>
      <c r="E152" s="15">
        <v>-42.633520597263214</v>
      </c>
      <c r="F152" s="15">
        <v>-0.44325129764652621</v>
      </c>
    </row>
    <row r="153" spans="2:6">
      <c r="B153" s="19">
        <v>95</v>
      </c>
      <c r="C153" s="15">
        <v>3772.2</v>
      </c>
      <c r="D153" s="15">
        <v>3793.6047164746096</v>
      </c>
      <c r="E153" s="15">
        <v>-21.404716474609813</v>
      </c>
      <c r="F153" s="15">
        <v>-0.22254010975898206</v>
      </c>
    </row>
    <row r="154" spans="2:6">
      <c r="B154" s="19">
        <v>96</v>
      </c>
      <c r="C154" s="15">
        <v>3650.8</v>
      </c>
      <c r="D154" s="15">
        <v>3726.1549505470543</v>
      </c>
      <c r="E154" s="15">
        <v>-75.354950547054159</v>
      </c>
      <c r="F154" s="15">
        <v>-0.78344877800722135</v>
      </c>
    </row>
    <row r="155" spans="2:6">
      <c r="B155" s="19">
        <v>97</v>
      </c>
      <c r="C155" s="15">
        <v>3711</v>
      </c>
      <c r="D155" s="15">
        <v>3554.6011168450209</v>
      </c>
      <c r="E155" s="15">
        <v>156.3988831549791</v>
      </c>
      <c r="F155" s="15">
        <v>1.6260446460375606</v>
      </c>
    </row>
    <row r="156" spans="2:6">
      <c r="B156" s="19">
        <v>98</v>
      </c>
      <c r="C156" s="15">
        <v>3470.8</v>
      </c>
      <c r="D156" s="15">
        <v>3602.186174001894</v>
      </c>
      <c r="E156" s="15">
        <v>-131.38617400189378</v>
      </c>
      <c r="F156" s="15">
        <v>-1.3659930332586734</v>
      </c>
    </row>
    <row r="157" spans="2:6">
      <c r="B157" s="19">
        <v>99</v>
      </c>
      <c r="C157" s="15">
        <v>3397.3</v>
      </c>
      <c r="D157" s="15">
        <v>3530.9017464091062</v>
      </c>
      <c r="E157" s="15">
        <v>-133.601746409106</v>
      </c>
      <c r="F157" s="15">
        <v>-1.389027850247015</v>
      </c>
    </row>
    <row r="158" spans="2:6">
      <c r="B158" s="19">
        <v>100</v>
      </c>
      <c r="C158" s="15">
        <v>3772</v>
      </c>
      <c r="D158" s="15">
        <v>3698.9366371050428</v>
      </c>
      <c r="E158" s="15">
        <v>73.063362894957208</v>
      </c>
      <c r="F158" s="15">
        <v>0.75962364730647569</v>
      </c>
    </row>
    <row r="159" spans="2:6">
      <c r="B159" s="19">
        <v>101</v>
      </c>
      <c r="C159" s="15">
        <v>3793.3</v>
      </c>
      <c r="D159" s="15">
        <v>3657.7231424659176</v>
      </c>
      <c r="E159" s="15">
        <v>135.57685753408259</v>
      </c>
      <c r="F159" s="15">
        <v>1.4095626443920279</v>
      </c>
    </row>
    <row r="160" spans="2:6">
      <c r="B160" s="19">
        <v>102</v>
      </c>
      <c r="C160" s="15">
        <v>3853.7</v>
      </c>
      <c r="D160" s="15">
        <v>3958.3024255369687</v>
      </c>
      <c r="E160" s="15">
        <v>-104.60242553696889</v>
      </c>
      <c r="F160" s="15">
        <v>-1.0875283159048312</v>
      </c>
    </row>
    <row r="161" spans="2:6">
      <c r="B161" s="19">
        <v>103</v>
      </c>
      <c r="C161" s="15">
        <v>3904.5</v>
      </c>
      <c r="D161" s="15">
        <v>3857.7539679528422</v>
      </c>
      <c r="E161" s="15">
        <v>46.746032047157769</v>
      </c>
      <c r="F161" s="15">
        <v>0.4860081709052872</v>
      </c>
    </row>
    <row r="162" spans="2:6">
      <c r="B162" s="19">
        <v>104</v>
      </c>
      <c r="C162" s="15">
        <v>3911.2</v>
      </c>
      <c r="D162" s="15">
        <v>3956.807056678786</v>
      </c>
      <c r="E162" s="15">
        <v>-45.607056678786194</v>
      </c>
      <c r="F162" s="15">
        <v>-0.4741664955534623</v>
      </c>
    </row>
    <row r="163" spans="2:6">
      <c r="B163" s="19">
        <v>105</v>
      </c>
      <c r="C163" s="15">
        <v>3832.5</v>
      </c>
      <c r="D163" s="15">
        <v>3867.4551376573168</v>
      </c>
      <c r="E163" s="15">
        <v>-34.955137657316754</v>
      </c>
      <c r="F163" s="15">
        <v>-0.36342084606105013</v>
      </c>
    </row>
    <row r="164" spans="2:6">
      <c r="B164" s="19">
        <v>106</v>
      </c>
      <c r="C164" s="15">
        <v>3717.4</v>
      </c>
      <c r="D164" s="15">
        <v>3800.2513340960745</v>
      </c>
      <c r="E164" s="15">
        <v>-82.851334096074424</v>
      </c>
      <c r="F164" s="15">
        <v>-0.86138702212146889</v>
      </c>
    </row>
    <row r="165" spans="2:6">
      <c r="B165" s="19">
        <v>107</v>
      </c>
      <c r="C165" s="15">
        <v>3884.6</v>
      </c>
      <c r="D165" s="15">
        <v>3814.2748406044648</v>
      </c>
      <c r="E165" s="15">
        <v>70.325159395535138</v>
      </c>
      <c r="F165" s="15">
        <v>0.7311551502802881</v>
      </c>
    </row>
    <row r="166" spans="2:6">
      <c r="B166" s="19">
        <v>108</v>
      </c>
      <c r="C166" s="15">
        <v>3700.4</v>
      </c>
      <c r="D166" s="15">
        <v>3715.5153563633698</v>
      </c>
      <c r="E166" s="15">
        <v>-15.115356363369756</v>
      </c>
      <c r="F166" s="15">
        <v>-0.15715102174516196</v>
      </c>
    </row>
    <row r="167" spans="2:6">
      <c r="B167" s="19">
        <v>109</v>
      </c>
      <c r="C167" s="15">
        <v>3726.7</v>
      </c>
      <c r="D167" s="15">
        <v>3658.9973602674609</v>
      </c>
      <c r="E167" s="15">
        <v>67.702639732538955</v>
      </c>
      <c r="F167" s="15">
        <v>0.70388939255158656</v>
      </c>
    </row>
    <row r="168" spans="2:6">
      <c r="B168" s="19">
        <v>110</v>
      </c>
      <c r="C168" s="15">
        <v>3680.6</v>
      </c>
      <c r="D168" s="15">
        <v>3669.4809991007519</v>
      </c>
      <c r="E168" s="15">
        <v>11.119000899248022</v>
      </c>
      <c r="F168" s="15">
        <v>0.11560179661636845</v>
      </c>
    </row>
    <row r="169" spans="2:6">
      <c r="B169" s="19">
        <v>111</v>
      </c>
      <c r="C169" s="15">
        <v>3491.4</v>
      </c>
      <c r="D169" s="15">
        <v>3652.9646309998834</v>
      </c>
      <c r="E169" s="15">
        <v>-161.56463099988332</v>
      </c>
      <c r="F169" s="15">
        <v>-1.6797517854783397</v>
      </c>
    </row>
    <row r="170" spans="2:6">
      <c r="B170" s="19">
        <v>112</v>
      </c>
      <c r="C170" s="15">
        <v>3874.3</v>
      </c>
      <c r="D170" s="15">
        <v>3874.6464233831671</v>
      </c>
      <c r="E170" s="15">
        <v>-0.34642338316689347</v>
      </c>
      <c r="F170" s="15">
        <v>-3.601687404011442E-3</v>
      </c>
    </row>
    <row r="171" spans="2:6">
      <c r="B171" s="19">
        <v>113</v>
      </c>
      <c r="C171" s="15">
        <v>3931.1</v>
      </c>
      <c r="D171" s="15">
        <v>3829.2698334460251</v>
      </c>
      <c r="E171" s="15">
        <v>101.83016655397478</v>
      </c>
      <c r="F171" s="15">
        <v>1.0587057515374103</v>
      </c>
    </row>
    <row r="172" spans="2:6">
      <c r="B172" s="19">
        <v>114</v>
      </c>
      <c r="C172" s="15">
        <v>3973</v>
      </c>
      <c r="D172" s="15">
        <v>3994.8826322180139</v>
      </c>
      <c r="E172" s="15">
        <v>-21.882632218013896</v>
      </c>
      <c r="F172" s="15">
        <v>-0.22750889419108833</v>
      </c>
    </row>
    <row r="173" spans="2:6">
      <c r="B173" s="19">
        <v>115</v>
      </c>
      <c r="C173" s="15">
        <v>3971.4</v>
      </c>
      <c r="D173" s="15">
        <v>3933.1256469269119</v>
      </c>
      <c r="E173" s="15">
        <v>38.27435307308815</v>
      </c>
      <c r="F173" s="15">
        <v>0.39792999565972226</v>
      </c>
    </row>
    <row r="174" spans="2:6">
      <c r="B174" s="19">
        <v>116</v>
      </c>
      <c r="C174" s="15">
        <v>4103.6000000000004</v>
      </c>
      <c r="D174" s="15">
        <v>4040.1609874129563</v>
      </c>
      <c r="E174" s="15">
        <v>63.43901258704409</v>
      </c>
      <c r="F174" s="15">
        <v>0.65956140278095354</v>
      </c>
    </row>
    <row r="175" spans="2:6">
      <c r="B175" s="19">
        <v>117</v>
      </c>
      <c r="C175" s="15">
        <v>3945.7</v>
      </c>
      <c r="D175" s="15">
        <v>3978.0782215742943</v>
      </c>
      <c r="E175" s="15">
        <v>-32.378221574294457</v>
      </c>
      <c r="F175" s="15">
        <v>-0.33662921868136902</v>
      </c>
    </row>
    <row r="176" spans="2:6">
      <c r="B176" s="19">
        <v>118</v>
      </c>
      <c r="C176" s="15">
        <v>3977.8</v>
      </c>
      <c r="D176" s="15">
        <v>3889.548330894113</v>
      </c>
      <c r="E176" s="15">
        <v>88.251669105887231</v>
      </c>
      <c r="F176" s="15">
        <v>0.91753311250508018</v>
      </c>
    </row>
    <row r="177" spans="2:6">
      <c r="B177" s="19">
        <v>119</v>
      </c>
      <c r="C177" s="15">
        <v>3931.2</v>
      </c>
      <c r="D177" s="15">
        <v>4012.4266348340498</v>
      </c>
      <c r="E177" s="15">
        <v>-81.226634834049946</v>
      </c>
      <c r="F177" s="15">
        <v>-0.84449538272390223</v>
      </c>
    </row>
    <row r="178" spans="2:6">
      <c r="B178" s="19">
        <v>120</v>
      </c>
      <c r="C178" s="15">
        <v>3796.3</v>
      </c>
      <c r="D178" s="15">
        <v>3890.424111410247</v>
      </c>
      <c r="E178" s="15">
        <v>-94.124111410246769</v>
      </c>
      <c r="F178" s="15">
        <v>-0.97858759816087693</v>
      </c>
    </row>
    <row r="179" spans="2:6">
      <c r="B179" s="19">
        <v>121</v>
      </c>
      <c r="C179" s="15">
        <v>3897.3</v>
      </c>
      <c r="D179" s="15">
        <v>3842.645147122741</v>
      </c>
      <c r="E179" s="15">
        <v>54.654852877259145</v>
      </c>
      <c r="F179" s="15">
        <v>0.56823443434038678</v>
      </c>
    </row>
    <row r="180" spans="2:6">
      <c r="B180" s="19">
        <v>122</v>
      </c>
      <c r="C180" s="15">
        <v>3685.9</v>
      </c>
      <c r="D180" s="15">
        <v>3735.7462800007106</v>
      </c>
      <c r="E180" s="15">
        <v>-49.846280000710522</v>
      </c>
      <c r="F180" s="15">
        <v>-0.51824076416024012</v>
      </c>
    </row>
    <row r="181" spans="2:6">
      <c r="B181" s="19">
        <v>123</v>
      </c>
      <c r="C181" s="15">
        <v>3687</v>
      </c>
      <c r="D181" s="15">
        <v>3611.0130722853646</v>
      </c>
      <c r="E181" s="15">
        <v>75.986927714635385</v>
      </c>
      <c r="F181" s="15">
        <v>0.79001930504062179</v>
      </c>
    </row>
    <row r="182" spans="2:6">
      <c r="B182" s="19">
        <v>124</v>
      </c>
      <c r="C182" s="15">
        <v>3973.2</v>
      </c>
      <c r="D182" s="15">
        <v>3949.3290693597173</v>
      </c>
      <c r="E182" s="15">
        <v>23.870930640282495</v>
      </c>
      <c r="F182" s="15">
        <v>0.24818079375351085</v>
      </c>
    </row>
    <row r="183" spans="2:6">
      <c r="B183" s="19">
        <v>125</v>
      </c>
      <c r="C183" s="15">
        <v>3981.6</v>
      </c>
      <c r="D183" s="15">
        <v>3988.2168055902962</v>
      </c>
      <c r="E183" s="15">
        <v>-6.6168055902962806</v>
      </c>
      <c r="F183" s="15">
        <v>-6.8793466340236711E-2</v>
      </c>
    </row>
    <row r="184" spans="2:6">
      <c r="B184" s="19">
        <v>126</v>
      </c>
      <c r="C184" s="15">
        <v>4030.6</v>
      </c>
      <c r="D184" s="15">
        <v>4128.8026043298823</v>
      </c>
      <c r="E184" s="15">
        <v>-98.202604329882433</v>
      </c>
      <c r="F184" s="15">
        <v>-1.02099078827384</v>
      </c>
    </row>
    <row r="185" spans="2:6">
      <c r="B185" s="19">
        <v>127</v>
      </c>
      <c r="C185" s="15">
        <v>4030.6</v>
      </c>
      <c r="D185" s="15">
        <v>4055.4973712714936</v>
      </c>
      <c r="E185" s="15">
        <v>-24.897371271493739</v>
      </c>
      <c r="F185" s="15">
        <v>-0.25885247029740643</v>
      </c>
    </row>
    <row r="186" spans="2:6">
      <c r="B186" s="19">
        <v>128</v>
      </c>
      <c r="C186" s="15">
        <v>4148.3</v>
      </c>
      <c r="D186" s="15">
        <v>4139.797227398295</v>
      </c>
      <c r="E186" s="15">
        <v>8.5027726017051464</v>
      </c>
      <c r="F186" s="15">
        <v>8.8401448824779238E-2</v>
      </c>
    </row>
    <row r="187" spans="2:6">
      <c r="B187" s="19">
        <v>129</v>
      </c>
      <c r="C187" s="15">
        <v>4068.8</v>
      </c>
      <c r="D187" s="15">
        <v>4015.2244115570729</v>
      </c>
      <c r="E187" s="15">
        <v>53.575588442927256</v>
      </c>
      <c r="F187" s="15">
        <v>0.55701356038206629</v>
      </c>
    </row>
    <row r="188" spans="2:6">
      <c r="B188" s="19">
        <v>130</v>
      </c>
      <c r="C188" s="15">
        <v>4045.7</v>
      </c>
      <c r="D188" s="15">
        <v>3956.0309783813263</v>
      </c>
      <c r="E188" s="15">
        <v>89.669021618673469</v>
      </c>
      <c r="F188" s="15">
        <v>0.93226901354524416</v>
      </c>
    </row>
    <row r="189" spans="2:6">
      <c r="B189" s="19">
        <v>131</v>
      </c>
      <c r="C189" s="15">
        <v>4043.5</v>
      </c>
      <c r="D189" s="15">
        <v>4060.3957073964134</v>
      </c>
      <c r="E189" s="15">
        <v>-16.8957073964134</v>
      </c>
      <c r="F189" s="15">
        <v>-0.17566093822889672</v>
      </c>
    </row>
    <row r="190" spans="2:6">
      <c r="B190" s="19">
        <v>132</v>
      </c>
      <c r="C190" s="15">
        <v>3921.4</v>
      </c>
      <c r="D190" s="15">
        <v>3911.3897116969897</v>
      </c>
      <c r="E190" s="15">
        <v>10.010288303010384</v>
      </c>
      <c r="F190" s="15">
        <v>0.1040747566226099</v>
      </c>
    </row>
    <row r="191" spans="2:6">
      <c r="B191" s="19">
        <v>133</v>
      </c>
      <c r="C191" s="15">
        <v>3876.3</v>
      </c>
      <c r="D191" s="15">
        <v>3946.6100532268401</v>
      </c>
      <c r="E191" s="15">
        <v>-70.310053226839955</v>
      </c>
      <c r="F191" s="15">
        <v>-0.73099809478069988</v>
      </c>
    </row>
    <row r="192" spans="2:6">
      <c r="B192" s="19">
        <v>134</v>
      </c>
      <c r="C192" s="15">
        <v>3928.4</v>
      </c>
      <c r="D192" s="15">
        <v>3846.7337623985122</v>
      </c>
      <c r="E192" s="15">
        <v>81.666237601487865</v>
      </c>
      <c r="F192" s="15">
        <v>0.84906583560665971</v>
      </c>
    </row>
    <row r="193" spans="2:6">
      <c r="B193" s="19">
        <v>135</v>
      </c>
      <c r="C193" s="15">
        <v>3727.7</v>
      </c>
      <c r="D193" s="15">
        <v>3767.9256362742185</v>
      </c>
      <c r="E193" s="15">
        <v>-40.225636274218687</v>
      </c>
      <c r="F193" s="15">
        <v>-0.41821705614312271</v>
      </c>
    </row>
    <row r="194" spans="2:6">
      <c r="B194" s="19">
        <v>136</v>
      </c>
      <c r="C194" s="15">
        <v>4044.9</v>
      </c>
      <c r="D194" s="15">
        <v>4085.5767722830992</v>
      </c>
      <c r="E194" s="15">
        <v>-40.676772283099126</v>
      </c>
      <c r="F194" s="15">
        <v>-0.42290741758993616</v>
      </c>
    </row>
    <row r="195" spans="2:6">
      <c r="B195" s="19">
        <v>137</v>
      </c>
      <c r="C195" s="15">
        <v>4068.6</v>
      </c>
      <c r="D195" s="15">
        <v>4103.6154983134111</v>
      </c>
      <c r="E195" s="15">
        <v>-35.015498313411172</v>
      </c>
      <c r="F195" s="15">
        <v>-0.36404840247126047</v>
      </c>
    </row>
    <row r="196" spans="2:6">
      <c r="B196" s="19">
        <v>138</v>
      </c>
      <c r="C196" s="15">
        <v>4240.1000000000004</v>
      </c>
      <c r="D196" s="15">
        <v>4148.331426427766</v>
      </c>
      <c r="E196" s="15">
        <v>91.768573572234345</v>
      </c>
      <c r="F196" s="15">
        <v>0.95409759150115192</v>
      </c>
    </row>
    <row r="197" spans="2:6">
      <c r="B197" s="19">
        <v>139</v>
      </c>
      <c r="C197" s="15">
        <v>4052.5</v>
      </c>
      <c r="D197" s="15">
        <v>4144.9470471582163</v>
      </c>
      <c r="E197" s="15">
        <v>-92.447047158216265</v>
      </c>
      <c r="F197" s="15">
        <v>-0.96115153152750488</v>
      </c>
    </row>
    <row r="198" spans="2:6">
      <c r="B198" s="19">
        <v>140</v>
      </c>
      <c r="C198" s="15">
        <v>4230.7</v>
      </c>
      <c r="D198" s="15">
        <v>4249.7891881737405</v>
      </c>
      <c r="E198" s="15">
        <v>-19.089188173740695</v>
      </c>
      <c r="F198" s="15">
        <v>-0.19846607342046352</v>
      </c>
    </row>
    <row r="199" spans="2:6">
      <c r="B199" s="19">
        <v>141</v>
      </c>
      <c r="C199" s="15">
        <v>4093</v>
      </c>
      <c r="D199" s="15">
        <v>4149.8326658602682</v>
      </c>
      <c r="E199" s="15">
        <v>-56.832665860268207</v>
      </c>
      <c r="F199" s="15">
        <v>-0.59087667493480267</v>
      </c>
    </row>
    <row r="200" spans="2:6">
      <c r="B200" s="19">
        <v>142</v>
      </c>
      <c r="C200" s="15">
        <v>4174.1000000000004</v>
      </c>
      <c r="D200" s="15">
        <v>4073.3567636345429</v>
      </c>
      <c r="E200" s="15">
        <v>100.74323636545751</v>
      </c>
      <c r="F200" s="15">
        <v>1.0474051784258762</v>
      </c>
    </row>
    <row r="201" spans="2:6">
      <c r="B201" s="19">
        <v>143</v>
      </c>
      <c r="C201" s="15">
        <v>4192.3</v>
      </c>
      <c r="D201" s="15">
        <v>4113.1030712512929</v>
      </c>
      <c r="E201" s="15">
        <v>79.196928748707251</v>
      </c>
      <c r="F201" s="15">
        <v>0.82339297683375967</v>
      </c>
    </row>
    <row r="202" spans="2:6">
      <c r="B202" s="19">
        <v>144</v>
      </c>
      <c r="C202" s="15">
        <v>3998.1</v>
      </c>
      <c r="D202" s="15">
        <v>4009.3302787158304</v>
      </c>
      <c r="E202" s="15">
        <v>-11.230278715830536</v>
      </c>
      <c r="F202" s="15">
        <v>-0.11675872749865261</v>
      </c>
    </row>
    <row r="203" spans="2:6">
      <c r="B203" s="19">
        <v>145</v>
      </c>
      <c r="C203" s="15">
        <v>4115.8</v>
      </c>
      <c r="D203" s="15">
        <v>4074.4629570211382</v>
      </c>
      <c r="E203" s="15">
        <v>41.337042978861973</v>
      </c>
      <c r="F203" s="15">
        <v>0.42977210618695633</v>
      </c>
    </row>
    <row r="204" spans="2:6">
      <c r="B204" s="19">
        <v>146</v>
      </c>
      <c r="C204" s="15">
        <v>4048.7</v>
      </c>
      <c r="D204" s="15">
        <v>3956.5772043133356</v>
      </c>
      <c r="E204" s="15">
        <v>92.122795686664176</v>
      </c>
      <c r="F204" s="15">
        <v>0.95778036059168292</v>
      </c>
    </row>
    <row r="205" spans="2:6">
      <c r="B205" s="19">
        <v>147</v>
      </c>
      <c r="C205" s="15">
        <v>3854.8</v>
      </c>
      <c r="D205" s="15">
        <v>3878.5875782486764</v>
      </c>
      <c r="E205" s="15">
        <v>-23.787578248676255</v>
      </c>
      <c r="F205" s="15">
        <v>-0.24731419734711932</v>
      </c>
    </row>
    <row r="206" spans="2:6">
      <c r="B206" s="19">
        <v>148</v>
      </c>
      <c r="C206" s="15">
        <v>3930.9</v>
      </c>
      <c r="D206" s="15">
        <v>4224.6242176415053</v>
      </c>
      <c r="E206" s="15">
        <v>-293.72421764150522</v>
      </c>
      <c r="F206" s="15">
        <v>-3.0537858191370062</v>
      </c>
    </row>
    <row r="207" spans="2:6">
      <c r="B207" s="19">
        <v>149</v>
      </c>
      <c r="C207" s="15">
        <v>4169.3</v>
      </c>
      <c r="D207" s="15">
        <v>4185.4529555798708</v>
      </c>
      <c r="E207" s="15">
        <v>-16.15295557987065</v>
      </c>
      <c r="F207" s="15">
        <v>-0.16793871163583834</v>
      </c>
    </row>
    <row r="208" spans="2:6">
      <c r="B208" s="19">
        <v>150</v>
      </c>
      <c r="C208" s="15">
        <v>4070.6</v>
      </c>
      <c r="D208" s="15">
        <v>4210.0672209526556</v>
      </c>
      <c r="E208" s="15">
        <v>-139.46722095265568</v>
      </c>
      <c r="F208" s="15">
        <v>-1.4500098936325654</v>
      </c>
    </row>
    <row r="209" spans="2:6">
      <c r="B209" s="19">
        <v>151</v>
      </c>
      <c r="C209" s="15">
        <v>4223.5</v>
      </c>
      <c r="D209" s="15">
        <v>4105.2559961612878</v>
      </c>
      <c r="E209" s="15">
        <v>118.24400383871216</v>
      </c>
      <c r="F209" s="15">
        <v>1.2293567926406359</v>
      </c>
    </row>
    <row r="210" spans="2:6">
      <c r="B210" s="19">
        <v>152</v>
      </c>
      <c r="C210" s="15">
        <v>4369.3</v>
      </c>
      <c r="D210" s="15">
        <v>4243.6801342717235</v>
      </c>
      <c r="E210" s="15">
        <v>125.61986572827664</v>
      </c>
      <c r="F210" s="15">
        <v>1.3060419996798331</v>
      </c>
    </row>
    <row r="211" spans="2:6">
      <c r="B211" s="19">
        <v>153</v>
      </c>
      <c r="C211" s="15">
        <v>4112.6000000000004</v>
      </c>
      <c r="D211" s="15">
        <v>4169.8438330845829</v>
      </c>
      <c r="E211" s="15">
        <v>-57.243833084582548</v>
      </c>
      <c r="F211" s="15">
        <v>-0.59515148975595422</v>
      </c>
    </row>
    <row r="212" spans="2:6">
      <c r="B212" s="19">
        <v>154</v>
      </c>
      <c r="C212" s="15">
        <v>4165.6000000000004</v>
      </c>
      <c r="D212" s="15">
        <v>4178.6700248993602</v>
      </c>
      <c r="E212" s="15">
        <v>-13.070024899359851</v>
      </c>
      <c r="F212" s="15">
        <v>-0.13588616224402433</v>
      </c>
    </row>
    <row r="213" spans="2:6">
      <c r="B213" s="19">
        <v>155</v>
      </c>
      <c r="C213" s="15">
        <v>4212.6000000000004</v>
      </c>
      <c r="D213" s="15">
        <v>4219.2399786506967</v>
      </c>
      <c r="E213" s="15">
        <v>-6.639978650696321</v>
      </c>
      <c r="F213" s="15">
        <v>-6.9034391531233447E-2</v>
      </c>
    </row>
    <row r="214" spans="2:6" ht="16" thickBot="1">
      <c r="B214" s="20">
        <v>156</v>
      </c>
      <c r="C214" s="16">
        <v>4163.5</v>
      </c>
      <c r="D214" s="16">
        <v>4036.4275495632337</v>
      </c>
      <c r="E214" s="16">
        <v>127.0724504367663</v>
      </c>
      <c r="F214" s="16">
        <v>1.3211442020773729</v>
      </c>
    </row>
    <row r="234" spans="7:7">
      <c r="G234" t="s">
        <v>187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A4E9B-2B2C-48BE-9140-EAE948AD630F}">
  <sheetPr codeName="Sheet15">
    <tabColor rgb="FF007800"/>
  </sheetPr>
  <dimension ref="B1:J74"/>
  <sheetViews>
    <sheetView topLeftCell="A25" zoomScaleNormal="100" workbookViewId="0"/>
  </sheetViews>
  <sheetFormatPr baseColWidth="10" defaultColWidth="8.83203125" defaultRowHeight="15"/>
  <cols>
    <col min="1" max="1" width="4.6640625" customWidth="1"/>
    <col min="5" max="5" width="16.5" customWidth="1"/>
  </cols>
  <sheetData>
    <row r="1" spans="2:9">
      <c r="B1" t="s">
        <v>314</v>
      </c>
    </row>
    <row r="2" spans="2:9">
      <c r="B2" t="s">
        <v>295</v>
      </c>
    </row>
    <row r="3" spans="2:9">
      <c r="B3" t="s">
        <v>227</v>
      </c>
    </row>
    <row r="4" spans="2:9">
      <c r="B4" t="s">
        <v>299</v>
      </c>
    </row>
    <row r="5" spans="2:9" ht="34.25" customHeight="1"/>
    <row r="6" spans="2:9" ht="15.75" customHeight="1"/>
    <row r="9" spans="2:9">
      <c r="B9" t="s">
        <v>228</v>
      </c>
    </row>
    <row r="10" spans="2:9" ht="16" thickBot="1"/>
    <row r="11" spans="2:9">
      <c r="B11" s="6" t="s">
        <v>229</v>
      </c>
      <c r="C11" s="7" t="s">
        <v>195</v>
      </c>
      <c r="D11" s="7" t="s">
        <v>230</v>
      </c>
      <c r="E11" s="7" t="s">
        <v>231</v>
      </c>
      <c r="F11" s="7" t="s">
        <v>232</v>
      </c>
      <c r="G11" s="7" t="s">
        <v>233</v>
      </c>
      <c r="H11" s="7" t="s">
        <v>234</v>
      </c>
      <c r="I11" s="7" t="s">
        <v>235</v>
      </c>
    </row>
    <row r="12" spans="2:9" ht="16" thickBot="1">
      <c r="B12" s="8" t="s">
        <v>297</v>
      </c>
      <c r="C12" s="9">
        <v>156</v>
      </c>
      <c r="D12" s="9">
        <v>0</v>
      </c>
      <c r="E12" s="9">
        <v>156</v>
      </c>
      <c r="F12" s="10">
        <v>2754.2</v>
      </c>
      <c r="G12" s="10">
        <v>4369.3</v>
      </c>
      <c r="H12" s="10">
        <v>3556.3794871794889</v>
      </c>
      <c r="I12" s="10">
        <v>400.1073998909248</v>
      </c>
    </row>
    <row r="15" spans="2:9">
      <c r="B15" s="11" t="s">
        <v>300</v>
      </c>
    </row>
    <row r="17" spans="2:10">
      <c r="B17" t="s">
        <v>301</v>
      </c>
    </row>
    <row r="18" spans="2:10" ht="16" thickBot="1"/>
    <row r="19" spans="2:10">
      <c r="B19" s="6" t="s">
        <v>279</v>
      </c>
      <c r="C19" s="7" t="s">
        <v>237</v>
      </c>
      <c r="D19" s="7" t="s">
        <v>251</v>
      </c>
      <c r="E19" s="7" t="s">
        <v>302</v>
      </c>
    </row>
    <row r="20" spans="2:10">
      <c r="B20" s="31" t="s">
        <v>303</v>
      </c>
      <c r="C20" s="18">
        <v>2</v>
      </c>
      <c r="D20" s="14">
        <v>8.0408544869875733</v>
      </c>
      <c r="E20" s="14">
        <v>1.7945296290345154E-2</v>
      </c>
    </row>
    <row r="21" spans="2:10">
      <c r="B21" s="5" t="s">
        <v>304</v>
      </c>
      <c r="C21" s="19">
        <v>6</v>
      </c>
      <c r="D21" s="15">
        <v>629.22877218865506</v>
      </c>
      <c r="E21" s="32" t="s">
        <v>307</v>
      </c>
    </row>
    <row r="22" spans="2:10">
      <c r="B22" s="5" t="s">
        <v>305</v>
      </c>
      <c r="C22" s="19">
        <v>6</v>
      </c>
      <c r="D22" s="15">
        <v>650.80138325395728</v>
      </c>
      <c r="E22" s="32" t="s">
        <v>307</v>
      </c>
    </row>
    <row r="23" spans="2:10">
      <c r="B23" s="33" t="s">
        <v>306</v>
      </c>
      <c r="C23" s="34">
        <v>6</v>
      </c>
      <c r="D23" s="35">
        <v>651.81646192170876</v>
      </c>
      <c r="E23" s="36" t="s">
        <v>307</v>
      </c>
    </row>
    <row r="24" spans="2:10">
      <c r="B24" s="31" t="s">
        <v>304</v>
      </c>
      <c r="C24" s="18">
        <v>12</v>
      </c>
      <c r="D24" s="14">
        <v>1139.9676817398617</v>
      </c>
      <c r="E24" s="37" t="s">
        <v>307</v>
      </c>
    </row>
    <row r="25" spans="2:10">
      <c r="B25" s="5" t="s">
        <v>305</v>
      </c>
      <c r="C25" s="19">
        <v>12</v>
      </c>
      <c r="D25" s="15">
        <v>1201.9512327103257</v>
      </c>
      <c r="E25" s="32" t="s">
        <v>307</v>
      </c>
    </row>
    <row r="26" spans="2:10" ht="16" thickBot="1">
      <c r="B26" s="13" t="s">
        <v>306</v>
      </c>
      <c r="C26" s="20">
        <v>12</v>
      </c>
      <c r="D26" s="16">
        <v>1204.6971207468034</v>
      </c>
      <c r="E26" s="28" t="s">
        <v>307</v>
      </c>
    </row>
    <row r="29" spans="2:10">
      <c r="B29" t="s">
        <v>308</v>
      </c>
    </row>
    <row r="30" spans="2:10" ht="16" thickBot="1"/>
    <row r="31" spans="2:10">
      <c r="B31" s="7" t="s">
        <v>260</v>
      </c>
      <c r="C31" s="7" t="s">
        <v>261</v>
      </c>
      <c r="D31" s="7" t="s">
        <v>262</v>
      </c>
      <c r="E31" s="7" t="s">
        <v>253</v>
      </c>
      <c r="F31" s="7" t="s">
        <v>254</v>
      </c>
      <c r="G31" s="7" t="s">
        <v>263</v>
      </c>
      <c r="H31" s="7" t="s">
        <v>262</v>
      </c>
      <c r="I31" s="7" t="s">
        <v>253</v>
      </c>
      <c r="J31" s="7" t="s">
        <v>254</v>
      </c>
    </row>
    <row r="32" spans="2:10">
      <c r="B32" s="18">
        <v>0</v>
      </c>
      <c r="C32" s="14">
        <v>1</v>
      </c>
      <c r="D32" s="14">
        <v>0</v>
      </c>
      <c r="E32" s="14"/>
      <c r="F32" s="14"/>
      <c r="G32" s="14">
        <v>1</v>
      </c>
      <c r="H32" s="14">
        <v>0</v>
      </c>
      <c r="I32" s="14"/>
      <c r="J32" s="14"/>
    </row>
    <row r="33" spans="2:10">
      <c r="B33" s="19">
        <v>1</v>
      </c>
      <c r="C33" s="15">
        <v>0.9196364632989712</v>
      </c>
      <c r="D33" s="15">
        <v>8.0064076902543566E-2</v>
      </c>
      <c r="E33" s="15">
        <v>-0.15692270718443055</v>
      </c>
      <c r="F33" s="15">
        <v>0.15692270718443055</v>
      </c>
      <c r="G33" s="15">
        <v>0.9196364632989712</v>
      </c>
      <c r="H33" s="15">
        <v>8.0064076902543566E-2</v>
      </c>
      <c r="I33" s="15">
        <v>-0.15692270718443055</v>
      </c>
      <c r="J33" s="15">
        <v>0.15692270718443055</v>
      </c>
    </row>
    <row r="34" spans="2:10">
      <c r="B34" s="19">
        <v>2</v>
      </c>
      <c r="C34" s="15">
        <v>0.88343630978992527</v>
      </c>
      <c r="D34" s="15">
        <v>0.13135054022850848</v>
      </c>
      <c r="E34" s="15">
        <v>-0.25744232819775609</v>
      </c>
      <c r="F34" s="15">
        <v>0.25744232819775609</v>
      </c>
      <c r="G34" s="15">
        <v>0.24441164500216173</v>
      </c>
      <c r="H34" s="15">
        <v>8.0064076902543566E-2</v>
      </c>
      <c r="I34" s="15">
        <v>-0.15692270718443055</v>
      </c>
      <c r="J34" s="15">
        <v>0.15692270718443055</v>
      </c>
    </row>
    <row r="35" spans="2:10">
      <c r="B35" s="19">
        <v>3</v>
      </c>
      <c r="C35" s="15">
        <v>0.83163646987110273</v>
      </c>
      <c r="D35" s="15">
        <v>0.16510256866738235</v>
      </c>
      <c r="E35" s="15">
        <v>-0.32359508834312051</v>
      </c>
      <c r="F35" s="15">
        <v>0.32359508834312051</v>
      </c>
      <c r="G35" s="15">
        <v>-4.8284197699602169E-2</v>
      </c>
      <c r="H35" s="15">
        <v>8.0064076902543566E-2</v>
      </c>
      <c r="I35" s="15">
        <v>-0.15692270718443055</v>
      </c>
      <c r="J35" s="15">
        <v>0.15692270718443055</v>
      </c>
    </row>
    <row r="36" spans="2:10">
      <c r="B36" s="19">
        <v>4</v>
      </c>
      <c r="C36" s="15">
        <v>0.78326622056430528</v>
      </c>
      <c r="D36" s="15">
        <v>0.19006780693242589</v>
      </c>
      <c r="E36" s="15">
        <v>-0.37252605620806706</v>
      </c>
      <c r="F36" s="15">
        <v>0.37252605620806706</v>
      </c>
      <c r="G36" s="15">
        <v>-3.8579023023801867E-2</v>
      </c>
      <c r="H36" s="15">
        <v>8.0064076902543566E-2</v>
      </c>
      <c r="I36" s="15">
        <v>-0.15692270718443055</v>
      </c>
      <c r="J36" s="15">
        <v>0.15692270718443055</v>
      </c>
    </row>
    <row r="37" spans="2:10">
      <c r="B37" s="19">
        <v>5</v>
      </c>
      <c r="C37" s="15">
        <v>0.75326393087342691</v>
      </c>
      <c r="D37" s="15">
        <v>0.20974086968242875</v>
      </c>
      <c r="E37" s="15">
        <v>-0.41108455066366917</v>
      </c>
      <c r="F37" s="15">
        <v>0.41108455066366917</v>
      </c>
      <c r="G37" s="15">
        <v>0.10506513020199135</v>
      </c>
      <c r="H37" s="15">
        <v>8.0064076902543566E-2</v>
      </c>
      <c r="I37" s="15">
        <v>-0.15692270718443055</v>
      </c>
      <c r="J37" s="15">
        <v>0.15692270718443055</v>
      </c>
    </row>
    <row r="38" spans="2:10">
      <c r="B38" s="19">
        <v>6</v>
      </c>
      <c r="C38" s="15">
        <v>0.73129685662128219</v>
      </c>
      <c r="D38" s="15">
        <v>0.22641924688098608</v>
      </c>
      <c r="E38" s="15">
        <v>-0.44377356929341555</v>
      </c>
      <c r="F38" s="15">
        <v>0.44377356929341555</v>
      </c>
      <c r="G38" s="15">
        <v>0.10550473564022242</v>
      </c>
      <c r="H38" s="15">
        <v>8.0064076902543566E-2</v>
      </c>
      <c r="I38" s="15">
        <v>-0.15692270718443055</v>
      </c>
      <c r="J38" s="15">
        <v>0.15692270718443055</v>
      </c>
    </row>
    <row r="39" spans="2:10">
      <c r="B39" s="19">
        <v>7</v>
      </c>
      <c r="C39" s="15">
        <v>0.72346364264325969</v>
      </c>
      <c r="D39" s="15">
        <v>0.24108509430893887</v>
      </c>
      <c r="E39" s="15">
        <v>-0.47251810205496242</v>
      </c>
      <c r="F39" s="15">
        <v>0.47251810205496242</v>
      </c>
      <c r="G39" s="15">
        <v>0.11681654783311124</v>
      </c>
      <c r="H39" s="15">
        <v>8.0064076902543566E-2</v>
      </c>
      <c r="I39" s="15">
        <v>-0.15692270718443055</v>
      </c>
      <c r="J39" s="15">
        <v>0.15692270718443055</v>
      </c>
    </row>
    <row r="40" spans="2:10">
      <c r="B40" s="19">
        <v>8</v>
      </c>
      <c r="C40" s="15">
        <v>0.7185488862860453</v>
      </c>
      <c r="D40" s="15">
        <v>0.25462182648266546</v>
      </c>
      <c r="E40" s="15">
        <v>-0.4990496095838311</v>
      </c>
      <c r="F40" s="15">
        <v>0.4990496095838311</v>
      </c>
      <c r="G40" s="15">
        <v>6.7954047760709735E-2</v>
      </c>
      <c r="H40" s="15">
        <v>8.0064076902543566E-2</v>
      </c>
      <c r="I40" s="15">
        <v>-0.15692270718443055</v>
      </c>
      <c r="J40" s="15">
        <v>0.15692270718443055</v>
      </c>
    </row>
    <row r="41" spans="2:10">
      <c r="B41" s="19">
        <v>9</v>
      </c>
      <c r="C41" s="15">
        <v>0.73690288393568149</v>
      </c>
      <c r="D41" s="15">
        <v>0.26730444360771788</v>
      </c>
      <c r="E41" s="15">
        <v>-0.52390708237864481</v>
      </c>
      <c r="F41" s="15">
        <v>0.52390708237864481</v>
      </c>
      <c r="G41" s="15">
        <v>0.19868902660810869</v>
      </c>
      <c r="H41" s="15">
        <v>8.0064076902543566E-2</v>
      </c>
      <c r="I41" s="15">
        <v>-0.15692270718443055</v>
      </c>
      <c r="J41" s="15">
        <v>0.15692270718443055</v>
      </c>
    </row>
    <row r="42" spans="2:10">
      <c r="B42" s="19">
        <v>10</v>
      </c>
      <c r="C42" s="15">
        <v>0.74173604506158841</v>
      </c>
      <c r="D42" s="15">
        <v>0.28002416962996912</v>
      </c>
      <c r="E42" s="15">
        <v>-0.54883728727547409</v>
      </c>
      <c r="F42" s="15">
        <v>0.54883728727547409</v>
      </c>
      <c r="G42" s="15">
        <v>4.6931945883306188E-2</v>
      </c>
      <c r="H42" s="15">
        <v>8.0064076902543566E-2</v>
      </c>
      <c r="I42" s="15">
        <v>-0.15692270718443055</v>
      </c>
      <c r="J42" s="15">
        <v>0.15692270718443055</v>
      </c>
    </row>
    <row r="43" spans="2:10">
      <c r="B43" s="19">
        <v>11</v>
      </c>
      <c r="C43" s="15">
        <v>0.74912756488915544</v>
      </c>
      <c r="D43" s="15">
        <v>0.29234744291475312</v>
      </c>
      <c r="E43" s="15">
        <v>-0.57299045908529533</v>
      </c>
      <c r="F43" s="15">
        <v>0.57299045908529533</v>
      </c>
      <c r="G43" s="15">
        <v>3.7899260453007871E-2</v>
      </c>
      <c r="H43" s="15">
        <v>8.0064076902543566E-2</v>
      </c>
      <c r="I43" s="15">
        <v>-0.15692270718443055</v>
      </c>
      <c r="J43" s="15">
        <v>0.15692270718443055</v>
      </c>
    </row>
    <row r="44" spans="2:10">
      <c r="B44" s="19">
        <v>12</v>
      </c>
      <c r="C44" s="15">
        <v>0.76148860486243275</v>
      </c>
      <c r="D44" s="15">
        <v>0.30440400457334937</v>
      </c>
      <c r="E44" s="15">
        <v>-0.59662088571353056</v>
      </c>
      <c r="F44" s="15">
        <v>0.59662088571353056</v>
      </c>
      <c r="G44" s="15">
        <v>0.11443991220907374</v>
      </c>
      <c r="H44" s="15">
        <v>8.0064076902543566E-2</v>
      </c>
      <c r="I44" s="15">
        <v>-0.15692270718443055</v>
      </c>
      <c r="J44" s="15">
        <v>0.15692270718443055</v>
      </c>
    </row>
    <row r="45" spans="2:10">
      <c r="B45" s="19">
        <v>13</v>
      </c>
      <c r="C45" s="15">
        <v>0.7147085552680571</v>
      </c>
      <c r="D45" s="15">
        <v>0.31637946097226932</v>
      </c>
      <c r="E45" s="15">
        <v>-0.62009234895384335</v>
      </c>
      <c r="F45" s="15">
        <v>0.62009234895384335</v>
      </c>
      <c r="G45" s="15">
        <v>-0.3110407358674025</v>
      </c>
      <c r="H45" s="15">
        <v>8.0064076902543566E-2</v>
      </c>
      <c r="I45" s="15">
        <v>-0.15692270718443055</v>
      </c>
      <c r="J45" s="15">
        <v>0.15692270718443055</v>
      </c>
    </row>
    <row r="46" spans="2:10">
      <c r="B46" s="19">
        <v>14</v>
      </c>
      <c r="C46" s="15">
        <v>0.68279385617041255</v>
      </c>
      <c r="D46" s="15">
        <v>0.32656513581110608</v>
      </c>
      <c r="E46" s="15">
        <v>-0.64005590479619923</v>
      </c>
      <c r="F46" s="15">
        <v>0.64005590479619923</v>
      </c>
      <c r="G46" s="15">
        <v>-0.10136024691386598</v>
      </c>
      <c r="H46" s="15">
        <v>8.0064076902543566E-2</v>
      </c>
      <c r="I46" s="15">
        <v>-0.15692270718443055</v>
      </c>
      <c r="J46" s="15">
        <v>0.15692270718443055</v>
      </c>
    </row>
    <row r="47" spans="2:10">
      <c r="B47" s="19">
        <v>15</v>
      </c>
      <c r="C47" s="15">
        <v>0.62728637413564692</v>
      </c>
      <c r="D47" s="15">
        <v>0.33559172593700554</v>
      </c>
      <c r="E47" s="15">
        <v>-0.65774769634616703</v>
      </c>
      <c r="F47" s="15">
        <v>0.65774769634616703</v>
      </c>
      <c r="G47" s="15">
        <v>-0.1319103119969903</v>
      </c>
      <c r="H47" s="15">
        <v>8.0064076902543566E-2</v>
      </c>
      <c r="I47" s="15">
        <v>-0.15692270718443055</v>
      </c>
      <c r="J47" s="15">
        <v>0.15692270718443055</v>
      </c>
    </row>
    <row r="48" spans="2:10">
      <c r="B48" s="19">
        <v>16</v>
      </c>
      <c r="C48" s="15">
        <v>0.58394217853879005</v>
      </c>
      <c r="D48" s="15">
        <v>0.34302554856505335</v>
      </c>
      <c r="E48" s="15">
        <v>-0.67231772096459963</v>
      </c>
      <c r="F48" s="15">
        <v>0.67231772096459963</v>
      </c>
      <c r="G48" s="15">
        <v>-2.654499036011124E-2</v>
      </c>
      <c r="H48" s="15">
        <v>8.0064076902543566E-2</v>
      </c>
      <c r="I48" s="15">
        <v>-0.15692270718443055</v>
      </c>
      <c r="J48" s="15">
        <v>0.15692270718443055</v>
      </c>
    </row>
    <row r="49" spans="2:10">
      <c r="B49" s="19">
        <v>17</v>
      </c>
      <c r="C49" s="15">
        <v>0.55889654973991176</v>
      </c>
      <c r="D49" s="15">
        <v>0.34933962556860781</v>
      </c>
      <c r="E49" s="15">
        <v>-0.68469308448717892</v>
      </c>
      <c r="F49" s="15">
        <v>0.68469308448717892</v>
      </c>
      <c r="G49" s="15">
        <v>8.5617348453036354E-2</v>
      </c>
      <c r="H49" s="15">
        <v>8.0064076902543566E-2</v>
      </c>
      <c r="I49" s="15">
        <v>-0.15692270718443055</v>
      </c>
      <c r="J49" s="15">
        <v>0.15692270718443055</v>
      </c>
    </row>
    <row r="50" spans="2:10">
      <c r="B50" s="19">
        <v>18</v>
      </c>
      <c r="C50" s="15">
        <v>0.5328191008053299</v>
      </c>
      <c r="D50" s="15">
        <v>0.35502515123470485</v>
      </c>
      <c r="E50" s="15">
        <v>-0.69583651002590718</v>
      </c>
      <c r="F50" s="15">
        <v>0.69583651002590718</v>
      </c>
      <c r="G50" s="15">
        <v>-4.4054434549315458E-2</v>
      </c>
      <c r="H50" s="15">
        <v>8.0064076902543566E-2</v>
      </c>
      <c r="I50" s="15">
        <v>-0.15692270718443055</v>
      </c>
      <c r="J50" s="15">
        <v>0.15692270718443055</v>
      </c>
    </row>
    <row r="51" spans="2:10">
      <c r="B51" s="19">
        <v>19</v>
      </c>
      <c r="C51" s="15">
        <v>0.5115734126490834</v>
      </c>
      <c r="D51" s="15">
        <v>0.36011463842288194</v>
      </c>
      <c r="E51" s="15">
        <v>-0.70581172161451233</v>
      </c>
      <c r="F51" s="15">
        <v>0.70581172161451233</v>
      </c>
      <c r="G51" s="15">
        <v>-9.4264090452730973E-2</v>
      </c>
      <c r="H51" s="15">
        <v>8.0064076902543566E-2</v>
      </c>
      <c r="I51" s="15">
        <v>-0.15692270718443055</v>
      </c>
      <c r="J51" s="15">
        <v>0.15692270718443055</v>
      </c>
    </row>
    <row r="52" spans="2:10">
      <c r="B52" s="19">
        <v>20</v>
      </c>
      <c r="C52" s="15">
        <v>0.5147162533825107</v>
      </c>
      <c r="D52" s="15">
        <v>0.36474343767373124</v>
      </c>
      <c r="E52" s="15">
        <v>-0.71488400143784292</v>
      </c>
      <c r="F52" s="15">
        <v>0.71488400143784292</v>
      </c>
      <c r="G52" s="15">
        <v>0.1299635199898253</v>
      </c>
      <c r="H52" s="15">
        <v>8.0064076902543566E-2</v>
      </c>
      <c r="I52" s="15">
        <v>-0.15692270718443055</v>
      </c>
      <c r="J52" s="15">
        <v>0.15692270718443055</v>
      </c>
    </row>
    <row r="53" spans="2:10">
      <c r="B53" s="19">
        <v>21</v>
      </c>
      <c r="C53" s="15">
        <v>0.52209382190433318</v>
      </c>
      <c r="D53" s="15">
        <v>0.36937020719139874</v>
      </c>
      <c r="E53" s="15">
        <v>-0.72395230305723901</v>
      </c>
      <c r="F53" s="15">
        <v>0.72395230305723901</v>
      </c>
      <c r="G53" s="15">
        <v>3.0566210459636891E-2</v>
      </c>
      <c r="H53" s="15">
        <v>8.0064076902543566E-2</v>
      </c>
      <c r="I53" s="15">
        <v>-0.15692270718443055</v>
      </c>
      <c r="J53" s="15">
        <v>0.15692270718443055</v>
      </c>
    </row>
    <row r="54" spans="2:10" ht="16" thickBot="1">
      <c r="B54" s="20">
        <v>22</v>
      </c>
      <c r="C54" s="16">
        <v>0.54015301404153593</v>
      </c>
      <c r="D54" s="16">
        <v>0.37407083615133485</v>
      </c>
      <c r="E54" s="16">
        <v>-0.73316536652339981</v>
      </c>
      <c r="F54" s="16">
        <v>0.73316536652339981</v>
      </c>
      <c r="G54" s="16">
        <v>0.15895130416855885</v>
      </c>
      <c r="H54" s="16">
        <v>8.0064076902543566E-2</v>
      </c>
      <c r="I54" s="16">
        <v>-0.15692270718443055</v>
      </c>
      <c r="J54" s="16">
        <v>0.15692270718443055</v>
      </c>
    </row>
    <row r="74" spans="7:7">
      <c r="G74" t="s">
        <v>187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DD920859">
              <controlPr defaultSize="0" autoFill="0" autoPict="0" macro="[0]!GoToResultsNew10132018538322">
                <anchor moveWithCells="1">
                  <from>
                    <xdr:col>1</xdr:col>
                    <xdr:colOff>12700</xdr:colOff>
                    <xdr:row>5</xdr:row>
                    <xdr:rowOff>0</xdr:rowOff>
                  </from>
                  <to>
                    <xdr:col>4</xdr:col>
                    <xdr:colOff>622300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Decomp-Regression</vt:lpstr>
      <vt:lpstr>Decomposition</vt:lpstr>
      <vt:lpstr>Simple Exponential Smoothing</vt:lpstr>
      <vt:lpstr>Holt-Winters</vt:lpstr>
      <vt:lpstr>ARIMA</vt:lpstr>
      <vt:lpstr>Descriptive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2018-10-15T14:32:34Z</dcterms:modified>
</cp:coreProperties>
</file>