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trlProps/ctrlProp3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drawings/drawing8.xml" ContentType="application/vnd.openxmlformats-officedocument.drawing+xml"/>
  <Override PartName="/xl/ctrlProps/ctrlProp4.xml" ContentType="application/vnd.ms-excel.controlproperties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9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pple/Downloads/DMO_Demand_Forecasting_Group14/Working Files/Gas_Consumption/"/>
    </mc:Choice>
  </mc:AlternateContent>
  <xr:revisionPtr revIDLastSave="0" documentId="13_ncr:1_{3E0F1BFD-8835-FB42-8026-17B016446F0F}" xr6:coauthVersionLast="37" xr6:coauthVersionMax="37" xr10:uidLastSave="{00000000-0000-0000-0000-000000000000}"/>
  <bookViews>
    <workbookView xWindow="1200" yWindow="2620" windowWidth="23680" windowHeight="13200" firstSheet="6" activeTab="10" xr2:uid="{00000000-000D-0000-FFFF-FFFF00000000}"/>
  </bookViews>
  <sheets>
    <sheet name="Gas Data" sheetId="1" r:id="rId1"/>
    <sheet name="Transformed Data" sheetId="2" r:id="rId2"/>
    <sheet name="Piped Gas" sheetId="3" r:id="rId3"/>
    <sheet name="LPG" sheetId="4" r:id="rId4"/>
    <sheet name="ARIMA(LPG)" sheetId="19" r:id="rId5"/>
    <sheet name="Exponential Smoothing(LPG)" sheetId="20" r:id="rId6"/>
    <sheet name="Holt-Winters Smoothing(LPG)" sheetId="22" r:id="rId7"/>
    <sheet name="Decomposition(LPG)" sheetId="23" r:id="rId8"/>
    <sheet name="ARIMA(Piped Gas)" sheetId="25" r:id="rId9"/>
    <sheet name="Exponential (Piped Gas)" sheetId="26" r:id="rId10"/>
    <sheet name="Decomposition(Piped Gas)" sheetId="24" r:id="rId11"/>
  </sheets>
  <externalReferences>
    <externalReference r:id="rId12"/>
    <externalReference r:id="rId13"/>
    <externalReference r:id="rId14"/>
  </externalReferences>
  <definedNames>
    <definedName name="demand">'Decomposition(LPG)'!$D$1:$D$99</definedName>
    <definedName name="gas">'Decomposition(Piped Gas)'!$D$1:$D$99</definedName>
    <definedName name="index">'Decomposition(LPG)'!$A$1:$A$99</definedName>
    <definedName name="indexgas">'Decomposition(Piped Gas)'!$A$1:$A$99</definedName>
    <definedName name="qtr">'Decomposition(Piped Gas)'!$C$1:$C$99</definedName>
    <definedName name="quarter">'Decomposition(LPG)'!$C$1:$C$99</definedName>
    <definedName name="s">'Decomposition(Piped Gas)'!$I$8:$J$12</definedName>
    <definedName name="ssindex">'Decomposition(LPG)'!$J$8:$K$12</definedName>
  </definedNames>
  <calcPr calcId="179021" concurrentCalc="0"/>
</workbook>
</file>

<file path=xl/calcChain.xml><?xml version="1.0" encoding="utf-8"?>
<calcChain xmlns="http://schemas.openxmlformats.org/spreadsheetml/2006/main">
  <c r="M10" i="24" l="1"/>
  <c r="J10" i="24"/>
  <c r="J3" i="24"/>
  <c r="J4" i="24"/>
  <c r="E3" i="24"/>
  <c r="F3" i="24"/>
  <c r="G3" i="24"/>
  <c r="J11" i="24"/>
  <c r="E4" i="24"/>
  <c r="F4" i="24"/>
  <c r="G4" i="24"/>
  <c r="J12" i="24"/>
  <c r="E5" i="24"/>
  <c r="F5" i="24"/>
  <c r="G5" i="24"/>
  <c r="J9" i="24"/>
  <c r="E6" i="24"/>
  <c r="F6" i="24"/>
  <c r="G6" i="24"/>
  <c r="E7" i="24"/>
  <c r="F7" i="24"/>
  <c r="G7" i="24"/>
  <c r="E8" i="24"/>
  <c r="F8" i="24"/>
  <c r="G8" i="24"/>
  <c r="E9" i="24"/>
  <c r="F9" i="24"/>
  <c r="G9" i="24"/>
  <c r="E10" i="24"/>
  <c r="F10" i="24"/>
  <c r="G10" i="24"/>
  <c r="E11" i="24"/>
  <c r="F11" i="24"/>
  <c r="G11" i="24"/>
  <c r="E12" i="24"/>
  <c r="F12" i="24"/>
  <c r="G12" i="24"/>
  <c r="E13" i="24"/>
  <c r="F13" i="24"/>
  <c r="G13" i="24"/>
  <c r="E14" i="24"/>
  <c r="F14" i="24"/>
  <c r="G14" i="24"/>
  <c r="E15" i="24"/>
  <c r="F15" i="24"/>
  <c r="G15" i="24"/>
  <c r="E16" i="24"/>
  <c r="F16" i="24"/>
  <c r="G16" i="24"/>
  <c r="E17" i="24"/>
  <c r="F17" i="24"/>
  <c r="G17" i="24"/>
  <c r="E18" i="24"/>
  <c r="F18" i="24"/>
  <c r="G18" i="24"/>
  <c r="E19" i="24"/>
  <c r="F19" i="24"/>
  <c r="G19" i="24"/>
  <c r="E20" i="24"/>
  <c r="F20" i="24"/>
  <c r="G20" i="24"/>
  <c r="E21" i="24"/>
  <c r="F21" i="24"/>
  <c r="G21" i="24"/>
  <c r="E22" i="24"/>
  <c r="F22" i="24"/>
  <c r="G22" i="24"/>
  <c r="E23" i="24"/>
  <c r="F23" i="24"/>
  <c r="G23" i="24"/>
  <c r="E24" i="24"/>
  <c r="F24" i="24"/>
  <c r="G24" i="24"/>
  <c r="E25" i="24"/>
  <c r="F25" i="24"/>
  <c r="G25" i="24"/>
  <c r="E26" i="24"/>
  <c r="F26" i="24"/>
  <c r="G26" i="24"/>
  <c r="E27" i="24"/>
  <c r="F27" i="24"/>
  <c r="G27" i="24"/>
  <c r="E28" i="24"/>
  <c r="F28" i="24"/>
  <c r="G28" i="24"/>
  <c r="E29" i="24"/>
  <c r="F29" i="24"/>
  <c r="G29" i="24"/>
  <c r="E30" i="24"/>
  <c r="F30" i="24"/>
  <c r="G30" i="24"/>
  <c r="E31" i="24"/>
  <c r="F31" i="24"/>
  <c r="G31" i="24"/>
  <c r="E32" i="24"/>
  <c r="F32" i="24"/>
  <c r="G32" i="24"/>
  <c r="E33" i="24"/>
  <c r="F33" i="24"/>
  <c r="G33" i="24"/>
  <c r="E34" i="24"/>
  <c r="F34" i="24"/>
  <c r="G34" i="24"/>
  <c r="E35" i="24"/>
  <c r="F35" i="24"/>
  <c r="G35" i="24"/>
  <c r="E36" i="24"/>
  <c r="F36" i="24"/>
  <c r="G36" i="24"/>
  <c r="E37" i="24"/>
  <c r="F37" i="24"/>
  <c r="G37" i="24"/>
  <c r="E38" i="24"/>
  <c r="F38" i="24"/>
  <c r="G38" i="24"/>
  <c r="E39" i="24"/>
  <c r="F39" i="24"/>
  <c r="G39" i="24"/>
  <c r="E40" i="24"/>
  <c r="F40" i="24"/>
  <c r="G40" i="24"/>
  <c r="E41" i="24"/>
  <c r="F41" i="24"/>
  <c r="G41" i="24"/>
  <c r="E42" i="24"/>
  <c r="F42" i="24"/>
  <c r="G42" i="24"/>
  <c r="E43" i="24"/>
  <c r="F43" i="24"/>
  <c r="G43" i="24"/>
  <c r="E44" i="24"/>
  <c r="F44" i="24"/>
  <c r="G44" i="24"/>
  <c r="E45" i="24"/>
  <c r="F45" i="24"/>
  <c r="G45" i="24"/>
  <c r="E46" i="24"/>
  <c r="F46" i="24"/>
  <c r="G46" i="24"/>
  <c r="E47" i="24"/>
  <c r="F47" i="24"/>
  <c r="G47" i="24"/>
  <c r="E48" i="24"/>
  <c r="F48" i="24"/>
  <c r="G48" i="24"/>
  <c r="E49" i="24"/>
  <c r="F49" i="24"/>
  <c r="G49" i="24"/>
  <c r="E50" i="24"/>
  <c r="F50" i="24"/>
  <c r="G50" i="24"/>
  <c r="E51" i="24"/>
  <c r="F51" i="24"/>
  <c r="G51" i="24"/>
  <c r="E52" i="24"/>
  <c r="F52" i="24"/>
  <c r="G52" i="24"/>
  <c r="E53" i="24"/>
  <c r="F53" i="24"/>
  <c r="G53" i="24"/>
  <c r="E54" i="24"/>
  <c r="F54" i="24"/>
  <c r="G54" i="24"/>
  <c r="E55" i="24"/>
  <c r="F55" i="24"/>
  <c r="G55" i="24"/>
  <c r="E56" i="24"/>
  <c r="F56" i="24"/>
  <c r="G56" i="24"/>
  <c r="E57" i="24"/>
  <c r="F57" i="24"/>
  <c r="G57" i="24"/>
  <c r="E58" i="24"/>
  <c r="F58" i="24"/>
  <c r="G58" i="24"/>
  <c r="E59" i="24"/>
  <c r="F59" i="24"/>
  <c r="G59" i="24"/>
  <c r="E60" i="24"/>
  <c r="F60" i="24"/>
  <c r="G60" i="24"/>
  <c r="E61" i="24"/>
  <c r="F61" i="24"/>
  <c r="G61" i="24"/>
  <c r="E62" i="24"/>
  <c r="F62" i="24"/>
  <c r="G62" i="24"/>
  <c r="E63" i="24"/>
  <c r="F63" i="24"/>
  <c r="G63" i="24"/>
  <c r="E64" i="24"/>
  <c r="F64" i="24"/>
  <c r="G64" i="24"/>
  <c r="E65" i="24"/>
  <c r="F65" i="24"/>
  <c r="G65" i="24"/>
  <c r="E66" i="24"/>
  <c r="F66" i="24"/>
  <c r="G66" i="24"/>
  <c r="E67" i="24"/>
  <c r="F67" i="24"/>
  <c r="G67" i="24"/>
  <c r="E68" i="24"/>
  <c r="F68" i="24"/>
  <c r="G68" i="24"/>
  <c r="E69" i="24"/>
  <c r="F69" i="24"/>
  <c r="G69" i="24"/>
  <c r="E70" i="24"/>
  <c r="F70" i="24"/>
  <c r="G70" i="24"/>
  <c r="E71" i="24"/>
  <c r="F71" i="24"/>
  <c r="G71" i="24"/>
  <c r="E72" i="24"/>
  <c r="F72" i="24"/>
  <c r="G72" i="24"/>
  <c r="E73" i="24"/>
  <c r="F73" i="24"/>
  <c r="G73" i="24"/>
  <c r="E74" i="24"/>
  <c r="F74" i="24"/>
  <c r="G74" i="24"/>
  <c r="E75" i="24"/>
  <c r="F75" i="24"/>
  <c r="G75" i="24"/>
  <c r="E76" i="24"/>
  <c r="F76" i="24"/>
  <c r="G76" i="24"/>
  <c r="E77" i="24"/>
  <c r="F77" i="24"/>
  <c r="G77" i="24"/>
  <c r="E78" i="24"/>
  <c r="F78" i="24"/>
  <c r="G78" i="24"/>
  <c r="E79" i="24"/>
  <c r="F79" i="24"/>
  <c r="G79" i="24"/>
  <c r="E80" i="24"/>
  <c r="F80" i="24"/>
  <c r="G80" i="24"/>
  <c r="E81" i="24"/>
  <c r="F81" i="24"/>
  <c r="G81" i="24"/>
  <c r="E82" i="24"/>
  <c r="F82" i="24"/>
  <c r="G82" i="24"/>
  <c r="E83" i="24"/>
  <c r="F83" i="24"/>
  <c r="G83" i="24"/>
  <c r="E84" i="24"/>
  <c r="F84" i="24"/>
  <c r="G84" i="24"/>
  <c r="E85" i="24"/>
  <c r="F85" i="24"/>
  <c r="G85" i="24"/>
  <c r="E86" i="24"/>
  <c r="F86" i="24"/>
  <c r="G86" i="24"/>
  <c r="E87" i="24"/>
  <c r="F87" i="24"/>
  <c r="G87" i="24"/>
  <c r="E88" i="24"/>
  <c r="F88" i="24"/>
  <c r="G88" i="24"/>
  <c r="E89" i="24"/>
  <c r="F89" i="24"/>
  <c r="G89" i="24"/>
  <c r="E90" i="24"/>
  <c r="F90" i="24"/>
  <c r="G90" i="24"/>
  <c r="E91" i="24"/>
  <c r="F91" i="24"/>
  <c r="G91" i="24"/>
  <c r="E92" i="24"/>
  <c r="F92" i="24"/>
  <c r="G92" i="24"/>
  <c r="E93" i="24"/>
  <c r="F93" i="24"/>
  <c r="G93" i="24"/>
  <c r="E94" i="24"/>
  <c r="F94" i="24"/>
  <c r="G94" i="24"/>
  <c r="E95" i="24"/>
  <c r="F95" i="24"/>
  <c r="G95" i="24"/>
  <c r="E96" i="24"/>
  <c r="F96" i="24"/>
  <c r="G96" i="24"/>
  <c r="E97" i="24"/>
  <c r="F97" i="24"/>
  <c r="G97" i="24"/>
  <c r="E98" i="24"/>
  <c r="F98" i="24"/>
  <c r="G98" i="24"/>
  <c r="E99" i="24"/>
  <c r="F99" i="24"/>
  <c r="G99" i="24"/>
  <c r="E2" i="24"/>
  <c r="F2" i="24"/>
  <c r="G2" i="24"/>
  <c r="K10" i="23"/>
  <c r="K3" i="23"/>
  <c r="K4" i="23"/>
  <c r="E99" i="23"/>
  <c r="F99" i="23"/>
  <c r="G99" i="23"/>
  <c r="K9" i="23"/>
  <c r="E98" i="23"/>
  <c r="F98" i="23"/>
  <c r="G98" i="23"/>
  <c r="K12" i="23"/>
  <c r="E97" i="23"/>
  <c r="F97" i="23"/>
  <c r="G97" i="23"/>
  <c r="K11" i="23"/>
  <c r="E96" i="23"/>
  <c r="F96" i="23"/>
  <c r="G96" i="23"/>
  <c r="E95" i="23"/>
  <c r="F95" i="23"/>
  <c r="G95" i="23"/>
  <c r="E94" i="23"/>
  <c r="F94" i="23"/>
  <c r="G94" i="23"/>
  <c r="E93" i="23"/>
  <c r="F93" i="23"/>
  <c r="G93" i="23"/>
  <c r="E92" i="23"/>
  <c r="F92" i="23"/>
  <c r="G92" i="23"/>
  <c r="E91" i="23"/>
  <c r="F91" i="23"/>
  <c r="G91" i="23"/>
  <c r="E90" i="23"/>
  <c r="F90" i="23"/>
  <c r="G90" i="23"/>
  <c r="E89" i="23"/>
  <c r="F89" i="23"/>
  <c r="G89" i="23"/>
  <c r="E88" i="23"/>
  <c r="F88" i="23"/>
  <c r="G88" i="23"/>
  <c r="E87" i="23"/>
  <c r="F87" i="23"/>
  <c r="G87" i="23"/>
  <c r="E86" i="23"/>
  <c r="F86" i="23"/>
  <c r="G86" i="23"/>
  <c r="E85" i="23"/>
  <c r="F85" i="23"/>
  <c r="G85" i="23"/>
  <c r="E84" i="23"/>
  <c r="F84" i="23"/>
  <c r="G84" i="23"/>
  <c r="E83" i="23"/>
  <c r="F83" i="23"/>
  <c r="G83" i="23"/>
  <c r="E82" i="23"/>
  <c r="F82" i="23"/>
  <c r="G82" i="23"/>
  <c r="E81" i="23"/>
  <c r="F81" i="23"/>
  <c r="G81" i="23"/>
  <c r="E80" i="23"/>
  <c r="F80" i="23"/>
  <c r="G80" i="23"/>
  <c r="E79" i="23"/>
  <c r="F79" i="23"/>
  <c r="G79" i="23"/>
  <c r="E78" i="23"/>
  <c r="F78" i="23"/>
  <c r="G78" i="23"/>
  <c r="E77" i="23"/>
  <c r="F77" i="23"/>
  <c r="G77" i="23"/>
  <c r="E76" i="23"/>
  <c r="F76" i="23"/>
  <c r="G76" i="23"/>
  <c r="E75" i="23"/>
  <c r="F75" i="23"/>
  <c r="G75" i="23"/>
  <c r="E74" i="23"/>
  <c r="F74" i="23"/>
  <c r="G74" i="23"/>
  <c r="E73" i="23"/>
  <c r="F73" i="23"/>
  <c r="G73" i="23"/>
  <c r="E72" i="23"/>
  <c r="F72" i="23"/>
  <c r="G72" i="23"/>
  <c r="E71" i="23"/>
  <c r="F71" i="23"/>
  <c r="G71" i="23"/>
  <c r="E70" i="23"/>
  <c r="F70" i="23"/>
  <c r="G70" i="23"/>
  <c r="E69" i="23"/>
  <c r="F69" i="23"/>
  <c r="G69" i="23"/>
  <c r="E68" i="23"/>
  <c r="F68" i="23"/>
  <c r="G68" i="23"/>
  <c r="E67" i="23"/>
  <c r="F67" i="23"/>
  <c r="G67" i="23"/>
  <c r="E66" i="23"/>
  <c r="F66" i="23"/>
  <c r="G66" i="23"/>
  <c r="E65" i="23"/>
  <c r="F65" i="23"/>
  <c r="G65" i="23"/>
  <c r="E64" i="23"/>
  <c r="F64" i="23"/>
  <c r="G64" i="23"/>
  <c r="E63" i="23"/>
  <c r="F63" i="23"/>
  <c r="G63" i="23"/>
  <c r="E62" i="23"/>
  <c r="F62" i="23"/>
  <c r="G62" i="23"/>
  <c r="E61" i="23"/>
  <c r="F61" i="23"/>
  <c r="G61" i="23"/>
  <c r="E60" i="23"/>
  <c r="F60" i="23"/>
  <c r="G60" i="23"/>
  <c r="E59" i="23"/>
  <c r="F59" i="23"/>
  <c r="G59" i="23"/>
  <c r="E58" i="23"/>
  <c r="F58" i="23"/>
  <c r="G58" i="23"/>
  <c r="E57" i="23"/>
  <c r="F57" i="23"/>
  <c r="G57" i="23"/>
  <c r="E56" i="23"/>
  <c r="F56" i="23"/>
  <c r="G56" i="23"/>
  <c r="E55" i="23"/>
  <c r="F55" i="23"/>
  <c r="G55" i="23"/>
  <c r="E54" i="23"/>
  <c r="F54" i="23"/>
  <c r="G54" i="23"/>
  <c r="E53" i="23"/>
  <c r="F53" i="23"/>
  <c r="G53" i="23"/>
  <c r="E52" i="23"/>
  <c r="F52" i="23"/>
  <c r="G52" i="23"/>
  <c r="E51" i="23"/>
  <c r="F51" i="23"/>
  <c r="G51" i="23"/>
  <c r="E50" i="23"/>
  <c r="F50" i="23"/>
  <c r="G50" i="23"/>
  <c r="E49" i="23"/>
  <c r="F49" i="23"/>
  <c r="G49" i="23"/>
  <c r="E48" i="23"/>
  <c r="F48" i="23"/>
  <c r="G48" i="23"/>
  <c r="E47" i="23"/>
  <c r="F47" i="23"/>
  <c r="G47" i="23"/>
  <c r="E46" i="23"/>
  <c r="F46" i="23"/>
  <c r="G46" i="23"/>
  <c r="E45" i="23"/>
  <c r="F45" i="23"/>
  <c r="G45" i="23"/>
  <c r="E44" i="23"/>
  <c r="F44" i="23"/>
  <c r="G44" i="23"/>
  <c r="E43" i="23"/>
  <c r="F43" i="23"/>
  <c r="G43" i="23"/>
  <c r="E42" i="23"/>
  <c r="F42" i="23"/>
  <c r="G42" i="23"/>
  <c r="E41" i="23"/>
  <c r="F41" i="23"/>
  <c r="G41" i="23"/>
  <c r="E40" i="23"/>
  <c r="F40" i="23"/>
  <c r="G40" i="23"/>
  <c r="E39" i="23"/>
  <c r="F39" i="23"/>
  <c r="G39" i="23"/>
  <c r="E38" i="23"/>
  <c r="F38" i="23"/>
  <c r="G38" i="23"/>
  <c r="E37" i="23"/>
  <c r="F37" i="23"/>
  <c r="G37" i="23"/>
  <c r="E36" i="23"/>
  <c r="F36" i="23"/>
  <c r="G36" i="23"/>
  <c r="E35" i="23"/>
  <c r="F35" i="23"/>
  <c r="G35" i="23"/>
  <c r="E34" i="23"/>
  <c r="F34" i="23"/>
  <c r="G34" i="23"/>
  <c r="E33" i="23"/>
  <c r="F33" i="23"/>
  <c r="G33" i="23"/>
  <c r="E32" i="23"/>
  <c r="F32" i="23"/>
  <c r="G32" i="23"/>
  <c r="E31" i="23"/>
  <c r="F31" i="23"/>
  <c r="G31" i="23"/>
  <c r="E30" i="23"/>
  <c r="F30" i="23"/>
  <c r="G30" i="23"/>
  <c r="E29" i="23"/>
  <c r="F29" i="23"/>
  <c r="G29" i="23"/>
  <c r="E28" i="23"/>
  <c r="F28" i="23"/>
  <c r="G28" i="23"/>
  <c r="E27" i="23"/>
  <c r="F27" i="23"/>
  <c r="G27" i="23"/>
  <c r="E26" i="23"/>
  <c r="F26" i="23"/>
  <c r="G26" i="23"/>
  <c r="E25" i="23"/>
  <c r="F25" i="23"/>
  <c r="G25" i="23"/>
  <c r="E24" i="23"/>
  <c r="F24" i="23"/>
  <c r="G24" i="23"/>
  <c r="E23" i="23"/>
  <c r="F23" i="23"/>
  <c r="G23" i="23"/>
  <c r="E22" i="23"/>
  <c r="F22" i="23"/>
  <c r="G22" i="23"/>
  <c r="E21" i="23"/>
  <c r="F21" i="23"/>
  <c r="G21" i="23"/>
  <c r="E20" i="23"/>
  <c r="F20" i="23"/>
  <c r="G20" i="23"/>
  <c r="E19" i="23"/>
  <c r="F19" i="23"/>
  <c r="G19" i="23"/>
  <c r="E18" i="23"/>
  <c r="F18" i="23"/>
  <c r="G18" i="23"/>
  <c r="E17" i="23"/>
  <c r="F17" i="23"/>
  <c r="G17" i="23"/>
  <c r="E2" i="23"/>
  <c r="F2" i="23"/>
  <c r="G2" i="23"/>
  <c r="E3" i="23"/>
  <c r="F3" i="23"/>
  <c r="G3" i="23"/>
  <c r="E4" i="23"/>
  <c r="F4" i="23"/>
  <c r="G4" i="23"/>
  <c r="E5" i="23"/>
  <c r="F5" i="23"/>
  <c r="G5" i="23"/>
  <c r="E6" i="23"/>
  <c r="F6" i="23"/>
  <c r="G6" i="23"/>
  <c r="E7" i="23"/>
  <c r="F7" i="23"/>
  <c r="G7" i="23"/>
  <c r="E8" i="23"/>
  <c r="F8" i="23"/>
  <c r="G8" i="23"/>
  <c r="E9" i="23"/>
  <c r="F9" i="23"/>
  <c r="G9" i="23"/>
  <c r="E10" i="23"/>
  <c r="F10" i="23"/>
  <c r="G10" i="23"/>
  <c r="E11" i="23"/>
  <c r="F11" i="23"/>
  <c r="G11" i="23"/>
  <c r="E12" i="23"/>
  <c r="F12" i="23"/>
  <c r="G12" i="23"/>
  <c r="E13" i="23"/>
  <c r="F13" i="23"/>
  <c r="G13" i="23"/>
  <c r="E14" i="23"/>
  <c r="F14" i="23"/>
  <c r="G14" i="23"/>
  <c r="E15" i="23"/>
  <c r="F15" i="23"/>
  <c r="G15" i="23"/>
  <c r="E16" i="23"/>
  <c r="F16" i="23"/>
  <c r="G16" i="23"/>
  <c r="K16" i="23"/>
</calcChain>
</file>

<file path=xl/sharedStrings.xml><?xml version="1.0" encoding="utf-8"?>
<sst xmlns="http://schemas.openxmlformats.org/spreadsheetml/2006/main" count="742" uniqueCount="227">
  <si>
    <t>Subject: Energy and Utilities</t>
  </si>
  <si>
    <t>Topic  : Gas Sales and Tariffs</t>
  </si>
  <si>
    <t>Title   : M890371 - Gas Sales, Quarterly</t>
  </si>
  <si>
    <t>Variables</t>
  </si>
  <si>
    <t>1994 1Q</t>
  </si>
  <si>
    <t>1994 2Q</t>
  </si>
  <si>
    <t>1994 3Q</t>
  </si>
  <si>
    <t>1994 4Q</t>
  </si>
  <si>
    <t>1995 1Q</t>
  </si>
  <si>
    <t>1995 2Q</t>
  </si>
  <si>
    <t>1995 3Q</t>
  </si>
  <si>
    <t>1995 4Q</t>
  </si>
  <si>
    <t>1996 1Q</t>
  </si>
  <si>
    <t>1996 2Q</t>
  </si>
  <si>
    <t>1996 3Q</t>
  </si>
  <si>
    <t>1996 4Q</t>
  </si>
  <si>
    <t>1997 1Q</t>
  </si>
  <si>
    <t>1997 2Q</t>
  </si>
  <si>
    <t>1997 3Q</t>
  </si>
  <si>
    <t>1997 4Q</t>
  </si>
  <si>
    <t>1998 1Q</t>
  </si>
  <si>
    <t>1998 2Q</t>
  </si>
  <si>
    <t>1998 3Q</t>
  </si>
  <si>
    <t>1998 4Q</t>
  </si>
  <si>
    <t>1999 1Q</t>
  </si>
  <si>
    <t>1999 2Q</t>
  </si>
  <si>
    <t>1999 3Q</t>
  </si>
  <si>
    <t>1999 4Q</t>
  </si>
  <si>
    <t>2000 1Q</t>
  </si>
  <si>
    <t>2000 2Q</t>
  </si>
  <si>
    <t>2000 3Q</t>
  </si>
  <si>
    <t>2000 4Q</t>
  </si>
  <si>
    <t>2001 1Q</t>
  </si>
  <si>
    <t>2001 2Q</t>
  </si>
  <si>
    <t>2001 3Q</t>
  </si>
  <si>
    <t>2001 4Q</t>
  </si>
  <si>
    <t>2002 1Q</t>
  </si>
  <si>
    <t>2002 2Q</t>
  </si>
  <si>
    <t>2002 3Q</t>
  </si>
  <si>
    <t>2002 4Q</t>
  </si>
  <si>
    <t>2003 1Q</t>
  </si>
  <si>
    <t>2003 2Q</t>
  </si>
  <si>
    <t>2003 3Q</t>
  </si>
  <si>
    <t>2003 4Q</t>
  </si>
  <si>
    <t>2004 1Q</t>
  </si>
  <si>
    <t>2004 2Q</t>
  </si>
  <si>
    <t>2004 3Q</t>
  </si>
  <si>
    <t>2004 4Q</t>
  </si>
  <si>
    <t>2005 1Q</t>
  </si>
  <si>
    <t>2005 2Q</t>
  </si>
  <si>
    <t>2005 3Q</t>
  </si>
  <si>
    <t>2005 4Q</t>
  </si>
  <si>
    <t>2006 1Q</t>
  </si>
  <si>
    <t>2006 2Q</t>
  </si>
  <si>
    <t>2006 3Q</t>
  </si>
  <si>
    <t>2006 4Q</t>
  </si>
  <si>
    <t>2007 1Q</t>
  </si>
  <si>
    <t>2007 2Q</t>
  </si>
  <si>
    <t>2007 3Q</t>
  </si>
  <si>
    <t>2007 4Q</t>
  </si>
  <si>
    <t>2008 1Q</t>
  </si>
  <si>
    <t>2008 2Q</t>
  </si>
  <si>
    <t>2008 3Q</t>
  </si>
  <si>
    <t>2008 4Q</t>
  </si>
  <si>
    <t>2009 1Q</t>
  </si>
  <si>
    <t>2009 2Q</t>
  </si>
  <si>
    <t>2009 3Q</t>
  </si>
  <si>
    <t>2009 4Q</t>
  </si>
  <si>
    <t>2010 1Q</t>
  </si>
  <si>
    <t>2010 2Q</t>
  </si>
  <si>
    <t>2010 3Q</t>
  </si>
  <si>
    <t>2010 4Q</t>
  </si>
  <si>
    <t>2011 1Q</t>
  </si>
  <si>
    <t>2011 2Q</t>
  </si>
  <si>
    <t>2011 3Q</t>
  </si>
  <si>
    <t>2011 4Q</t>
  </si>
  <si>
    <t>2012 1Q</t>
  </si>
  <si>
    <t>2012 2Q</t>
  </si>
  <si>
    <t>2012 3Q</t>
  </si>
  <si>
    <t>2012 4Q</t>
  </si>
  <si>
    <t>2013 1Q</t>
  </si>
  <si>
    <t>2013 2Q</t>
  </si>
  <si>
    <t>2013 3Q</t>
  </si>
  <si>
    <t>2013 4Q</t>
  </si>
  <si>
    <t>2014 1Q</t>
  </si>
  <si>
    <t>2014 2Q</t>
  </si>
  <si>
    <t>2014 3Q</t>
  </si>
  <si>
    <t>2014 4Q</t>
  </si>
  <si>
    <t>2015 1Q</t>
  </si>
  <si>
    <t>2015 2Q</t>
  </si>
  <si>
    <t>2015 3Q</t>
  </si>
  <si>
    <t>2015 4Q</t>
  </si>
  <si>
    <t>2016 1Q</t>
  </si>
  <si>
    <t>2016 2Q</t>
  </si>
  <si>
    <t>2016 3Q</t>
  </si>
  <si>
    <t>2016 4Q</t>
  </si>
  <si>
    <t>2017 1Q</t>
  </si>
  <si>
    <t>2017 2Q</t>
  </si>
  <si>
    <t>2017 3Q</t>
  </si>
  <si>
    <t>2017 4Q</t>
  </si>
  <si>
    <t>2018 1Q</t>
  </si>
  <si>
    <t>2018 2Q</t>
  </si>
  <si>
    <t>Total Piped Gas Sales (Town Gas) (Million Kilowatt Hours)</t>
  </si>
  <si>
    <t>Domestic (Million Kilowatt Hours)</t>
  </si>
  <si>
    <t>Non-domestic (Million Kilowatt Hours)</t>
  </si>
  <si>
    <t>Total Liquefied Petroleum Gas Sales (Net Tonnes)</t>
  </si>
  <si>
    <t/>
  </si>
  <si>
    <t>TOTAL PIPED GAS SALES (TOWN GAS) - One unit is equivalent to one kilowatt hour.</t>
  </si>
  <si>
    <t xml:space="preserve">    DOMESTIC - One unit is equivalent to one kilowatt hour.</t>
  </si>
  <si>
    <t xml:space="preserve">    NON-DOMESTIC - One unit is equivalent to one kilowatt hour.</t>
  </si>
  <si>
    <t xml:space="preserve">
SOURCE: CITY GAS PTE LTD, SINGAPORE DEPARTMENT OF STATISTICS
</t>
  </si>
  <si>
    <t xml:space="preserve">Generated by: SingStat Table Builder </t>
  </si>
  <si>
    <t>Date generated: 14/10/2018</t>
  </si>
  <si>
    <t xml:space="preserve">Contact: info@singstat.gov.sg </t>
  </si>
  <si>
    <t>Index</t>
  </si>
  <si>
    <t>Confidence intervals (%): 95</t>
  </si>
  <si>
    <t>Summary statistics:</t>
  </si>
  <si>
    <t>Variable</t>
  </si>
  <si>
    <t>Observations</t>
  </si>
  <si>
    <t>Obs. with missing data</t>
  </si>
  <si>
    <t>Obs. without missing data</t>
  </si>
  <si>
    <t>Minimum</t>
  </si>
  <si>
    <t>Maximum</t>
  </si>
  <si>
    <t>Mean</t>
  </si>
  <si>
    <t>Std. deviation</t>
  </si>
  <si>
    <t>Value</t>
  </si>
  <si>
    <t>DF</t>
  </si>
  <si>
    <t>SSE</t>
  </si>
  <si>
    <t>MSE</t>
  </si>
  <si>
    <t>RMSE</t>
  </si>
  <si>
    <t>MAPE</t>
  </si>
  <si>
    <t>Iterations</t>
  </si>
  <si>
    <t>Parameter</t>
  </si>
  <si>
    <t>Standard error</t>
  </si>
  <si>
    <t>Residuals</t>
  </si>
  <si>
    <t>Lower bound (95%)</t>
  </si>
  <si>
    <t>Upper bound (95%)</t>
  </si>
  <si>
    <t xml:space="preserve"> </t>
  </si>
  <si>
    <t>Center: Yes</t>
  </si>
  <si>
    <t>Goodness of fit statistics:</t>
  </si>
  <si>
    <t>WN Variance</t>
  </si>
  <si>
    <t>MAPE(Diff)</t>
  </si>
  <si>
    <t>-2Log(Like.)</t>
  </si>
  <si>
    <t>FPE</t>
  </si>
  <si>
    <t>AIC</t>
  </si>
  <si>
    <t>AICC</t>
  </si>
  <si>
    <t>SBC</t>
  </si>
  <si>
    <t>Model parameters:</t>
  </si>
  <si>
    <t>Hessian standard error</t>
  </si>
  <si>
    <t>Constant</t>
  </si>
  <si>
    <t>Asympt. standard error</t>
  </si>
  <si>
    <t>AR(1)</t>
  </si>
  <si>
    <t>AR(2)</t>
  </si>
  <si>
    <t>Predictions and residuals:</t>
  </si>
  <si>
    <t>Standardized residuals</t>
  </si>
  <si>
    <t>Lag</t>
  </si>
  <si>
    <t>Autocorrelation</t>
  </si>
  <si>
    <t>Partial autocorrelation</t>
  </si>
  <si>
    <t>Descriptive analysis (Residuals):</t>
  </si>
  <si>
    <t>Seed (random numbers): 123456789</t>
  </si>
  <si>
    <t>Time series: Workbook = Gas.xlsx / Sheet = LPG / Range = LPG!$C$1:$C$99 / 98 rows and 1 column</t>
  </si>
  <si>
    <t>Model parameters: p = 2 / d = 1 / q = 0 / P = 2 / D = 1 / Q = 0 / s = 4</t>
  </si>
  <si>
    <t>Optimize: Likelihood (Convergence = 0.00001 / Iterations = 500)</t>
  </si>
  <si>
    <t>Results of ARIMA modeling of the Total Liquefied Petroleum Gas Sales (Net Tonnes) series:</t>
  </si>
  <si>
    <t>Results after optimization (Total Liquefied Petroleum Gas Sales (Net Tonnes)):</t>
  </si>
  <si>
    <t>SAR(1)</t>
  </si>
  <si>
    <t>SAR(2)</t>
  </si>
  <si>
    <t>ARIMA(Total Liquefied Petroleum Gas Sales (Net Tonnes))</t>
  </si>
  <si>
    <t>Descriptive analysis (Total Liquefied Petroleum Gas Sales (Net Tonnes)):</t>
  </si>
  <si>
    <r>
      <t>XLSTAT 2018.6.53749  - ARIMA - Start time: 14-10-2018 at 19:47:07 / End time: 14-10-2018 at 19:47:10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</si>
  <si>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r>
      <t>XLSTAT 2018.6.53722  - Smoothing - Start time: 10/14/2018 at 4:09:57 PM / End time: 10/14/2018 at 4:09:57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</si>
  <si>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Time series: Workbook = GAS_LPG.xlsx / Sheet = Sheet1 / Range = Sheet1!$C$2:$C$99 / 98 rows and 1 column</t>
  </si>
  <si>
    <t>Smoothing: Exponential</t>
  </si>
  <si>
    <t>Method: Simple</t>
  </si>
  <si>
    <t>S1: Y(1)</t>
  </si>
  <si>
    <t>Alpha = 0.2</t>
  </si>
  <si>
    <t>Var1</t>
  </si>
  <si>
    <t>Goodness of fit statistics (Var1):</t>
  </si>
  <si>
    <t>Statistic</t>
  </si>
  <si>
    <t>MPE</t>
  </si>
  <si>
    <t>MAE</t>
  </si>
  <si>
    <t>R²</t>
  </si>
  <si>
    <t>Model parameters (Var1):</t>
  </si>
  <si>
    <t>alpha</t>
  </si>
  <si>
    <t>S1</t>
  </si>
  <si>
    <t>Series before and after smoothing (Var1):</t>
  </si>
  <si>
    <t>Exponential(Var1)</t>
  </si>
  <si>
    <r>
      <t>XLSTAT 2018.6.53722  - Smoothing - Start time: 10/14/2018 at 4:08:06 PM / End time: 10/14/2018 at 4:08:07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</si>
  <si>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Time series: Workbook = GAS_LPG.xlsx / Sheet = Sheet1 / Range = 'Sheet1'!$C$2:$C$99 / 98 rows and 1 column</t>
  </si>
  <si>
    <t>Smoothing: Holt-Winters</t>
  </si>
  <si>
    <t>Method: Linear (Holt)</t>
  </si>
  <si>
    <t>S1: 0</t>
  </si>
  <si>
    <t>Alpha = 0.2 / Beta = 0.2</t>
  </si>
  <si>
    <t>Beta</t>
  </si>
  <si>
    <t>T1</t>
  </si>
  <si>
    <t>Holt-Winters(Var1)</t>
  </si>
  <si>
    <t>Periods</t>
  </si>
  <si>
    <t>Year</t>
  </si>
  <si>
    <t>Quarter</t>
  </si>
  <si>
    <t>LT Forecast</t>
  </si>
  <si>
    <t>Seasonal Forecast with Trend</t>
  </si>
  <si>
    <t>Error</t>
  </si>
  <si>
    <t>Q1</t>
  </si>
  <si>
    <t>Q2</t>
  </si>
  <si>
    <t>Intercept</t>
  </si>
  <si>
    <t>Q3</t>
  </si>
  <si>
    <t>Slope</t>
  </si>
  <si>
    <t>Q4</t>
  </si>
  <si>
    <t>Seasonlity Index</t>
  </si>
  <si>
    <t>Seasonal Forcast</t>
  </si>
  <si>
    <t>intercept</t>
  </si>
  <si>
    <t>slope</t>
  </si>
  <si>
    <r>
      <t>XLSTAT 2018.6.53677  - ARIMA - Start time: 10/14/2018 at 12:01:54 PM / End time: 10/14/2018 at 12:01:56 PM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</si>
  <si>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Time series: Workbook = OutputFile.xlsx / Sheet = Piped Gas / Range = 'Piped Gas'!$C$1:$C$99 / 98 rows and 1 column</t>
  </si>
  <si>
    <t>Model parameters: p = 2 / d = 2 / q = 0 / P = 0 / D = 0 / Q = 0 / s = 0</t>
  </si>
  <si>
    <t>Optimize: Least Squares (Convergence = 0.00001 / Iterations = 500)</t>
  </si>
  <si>
    <t>Results of ARIMA modeling of the Total Piped Gas Sales (Town Gas) (Million Kilowatt Hours) series:</t>
  </si>
  <si>
    <t>Results after optimization (Total Piped Gas Sales (Town Gas) (Million Kilowatt Hours)):</t>
  </si>
  <si>
    <t>ARIMA(Total Piped Gas Sales (Town Gas) (Million Kilowatt Hours))</t>
  </si>
  <si>
    <t>Descriptive analysis (Total Piped Gas Sales (Town Gas) (Million Kilowatt Hours)):</t>
  </si>
  <si>
    <r>
      <t>XLSTAT 2018.6.53677  - Smoothing - Start time: 10/14/2018 at 11:29:50 AM / End time: 10/14/2018 at 11:29:51 AM</t>
    </r>
    <r>
      <rPr>
        <sz val="11"/>
        <color rgb="FFFFFFFF"/>
        <rFont val="Calibri"/>
        <family val="2"/>
        <scheme val="minor"/>
      </rPr>
      <t xml:space="preserve"> / Microsoft Excel 16.09126</t>
    </r>
  </si>
  <si>
    <t>Time series: Workbook = OutputFile.xlsx / Sheet = Holt-Winters-Piped Gas / Range = 'Holt-Winters-Piped Gas'!$C$2:$C$99 / 98 rows and 1 column</t>
  </si>
  <si>
    <t>Alpha: Optimized</t>
  </si>
  <si>
    <t>Optimize (Convergence = 0.00001 / Iterations = 500)</t>
  </si>
  <si>
    <t>Prediction: 1</t>
  </si>
  <si>
    <t>Convergence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</si>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</sst>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00"/>
  </numFmts>
  <fonts count="8">
    <font>
      <sz val="11"/>
      <color indexed="8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rgb="FFFFFFFF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rgb="FF020000"/>
      <name val="Calibri"/>
      <family val="2"/>
      <scheme val="minor"/>
    </font>
    <font>
      <sz val="1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none">
        <bgColor indexed="2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49" fontId="2" fillId="0" borderId="1" xfId="0" applyNumberFormat="1" applyFont="1" applyBorder="1"/>
    <xf numFmtId="0" fontId="3" fillId="0" borderId="0" xfId="0" applyFont="1"/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49" fontId="0" fillId="0" borderId="1" xfId="0" applyNumberFormat="1" applyBorder="1" applyAlignment="1">
      <alignment indent="3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49" fontId="0" fillId="0" borderId="1" xfId="0" applyNumberFormat="1" applyBorder="1" applyAlignment="1">
      <alignment indent="3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3" fontId="2" fillId="0" borderId="1" xfId="0" applyNumberFormat="1" applyFont="1" applyBorder="1" applyAlignment="1">
      <alignment horizontal="right"/>
    </xf>
    <xf numFmtId="164" fontId="2" fillId="0" borderId="1" xfId="0" applyNumberFormat="1" applyFont="1" applyBorder="1" applyAlignment="1">
      <alignment horizontal="right"/>
    </xf>
    <xf numFmtId="0" fontId="0" fillId="0" borderId="2" xfId="0" applyFont="1" applyBorder="1" applyAlignment="1">
      <alignment horizontal="center"/>
    </xf>
    <xf numFmtId="49" fontId="0" fillId="0" borderId="2" xfId="0" applyNumberFormat="1" applyFont="1" applyBorder="1" applyAlignment="1">
      <alignment horizontal="center"/>
    </xf>
    <xf numFmtId="0" fontId="0" fillId="0" borderId="4" xfId="0" applyNumberFormat="1" applyBorder="1" applyAlignment="1"/>
    <xf numFmtId="0" fontId="0" fillId="0" borderId="0" xfId="0" applyNumberFormat="1" applyAlignment="1"/>
    <xf numFmtId="165" fontId="0" fillId="0" borderId="0" xfId="0" applyNumberFormat="1" applyAlignment="1"/>
    <xf numFmtId="165" fontId="0" fillId="0" borderId="5" xfId="0" applyNumberFormat="1" applyBorder="1" applyAlignment="1"/>
    <xf numFmtId="0" fontId="0" fillId="0" borderId="5" xfId="0" applyNumberFormat="1" applyBorder="1" applyAlignment="1"/>
    <xf numFmtId="165" fontId="0" fillId="0" borderId="4" xfId="0" applyNumberFormat="1" applyBorder="1" applyAlignment="1"/>
    <xf numFmtId="0" fontId="0" fillId="0" borderId="2" xfId="0" applyNumberFormat="1" applyFont="1" applyBorder="1" applyAlignment="1">
      <alignment horizontal="center"/>
    </xf>
    <xf numFmtId="0" fontId="0" fillId="0" borderId="0" xfId="0" applyAlignment="1"/>
    <xf numFmtId="0" fontId="0" fillId="0" borderId="4" xfId="0" applyBorder="1" applyAlignment="1"/>
    <xf numFmtId="0" fontId="0" fillId="0" borderId="3" xfId="0" applyBorder="1" applyAlignment="1"/>
    <xf numFmtId="0" fontId="0" fillId="0" borderId="3" xfId="0" applyNumberFormat="1" applyBorder="1" applyAlignment="1"/>
    <xf numFmtId="165" fontId="0" fillId="0" borderId="3" xfId="0" applyNumberFormat="1" applyBorder="1" applyAlignment="1"/>
    <xf numFmtId="0" fontId="5" fillId="0" borderId="0" xfId="0" applyFont="1"/>
    <xf numFmtId="0" fontId="0" fillId="0" borderId="2" xfId="0" applyBorder="1" applyAlignment="1"/>
    <xf numFmtId="0" fontId="0" fillId="0" borderId="5" xfId="0" applyBorder="1" applyAlignment="1"/>
    <xf numFmtId="0" fontId="0" fillId="0" borderId="0" xfId="0" applyFont="1"/>
    <xf numFmtId="49" fontId="6" fillId="0" borderId="3" xfId="0" applyNumberFormat="1" applyFont="1" applyBorder="1" applyAlignment="1"/>
    <xf numFmtId="0" fontId="6" fillId="0" borderId="3" xfId="0" applyNumberFormat="1" applyFont="1" applyBorder="1" applyAlignment="1"/>
    <xf numFmtId="165" fontId="6" fillId="0" borderId="3" xfId="0" applyNumberFormat="1" applyFont="1" applyBorder="1" applyAlignment="1"/>
    <xf numFmtId="49" fontId="0" fillId="0" borderId="4" xfId="0" applyNumberFormat="1" applyBorder="1" applyAlignment="1"/>
    <xf numFmtId="49" fontId="0" fillId="0" borderId="0" xfId="0" applyNumberFormat="1" applyAlignment="1"/>
    <xf numFmtId="49" fontId="0" fillId="3" borderId="0" xfId="0" applyNumberFormat="1" applyFill="1" applyAlignment="1"/>
    <xf numFmtId="165" fontId="0" fillId="3" borderId="0" xfId="0" applyNumberFormat="1" applyFill="1" applyAlignment="1"/>
    <xf numFmtId="49" fontId="0" fillId="0" borderId="5" xfId="0" applyNumberFormat="1" applyBorder="1" applyAlignment="1"/>
    <xf numFmtId="0" fontId="7" fillId="0" borderId="0" xfId="0" applyFont="1"/>
    <xf numFmtId="0" fontId="0" fillId="0" borderId="6" xfId="0" applyBorder="1"/>
    <xf numFmtId="2" fontId="0" fillId="0" borderId="6" xfId="0" applyNumberFormat="1" applyBorder="1"/>
    <xf numFmtId="0" fontId="0" fillId="4" borderId="6" xfId="0" applyFill="1" applyBorder="1"/>
    <xf numFmtId="0" fontId="0" fillId="5" borderId="6" xfId="0" applyFill="1" applyBorder="1"/>
    <xf numFmtId="0" fontId="0" fillId="6" borderId="6" xfId="0" applyFill="1" applyBorder="1"/>
    <xf numFmtId="2" fontId="0" fillId="6" borderId="6" xfId="0" applyNumberFormat="1" applyFill="1" applyBorder="1"/>
    <xf numFmtId="0" fontId="0" fillId="0" borderId="0" xfId="0" applyBorder="1"/>
    <xf numFmtId="2" fontId="0" fillId="0" borderId="0" xfId="0" applyNumberFormat="1"/>
    <xf numFmtId="49" fontId="2" fillId="0" borderId="6" xfId="0" applyNumberFormat="1" applyFont="1" applyBorder="1"/>
    <xf numFmtId="0" fontId="0" fillId="2" borderId="6" xfId="0" applyFill="1" applyBorder="1"/>
    <xf numFmtId="164" fontId="2" fillId="0" borderId="6" xfId="0" applyNumberFormat="1" applyFont="1" applyBorder="1" applyAlignment="1">
      <alignment horizontal="right"/>
    </xf>
    <xf numFmtId="0" fontId="0" fillId="7" borderId="6" xfId="0" applyFill="1" applyBorder="1"/>
    <xf numFmtId="3" fontId="2" fillId="0" borderId="6" xfId="0" applyNumberFormat="1" applyFont="1" applyBorder="1" applyAlignment="1">
      <alignment horizontal="right"/>
    </xf>
    <xf numFmtId="164" fontId="0" fillId="0" borderId="6" xfId="0" applyNumberFormat="1" applyBorder="1"/>
    <xf numFmtId="165" fontId="0" fillId="0" borderId="5" xfId="0" applyNumberFormat="1" applyBorder="1" applyAlignment="1">
      <alignment horizontal="right"/>
    </xf>
    <xf numFmtId="0" fontId="0" fillId="3" borderId="0" xfId="0" applyFill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'Transformed Data'!$B$1</c:f>
              <c:strCache>
                <c:ptCount val="1"/>
                <c:pt idx="0">
                  <c:v>Total Piped Gas Sales (Town Gas) (Million Kilowatt Hours)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'Transformed Data'!$A$2:$A$99</c:f>
              <c:strCache>
                <c:ptCount val="98"/>
                <c:pt idx="0">
                  <c:v>1994 1Q</c:v>
                </c:pt>
                <c:pt idx="1">
                  <c:v>1994 2Q</c:v>
                </c:pt>
                <c:pt idx="2">
                  <c:v>1994 3Q</c:v>
                </c:pt>
                <c:pt idx="3">
                  <c:v>1994 4Q</c:v>
                </c:pt>
                <c:pt idx="4">
                  <c:v>1995 1Q</c:v>
                </c:pt>
                <c:pt idx="5">
                  <c:v>1995 2Q</c:v>
                </c:pt>
                <c:pt idx="6">
                  <c:v>1995 3Q</c:v>
                </c:pt>
                <c:pt idx="7">
                  <c:v>1995 4Q</c:v>
                </c:pt>
                <c:pt idx="8">
                  <c:v>1996 1Q</c:v>
                </c:pt>
                <c:pt idx="9">
                  <c:v>1996 2Q</c:v>
                </c:pt>
                <c:pt idx="10">
                  <c:v>1996 3Q</c:v>
                </c:pt>
                <c:pt idx="11">
                  <c:v>1996 4Q</c:v>
                </c:pt>
                <c:pt idx="12">
                  <c:v>1997 1Q</c:v>
                </c:pt>
                <c:pt idx="13">
                  <c:v>1997 2Q</c:v>
                </c:pt>
                <c:pt idx="14">
                  <c:v>1997 3Q</c:v>
                </c:pt>
                <c:pt idx="15">
                  <c:v>1997 4Q</c:v>
                </c:pt>
                <c:pt idx="16">
                  <c:v>1998 1Q</c:v>
                </c:pt>
                <c:pt idx="17">
                  <c:v>1998 2Q</c:v>
                </c:pt>
                <c:pt idx="18">
                  <c:v>1998 3Q</c:v>
                </c:pt>
                <c:pt idx="19">
                  <c:v>1998 4Q</c:v>
                </c:pt>
                <c:pt idx="20">
                  <c:v>1999 1Q</c:v>
                </c:pt>
                <c:pt idx="21">
                  <c:v>1999 2Q</c:v>
                </c:pt>
                <c:pt idx="22">
                  <c:v>1999 3Q</c:v>
                </c:pt>
                <c:pt idx="23">
                  <c:v>1999 4Q</c:v>
                </c:pt>
                <c:pt idx="24">
                  <c:v>2000 1Q</c:v>
                </c:pt>
                <c:pt idx="25">
                  <c:v>2000 2Q</c:v>
                </c:pt>
                <c:pt idx="26">
                  <c:v>2000 3Q</c:v>
                </c:pt>
                <c:pt idx="27">
                  <c:v>2000 4Q</c:v>
                </c:pt>
                <c:pt idx="28">
                  <c:v>2001 1Q</c:v>
                </c:pt>
                <c:pt idx="29">
                  <c:v>2001 2Q</c:v>
                </c:pt>
                <c:pt idx="30">
                  <c:v>2001 3Q</c:v>
                </c:pt>
                <c:pt idx="31">
                  <c:v>2001 4Q</c:v>
                </c:pt>
                <c:pt idx="32">
                  <c:v>2002 1Q</c:v>
                </c:pt>
                <c:pt idx="33">
                  <c:v>2002 2Q</c:v>
                </c:pt>
                <c:pt idx="34">
                  <c:v>2002 3Q</c:v>
                </c:pt>
                <c:pt idx="35">
                  <c:v>2002 4Q</c:v>
                </c:pt>
                <c:pt idx="36">
                  <c:v>2003 1Q</c:v>
                </c:pt>
                <c:pt idx="37">
                  <c:v>2003 2Q</c:v>
                </c:pt>
                <c:pt idx="38">
                  <c:v>2003 3Q</c:v>
                </c:pt>
                <c:pt idx="39">
                  <c:v>2003 4Q</c:v>
                </c:pt>
                <c:pt idx="40">
                  <c:v>2004 1Q</c:v>
                </c:pt>
                <c:pt idx="41">
                  <c:v>2004 2Q</c:v>
                </c:pt>
                <c:pt idx="42">
                  <c:v>2004 3Q</c:v>
                </c:pt>
                <c:pt idx="43">
                  <c:v>2004 4Q</c:v>
                </c:pt>
                <c:pt idx="44">
                  <c:v>2005 1Q</c:v>
                </c:pt>
                <c:pt idx="45">
                  <c:v>2005 2Q</c:v>
                </c:pt>
                <c:pt idx="46">
                  <c:v>2005 3Q</c:v>
                </c:pt>
                <c:pt idx="47">
                  <c:v>2005 4Q</c:v>
                </c:pt>
                <c:pt idx="48">
                  <c:v>2006 1Q</c:v>
                </c:pt>
                <c:pt idx="49">
                  <c:v>2006 2Q</c:v>
                </c:pt>
                <c:pt idx="50">
                  <c:v>2006 3Q</c:v>
                </c:pt>
                <c:pt idx="51">
                  <c:v>2006 4Q</c:v>
                </c:pt>
                <c:pt idx="52">
                  <c:v>2007 1Q</c:v>
                </c:pt>
                <c:pt idx="53">
                  <c:v>2007 2Q</c:v>
                </c:pt>
                <c:pt idx="54">
                  <c:v>2007 3Q</c:v>
                </c:pt>
                <c:pt idx="55">
                  <c:v>2007 4Q</c:v>
                </c:pt>
                <c:pt idx="56">
                  <c:v>2008 1Q</c:v>
                </c:pt>
                <c:pt idx="57">
                  <c:v>2008 2Q</c:v>
                </c:pt>
                <c:pt idx="58">
                  <c:v>2008 3Q</c:v>
                </c:pt>
                <c:pt idx="59">
                  <c:v>2008 4Q</c:v>
                </c:pt>
                <c:pt idx="60">
                  <c:v>2009 1Q</c:v>
                </c:pt>
                <c:pt idx="61">
                  <c:v>2009 2Q</c:v>
                </c:pt>
                <c:pt idx="62">
                  <c:v>2009 3Q</c:v>
                </c:pt>
                <c:pt idx="63">
                  <c:v>2009 4Q</c:v>
                </c:pt>
                <c:pt idx="64">
                  <c:v>2010 1Q</c:v>
                </c:pt>
                <c:pt idx="65">
                  <c:v>2010 2Q</c:v>
                </c:pt>
                <c:pt idx="66">
                  <c:v>2010 3Q</c:v>
                </c:pt>
                <c:pt idx="67">
                  <c:v>2010 4Q</c:v>
                </c:pt>
                <c:pt idx="68">
                  <c:v>2011 1Q</c:v>
                </c:pt>
                <c:pt idx="69">
                  <c:v>2011 2Q</c:v>
                </c:pt>
                <c:pt idx="70">
                  <c:v>2011 3Q</c:v>
                </c:pt>
                <c:pt idx="71">
                  <c:v>2011 4Q</c:v>
                </c:pt>
                <c:pt idx="72">
                  <c:v>2012 1Q</c:v>
                </c:pt>
                <c:pt idx="73">
                  <c:v>2012 2Q</c:v>
                </c:pt>
                <c:pt idx="74">
                  <c:v>2012 3Q</c:v>
                </c:pt>
                <c:pt idx="75">
                  <c:v>2012 4Q</c:v>
                </c:pt>
                <c:pt idx="76">
                  <c:v>2013 1Q</c:v>
                </c:pt>
                <c:pt idx="77">
                  <c:v>2013 2Q</c:v>
                </c:pt>
                <c:pt idx="78">
                  <c:v>2013 3Q</c:v>
                </c:pt>
                <c:pt idx="79">
                  <c:v>2013 4Q</c:v>
                </c:pt>
                <c:pt idx="80">
                  <c:v>2014 1Q</c:v>
                </c:pt>
                <c:pt idx="81">
                  <c:v>2014 2Q</c:v>
                </c:pt>
                <c:pt idx="82">
                  <c:v>2014 3Q</c:v>
                </c:pt>
                <c:pt idx="83">
                  <c:v>2014 4Q</c:v>
                </c:pt>
                <c:pt idx="84">
                  <c:v>2015 1Q</c:v>
                </c:pt>
                <c:pt idx="85">
                  <c:v>2015 2Q</c:v>
                </c:pt>
                <c:pt idx="86">
                  <c:v>2015 3Q</c:v>
                </c:pt>
                <c:pt idx="87">
                  <c:v>2015 4Q</c:v>
                </c:pt>
                <c:pt idx="88">
                  <c:v>2016 1Q</c:v>
                </c:pt>
                <c:pt idx="89">
                  <c:v>2016 2Q</c:v>
                </c:pt>
                <c:pt idx="90">
                  <c:v>2016 3Q</c:v>
                </c:pt>
                <c:pt idx="91">
                  <c:v>2016 4Q</c:v>
                </c:pt>
                <c:pt idx="92">
                  <c:v>2017 1Q</c:v>
                </c:pt>
                <c:pt idx="93">
                  <c:v>2017 2Q</c:v>
                </c:pt>
                <c:pt idx="94">
                  <c:v>2017 3Q</c:v>
                </c:pt>
                <c:pt idx="95">
                  <c:v>2017 4Q</c:v>
                </c:pt>
                <c:pt idx="96">
                  <c:v>2018 1Q</c:v>
                </c:pt>
                <c:pt idx="97">
                  <c:v>2018 2Q</c:v>
                </c:pt>
              </c:strCache>
            </c:strRef>
          </c:cat>
          <c:val>
            <c:numRef>
              <c:f>'Transformed Data'!$B$2:$B$99</c:f>
              <c:numCache>
                <c:formatCode>#,##0.0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 formatCode="#,##0">
                  <c:v>344</c:v>
                </c:pt>
                <c:pt idx="31" formatCode="#,##0">
                  <c:v>343</c:v>
                </c:pt>
                <c:pt idx="32">
                  <c:v>345.6</c:v>
                </c:pt>
                <c:pt idx="33">
                  <c:v>344.9</c:v>
                </c:pt>
                <c:pt idx="34" formatCode="#,##0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 formatCode="#,##0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 formatCode="#,##0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 formatCode="#,##0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 formatCode="#,##0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 formatCode="#,##0">
                  <c:v>422</c:v>
                </c:pt>
                <c:pt idx="89">
                  <c:v>435.5</c:v>
                </c:pt>
                <c:pt idx="90" formatCode="#,##0">
                  <c:v>442</c:v>
                </c:pt>
                <c:pt idx="91">
                  <c:v>441.2</c:v>
                </c:pt>
                <c:pt idx="92" formatCode="#,##0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53-4046-92FF-369EA75A6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8379392"/>
        <c:axId val="688371192"/>
      </c:lineChart>
      <c:catAx>
        <c:axId val="688379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1192"/>
        <c:crosses val="autoZero"/>
        <c:auto val="1"/>
        <c:lblAlgn val="ctr"/>
        <c:lblOffset val="100"/>
        <c:noMultiLvlLbl val="0"/>
      </c:catAx>
      <c:valAx>
        <c:axId val="688371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9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'Transformed Data'!$E$1</c:f>
              <c:strCache>
                <c:ptCount val="1"/>
                <c:pt idx="0">
                  <c:v>Total Liquefied Petroleum Gas Sales (Net Tonnes)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'Transformed Data'!$A$2:$A$99</c:f>
              <c:strCache>
                <c:ptCount val="98"/>
                <c:pt idx="0">
                  <c:v>1994 1Q</c:v>
                </c:pt>
                <c:pt idx="1">
                  <c:v>1994 2Q</c:v>
                </c:pt>
                <c:pt idx="2">
                  <c:v>1994 3Q</c:v>
                </c:pt>
                <c:pt idx="3">
                  <c:v>1994 4Q</c:v>
                </c:pt>
                <c:pt idx="4">
                  <c:v>1995 1Q</c:v>
                </c:pt>
                <c:pt idx="5">
                  <c:v>1995 2Q</c:v>
                </c:pt>
                <c:pt idx="6">
                  <c:v>1995 3Q</c:v>
                </c:pt>
                <c:pt idx="7">
                  <c:v>1995 4Q</c:v>
                </c:pt>
                <c:pt idx="8">
                  <c:v>1996 1Q</c:v>
                </c:pt>
                <c:pt idx="9">
                  <c:v>1996 2Q</c:v>
                </c:pt>
                <c:pt idx="10">
                  <c:v>1996 3Q</c:v>
                </c:pt>
                <c:pt idx="11">
                  <c:v>1996 4Q</c:v>
                </c:pt>
                <c:pt idx="12">
                  <c:v>1997 1Q</c:v>
                </c:pt>
                <c:pt idx="13">
                  <c:v>1997 2Q</c:v>
                </c:pt>
                <c:pt idx="14">
                  <c:v>1997 3Q</c:v>
                </c:pt>
                <c:pt idx="15">
                  <c:v>1997 4Q</c:v>
                </c:pt>
                <c:pt idx="16">
                  <c:v>1998 1Q</c:v>
                </c:pt>
                <c:pt idx="17">
                  <c:v>1998 2Q</c:v>
                </c:pt>
                <c:pt idx="18">
                  <c:v>1998 3Q</c:v>
                </c:pt>
                <c:pt idx="19">
                  <c:v>1998 4Q</c:v>
                </c:pt>
                <c:pt idx="20">
                  <c:v>1999 1Q</c:v>
                </c:pt>
                <c:pt idx="21">
                  <c:v>1999 2Q</c:v>
                </c:pt>
                <c:pt idx="22">
                  <c:v>1999 3Q</c:v>
                </c:pt>
                <c:pt idx="23">
                  <c:v>1999 4Q</c:v>
                </c:pt>
                <c:pt idx="24">
                  <c:v>2000 1Q</c:v>
                </c:pt>
                <c:pt idx="25">
                  <c:v>2000 2Q</c:v>
                </c:pt>
                <c:pt idx="26">
                  <c:v>2000 3Q</c:v>
                </c:pt>
                <c:pt idx="27">
                  <c:v>2000 4Q</c:v>
                </c:pt>
                <c:pt idx="28">
                  <c:v>2001 1Q</c:v>
                </c:pt>
                <c:pt idx="29">
                  <c:v>2001 2Q</c:v>
                </c:pt>
                <c:pt idx="30">
                  <c:v>2001 3Q</c:v>
                </c:pt>
                <c:pt idx="31">
                  <c:v>2001 4Q</c:v>
                </c:pt>
                <c:pt idx="32">
                  <c:v>2002 1Q</c:v>
                </c:pt>
                <c:pt idx="33">
                  <c:v>2002 2Q</c:v>
                </c:pt>
                <c:pt idx="34">
                  <c:v>2002 3Q</c:v>
                </c:pt>
                <c:pt idx="35">
                  <c:v>2002 4Q</c:v>
                </c:pt>
                <c:pt idx="36">
                  <c:v>2003 1Q</c:v>
                </c:pt>
                <c:pt idx="37">
                  <c:v>2003 2Q</c:v>
                </c:pt>
                <c:pt idx="38">
                  <c:v>2003 3Q</c:v>
                </c:pt>
                <c:pt idx="39">
                  <c:v>2003 4Q</c:v>
                </c:pt>
                <c:pt idx="40">
                  <c:v>2004 1Q</c:v>
                </c:pt>
                <c:pt idx="41">
                  <c:v>2004 2Q</c:v>
                </c:pt>
                <c:pt idx="42">
                  <c:v>2004 3Q</c:v>
                </c:pt>
                <c:pt idx="43">
                  <c:v>2004 4Q</c:v>
                </c:pt>
                <c:pt idx="44">
                  <c:v>2005 1Q</c:v>
                </c:pt>
                <c:pt idx="45">
                  <c:v>2005 2Q</c:v>
                </c:pt>
                <c:pt idx="46">
                  <c:v>2005 3Q</c:v>
                </c:pt>
                <c:pt idx="47">
                  <c:v>2005 4Q</c:v>
                </c:pt>
                <c:pt idx="48">
                  <c:v>2006 1Q</c:v>
                </c:pt>
                <c:pt idx="49">
                  <c:v>2006 2Q</c:v>
                </c:pt>
                <c:pt idx="50">
                  <c:v>2006 3Q</c:v>
                </c:pt>
                <c:pt idx="51">
                  <c:v>2006 4Q</c:v>
                </c:pt>
                <c:pt idx="52">
                  <c:v>2007 1Q</c:v>
                </c:pt>
                <c:pt idx="53">
                  <c:v>2007 2Q</c:v>
                </c:pt>
                <c:pt idx="54">
                  <c:v>2007 3Q</c:v>
                </c:pt>
                <c:pt idx="55">
                  <c:v>2007 4Q</c:v>
                </c:pt>
                <c:pt idx="56">
                  <c:v>2008 1Q</c:v>
                </c:pt>
                <c:pt idx="57">
                  <c:v>2008 2Q</c:v>
                </c:pt>
                <c:pt idx="58">
                  <c:v>2008 3Q</c:v>
                </c:pt>
                <c:pt idx="59">
                  <c:v>2008 4Q</c:v>
                </c:pt>
                <c:pt idx="60">
                  <c:v>2009 1Q</c:v>
                </c:pt>
                <c:pt idx="61">
                  <c:v>2009 2Q</c:v>
                </c:pt>
                <c:pt idx="62">
                  <c:v>2009 3Q</c:v>
                </c:pt>
                <c:pt idx="63">
                  <c:v>2009 4Q</c:v>
                </c:pt>
                <c:pt idx="64">
                  <c:v>2010 1Q</c:v>
                </c:pt>
                <c:pt idx="65">
                  <c:v>2010 2Q</c:v>
                </c:pt>
                <c:pt idx="66">
                  <c:v>2010 3Q</c:v>
                </c:pt>
                <c:pt idx="67">
                  <c:v>2010 4Q</c:v>
                </c:pt>
                <c:pt idx="68">
                  <c:v>2011 1Q</c:v>
                </c:pt>
                <c:pt idx="69">
                  <c:v>2011 2Q</c:v>
                </c:pt>
                <c:pt idx="70">
                  <c:v>2011 3Q</c:v>
                </c:pt>
                <c:pt idx="71">
                  <c:v>2011 4Q</c:v>
                </c:pt>
                <c:pt idx="72">
                  <c:v>2012 1Q</c:v>
                </c:pt>
                <c:pt idx="73">
                  <c:v>2012 2Q</c:v>
                </c:pt>
                <c:pt idx="74">
                  <c:v>2012 3Q</c:v>
                </c:pt>
                <c:pt idx="75">
                  <c:v>2012 4Q</c:v>
                </c:pt>
                <c:pt idx="76">
                  <c:v>2013 1Q</c:v>
                </c:pt>
                <c:pt idx="77">
                  <c:v>2013 2Q</c:v>
                </c:pt>
                <c:pt idx="78">
                  <c:v>2013 3Q</c:v>
                </c:pt>
                <c:pt idx="79">
                  <c:v>2013 4Q</c:v>
                </c:pt>
                <c:pt idx="80">
                  <c:v>2014 1Q</c:v>
                </c:pt>
                <c:pt idx="81">
                  <c:v>2014 2Q</c:v>
                </c:pt>
                <c:pt idx="82">
                  <c:v>2014 3Q</c:v>
                </c:pt>
                <c:pt idx="83">
                  <c:v>2014 4Q</c:v>
                </c:pt>
                <c:pt idx="84">
                  <c:v>2015 1Q</c:v>
                </c:pt>
                <c:pt idx="85">
                  <c:v>2015 2Q</c:v>
                </c:pt>
                <c:pt idx="86">
                  <c:v>2015 3Q</c:v>
                </c:pt>
                <c:pt idx="87">
                  <c:v>2015 4Q</c:v>
                </c:pt>
                <c:pt idx="88">
                  <c:v>2016 1Q</c:v>
                </c:pt>
                <c:pt idx="89">
                  <c:v>2016 2Q</c:v>
                </c:pt>
                <c:pt idx="90">
                  <c:v>2016 3Q</c:v>
                </c:pt>
                <c:pt idx="91">
                  <c:v>2016 4Q</c:v>
                </c:pt>
                <c:pt idx="92">
                  <c:v>2017 1Q</c:v>
                </c:pt>
                <c:pt idx="93">
                  <c:v>2017 2Q</c:v>
                </c:pt>
                <c:pt idx="94">
                  <c:v>2017 3Q</c:v>
                </c:pt>
                <c:pt idx="95">
                  <c:v>2017 4Q</c:v>
                </c:pt>
                <c:pt idx="96">
                  <c:v>2018 1Q</c:v>
                </c:pt>
                <c:pt idx="97">
                  <c:v>2018 2Q</c:v>
                </c:pt>
              </c:strCache>
            </c:strRef>
          </c:cat>
          <c:val>
            <c:numRef>
              <c:f>'Transformed Data'!$E$2:$E$99</c:f>
              <c:numCache>
                <c:formatCode>#,##0.0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 formatCode="#,##0">
                  <c:v>36850</c:v>
                </c:pt>
                <c:pt idx="7" formatCode="#,##0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 formatCode="#,##0">
                  <c:v>32667</c:v>
                </c:pt>
                <c:pt idx="12">
                  <c:v>29213.599999999999</c:v>
                </c:pt>
                <c:pt idx="13" formatCode="#,##0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 formatCode="#,##0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 formatCode="#,##0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 formatCode="#,##0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 formatCode="#,##0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 formatCode="#,##0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 formatCode="#,##0">
                  <c:v>22341</c:v>
                </c:pt>
                <c:pt idx="97">
                  <c:v>22628.2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47-4DC2-A31D-56316403B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8487320"/>
        <c:axId val="588485680"/>
      </c:lineChart>
      <c:catAx>
        <c:axId val="588487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85680"/>
        <c:crosses val="autoZero"/>
        <c:auto val="1"/>
        <c:lblAlgn val="ctr"/>
        <c:lblOffset val="100"/>
        <c:noMultiLvlLbl val="0"/>
      </c:catAx>
      <c:valAx>
        <c:axId val="588485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8487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ARIMA (Total Liquefied Petroleum Gas Sales (Net Tonnes))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Liquefied Petroleum Gas Sales (Net Tonnes)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'ARIMA(LPG)'!$B$57:$B$154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'ARIMA(LPG)'!$C$57:$C$154</c:f>
              <c:numCache>
                <c:formatCode>0.000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>
                  <c:v>36850</c:v>
                </c:pt>
                <c:pt idx="7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>
                  <c:v>32667</c:v>
                </c:pt>
                <c:pt idx="12">
                  <c:v>29213.599999999999</c:v>
                </c:pt>
                <c:pt idx="13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>
                  <c:v>22341</c:v>
                </c:pt>
                <c:pt idx="97">
                  <c:v>22628.2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7-45D0-81D2-7F821958B066}"/>
            </c:ext>
          </c:extLst>
        </c:ser>
        <c:ser>
          <c:idx val="1"/>
          <c:order val="1"/>
          <c:tx>
            <c:v>ARIMA (Total Liquefied Petroleum Gas Sales (Net Tonnes))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'ARIMA(LPG)'!$B$57:$B$154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'ARIMA(LPG)'!$D$57:$D$154</c:f>
              <c:numCache>
                <c:formatCode>0.000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41841.044804696809</c:v>
                </c:pt>
                <c:pt idx="6">
                  <c:v>40010.653782819216</c:v>
                </c:pt>
                <c:pt idx="7">
                  <c:v>35046.3803214648</c:v>
                </c:pt>
                <c:pt idx="8">
                  <c:v>29359.455966655463</c:v>
                </c:pt>
                <c:pt idx="9">
                  <c:v>37422.065355281251</c:v>
                </c:pt>
                <c:pt idx="10">
                  <c:v>32620.658887310088</c:v>
                </c:pt>
                <c:pt idx="11">
                  <c:v>32149.58034227552</c:v>
                </c:pt>
                <c:pt idx="12">
                  <c:v>28023.658433841676</c:v>
                </c:pt>
                <c:pt idx="13">
                  <c:v>34783.322572972713</c:v>
                </c:pt>
                <c:pt idx="14">
                  <c:v>31437.974727553956</c:v>
                </c:pt>
                <c:pt idx="15">
                  <c:v>30418.703728150253</c:v>
                </c:pt>
                <c:pt idx="16">
                  <c:v>27731.126644151213</c:v>
                </c:pt>
                <c:pt idx="17">
                  <c:v>31299.705178519795</c:v>
                </c:pt>
                <c:pt idx="18">
                  <c:v>30058.406334553511</c:v>
                </c:pt>
                <c:pt idx="19">
                  <c:v>30703.782639718454</c:v>
                </c:pt>
                <c:pt idx="20">
                  <c:v>28201.404288389611</c:v>
                </c:pt>
                <c:pt idx="21">
                  <c:v>30743.572076258748</c:v>
                </c:pt>
                <c:pt idx="22">
                  <c:v>31194.774396315588</c:v>
                </c:pt>
                <c:pt idx="23">
                  <c:v>31868.918037806219</c:v>
                </c:pt>
                <c:pt idx="24">
                  <c:v>27921.402546690384</c:v>
                </c:pt>
                <c:pt idx="25">
                  <c:v>31407.30623477554</c:v>
                </c:pt>
                <c:pt idx="26">
                  <c:v>31436.014440350147</c:v>
                </c:pt>
                <c:pt idx="27">
                  <c:v>33215.898634798046</c:v>
                </c:pt>
                <c:pt idx="28">
                  <c:v>26879.456148817408</c:v>
                </c:pt>
                <c:pt idx="29">
                  <c:v>30329.198862605226</c:v>
                </c:pt>
                <c:pt idx="30">
                  <c:v>31799.530293583506</c:v>
                </c:pt>
                <c:pt idx="31">
                  <c:v>28106.297083135189</c:v>
                </c:pt>
                <c:pt idx="32">
                  <c:v>32409.820694555397</c:v>
                </c:pt>
                <c:pt idx="33">
                  <c:v>34826.871782538772</c:v>
                </c:pt>
                <c:pt idx="34">
                  <c:v>34547.507020552788</c:v>
                </c:pt>
                <c:pt idx="35">
                  <c:v>35441.003450362841</c:v>
                </c:pt>
                <c:pt idx="36">
                  <c:v>34707.667999621473</c:v>
                </c:pt>
                <c:pt idx="37">
                  <c:v>32728.734569156404</c:v>
                </c:pt>
                <c:pt idx="38">
                  <c:v>30362.429940408107</c:v>
                </c:pt>
                <c:pt idx="39">
                  <c:v>31715.174229653108</c:v>
                </c:pt>
                <c:pt idx="40">
                  <c:v>33458.570458619273</c:v>
                </c:pt>
                <c:pt idx="41">
                  <c:v>30813.085846859383</c:v>
                </c:pt>
                <c:pt idx="42">
                  <c:v>31276.932240827602</c:v>
                </c:pt>
                <c:pt idx="43">
                  <c:v>32726.637387568604</c:v>
                </c:pt>
                <c:pt idx="44">
                  <c:v>27163.668383274773</c:v>
                </c:pt>
                <c:pt idx="45">
                  <c:v>28648.391444074648</c:v>
                </c:pt>
                <c:pt idx="46">
                  <c:v>27964.813833466502</c:v>
                </c:pt>
                <c:pt idx="47">
                  <c:v>28500.264822633828</c:v>
                </c:pt>
                <c:pt idx="48">
                  <c:v>24723.76248189561</c:v>
                </c:pt>
                <c:pt idx="49">
                  <c:v>24843.534985670358</c:v>
                </c:pt>
                <c:pt idx="50">
                  <c:v>24857.857753321583</c:v>
                </c:pt>
                <c:pt idx="51">
                  <c:v>24630.021667467299</c:v>
                </c:pt>
                <c:pt idx="52">
                  <c:v>24465.474235874648</c:v>
                </c:pt>
                <c:pt idx="53">
                  <c:v>26309.878488320781</c:v>
                </c:pt>
                <c:pt idx="54">
                  <c:v>26778.112794500677</c:v>
                </c:pt>
                <c:pt idx="55">
                  <c:v>27296.849916776115</c:v>
                </c:pt>
                <c:pt idx="56">
                  <c:v>24716.570661555754</c:v>
                </c:pt>
                <c:pt idx="57">
                  <c:v>27653.214801501432</c:v>
                </c:pt>
                <c:pt idx="58">
                  <c:v>26376.29752751593</c:v>
                </c:pt>
                <c:pt idx="59">
                  <c:v>28329.604957287334</c:v>
                </c:pt>
                <c:pt idx="60">
                  <c:v>26235.475138079299</c:v>
                </c:pt>
                <c:pt idx="61">
                  <c:v>28643.584616062362</c:v>
                </c:pt>
                <c:pt idx="62">
                  <c:v>29247.649215514921</c:v>
                </c:pt>
                <c:pt idx="63">
                  <c:v>27631.001618170645</c:v>
                </c:pt>
                <c:pt idx="64">
                  <c:v>28317.126091071783</c:v>
                </c:pt>
                <c:pt idx="65">
                  <c:v>29167.574338934581</c:v>
                </c:pt>
                <c:pt idx="66">
                  <c:v>28970.419744024872</c:v>
                </c:pt>
                <c:pt idx="67">
                  <c:v>28629.848443791798</c:v>
                </c:pt>
                <c:pt idx="68">
                  <c:v>27358.198789811115</c:v>
                </c:pt>
                <c:pt idx="69">
                  <c:v>26424.205779896009</c:v>
                </c:pt>
                <c:pt idx="70">
                  <c:v>28550.972840420764</c:v>
                </c:pt>
                <c:pt idx="71">
                  <c:v>27089.361532383999</c:v>
                </c:pt>
                <c:pt idx="72">
                  <c:v>24879.575899485986</c:v>
                </c:pt>
                <c:pt idx="73">
                  <c:v>26990.560573001119</c:v>
                </c:pt>
                <c:pt idx="74">
                  <c:v>25994.395138036463</c:v>
                </c:pt>
                <c:pt idx="75">
                  <c:v>26198.58940232953</c:v>
                </c:pt>
                <c:pt idx="76">
                  <c:v>24112.282381875502</c:v>
                </c:pt>
                <c:pt idx="77">
                  <c:v>26510.051837813317</c:v>
                </c:pt>
                <c:pt idx="78">
                  <c:v>27066.264475458171</c:v>
                </c:pt>
                <c:pt idx="79">
                  <c:v>25084.307939170612</c:v>
                </c:pt>
                <c:pt idx="80">
                  <c:v>24917.645200801864</c:v>
                </c:pt>
                <c:pt idx="81">
                  <c:v>25552.466650909155</c:v>
                </c:pt>
                <c:pt idx="82">
                  <c:v>24067.743351470381</c:v>
                </c:pt>
                <c:pt idx="83">
                  <c:v>24468.369490167242</c:v>
                </c:pt>
                <c:pt idx="84">
                  <c:v>22867.484215092776</c:v>
                </c:pt>
                <c:pt idx="85">
                  <c:v>24752.078467674295</c:v>
                </c:pt>
                <c:pt idx="86">
                  <c:v>23345.944835354469</c:v>
                </c:pt>
                <c:pt idx="87">
                  <c:v>24583.203075673013</c:v>
                </c:pt>
                <c:pt idx="88">
                  <c:v>23309.668717045657</c:v>
                </c:pt>
                <c:pt idx="89">
                  <c:v>22886.764750989645</c:v>
                </c:pt>
                <c:pt idx="90">
                  <c:v>23749.49142770825</c:v>
                </c:pt>
                <c:pt idx="91">
                  <c:v>23137.899620530068</c:v>
                </c:pt>
                <c:pt idx="92">
                  <c:v>22352.965354214026</c:v>
                </c:pt>
                <c:pt idx="93">
                  <c:v>21913.396591450186</c:v>
                </c:pt>
                <c:pt idx="94">
                  <c:v>23297.017369606452</c:v>
                </c:pt>
                <c:pt idx="95">
                  <c:v>23174.963215661854</c:v>
                </c:pt>
                <c:pt idx="96">
                  <c:v>22003.255661441261</c:v>
                </c:pt>
                <c:pt idx="97">
                  <c:v>22742.71624914667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E57-45D0-81D2-7F821958B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3730536"/>
        <c:axId val="733730208"/>
      </c:scatterChart>
      <c:valAx>
        <c:axId val="733730536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730208"/>
        <c:crosses val="autoZero"/>
        <c:crossBetween val="midCat"/>
      </c:valAx>
      <c:valAx>
        <c:axId val="733730208"/>
        <c:scaling>
          <c:orientation val="minMax"/>
          <c:max val="40000"/>
          <c:min val="20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Total Liquefied Petroleum Gas Sales (Net Tonnes)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730536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'ARIMA(LPG)'!$B$57:$B$154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'ARIMA(LPG)'!$E$57:$E$154</c:f>
              <c:numCache>
                <c:formatCode>0.000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-1985.1448046968071</c:v>
                </c:pt>
                <c:pt idx="6">
                  <c:v>-3160.6537828192158</c:v>
                </c:pt>
                <c:pt idx="7">
                  <c:v>-3155.3803214647996</c:v>
                </c:pt>
                <c:pt idx="8">
                  <c:v>415.94403334453818</c:v>
                </c:pt>
                <c:pt idx="9">
                  <c:v>-5543.6653552812495</c:v>
                </c:pt>
                <c:pt idx="10">
                  <c:v>122.6411126899111</c:v>
                </c:pt>
                <c:pt idx="11">
                  <c:v>517.4196577244802</c:v>
                </c:pt>
                <c:pt idx="12">
                  <c:v>1189.9415661583225</c:v>
                </c:pt>
                <c:pt idx="13">
                  <c:v>-2692.3225729727128</c:v>
                </c:pt>
                <c:pt idx="14">
                  <c:v>809.52527244604426</c:v>
                </c:pt>
                <c:pt idx="15">
                  <c:v>1360.0962718497467</c:v>
                </c:pt>
                <c:pt idx="16">
                  <c:v>1624.6733558487867</c:v>
                </c:pt>
                <c:pt idx="17">
                  <c:v>-890.9051785197953</c:v>
                </c:pt>
                <c:pt idx="18">
                  <c:v>1952.5936654464895</c:v>
                </c:pt>
                <c:pt idx="19">
                  <c:v>2218.5173602815485</c:v>
                </c:pt>
                <c:pt idx="20">
                  <c:v>1368.3957116103884</c:v>
                </c:pt>
                <c:pt idx="21">
                  <c:v>-615.07207625874798</c:v>
                </c:pt>
                <c:pt idx="22">
                  <c:v>107.22560368441191</c:v>
                </c:pt>
                <c:pt idx="23">
                  <c:v>-716.71803780621849</c:v>
                </c:pt>
                <c:pt idx="24">
                  <c:v>2008.9974533096174</c:v>
                </c:pt>
                <c:pt idx="25">
                  <c:v>-326.80623477554036</c:v>
                </c:pt>
                <c:pt idx="26">
                  <c:v>1113.1855596498535</c:v>
                </c:pt>
                <c:pt idx="27">
                  <c:v>-3775.6986347980455</c:v>
                </c:pt>
                <c:pt idx="28">
                  <c:v>1254.8438511825916</c:v>
                </c:pt>
                <c:pt idx="29">
                  <c:v>1582.4011373947724</c:v>
                </c:pt>
                <c:pt idx="30">
                  <c:v>-3670.1302935835047</c:v>
                </c:pt>
                <c:pt idx="31">
                  <c:v>4644.2029168648114</c:v>
                </c:pt>
                <c:pt idx="32">
                  <c:v>5121.9793054446054</c:v>
                </c:pt>
                <c:pt idx="33">
                  <c:v>1151.0282174612294</c:v>
                </c:pt>
                <c:pt idx="34">
                  <c:v>1577.2929794472147</c:v>
                </c:pt>
                <c:pt idx="35">
                  <c:v>449.39654963716021</c:v>
                </c:pt>
                <c:pt idx="36">
                  <c:v>-4792.267999621472</c:v>
                </c:pt>
                <c:pt idx="37">
                  <c:v>-3727.4345691564049</c:v>
                </c:pt>
                <c:pt idx="38">
                  <c:v>-1858.0299404081052</c:v>
                </c:pt>
                <c:pt idx="39">
                  <c:v>19.925770346890204</c:v>
                </c:pt>
                <c:pt idx="40">
                  <c:v>-3397.0704586192733</c:v>
                </c:pt>
                <c:pt idx="41">
                  <c:v>-281.88584685938258</c:v>
                </c:pt>
                <c:pt idx="42">
                  <c:v>20.267759172398655</c:v>
                </c:pt>
                <c:pt idx="43">
                  <c:v>-3748.4373875686033</c:v>
                </c:pt>
                <c:pt idx="44">
                  <c:v>740.23161672522838</c:v>
                </c:pt>
                <c:pt idx="45">
                  <c:v>212.70855592535008</c:v>
                </c:pt>
                <c:pt idx="46">
                  <c:v>-602.51383346650255</c:v>
                </c:pt>
                <c:pt idx="47">
                  <c:v>-1280.6648226338293</c:v>
                </c:pt>
                <c:pt idx="48">
                  <c:v>-778.16248189561156</c:v>
                </c:pt>
                <c:pt idx="49">
                  <c:v>27.765014329641417</c:v>
                </c:pt>
                <c:pt idx="50">
                  <c:v>277.94224667841627</c:v>
                </c:pt>
                <c:pt idx="51">
                  <c:v>1125.7783325327</c:v>
                </c:pt>
                <c:pt idx="52">
                  <c:v>1710.4257641253535</c:v>
                </c:pt>
                <c:pt idx="53">
                  <c:v>2182.0215116792206</c:v>
                </c:pt>
                <c:pt idx="54">
                  <c:v>2733.8872054993226</c:v>
                </c:pt>
                <c:pt idx="55">
                  <c:v>598.95008322388458</c:v>
                </c:pt>
                <c:pt idx="56">
                  <c:v>2054.629338444247</c:v>
                </c:pt>
                <c:pt idx="57">
                  <c:v>-93.614801501433249</c:v>
                </c:pt>
                <c:pt idx="58">
                  <c:v>1691.3024724840689</c:v>
                </c:pt>
                <c:pt idx="59">
                  <c:v>-631.80495728733513</c:v>
                </c:pt>
                <c:pt idx="60">
                  <c:v>166.42486192070282</c:v>
                </c:pt>
                <c:pt idx="61">
                  <c:v>-180.8846160623616</c:v>
                </c:pt>
                <c:pt idx="62">
                  <c:v>-995.44921551492007</c:v>
                </c:pt>
                <c:pt idx="63">
                  <c:v>799.39838182935637</c:v>
                </c:pt>
                <c:pt idx="64">
                  <c:v>-82.526091071784322</c:v>
                </c:pt>
                <c:pt idx="65">
                  <c:v>-1206.7743389345815</c:v>
                </c:pt>
                <c:pt idx="66">
                  <c:v>-293.51974402487031</c:v>
                </c:pt>
                <c:pt idx="67">
                  <c:v>151.05155620820369</c:v>
                </c:pt>
                <c:pt idx="68">
                  <c:v>-2608.6987898111147</c:v>
                </c:pt>
                <c:pt idx="69">
                  <c:v>804.19422010399285</c:v>
                </c:pt>
                <c:pt idx="70">
                  <c:v>-935.67284042076426</c:v>
                </c:pt>
                <c:pt idx="71">
                  <c:v>-2100.6615323839978</c:v>
                </c:pt>
                <c:pt idx="72">
                  <c:v>292.52410051401239</c:v>
                </c:pt>
                <c:pt idx="73">
                  <c:v>-967.76057300112006</c:v>
                </c:pt>
                <c:pt idx="74">
                  <c:v>-60.395138036463322</c:v>
                </c:pt>
                <c:pt idx="75">
                  <c:v>283.010597670469</c:v>
                </c:pt>
                <c:pt idx="76">
                  <c:v>1485.3176181244962</c:v>
                </c:pt>
                <c:pt idx="77">
                  <c:v>913.94816218668348</c:v>
                </c:pt>
                <c:pt idx="78">
                  <c:v>-466.86447545816918</c:v>
                </c:pt>
                <c:pt idx="79">
                  <c:v>896.19206082938763</c:v>
                </c:pt>
                <c:pt idx="80">
                  <c:v>-392.54520080186558</c:v>
                </c:pt>
                <c:pt idx="81">
                  <c:v>-2120.7666509091541</c:v>
                </c:pt>
                <c:pt idx="82">
                  <c:v>-102.44335147038146</c:v>
                </c:pt>
                <c:pt idx="83">
                  <c:v>-993.5694901672432</c:v>
                </c:pt>
                <c:pt idx="84">
                  <c:v>517.31578490722313</c:v>
                </c:pt>
                <c:pt idx="85">
                  <c:v>-943.37846767429437</c:v>
                </c:pt>
                <c:pt idx="86">
                  <c:v>965.7551646455322</c:v>
                </c:pt>
                <c:pt idx="87">
                  <c:v>731.89692432698575</c:v>
                </c:pt>
                <c:pt idx="88">
                  <c:v>-179.76871704565565</c:v>
                </c:pt>
                <c:pt idx="89">
                  <c:v>438.13524901035635</c:v>
                </c:pt>
                <c:pt idx="90">
                  <c:v>140.40857229175163</c:v>
                </c:pt>
                <c:pt idx="91">
                  <c:v>68.70037946993034</c:v>
                </c:pt>
                <c:pt idx="92">
                  <c:v>-418.46535421402587</c:v>
                </c:pt>
                <c:pt idx="93">
                  <c:v>659.70340854981259</c:v>
                </c:pt>
                <c:pt idx="94">
                  <c:v>-134.21736960645285</c:v>
                </c:pt>
                <c:pt idx="95">
                  <c:v>78.436784338147845</c:v>
                </c:pt>
                <c:pt idx="96">
                  <c:v>337.7443385587394</c:v>
                </c:pt>
                <c:pt idx="97">
                  <c:v>-114.516249146669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E2-4CF5-B08A-DC49A2D4C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2814112"/>
        <c:axId val="732814768"/>
      </c:barChart>
      <c:catAx>
        <c:axId val="732814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2814768"/>
        <c:crosses val="autoZero"/>
        <c:auto val="1"/>
        <c:lblAlgn val="ctr"/>
        <c:lblOffset val="100"/>
        <c:noMultiLvlLbl val="0"/>
      </c:catAx>
      <c:valAx>
        <c:axId val="73281476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2814112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AutocorrelogramTotal Liquefied Petroleum Gas Sales (Net Tonnes)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'ARIMA(LPG)'!$C$179:$C$199</c:f>
              <c:numCache>
                <c:formatCode>0.000</c:formatCode>
                <c:ptCount val="21"/>
                <c:pt idx="0">
                  <c:v>1</c:v>
                </c:pt>
                <c:pt idx="1">
                  <c:v>0.85119004479662441</c:v>
                </c:pt>
                <c:pt idx="2">
                  <c:v>0.7299073693010838</c:v>
                </c:pt>
                <c:pt idx="3">
                  <c:v>0.68120808323071003</c:v>
                </c:pt>
                <c:pt idx="4">
                  <c:v>0.6292317708384888</c:v>
                </c:pt>
                <c:pt idx="5">
                  <c:v>0.52945234580681499</c:v>
                </c:pt>
                <c:pt idx="6">
                  <c:v>0.47543907550258335</c:v>
                </c:pt>
                <c:pt idx="7">
                  <c:v>0.4687914794156649</c:v>
                </c:pt>
                <c:pt idx="8">
                  <c:v>0.49973972868024197</c:v>
                </c:pt>
                <c:pt idx="9">
                  <c:v>0.45152841261174304</c:v>
                </c:pt>
                <c:pt idx="10">
                  <c:v>0.41294961995216056</c:v>
                </c:pt>
                <c:pt idx="11">
                  <c:v>0.37046034127945354</c:v>
                </c:pt>
                <c:pt idx="12">
                  <c:v>0.3827428891129272</c:v>
                </c:pt>
                <c:pt idx="13">
                  <c:v>0.35236221694066233</c:v>
                </c:pt>
                <c:pt idx="14">
                  <c:v>0.2889780536053585</c:v>
                </c:pt>
                <c:pt idx="15">
                  <c:v>0.24537474332226059</c:v>
                </c:pt>
                <c:pt idx="16">
                  <c:v>0.25644658466172049</c:v>
                </c:pt>
                <c:pt idx="17">
                  <c:v>0.22756093497625721</c:v>
                </c:pt>
                <c:pt idx="18">
                  <c:v>0.21840891153521799</c:v>
                </c:pt>
                <c:pt idx="19">
                  <c:v>0.21715851733289881</c:v>
                </c:pt>
                <c:pt idx="20">
                  <c:v>0.26152340324642598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F-4387-B112-BB3181962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9280"/>
        <c:axId val="7336133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'ARIMA(LPG)'!$E$179:$E$199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-0.30983736393224681</c:v>
                </c:pt>
                <c:pt idx="3">
                  <c:v>-0.37116898425585165</c:v>
                </c:pt>
                <c:pt idx="4">
                  <c:v>-0.41730823494427632</c:v>
                </c:pt>
                <c:pt idx="5">
                  <c:v>-0.45297476718627722</c:v>
                </c:pt>
                <c:pt idx="6">
                  <c:v>-0.4766155718262442</c:v>
                </c:pt>
                <c:pt idx="7">
                  <c:v>-0.49485701923865244</c:v>
                </c:pt>
                <c:pt idx="8">
                  <c:v>-0.51196918625169141</c:v>
                </c:pt>
                <c:pt idx="9">
                  <c:v>-0.53074601096737151</c:v>
                </c:pt>
                <c:pt idx="10">
                  <c:v>-0.54559579239806</c:v>
                </c:pt>
                <c:pt idx="11">
                  <c:v>-0.55771285140733062</c:v>
                </c:pt>
                <c:pt idx="12">
                  <c:v>-0.56727675166432956</c:v>
                </c:pt>
                <c:pt idx="13">
                  <c:v>-0.57731055165039358</c:v>
                </c:pt>
                <c:pt idx="14">
                  <c:v>-0.58568011001007392</c:v>
                </c:pt>
                <c:pt idx="15">
                  <c:v>-0.59124276113022312</c:v>
                </c:pt>
                <c:pt idx="16">
                  <c:v>-0.59522113223923434</c:v>
                </c:pt>
                <c:pt idx="17">
                  <c:v>-0.59953646351436096</c:v>
                </c:pt>
                <c:pt idx="18">
                  <c:v>-0.60291266850709735</c:v>
                </c:pt>
                <c:pt idx="19">
                  <c:v>-0.60600612265254317</c:v>
                </c:pt>
                <c:pt idx="20">
                  <c:v>-0.60904881416693035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FF-4387-B112-BB3181962641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'ARIMA(LPG)'!$F$179:$F$199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0.30983736393224681</c:v>
                </c:pt>
                <c:pt idx="3">
                  <c:v>0.37116898425585165</c:v>
                </c:pt>
                <c:pt idx="4">
                  <c:v>0.41730823494427632</c:v>
                </c:pt>
                <c:pt idx="5">
                  <c:v>0.45297476718627722</c:v>
                </c:pt>
                <c:pt idx="6">
                  <c:v>0.4766155718262442</c:v>
                </c:pt>
                <c:pt idx="7">
                  <c:v>0.49485701923865244</c:v>
                </c:pt>
                <c:pt idx="8">
                  <c:v>0.51196918625169141</c:v>
                </c:pt>
                <c:pt idx="9">
                  <c:v>0.53074601096737151</c:v>
                </c:pt>
                <c:pt idx="10">
                  <c:v>0.54559579239806</c:v>
                </c:pt>
                <c:pt idx="11">
                  <c:v>0.55771285140733062</c:v>
                </c:pt>
                <c:pt idx="12">
                  <c:v>0.56727675166432956</c:v>
                </c:pt>
                <c:pt idx="13">
                  <c:v>0.57731055165039358</c:v>
                </c:pt>
                <c:pt idx="14">
                  <c:v>0.58568011001007392</c:v>
                </c:pt>
                <c:pt idx="15">
                  <c:v>0.59124276113022312</c:v>
                </c:pt>
                <c:pt idx="16">
                  <c:v>0.59522113223923434</c:v>
                </c:pt>
                <c:pt idx="17">
                  <c:v>0.59953646351436096</c:v>
                </c:pt>
                <c:pt idx="18">
                  <c:v>0.60291266850709735</c:v>
                </c:pt>
                <c:pt idx="19">
                  <c:v>0.60600612265254317</c:v>
                </c:pt>
                <c:pt idx="20">
                  <c:v>0.60904881416693035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FF-4387-B112-BB31819626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9280"/>
        <c:axId val="733613376"/>
      </c:lineChart>
      <c:catAx>
        <c:axId val="7336192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3376"/>
        <c:crosses val="autoZero"/>
        <c:auto val="1"/>
        <c:lblAlgn val="ctr"/>
        <c:lblOffset val="100"/>
        <c:noMultiLvlLbl val="0"/>
      </c:catAx>
      <c:valAx>
        <c:axId val="7336133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928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autocorrelogramTotal Liquefied Petroleum Gas Sales (Net Tonnes)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'ARIMA(LPG)'!$G$179:$G$199</c:f>
              <c:numCache>
                <c:formatCode>0.000</c:formatCode>
                <c:ptCount val="21"/>
                <c:pt idx="0">
                  <c:v>1</c:v>
                </c:pt>
                <c:pt idx="1">
                  <c:v>0.85119004479662441</c:v>
                </c:pt>
                <c:pt idx="2">
                  <c:v>1.9540310448419237E-2</c:v>
                </c:pt>
                <c:pt idx="3">
                  <c:v>0.20127759401904458</c:v>
                </c:pt>
                <c:pt idx="4">
                  <c:v>1.6037358172307191E-3</c:v>
                </c:pt>
                <c:pt idx="5">
                  <c:v>-0.14894018673198703</c:v>
                </c:pt>
                <c:pt idx="6">
                  <c:v>9.4421494911365172E-2</c:v>
                </c:pt>
                <c:pt idx="7">
                  <c:v>0.10728149928668892</c:v>
                </c:pt>
                <c:pt idx="8">
                  <c:v>0.22764875499337509</c:v>
                </c:pt>
                <c:pt idx="9">
                  <c:v>-0.17455126223019582</c:v>
                </c:pt>
                <c:pt idx="10">
                  <c:v>1.7917523550699154E-2</c:v>
                </c:pt>
                <c:pt idx="11">
                  <c:v>-0.15277443982240993</c:v>
                </c:pt>
                <c:pt idx="12">
                  <c:v>0.22123808661608538</c:v>
                </c:pt>
                <c:pt idx="13">
                  <c:v>-5.0628877089215256E-2</c:v>
                </c:pt>
                <c:pt idx="14">
                  <c:v>-9.4420225434499364E-2</c:v>
                </c:pt>
                <c:pt idx="15">
                  <c:v>-4.6021516348413498E-2</c:v>
                </c:pt>
                <c:pt idx="16">
                  <c:v>2.4002909316384061E-2</c:v>
                </c:pt>
                <c:pt idx="17">
                  <c:v>1.5331306569153678E-2</c:v>
                </c:pt>
                <c:pt idx="18">
                  <c:v>0.12206071117284811</c:v>
                </c:pt>
                <c:pt idx="19">
                  <c:v>3.867794708003159E-2</c:v>
                </c:pt>
                <c:pt idx="20">
                  <c:v>6.3464968314408954E-2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56-49D9-B555-462A119CB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3704"/>
        <c:axId val="73361764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'ARIMA(LPG)'!$I$179:$I$199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56-49D9-B555-462A119CBD81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'ARIMA(LPG)'!$B$179:$B$199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'ARIMA(LPG)'!$J$179:$J$199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56-49D9-B555-462A119CB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3704"/>
        <c:axId val="733617640"/>
      </c:lineChart>
      <c:catAx>
        <c:axId val="733613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7640"/>
        <c:crosses val="autoZero"/>
        <c:auto val="1"/>
        <c:lblAlgn val="ctr"/>
        <c:lblOffset val="100"/>
        <c:noMultiLvlLbl val="0"/>
      </c:catAx>
      <c:valAx>
        <c:axId val="73361764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37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'ARIMA(LPG)'!$C$224:$C$244</c:f>
              <c:numCache>
                <c:formatCode>0.000</c:formatCode>
                <c:ptCount val="21"/>
                <c:pt idx="0">
                  <c:v>1</c:v>
                </c:pt>
                <c:pt idx="1">
                  <c:v>0.15696191160896455</c:v>
                </c:pt>
                <c:pt idx="2">
                  <c:v>0.14519967468692227</c:v>
                </c:pt>
                <c:pt idx="3">
                  <c:v>0.22647189308482388</c:v>
                </c:pt>
                <c:pt idx="4">
                  <c:v>3.980551417200958E-2</c:v>
                </c:pt>
                <c:pt idx="5">
                  <c:v>-0.20563155612595094</c:v>
                </c:pt>
                <c:pt idx="6">
                  <c:v>-4.6898633967768159E-2</c:v>
                </c:pt>
                <c:pt idx="7">
                  <c:v>8.4923633193506095E-3</c:v>
                </c:pt>
                <c:pt idx="8">
                  <c:v>-9.4149019300143438E-2</c:v>
                </c:pt>
                <c:pt idx="9">
                  <c:v>-0.13752039378188971</c:v>
                </c:pt>
                <c:pt idx="10">
                  <c:v>2.7380193855341253E-2</c:v>
                </c:pt>
                <c:pt idx="11">
                  <c:v>-0.18340533784308552</c:v>
                </c:pt>
                <c:pt idx="12">
                  <c:v>-0.13836712538566234</c:v>
                </c:pt>
                <c:pt idx="13">
                  <c:v>4.0860308017284359E-2</c:v>
                </c:pt>
                <c:pt idx="14">
                  <c:v>-8.9080188921322759E-2</c:v>
                </c:pt>
                <c:pt idx="15">
                  <c:v>-0.19889121749595909</c:v>
                </c:pt>
                <c:pt idx="16">
                  <c:v>-6.7863847739207436E-2</c:v>
                </c:pt>
                <c:pt idx="17">
                  <c:v>-0.112544120392765</c:v>
                </c:pt>
                <c:pt idx="18">
                  <c:v>-0.11285930581563995</c:v>
                </c:pt>
                <c:pt idx="19">
                  <c:v>-9.4845380623848272E-2</c:v>
                </c:pt>
                <c:pt idx="20">
                  <c:v>2.0115741832200155E-2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95-4E73-97BA-845379AD2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14360"/>
        <c:axId val="73361534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'ARIMA(LPG)'!$E$224:$E$244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-0.20280540544892001</c:v>
                </c:pt>
                <c:pt idx="3">
                  <c:v>-0.20684021529767574</c:v>
                </c:pt>
                <c:pt idx="4">
                  <c:v>-0.21634191717677156</c:v>
                </c:pt>
                <c:pt idx="5">
                  <c:v>-0.21662881551827357</c:v>
                </c:pt>
                <c:pt idx="6">
                  <c:v>-0.22414953467220272</c:v>
                </c:pt>
                <c:pt idx="7">
                  <c:v>-0.2245338436295288</c:v>
                </c:pt>
                <c:pt idx="8">
                  <c:v>-0.22454643384756828</c:v>
                </c:pt>
                <c:pt idx="9">
                  <c:v>-0.22608851359761967</c:v>
                </c:pt>
                <c:pt idx="10">
                  <c:v>-0.22934395831214544</c:v>
                </c:pt>
                <c:pt idx="11">
                  <c:v>-0.22947205401863494</c:v>
                </c:pt>
                <c:pt idx="12">
                  <c:v>-0.23514784299668853</c:v>
                </c:pt>
                <c:pt idx="13">
                  <c:v>-0.23831797472426125</c:v>
                </c:pt>
                <c:pt idx="14">
                  <c:v>-0.2385924268378477</c:v>
                </c:pt>
                <c:pt idx="15">
                  <c:v>-0.23989257853824983</c:v>
                </c:pt>
                <c:pt idx="16">
                  <c:v>-0.24627151729170033</c:v>
                </c:pt>
                <c:pt idx="17">
                  <c:v>-0.2470034783220805</c:v>
                </c:pt>
                <c:pt idx="18">
                  <c:v>-0.24900544220081461</c:v>
                </c:pt>
                <c:pt idx="19">
                  <c:v>-0.25100253349933621</c:v>
                </c:pt>
                <c:pt idx="20">
                  <c:v>-0.25240345593678026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95-4E73-97BA-845379AD29F9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'ARIMA(LPG)'!$F$224:$F$244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0.20280540544892001</c:v>
                </c:pt>
                <c:pt idx="3">
                  <c:v>0.20684021529767574</c:v>
                </c:pt>
                <c:pt idx="4">
                  <c:v>0.21634191717677156</c:v>
                </c:pt>
                <c:pt idx="5">
                  <c:v>0.21662881551827357</c:v>
                </c:pt>
                <c:pt idx="6">
                  <c:v>0.22414953467220272</c:v>
                </c:pt>
                <c:pt idx="7">
                  <c:v>0.2245338436295288</c:v>
                </c:pt>
                <c:pt idx="8">
                  <c:v>0.22454643384756828</c:v>
                </c:pt>
                <c:pt idx="9">
                  <c:v>0.22608851359761967</c:v>
                </c:pt>
                <c:pt idx="10">
                  <c:v>0.22934395831214544</c:v>
                </c:pt>
                <c:pt idx="11">
                  <c:v>0.22947205401863494</c:v>
                </c:pt>
                <c:pt idx="12">
                  <c:v>0.23514784299668853</c:v>
                </c:pt>
                <c:pt idx="13">
                  <c:v>0.23831797472426125</c:v>
                </c:pt>
                <c:pt idx="14">
                  <c:v>0.2385924268378477</c:v>
                </c:pt>
                <c:pt idx="15">
                  <c:v>0.23989257853824983</c:v>
                </c:pt>
                <c:pt idx="16">
                  <c:v>0.24627151729170033</c:v>
                </c:pt>
                <c:pt idx="17">
                  <c:v>0.2470034783220805</c:v>
                </c:pt>
                <c:pt idx="18">
                  <c:v>0.24900544220081461</c:v>
                </c:pt>
                <c:pt idx="19">
                  <c:v>0.25100253349933621</c:v>
                </c:pt>
                <c:pt idx="20">
                  <c:v>0.25240345593678026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95-4E73-97BA-845379AD2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14360"/>
        <c:axId val="733615344"/>
      </c:lineChart>
      <c:catAx>
        <c:axId val="7336143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5344"/>
        <c:crosses val="autoZero"/>
        <c:auto val="1"/>
        <c:lblAlgn val="ctr"/>
        <c:lblOffset val="100"/>
        <c:noMultiLvlLbl val="0"/>
      </c:catAx>
      <c:valAx>
        <c:axId val="73361534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14360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IN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'ARIMA(LPG)'!$G$224:$G$244</c:f>
              <c:numCache>
                <c:formatCode>0.000</c:formatCode>
                <c:ptCount val="21"/>
                <c:pt idx="0">
                  <c:v>1</c:v>
                </c:pt>
                <c:pt idx="1">
                  <c:v>0.15696191160896455</c:v>
                </c:pt>
                <c:pt idx="2">
                  <c:v>0.12360796764377194</c:v>
                </c:pt>
                <c:pt idx="3">
                  <c:v>0.19479871058203338</c:v>
                </c:pt>
                <c:pt idx="4">
                  <c:v>-3.3038255033115652E-2</c:v>
                </c:pt>
                <c:pt idx="5">
                  <c:v>-0.27811063506303196</c:v>
                </c:pt>
                <c:pt idx="6">
                  <c:v>-4.4580334235098239E-2</c:v>
                </c:pt>
                <c:pt idx="7">
                  <c:v>9.4877832586817229E-2</c:v>
                </c:pt>
                <c:pt idx="8">
                  <c:v>2.457624914901646E-2</c:v>
                </c:pt>
                <c:pt idx="9">
                  <c:v>-0.13501841752685131</c:v>
                </c:pt>
                <c:pt idx="10">
                  <c:v>-1.8392548650816999E-2</c:v>
                </c:pt>
                <c:pt idx="11">
                  <c:v>-0.17929149321147214</c:v>
                </c:pt>
                <c:pt idx="12">
                  <c:v>-3.2339500943979443E-2</c:v>
                </c:pt>
                <c:pt idx="13">
                  <c:v>0.12699212285032502</c:v>
                </c:pt>
                <c:pt idx="14">
                  <c:v>-6.9003659304273379E-2</c:v>
                </c:pt>
                <c:pt idx="15">
                  <c:v>-0.21446071309946707</c:v>
                </c:pt>
                <c:pt idx="16">
                  <c:v>-0.15071440677250847</c:v>
                </c:pt>
                <c:pt idx="17">
                  <c:v>-8.9670161644786001E-2</c:v>
                </c:pt>
                <c:pt idx="18">
                  <c:v>8.1257701404928107E-2</c:v>
                </c:pt>
                <c:pt idx="19">
                  <c:v>-1.8294171491424076E-2</c:v>
                </c:pt>
                <c:pt idx="20">
                  <c:v>-9.6247930900630108E-2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69-40D3-AE29-4086CD93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33630104"/>
        <c:axId val="733629776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'ARIMA(LPG)'!$I$224:$I$244</c:f>
              <c:numCache>
                <c:formatCode>0.000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69-40D3-AE29-4086CD93C49D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'ARIMA(LPG)'!$B$224:$B$244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'ARIMA(LPG)'!$J$224:$J$244</c:f>
              <c:numCache>
                <c:formatCode>0.000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69-40D3-AE29-4086CD93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630104"/>
        <c:axId val="733629776"/>
      </c:lineChart>
      <c:catAx>
        <c:axId val="7336301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29776"/>
        <c:crosses val="autoZero"/>
        <c:auto val="1"/>
        <c:lblAlgn val="ctr"/>
        <c:lblOffset val="100"/>
        <c:noMultiLvlLbl val="0"/>
      </c:catAx>
      <c:valAx>
        <c:axId val="733629776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33630104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Exponential / Simple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Var1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[2]Exponential!$B$42:$B$139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[2]Exponential!$C$42:$C$139</c:f>
              <c:numCache>
                <c:formatCode>General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>
                  <c:v>36850</c:v>
                </c:pt>
                <c:pt idx="7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>
                  <c:v>32667</c:v>
                </c:pt>
                <c:pt idx="12">
                  <c:v>29213.599999999999</c:v>
                </c:pt>
                <c:pt idx="13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>
                  <c:v>22341</c:v>
                </c:pt>
                <c:pt idx="97">
                  <c:v>22628.2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1-A048-A7AD-DC72DAB11423}"/>
            </c:ext>
          </c:extLst>
        </c:ser>
        <c:ser>
          <c:idx val="1"/>
          <c:order val="1"/>
          <c:tx>
            <c:v>Exponential(Var1)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[2]Exponential!$B$42:$B$139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[2]Exponential!$D$42:$D$139</c:f>
              <c:numCache>
                <c:formatCode>General</c:formatCode>
                <c:ptCount val="98"/>
                <c:pt idx="1">
                  <c:v>29226.3</c:v>
                </c:pt>
                <c:pt idx="2">
                  <c:v>31011.82</c:v>
                </c:pt>
                <c:pt idx="3">
                  <c:v>32692.396000000001</c:v>
                </c:pt>
                <c:pt idx="4">
                  <c:v>33673.976800000004</c:v>
                </c:pt>
                <c:pt idx="5">
                  <c:v>33759.301440000003</c:v>
                </c:pt>
                <c:pt idx="6">
                  <c:v>34978.621152</c:v>
                </c:pt>
                <c:pt idx="7">
                  <c:v>35352.896921599997</c:v>
                </c:pt>
                <c:pt idx="8">
                  <c:v>34660.51753728</c:v>
                </c:pt>
                <c:pt idx="9">
                  <c:v>33683.494029824004</c:v>
                </c:pt>
                <c:pt idx="10">
                  <c:v>33322.475223859205</c:v>
                </c:pt>
                <c:pt idx="11">
                  <c:v>33206.640179087364</c:v>
                </c:pt>
                <c:pt idx="12">
                  <c:v>33098.712143269891</c:v>
                </c:pt>
                <c:pt idx="13">
                  <c:v>32321.689714615914</c:v>
                </c:pt>
                <c:pt idx="14">
                  <c:v>32275.551771692732</c:v>
                </c:pt>
                <c:pt idx="15">
                  <c:v>32269.941417354185</c:v>
                </c:pt>
                <c:pt idx="16">
                  <c:v>32171.713133883346</c:v>
                </c:pt>
                <c:pt idx="17">
                  <c:v>31608.530507106676</c:v>
                </c:pt>
                <c:pt idx="18">
                  <c:v>31368.584405685342</c:v>
                </c:pt>
                <c:pt idx="19">
                  <c:v>31497.067524548274</c:v>
                </c:pt>
                <c:pt idx="20">
                  <c:v>31782.114019638619</c:v>
                </c:pt>
                <c:pt idx="21">
                  <c:v>31339.651215710895</c:v>
                </c:pt>
                <c:pt idx="22">
                  <c:v>31097.420972568718</c:v>
                </c:pt>
                <c:pt idx="23">
                  <c:v>31138.336778054974</c:v>
                </c:pt>
                <c:pt idx="24">
                  <c:v>31141.10942244398</c:v>
                </c:pt>
                <c:pt idx="25">
                  <c:v>30898.967537955185</c:v>
                </c:pt>
                <c:pt idx="26">
                  <c:v>30935.274030364148</c:v>
                </c:pt>
                <c:pt idx="27">
                  <c:v>31258.059224291319</c:v>
                </c:pt>
                <c:pt idx="28">
                  <c:v>30894.487379433056</c:v>
                </c:pt>
                <c:pt idx="29">
                  <c:v>30342.449903546443</c:v>
                </c:pt>
                <c:pt idx="30">
                  <c:v>30656.279922837155</c:v>
                </c:pt>
                <c:pt idx="31">
                  <c:v>30150.903938269723</c:v>
                </c:pt>
                <c:pt idx="32">
                  <c:v>30670.823150615779</c:v>
                </c:pt>
                <c:pt idx="33">
                  <c:v>32043.018520492624</c:v>
                </c:pt>
                <c:pt idx="34">
                  <c:v>32829.994816394101</c:v>
                </c:pt>
                <c:pt idx="35">
                  <c:v>33488.95585311528</c:v>
                </c:pt>
                <c:pt idx="36">
                  <c:v>33969.244682492223</c:v>
                </c:pt>
                <c:pt idx="37">
                  <c:v>33158.475745993775</c:v>
                </c:pt>
                <c:pt idx="38">
                  <c:v>32327.040596795021</c:v>
                </c:pt>
                <c:pt idx="39">
                  <c:v>31562.512477436016</c:v>
                </c:pt>
                <c:pt idx="40">
                  <c:v>31597.029981948814</c:v>
                </c:pt>
                <c:pt idx="41">
                  <c:v>31289.923985559049</c:v>
                </c:pt>
                <c:pt idx="42">
                  <c:v>31138.17918844724</c:v>
                </c:pt>
                <c:pt idx="43">
                  <c:v>31169.983350757793</c:v>
                </c:pt>
                <c:pt idx="44">
                  <c:v>30731.626680606234</c:v>
                </c:pt>
                <c:pt idx="45">
                  <c:v>30166.081344484988</c:v>
                </c:pt>
                <c:pt idx="46">
                  <c:v>29905.085075587991</c:v>
                </c:pt>
                <c:pt idx="47">
                  <c:v>29396.528060470391</c:v>
                </c:pt>
                <c:pt idx="48">
                  <c:v>28961.142448376311</c:v>
                </c:pt>
                <c:pt idx="49">
                  <c:v>27958.033958701049</c:v>
                </c:pt>
                <c:pt idx="50">
                  <c:v>27340.687166960841</c:v>
                </c:pt>
                <c:pt idx="51">
                  <c:v>26899.709733568674</c:v>
                </c:pt>
                <c:pt idx="52">
                  <c:v>26670.92778685494</c:v>
                </c:pt>
                <c:pt idx="53">
                  <c:v>26571.922229483953</c:v>
                </c:pt>
                <c:pt idx="54">
                  <c:v>26955.917783587163</c:v>
                </c:pt>
                <c:pt idx="55">
                  <c:v>27467.13422686973</c:v>
                </c:pt>
                <c:pt idx="56">
                  <c:v>27552.867381495784</c:v>
                </c:pt>
                <c:pt idx="57">
                  <c:v>27396.533905196626</c:v>
                </c:pt>
                <c:pt idx="58">
                  <c:v>27429.147124157302</c:v>
                </c:pt>
                <c:pt idx="59">
                  <c:v>27556.837699325843</c:v>
                </c:pt>
                <c:pt idx="60">
                  <c:v>27585.030159460675</c:v>
                </c:pt>
                <c:pt idx="61">
                  <c:v>27348.404127568541</c:v>
                </c:pt>
                <c:pt idx="62">
                  <c:v>27571.263302054835</c:v>
                </c:pt>
                <c:pt idx="63">
                  <c:v>27707.450641643867</c:v>
                </c:pt>
                <c:pt idx="64">
                  <c:v>27852.040513315093</c:v>
                </c:pt>
                <c:pt idx="65">
                  <c:v>27928.552410652075</c:v>
                </c:pt>
                <c:pt idx="66">
                  <c:v>27935.001928521659</c:v>
                </c:pt>
                <c:pt idx="67">
                  <c:v>28083.381542817326</c:v>
                </c:pt>
                <c:pt idx="68">
                  <c:v>28222.885234253859</c:v>
                </c:pt>
                <c:pt idx="69">
                  <c:v>27528.208187403088</c:v>
                </c:pt>
                <c:pt idx="70">
                  <c:v>27468.246549922471</c:v>
                </c:pt>
                <c:pt idx="71">
                  <c:v>27497.657239937977</c:v>
                </c:pt>
                <c:pt idx="72">
                  <c:v>26995.865791950382</c:v>
                </c:pt>
                <c:pt idx="73">
                  <c:v>26631.112633560304</c:v>
                </c:pt>
                <c:pt idx="74">
                  <c:v>26509.450106848242</c:v>
                </c:pt>
                <c:pt idx="75">
                  <c:v>26394.360085478595</c:v>
                </c:pt>
                <c:pt idx="76">
                  <c:v>26411.808068382874</c:v>
                </c:pt>
                <c:pt idx="77">
                  <c:v>26248.9664547063</c:v>
                </c:pt>
                <c:pt idx="78">
                  <c:v>26483.97316376504</c:v>
                </c:pt>
                <c:pt idx="79">
                  <c:v>26507.058531012033</c:v>
                </c:pt>
                <c:pt idx="80">
                  <c:v>26401.746824809627</c:v>
                </c:pt>
                <c:pt idx="81">
                  <c:v>26026.4174598477</c:v>
                </c:pt>
                <c:pt idx="82">
                  <c:v>25507.473967878159</c:v>
                </c:pt>
                <c:pt idx="83">
                  <c:v>25199.039174302528</c:v>
                </c:pt>
                <c:pt idx="84">
                  <c:v>24854.191339442023</c:v>
                </c:pt>
                <c:pt idx="85">
                  <c:v>24560.313071553617</c:v>
                </c:pt>
                <c:pt idx="86">
                  <c:v>24409.990457242893</c:v>
                </c:pt>
                <c:pt idx="87">
                  <c:v>24390.332365794315</c:v>
                </c:pt>
                <c:pt idx="88">
                  <c:v>24575.285892635453</c:v>
                </c:pt>
                <c:pt idx="89">
                  <c:v>24286.208714108361</c:v>
                </c:pt>
                <c:pt idx="90">
                  <c:v>24093.946971286688</c:v>
                </c:pt>
                <c:pt idx="91">
                  <c:v>24053.137577029353</c:v>
                </c:pt>
                <c:pt idx="92">
                  <c:v>23883.830061623481</c:v>
                </c:pt>
                <c:pt idx="93">
                  <c:v>23493.964049298786</c:v>
                </c:pt>
                <c:pt idx="94">
                  <c:v>23309.79123943903</c:v>
                </c:pt>
                <c:pt idx="95">
                  <c:v>23280.392991551224</c:v>
                </c:pt>
                <c:pt idx="96">
                  <c:v>23274.994393240981</c:v>
                </c:pt>
                <c:pt idx="97">
                  <c:v>23088.195514592786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B1-A048-A7AD-DC72DAB114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445368"/>
        <c:axId val="523444712"/>
      </c:scatterChart>
      <c:valAx>
        <c:axId val="523445368"/>
        <c:scaling>
          <c:orientation val="minMax"/>
          <c:max val="1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3444712"/>
        <c:crosses val="autoZero"/>
        <c:crossBetween val="midCat"/>
      </c:valAx>
      <c:valAx>
        <c:axId val="523444712"/>
        <c:scaling>
          <c:orientation val="minMax"/>
          <c:max val="40000"/>
          <c:min val="20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23445368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[2]Exponential!$B$42:$B$139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[2]Exponential!$E$42:$E$139</c:f>
              <c:numCache>
                <c:formatCode>General</c:formatCode>
                <c:ptCount val="98"/>
                <c:pt idx="1">
                  <c:v>8927.6000000000022</c:v>
                </c:pt>
                <c:pt idx="2">
                  <c:v>8402.8799999999974</c:v>
                </c:pt>
                <c:pt idx="3">
                  <c:v>4907.9040000000023</c:v>
                </c:pt>
                <c:pt idx="4">
                  <c:v>426.62319999999454</c:v>
                </c:pt>
                <c:pt idx="5">
                  <c:v>6096.5985599999985</c:v>
                </c:pt>
                <c:pt idx="6">
                  <c:v>1871.3788480000003</c:v>
                </c:pt>
                <c:pt idx="7">
                  <c:v>-3461.8969215999969</c:v>
                </c:pt>
                <c:pt idx="8">
                  <c:v>-4885.1175372799989</c:v>
                </c:pt>
                <c:pt idx="9">
                  <c:v>-1805.0940298240021</c:v>
                </c:pt>
                <c:pt idx="10">
                  <c:v>-579.17522385920529</c:v>
                </c:pt>
                <c:pt idx="11">
                  <c:v>-539.64017908736423</c:v>
                </c:pt>
                <c:pt idx="12">
                  <c:v>-3885.1121432698928</c:v>
                </c:pt>
                <c:pt idx="13">
                  <c:v>-230.68971461591354</c:v>
                </c:pt>
                <c:pt idx="14">
                  <c:v>-28.051771692731563</c:v>
                </c:pt>
                <c:pt idx="15">
                  <c:v>-491.14141735418525</c:v>
                </c:pt>
                <c:pt idx="16">
                  <c:v>-2815.9131338833467</c:v>
                </c:pt>
                <c:pt idx="17">
                  <c:v>-1199.7305071066767</c:v>
                </c:pt>
                <c:pt idx="18">
                  <c:v>642.41559431465794</c:v>
                </c:pt>
                <c:pt idx="19">
                  <c:v>1425.2324754517285</c:v>
                </c:pt>
                <c:pt idx="20">
                  <c:v>-2212.3140196386194</c:v>
                </c:pt>
                <c:pt idx="21">
                  <c:v>-1211.1512157108955</c:v>
                </c:pt>
                <c:pt idx="22">
                  <c:v>204.57902743128216</c:v>
                </c:pt>
                <c:pt idx="23">
                  <c:v>13.863221945026453</c:v>
                </c:pt>
                <c:pt idx="24">
                  <c:v>-1210.7094224439788</c:v>
                </c:pt>
                <c:pt idx="25">
                  <c:v>181.53246204481547</c:v>
                </c:pt>
                <c:pt idx="26">
                  <c:v>1613.9259696358531</c:v>
                </c:pt>
                <c:pt idx="27">
                  <c:v>-1817.8592242913182</c:v>
                </c:pt>
                <c:pt idx="28">
                  <c:v>-2760.1873794330568</c:v>
                </c:pt>
                <c:pt idx="29">
                  <c:v>1569.1500964535553</c:v>
                </c:pt>
                <c:pt idx="30">
                  <c:v>-2526.8799228371536</c:v>
                </c:pt>
                <c:pt idx="31">
                  <c:v>2599.5960617302771</c:v>
                </c:pt>
                <c:pt idx="32">
                  <c:v>6860.9768493842239</c:v>
                </c:pt>
                <c:pt idx="33">
                  <c:v>3934.8814795073777</c:v>
                </c:pt>
                <c:pt idx="34">
                  <c:v>3294.8051836059021</c:v>
                </c:pt>
                <c:pt idx="35">
                  <c:v>2401.4441468847217</c:v>
                </c:pt>
                <c:pt idx="36">
                  <c:v>-4053.8446824922212</c:v>
                </c:pt>
                <c:pt idx="37">
                  <c:v>-4157.1757459937762</c:v>
                </c:pt>
                <c:pt idx="38">
                  <c:v>-3822.6405967950195</c:v>
                </c:pt>
                <c:pt idx="39">
                  <c:v>172.58752256398293</c:v>
                </c:pt>
                <c:pt idx="40">
                  <c:v>-1535.5299819488137</c:v>
                </c:pt>
                <c:pt idx="41">
                  <c:v>-758.72398555904874</c:v>
                </c:pt>
                <c:pt idx="42">
                  <c:v>159.02081155276028</c:v>
                </c:pt>
                <c:pt idx="43">
                  <c:v>-2191.7833507577925</c:v>
                </c:pt>
                <c:pt idx="44">
                  <c:v>-2827.7266806062325</c:v>
                </c:pt>
                <c:pt idx="45">
                  <c:v>-1304.9813444849897</c:v>
                </c:pt>
                <c:pt idx="46">
                  <c:v>-2542.7850755879917</c:v>
                </c:pt>
                <c:pt idx="47">
                  <c:v>-2176.9280604703927</c:v>
                </c:pt>
                <c:pt idx="48">
                  <c:v>-5015.5424483763127</c:v>
                </c:pt>
                <c:pt idx="49">
                  <c:v>-3086.7339587010501</c:v>
                </c:pt>
                <c:pt idx="50">
                  <c:v>-2204.8871669608416</c:v>
                </c:pt>
                <c:pt idx="51">
                  <c:v>-1143.9097335686747</c:v>
                </c:pt>
                <c:pt idx="52">
                  <c:v>-495.02778685493831</c:v>
                </c:pt>
                <c:pt idx="53">
                  <c:v>1919.9777705160486</c:v>
                </c:pt>
                <c:pt idx="54">
                  <c:v>2556.0822164128367</c:v>
                </c:pt>
                <c:pt idx="55">
                  <c:v>428.66577313026937</c:v>
                </c:pt>
                <c:pt idx="56">
                  <c:v>-781.66738149578305</c:v>
                </c:pt>
                <c:pt idx="57">
                  <c:v>163.06609480337283</c:v>
                </c:pt>
                <c:pt idx="58">
                  <c:v>638.45287584269681</c:v>
                </c:pt>
                <c:pt idx="59">
                  <c:v>140.96230067415672</c:v>
                </c:pt>
                <c:pt idx="60">
                  <c:v>-1183.1301594606739</c:v>
                </c:pt>
                <c:pt idx="61">
                  <c:v>1114.2958724314594</c:v>
                </c:pt>
                <c:pt idx="62">
                  <c:v>680.93669794516609</c:v>
                </c:pt>
                <c:pt idx="63">
                  <c:v>722.94935835613433</c:v>
                </c:pt>
                <c:pt idx="64">
                  <c:v>382.55948668490601</c:v>
                </c:pt>
                <c:pt idx="65">
                  <c:v>32.247589347924077</c:v>
                </c:pt>
                <c:pt idx="66">
                  <c:v>741.8980714783429</c:v>
                </c:pt>
                <c:pt idx="67">
                  <c:v>697.51845718267577</c:v>
                </c:pt>
                <c:pt idx="68">
                  <c:v>-3473.3852342538594</c:v>
                </c:pt>
                <c:pt idx="69">
                  <c:v>-299.80818740308678</c:v>
                </c:pt>
                <c:pt idx="70">
                  <c:v>147.0534500775284</c:v>
                </c:pt>
                <c:pt idx="71">
                  <c:v>-2508.9572399379758</c:v>
                </c:pt>
                <c:pt idx="72">
                  <c:v>-1823.7657919503836</c:v>
                </c:pt>
                <c:pt idx="73">
                  <c:v>-608.31263356030468</c:v>
                </c:pt>
                <c:pt idx="74">
                  <c:v>-575.45010684824229</c:v>
                </c:pt>
                <c:pt idx="75">
                  <c:v>87.239914521403989</c:v>
                </c:pt>
                <c:pt idx="76">
                  <c:v>-814.20806838287535</c:v>
                </c:pt>
                <c:pt idx="77">
                  <c:v>1175.0335452936997</c:v>
                </c:pt>
                <c:pt idx="78">
                  <c:v>115.42683623496123</c:v>
                </c:pt>
                <c:pt idx="79">
                  <c:v>-526.5585310120332</c:v>
                </c:pt>
                <c:pt idx="80">
                  <c:v>-1876.646824809628</c:v>
                </c:pt>
                <c:pt idx="81">
                  <c:v>-2594.7174598476995</c:v>
                </c:pt>
                <c:pt idx="82">
                  <c:v>-1542.1739678781596</c:v>
                </c:pt>
                <c:pt idx="83">
                  <c:v>-1724.2391743025291</c:v>
                </c:pt>
                <c:pt idx="84">
                  <c:v>-1469.3913394420233</c:v>
                </c:pt>
                <c:pt idx="85">
                  <c:v>-751.61307155361646</c:v>
                </c:pt>
                <c:pt idx="86">
                  <c:v>-98.290457242892444</c:v>
                </c:pt>
                <c:pt idx="87">
                  <c:v>924.76763420568386</c:v>
                </c:pt>
                <c:pt idx="88">
                  <c:v>-1445.3858926354515</c:v>
                </c:pt>
                <c:pt idx="89">
                  <c:v>-961.30871410835971</c:v>
                </c:pt>
                <c:pt idx="90">
                  <c:v>-204.04697128668704</c:v>
                </c:pt>
                <c:pt idx="91">
                  <c:v>-846.537577029354</c:v>
                </c:pt>
                <c:pt idx="92">
                  <c:v>-1949.330061623481</c:v>
                </c:pt>
                <c:pt idx="93">
                  <c:v>-920.86404929878699</c:v>
                </c:pt>
                <c:pt idx="94">
                  <c:v>-146.99123943903032</c:v>
                </c:pt>
                <c:pt idx="95">
                  <c:v>-26.992991551222076</c:v>
                </c:pt>
                <c:pt idx="96">
                  <c:v>-933.99439324098057</c:v>
                </c:pt>
                <c:pt idx="97">
                  <c:v>-459.99551459278518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E2-6943-A981-52004029AA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23416832"/>
        <c:axId val="523416504"/>
      </c:barChart>
      <c:catAx>
        <c:axId val="523416832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23416504"/>
        <c:crosses val="autoZero"/>
        <c:auto val="1"/>
        <c:lblAlgn val="ctr"/>
        <c:lblOffset val="100"/>
        <c:noMultiLvlLbl val="0"/>
      </c:catAx>
      <c:valAx>
        <c:axId val="52341650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2341683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Holt-Winters / Linear (Holt)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Var1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'[2]Holt-Winters'!$B$44:$B$141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'[2]Holt-Winters'!$C$44:$C$141</c:f>
              <c:numCache>
                <c:formatCode>General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>
                  <c:v>36850</c:v>
                </c:pt>
                <c:pt idx="7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>
                  <c:v>32667</c:v>
                </c:pt>
                <c:pt idx="12">
                  <c:v>29213.599999999999</c:v>
                </c:pt>
                <c:pt idx="13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>
                  <c:v>22341</c:v>
                </c:pt>
                <c:pt idx="97">
                  <c:v>22628.2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CE0-EE4B-AA4D-94C1CC8BB259}"/>
            </c:ext>
          </c:extLst>
        </c:ser>
        <c:ser>
          <c:idx val="1"/>
          <c:order val="1"/>
          <c:tx>
            <c:v>Holt-Winters(Var1)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'[2]Holt-Winters'!$B$44:$B$141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'[2]Holt-Winters'!$D$44:$D$141</c:f>
              <c:numCache>
                <c:formatCode>General</c:formatCode>
                <c:ptCount val="98"/>
                <c:pt idx="1">
                  <c:v>29226.3</c:v>
                </c:pt>
                <c:pt idx="2">
                  <c:v>31368.923999999999</c:v>
                </c:pt>
                <c:pt idx="3">
                  <c:v>33657.014239999997</c:v>
                </c:pt>
                <c:pt idx="4">
                  <c:v>35282.337862400003</c:v>
                </c:pt>
                <c:pt idx="5">
                  <c:v>35835.387245824</c:v>
                </c:pt>
                <c:pt idx="6">
                  <c:v>37589.70726273024</c:v>
                </c:pt>
                <c:pt idx="7">
                  <c:v>38362.394985746025</c:v>
                </c:pt>
                <c:pt idx="8">
                  <c:v>37729.889364728813</c:v>
                </c:pt>
                <c:pt idx="9">
                  <c:v>36482.585293325894</c:v>
                </c:pt>
                <c:pt idx="10">
                  <c:v>35721.174624470514</c:v>
                </c:pt>
                <c:pt idx="11">
                  <c:v>35165.911104407394</c:v>
                </c:pt>
                <c:pt idx="12">
                  <c:v>34606.483844180606</c:v>
                </c:pt>
                <c:pt idx="13">
                  <c:v>33252.546682231943</c:v>
                </c:pt>
                <c:pt idx="14">
                  <c:v>32698.415085383742</c:v>
                </c:pt>
                <c:pt idx="15">
                  <c:v>32268.373204489828</c:v>
                </c:pt>
                <c:pt idx="16">
                  <c:v>31811.016771595107</c:v>
                </c:pt>
                <c:pt idx="17">
                  <c:v>30862.322954415522</c:v>
                </c:pt>
                <c:pt idx="18">
                  <c:v>30295.826982495233</c:v>
                </c:pt>
                <c:pt idx="19">
                  <c:v>30231.677125659193</c:v>
                </c:pt>
                <c:pt idx="20">
                  <c:v>30470.242155163993</c:v>
                </c:pt>
                <c:pt idx="21">
                  <c:v>29954.576492561275</c:v>
                </c:pt>
                <c:pt idx="22">
                  <c:v>29660.740902776652</c:v>
                </c:pt>
                <c:pt idx="23">
                  <c:v>29726.022794837885</c:v>
                </c:pt>
                <c:pt idx="24">
                  <c:v>29805.335396693354</c:v>
                </c:pt>
                <c:pt idx="25">
                  <c:v>29629.428062309998</c:v>
                </c:pt>
                <c:pt idx="26">
                  <c:v>29776.765072310911</c:v>
                </c:pt>
                <c:pt idx="27">
                  <c:v>30299.272077419206</c:v>
                </c:pt>
                <c:pt idx="28">
                  <c:v>30061.114798409075</c:v>
                </c:pt>
                <c:pt idx="29">
                  <c:v>29532.336383264603</c:v>
                </c:pt>
                <c:pt idx="30">
                  <c:v>29959.944195818447</c:v>
                </c:pt>
                <c:pt idx="31">
                  <c:v>29472.368678028779</c:v>
                </c:pt>
                <c:pt idx="32">
                  <c:v>30137.653516675899</c:v>
                </c:pt>
                <c:pt idx="33">
                  <c:v>31921.907246926559</c:v>
                </c:pt>
                <c:pt idx="34">
                  <c:v>33200.769941250022</c:v>
                </c:pt>
                <c:pt idx="35">
                  <c:v>34370.201299058797</c:v>
                </c:pt>
                <c:pt idx="36">
                  <c:v>35319.674333343464</c:v>
                </c:pt>
                <c:pt idx="37">
                  <c:v>34668.081787437455</c:v>
                </c:pt>
                <c:pt idx="38">
                  <c:v>33737.316479215158</c:v>
                </c:pt>
                <c:pt idx="39">
                  <c:v>32684.007573468705</c:v>
                </c:pt>
                <c:pt idx="40">
                  <c:v>32449.544145932799</c:v>
                </c:pt>
                <c:pt idx="41">
                  <c:v>31831.731638066762</c:v>
                </c:pt>
                <c:pt idx="42">
                  <c:v>31379.400366251259</c:v>
                </c:pt>
                <c:pt idx="43">
                  <c:v>31167.447334148808</c:v>
                </c:pt>
                <c:pt idx="44">
                  <c:v>30446.515015100897</c:v>
                </c:pt>
                <c:pt idx="45">
                  <c:v>29553.204559258531</c:v>
                </c:pt>
                <c:pt idx="46">
                  <c:v>29002.312012214297</c:v>
                </c:pt>
                <c:pt idx="47">
                  <c:v>28196.237494090336</c:v>
                </c:pt>
                <c:pt idx="48">
                  <c:v>27483.772379827555</c:v>
                </c:pt>
                <c:pt idx="49">
                  <c:v>26117.473393224227</c:v>
                </c:pt>
                <c:pt idx="50">
                  <c:v>25159.727268212595</c:v>
                </c:pt>
                <c:pt idx="51">
                  <c:v>24445.473277474786</c:v>
                </c:pt>
                <c:pt idx="52">
                  <c:v>24050.48315378555</c:v>
                </c:pt>
                <c:pt idx="53">
                  <c:v>23903.527728682737</c:v>
                </c:pt>
                <c:pt idx="54">
                  <c:v>24432.698279453176</c:v>
                </c:pt>
                <c:pt idx="55">
                  <c:v>25263.226788891403</c:v>
                </c:pt>
                <c:pt idx="56">
                  <c:v>25709.712524886327</c:v>
                </c:pt>
                <c:pt idx="57">
                  <c:v>25884.440612686809</c:v>
                </c:pt>
                <c:pt idx="58">
                  <c:v>26248.909458419726</c:v>
                </c:pt>
                <c:pt idx="59">
                  <c:v>26714.832156669272</c:v>
                </c:pt>
                <c:pt idx="60">
                  <c:v>27052.929029002134</c:v>
                </c:pt>
                <c:pt idx="61">
                  <c:v>27038.185365708341</c:v>
                </c:pt>
                <c:pt idx="62">
                  <c:v>27495.531020444974</c:v>
                </c:pt>
                <c:pt idx="63">
                  <c:v>27849.574303416477</c:v>
                </c:pt>
                <c:pt idx="64">
                  <c:v>28191.681957657023</c:v>
                </c:pt>
                <c:pt idx="65">
                  <c:v>28427.924802743179</c:v>
                </c:pt>
                <c:pt idx="66">
                  <c:v>28543.474086702376</c:v>
                </c:pt>
                <c:pt idx="67">
                  <c:v>28784.470550401635</c:v>
                </c:pt>
                <c:pt idx="68">
                  <c:v>28997.924899344984</c:v>
                </c:pt>
                <c:pt idx="69">
                  <c:v>28192.471382525859</c:v>
                </c:pt>
                <c:pt idx="70">
                  <c:v>28005.325713769525</c:v>
                </c:pt>
                <c:pt idx="71">
                  <c:v>27917.388150213679</c:v>
                </c:pt>
                <c:pt idx="72">
                  <c:v>27204.570573360455</c:v>
                </c:pt>
                <c:pt idx="73">
                  <c:v>26589.697688943455</c:v>
                </c:pt>
                <c:pt idx="74">
                  <c:v>26245.263473852116</c:v>
                </c:pt>
                <c:pt idx="75">
                  <c:v>25939.505562824965</c:v>
                </c:pt>
                <c:pt idx="76">
                  <c:v>25826.103011490242</c:v>
                </c:pt>
                <c:pt idx="77">
                  <c:v>25549.440849962855</c:v>
                </c:pt>
                <c:pt idx="78">
                  <c:v>25768.373486742428</c:v>
                </c:pt>
                <c:pt idx="79">
                  <c:v>25811.840656696389</c:v>
                </c:pt>
                <c:pt idx="80">
                  <c:v>25729.580766391704</c:v>
                </c:pt>
                <c:pt idx="81">
                  <c:v>25324.51362349229</c:v>
                </c:pt>
                <c:pt idx="82">
                  <c:v>24706.067364233066</c:v>
                </c:pt>
                <c:pt idx="83">
                  <c:v>24288.399662256365</c:v>
                </c:pt>
                <c:pt idx="84">
                  <c:v>23823.62151418475</c:v>
                </c:pt>
                <c:pt idx="85">
                  <c:v>23416.246135160061</c:v>
                </c:pt>
                <c:pt idx="86">
                  <c:v>23190.823986533916</c:v>
                </c:pt>
                <c:pt idx="87">
                  <c:v>23155.921308171641</c:v>
                </c:pt>
                <c:pt idx="88">
                  <c:v>23415.046313154951</c:v>
                </c:pt>
                <c:pt idx="89">
                  <c:v>23173.900464615406</c:v>
                </c:pt>
                <c:pt idx="90">
                  <c:v>23026.023767199153</c:v>
                </c:pt>
                <c:pt idx="91">
                  <c:v>23055.277458578184</c:v>
                </c:pt>
                <c:pt idx="92">
                  <c:v>22948.073313338282</c:v>
                </c:pt>
                <c:pt idx="93">
                  <c:v>22567.347064612826</c:v>
                </c:pt>
                <c:pt idx="94">
                  <c:v>22390.716183047949</c:v>
                </c:pt>
                <c:pt idx="95">
                  <c:v>22398.234830474132</c:v>
                </c:pt>
                <c:pt idx="96">
                  <c:v>22456.57635519611</c:v>
                </c:pt>
                <c:pt idx="97">
                  <c:v>22316.146520765848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CE0-EE4B-AA4D-94C1CC8BB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24618176"/>
        <c:axId val="624621456"/>
      </c:scatterChart>
      <c:valAx>
        <c:axId val="624618176"/>
        <c:scaling>
          <c:orientation val="minMax"/>
          <c:max val="1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24621456"/>
        <c:crosses val="autoZero"/>
        <c:crossBetween val="midCat"/>
      </c:valAx>
      <c:valAx>
        <c:axId val="624621456"/>
        <c:scaling>
          <c:orientation val="minMax"/>
          <c:max val="40000"/>
          <c:min val="2000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4618176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US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'[2]Holt-Winters'!$B$44:$B$141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'[2]Holt-Winters'!$E$44:$E$141</c:f>
              <c:numCache>
                <c:formatCode>General</c:formatCode>
                <c:ptCount val="98"/>
                <c:pt idx="1">
                  <c:v>8927.6000000000022</c:v>
                </c:pt>
                <c:pt idx="2">
                  <c:v>8045.775999999998</c:v>
                </c:pt>
                <c:pt idx="3">
                  <c:v>3943.2857600000061</c:v>
                </c:pt>
                <c:pt idx="4">
                  <c:v>-1181.7378624000048</c:v>
                </c:pt>
                <c:pt idx="5">
                  <c:v>4020.5127541760012</c:v>
                </c:pt>
                <c:pt idx="6">
                  <c:v>-739.70726273024047</c:v>
                </c:pt>
                <c:pt idx="7">
                  <c:v>-6471.3949857460248</c:v>
                </c:pt>
                <c:pt idx="8">
                  <c:v>-7954.4893647288118</c:v>
                </c:pt>
                <c:pt idx="9">
                  <c:v>-4604.1852933258924</c:v>
                </c:pt>
                <c:pt idx="10">
                  <c:v>-2977.8746244705144</c:v>
                </c:pt>
                <c:pt idx="11">
                  <c:v>-2498.9111044073943</c:v>
                </c:pt>
                <c:pt idx="12">
                  <c:v>-5392.8838441806074</c:v>
                </c:pt>
                <c:pt idx="13">
                  <c:v>-1161.5466822319431</c:v>
                </c:pt>
                <c:pt idx="14">
                  <c:v>-450.91508538374183</c:v>
                </c:pt>
                <c:pt idx="15">
                  <c:v>-489.57320448982864</c:v>
                </c:pt>
                <c:pt idx="16">
                  <c:v>-2455.2167715951073</c:v>
                </c:pt>
                <c:pt idx="17">
                  <c:v>-453.52295441552269</c:v>
                </c:pt>
                <c:pt idx="18">
                  <c:v>1715.1730175047669</c:v>
                </c:pt>
                <c:pt idx="19">
                  <c:v>2690.6228743408101</c:v>
                </c:pt>
                <c:pt idx="20">
                  <c:v>-900.44215516399345</c:v>
                </c:pt>
                <c:pt idx="21">
                  <c:v>173.92350743872521</c:v>
                </c:pt>
                <c:pt idx="22">
                  <c:v>1641.2590972233484</c:v>
                </c:pt>
                <c:pt idx="23">
                  <c:v>1426.1772051621156</c:v>
                </c:pt>
                <c:pt idx="24">
                  <c:v>125.06460330664777</c:v>
                </c:pt>
                <c:pt idx="25">
                  <c:v>1451.0719376900015</c:v>
                </c:pt>
                <c:pt idx="26">
                  <c:v>2772.4349276890898</c:v>
                </c:pt>
                <c:pt idx="27">
                  <c:v>-859.07207741920502</c:v>
                </c:pt>
                <c:pt idx="28">
                  <c:v>-1926.8147984090756</c:v>
                </c:pt>
                <c:pt idx="29">
                  <c:v>2379.2636167353958</c:v>
                </c:pt>
                <c:pt idx="30">
                  <c:v>-1830.5441958184456</c:v>
                </c:pt>
                <c:pt idx="31">
                  <c:v>3278.131321971221</c:v>
                </c:pt>
                <c:pt idx="32">
                  <c:v>7394.1464833241043</c:v>
                </c:pt>
                <c:pt idx="33">
                  <c:v>4055.9927530734421</c:v>
                </c:pt>
                <c:pt idx="34">
                  <c:v>2924.0300587499805</c:v>
                </c:pt>
                <c:pt idx="35">
                  <c:v>1520.1987009412042</c:v>
                </c:pt>
                <c:pt idx="36">
                  <c:v>-5404.2743333434628</c:v>
                </c:pt>
                <c:pt idx="37">
                  <c:v>-5666.7817874374559</c:v>
                </c:pt>
                <c:pt idx="38">
                  <c:v>-5232.9164792151569</c:v>
                </c:pt>
                <c:pt idx="39">
                  <c:v>-948.90757346870669</c:v>
                </c:pt>
                <c:pt idx="40">
                  <c:v>-2388.0441459327994</c:v>
                </c:pt>
                <c:pt idx="41">
                  <c:v>-1300.5316380667609</c:v>
                </c:pt>
                <c:pt idx="42">
                  <c:v>-82.200366251257947</c:v>
                </c:pt>
                <c:pt idx="43">
                  <c:v>-2189.2473341488076</c:v>
                </c:pt>
                <c:pt idx="44">
                  <c:v>-2542.6150151008951</c:v>
                </c:pt>
                <c:pt idx="45">
                  <c:v>-692.10455925853239</c:v>
                </c:pt>
                <c:pt idx="46">
                  <c:v>-1640.012012214298</c:v>
                </c:pt>
                <c:pt idx="47">
                  <c:v>-976.63749409033699</c:v>
                </c:pt>
                <c:pt idx="48">
                  <c:v>-3538.1723798275561</c:v>
                </c:pt>
                <c:pt idx="49">
                  <c:v>-1246.1733932242278</c:v>
                </c:pt>
                <c:pt idx="50">
                  <c:v>-23.927268212595663</c:v>
                </c:pt>
                <c:pt idx="51">
                  <c:v>1310.326722525213</c:v>
                </c:pt>
                <c:pt idx="52">
                  <c:v>2125.4168462144517</c:v>
                </c:pt>
                <c:pt idx="53">
                  <c:v>4588.3722713172647</c:v>
                </c:pt>
                <c:pt idx="54">
                  <c:v>5079.3017205468241</c:v>
                </c:pt>
                <c:pt idx="55">
                  <c:v>2632.5732111085963</c:v>
                </c:pt>
                <c:pt idx="56">
                  <c:v>1061.487475113674</c:v>
                </c:pt>
                <c:pt idx="57">
                  <c:v>1675.1593873131897</c:v>
                </c:pt>
                <c:pt idx="58">
                  <c:v>1818.6905415802721</c:v>
                </c:pt>
                <c:pt idx="59">
                  <c:v>982.96784333072719</c:v>
                </c:pt>
                <c:pt idx="60">
                  <c:v>-651.02902900213303</c:v>
                </c:pt>
                <c:pt idx="61">
                  <c:v>1424.5146342916596</c:v>
                </c:pt>
                <c:pt idx="62">
                  <c:v>756.66897955502645</c:v>
                </c:pt>
                <c:pt idx="63">
                  <c:v>580.8256965835244</c:v>
                </c:pt>
                <c:pt idx="64">
                  <c:v>42.918042342975241</c:v>
                </c:pt>
                <c:pt idx="65">
                  <c:v>-467.12480274317932</c:v>
                </c:pt>
                <c:pt idx="66">
                  <c:v>133.42591329762581</c:v>
                </c:pt>
                <c:pt idx="67">
                  <c:v>-3.570550401633227</c:v>
                </c:pt>
                <c:pt idx="68">
                  <c:v>-4248.4248993449837</c:v>
                </c:pt>
                <c:pt idx="69">
                  <c:v>-964.07138252585719</c:v>
                </c:pt>
                <c:pt idx="70">
                  <c:v>-390.02571376952619</c:v>
                </c:pt>
                <c:pt idx="71">
                  <c:v>-2928.6881502136785</c:v>
                </c:pt>
                <c:pt idx="72">
                  <c:v>-2032.4705733604569</c:v>
                </c:pt>
                <c:pt idx="73">
                  <c:v>-566.89768894345616</c:v>
                </c:pt>
                <c:pt idx="74">
                  <c:v>-311.26347385211557</c:v>
                </c:pt>
                <c:pt idx="75">
                  <c:v>542.09443717503382</c:v>
                </c:pt>
                <c:pt idx="76">
                  <c:v>-228.50301149024381</c:v>
                </c:pt>
                <c:pt idx="77">
                  <c:v>1874.5591500371447</c:v>
                </c:pt>
                <c:pt idx="78">
                  <c:v>831.02651325757324</c:v>
                </c:pt>
                <c:pt idx="79">
                  <c:v>168.65934330361051</c:v>
                </c:pt>
                <c:pt idx="80">
                  <c:v>-1204.4807663917054</c:v>
                </c:pt>
                <c:pt idx="81">
                  <c:v>-1892.8136234922895</c:v>
                </c:pt>
                <c:pt idx="82">
                  <c:v>-740.76736423306647</c:v>
                </c:pt>
                <c:pt idx="83">
                  <c:v>-813.59966225636526</c:v>
                </c:pt>
                <c:pt idx="84">
                  <c:v>-438.82151418475041</c:v>
                </c:pt>
                <c:pt idx="85">
                  <c:v>392.45386483993934</c:v>
                </c:pt>
                <c:pt idx="86">
                  <c:v>1120.8760134660843</c:v>
                </c:pt>
                <c:pt idx="87">
                  <c:v>2159.1786918283578</c:v>
                </c:pt>
                <c:pt idx="88">
                  <c:v>-285.14631315494989</c:v>
                </c:pt>
                <c:pt idx="89">
                  <c:v>150.99953538459522</c:v>
                </c:pt>
                <c:pt idx="90">
                  <c:v>863.87623280084881</c:v>
                </c:pt>
                <c:pt idx="91">
                  <c:v>151.32254142181409</c:v>
                </c:pt>
                <c:pt idx="92">
                  <c:v>-1013.5733133382819</c:v>
                </c:pt>
                <c:pt idx="93">
                  <c:v>5.7529353871723288</c:v>
                </c:pt>
                <c:pt idx="94">
                  <c:v>772.08381695205026</c:v>
                </c:pt>
                <c:pt idx="95">
                  <c:v>855.16516952586971</c:v>
                </c:pt>
                <c:pt idx="96">
                  <c:v>-115.57635519610994</c:v>
                </c:pt>
                <c:pt idx="97">
                  <c:v>312.0534792341532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1B-8C4F-BCA2-514D92D10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624617192"/>
        <c:axId val="624617520"/>
      </c:barChart>
      <c:catAx>
        <c:axId val="624617192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624617520"/>
        <c:crosses val="autoZero"/>
        <c:auto val="1"/>
        <c:lblAlgn val="ctr"/>
        <c:lblOffset val="100"/>
        <c:noMultiLvlLbl val="0"/>
      </c:catAx>
      <c:valAx>
        <c:axId val="6246175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624617192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Comparison of Predicted to actual values</a:t>
            </a:r>
            <a:endParaRPr lang="en-I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'Decomposition(LPG)'!$D$1</c:f>
              <c:strCache>
                <c:ptCount val="1"/>
                <c:pt idx="0">
                  <c:v>Total Liquefied Petroleum Gas Sales (Net Tonnes)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'Decomposition(LPG)'!$B$2:$C$99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'Decomposition(LPG)'!$D$2:$D$99</c:f>
              <c:numCache>
                <c:formatCode>General</c:formatCode>
                <c:ptCount val="98"/>
                <c:pt idx="0">
                  <c:v>29226.3</c:v>
                </c:pt>
                <c:pt idx="1">
                  <c:v>38153.9</c:v>
                </c:pt>
                <c:pt idx="2">
                  <c:v>39414.699999999997</c:v>
                </c:pt>
                <c:pt idx="3">
                  <c:v>37600.300000000003</c:v>
                </c:pt>
                <c:pt idx="4">
                  <c:v>34100.6</c:v>
                </c:pt>
                <c:pt idx="5">
                  <c:v>39855.9</c:v>
                </c:pt>
                <c:pt idx="6">
                  <c:v>36850</c:v>
                </c:pt>
                <c:pt idx="7">
                  <c:v>31891</c:v>
                </c:pt>
                <c:pt idx="8">
                  <c:v>29775.4</c:v>
                </c:pt>
                <c:pt idx="9">
                  <c:v>31878.400000000001</c:v>
                </c:pt>
                <c:pt idx="10">
                  <c:v>32743.3</c:v>
                </c:pt>
                <c:pt idx="11">
                  <c:v>32667</c:v>
                </c:pt>
                <c:pt idx="12">
                  <c:v>29213.599999999999</c:v>
                </c:pt>
                <c:pt idx="13">
                  <c:v>32091</c:v>
                </c:pt>
                <c:pt idx="14">
                  <c:v>32247.5</c:v>
                </c:pt>
                <c:pt idx="15">
                  <c:v>31778.799999999999</c:v>
                </c:pt>
                <c:pt idx="16">
                  <c:v>29355.8</c:v>
                </c:pt>
                <c:pt idx="17">
                  <c:v>30408.799999999999</c:v>
                </c:pt>
                <c:pt idx="18">
                  <c:v>32011</c:v>
                </c:pt>
                <c:pt idx="19">
                  <c:v>32922.300000000003</c:v>
                </c:pt>
                <c:pt idx="20">
                  <c:v>29569.8</c:v>
                </c:pt>
                <c:pt idx="21">
                  <c:v>30128.5</c:v>
                </c:pt>
                <c:pt idx="22">
                  <c:v>31302</c:v>
                </c:pt>
                <c:pt idx="23">
                  <c:v>31152.2</c:v>
                </c:pt>
                <c:pt idx="24">
                  <c:v>29930.400000000001</c:v>
                </c:pt>
                <c:pt idx="25">
                  <c:v>31080.5</c:v>
                </c:pt>
                <c:pt idx="26">
                  <c:v>32549.200000000001</c:v>
                </c:pt>
                <c:pt idx="27">
                  <c:v>29440.2</c:v>
                </c:pt>
                <c:pt idx="28">
                  <c:v>28134.3</c:v>
                </c:pt>
                <c:pt idx="29">
                  <c:v>31911.599999999999</c:v>
                </c:pt>
                <c:pt idx="30">
                  <c:v>28129.4</c:v>
                </c:pt>
                <c:pt idx="31">
                  <c:v>32750.5</c:v>
                </c:pt>
                <c:pt idx="32">
                  <c:v>37531.800000000003</c:v>
                </c:pt>
                <c:pt idx="33">
                  <c:v>35977.9</c:v>
                </c:pt>
                <c:pt idx="34">
                  <c:v>36124.800000000003</c:v>
                </c:pt>
                <c:pt idx="35">
                  <c:v>35890.400000000001</c:v>
                </c:pt>
                <c:pt idx="36">
                  <c:v>29915.4</c:v>
                </c:pt>
                <c:pt idx="37">
                  <c:v>29001.3</c:v>
                </c:pt>
                <c:pt idx="38">
                  <c:v>28504.400000000001</c:v>
                </c:pt>
                <c:pt idx="39">
                  <c:v>31735.1</c:v>
                </c:pt>
                <c:pt idx="40">
                  <c:v>30061.5</c:v>
                </c:pt>
                <c:pt idx="41">
                  <c:v>30531.200000000001</c:v>
                </c:pt>
                <c:pt idx="42">
                  <c:v>31297.200000000001</c:v>
                </c:pt>
                <c:pt idx="43">
                  <c:v>28978.2</c:v>
                </c:pt>
                <c:pt idx="44">
                  <c:v>27903.9</c:v>
                </c:pt>
                <c:pt idx="45">
                  <c:v>28861.1</c:v>
                </c:pt>
                <c:pt idx="46">
                  <c:v>27362.3</c:v>
                </c:pt>
                <c:pt idx="47">
                  <c:v>27219.599999999999</c:v>
                </c:pt>
                <c:pt idx="48">
                  <c:v>23945.599999999999</c:v>
                </c:pt>
                <c:pt idx="49">
                  <c:v>24871.3</c:v>
                </c:pt>
                <c:pt idx="50">
                  <c:v>25135.8</c:v>
                </c:pt>
                <c:pt idx="51">
                  <c:v>25755.8</c:v>
                </c:pt>
                <c:pt idx="52">
                  <c:v>26175.9</c:v>
                </c:pt>
                <c:pt idx="53">
                  <c:v>28491.9</c:v>
                </c:pt>
                <c:pt idx="54">
                  <c:v>29512</c:v>
                </c:pt>
                <c:pt idx="55">
                  <c:v>27895.8</c:v>
                </c:pt>
                <c:pt idx="56">
                  <c:v>26771.200000000001</c:v>
                </c:pt>
                <c:pt idx="57">
                  <c:v>27559.599999999999</c:v>
                </c:pt>
                <c:pt idx="58">
                  <c:v>28067.599999999999</c:v>
                </c:pt>
                <c:pt idx="59">
                  <c:v>27697.8</c:v>
                </c:pt>
                <c:pt idx="60">
                  <c:v>26401.9</c:v>
                </c:pt>
                <c:pt idx="61">
                  <c:v>28462.7</c:v>
                </c:pt>
                <c:pt idx="62">
                  <c:v>28252.2</c:v>
                </c:pt>
                <c:pt idx="63">
                  <c:v>28430.400000000001</c:v>
                </c:pt>
                <c:pt idx="64">
                  <c:v>28234.6</c:v>
                </c:pt>
                <c:pt idx="65">
                  <c:v>27960.799999999999</c:v>
                </c:pt>
                <c:pt idx="66">
                  <c:v>28676.9</c:v>
                </c:pt>
                <c:pt idx="67">
                  <c:v>28780.9</c:v>
                </c:pt>
                <c:pt idx="68">
                  <c:v>24749.5</c:v>
                </c:pt>
                <c:pt idx="69">
                  <c:v>27228.400000000001</c:v>
                </c:pt>
                <c:pt idx="70">
                  <c:v>27615.3</c:v>
                </c:pt>
                <c:pt idx="71">
                  <c:v>24988.7</c:v>
                </c:pt>
                <c:pt idx="72">
                  <c:v>25172.1</c:v>
                </c:pt>
                <c:pt idx="73">
                  <c:v>26022.799999999999</c:v>
                </c:pt>
                <c:pt idx="74">
                  <c:v>25934</c:v>
                </c:pt>
                <c:pt idx="75">
                  <c:v>26481.599999999999</c:v>
                </c:pt>
                <c:pt idx="76">
                  <c:v>25597.599999999999</c:v>
                </c:pt>
                <c:pt idx="77">
                  <c:v>27424</c:v>
                </c:pt>
                <c:pt idx="78">
                  <c:v>26599.4</c:v>
                </c:pt>
                <c:pt idx="79">
                  <c:v>25980.5</c:v>
                </c:pt>
                <c:pt idx="80">
                  <c:v>24525.1</c:v>
                </c:pt>
                <c:pt idx="81">
                  <c:v>23431.7</c:v>
                </c:pt>
                <c:pt idx="82">
                  <c:v>23965.3</c:v>
                </c:pt>
                <c:pt idx="83">
                  <c:v>23474.799999999999</c:v>
                </c:pt>
                <c:pt idx="84">
                  <c:v>23384.799999999999</c:v>
                </c:pt>
                <c:pt idx="85">
                  <c:v>23808.7</c:v>
                </c:pt>
                <c:pt idx="86">
                  <c:v>24311.7</c:v>
                </c:pt>
                <c:pt idx="87">
                  <c:v>25315.1</c:v>
                </c:pt>
                <c:pt idx="88">
                  <c:v>23129.9</c:v>
                </c:pt>
                <c:pt idx="89">
                  <c:v>23324.9</c:v>
                </c:pt>
                <c:pt idx="90">
                  <c:v>23889.9</c:v>
                </c:pt>
                <c:pt idx="91">
                  <c:v>23206.6</c:v>
                </c:pt>
                <c:pt idx="92">
                  <c:v>21934.5</c:v>
                </c:pt>
                <c:pt idx="93">
                  <c:v>22573.1</c:v>
                </c:pt>
                <c:pt idx="94">
                  <c:v>23162.799999999999</c:v>
                </c:pt>
                <c:pt idx="95">
                  <c:v>23253.4</c:v>
                </c:pt>
                <c:pt idx="96">
                  <c:v>22341</c:v>
                </c:pt>
                <c:pt idx="97">
                  <c:v>22628.2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D6-9945-BB52-A30DDC3FB947}"/>
            </c:ext>
          </c:extLst>
        </c:ser>
        <c:ser>
          <c:idx val="1"/>
          <c:order val="1"/>
          <c:tx>
            <c:strRef>
              <c:f>'Decomposition(LPG)'!$E$1</c:f>
              <c:strCache>
                <c:ptCount val="1"/>
                <c:pt idx="0">
                  <c:v>LT Forecast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'Decomposition(LPG)'!$B$2:$C$99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'Decomposition(LPG)'!$E$2:$E$99</c:f>
              <c:numCache>
                <c:formatCode>0.00</c:formatCode>
                <c:ptCount val="98"/>
                <c:pt idx="0">
                  <c:v>34535.055905998765</c:v>
                </c:pt>
                <c:pt idx="1">
                  <c:v>34414.134576567274</c:v>
                </c:pt>
                <c:pt idx="2">
                  <c:v>34293.213247135784</c:v>
                </c:pt>
                <c:pt idx="3">
                  <c:v>34172.291917704286</c:v>
                </c:pt>
                <c:pt idx="4">
                  <c:v>34051.370588272795</c:v>
                </c:pt>
                <c:pt idx="5">
                  <c:v>33930.449258841305</c:v>
                </c:pt>
                <c:pt idx="6">
                  <c:v>33809.527929409815</c:v>
                </c:pt>
                <c:pt idx="7">
                  <c:v>33688.606599978324</c:v>
                </c:pt>
                <c:pt idx="8">
                  <c:v>33567.685270546834</c:v>
                </c:pt>
                <c:pt idx="9">
                  <c:v>33446.763941115343</c:v>
                </c:pt>
                <c:pt idx="10">
                  <c:v>33325.842611683853</c:v>
                </c:pt>
                <c:pt idx="11">
                  <c:v>33204.921282252355</c:v>
                </c:pt>
                <c:pt idx="12">
                  <c:v>33083.999952820865</c:v>
                </c:pt>
                <c:pt idx="13">
                  <c:v>32963.078623389374</c:v>
                </c:pt>
                <c:pt idx="14">
                  <c:v>32842.157293957884</c:v>
                </c:pt>
                <c:pt idx="15">
                  <c:v>32721.235964526393</c:v>
                </c:pt>
                <c:pt idx="16">
                  <c:v>32600.314635094903</c:v>
                </c:pt>
                <c:pt idx="17">
                  <c:v>32479.393305663409</c:v>
                </c:pt>
                <c:pt idx="18">
                  <c:v>32358.471976231918</c:v>
                </c:pt>
                <c:pt idx="19">
                  <c:v>32237.550646800428</c:v>
                </c:pt>
                <c:pt idx="20">
                  <c:v>32116.629317368934</c:v>
                </c:pt>
                <c:pt idx="21">
                  <c:v>31995.707987937443</c:v>
                </c:pt>
                <c:pt idx="22">
                  <c:v>31874.786658505953</c:v>
                </c:pt>
                <c:pt idx="23">
                  <c:v>31753.865329074462</c:v>
                </c:pt>
                <c:pt idx="24">
                  <c:v>31632.943999642968</c:v>
                </c:pt>
                <c:pt idx="25">
                  <c:v>31512.022670211478</c:v>
                </c:pt>
                <c:pt idx="26">
                  <c:v>31391.101340779987</c:v>
                </c:pt>
                <c:pt idx="27">
                  <c:v>31270.180011348493</c:v>
                </c:pt>
                <c:pt idx="28">
                  <c:v>31149.258681917003</c:v>
                </c:pt>
                <c:pt idx="29">
                  <c:v>31028.337352485512</c:v>
                </c:pt>
                <c:pt idx="30">
                  <c:v>30907.416023054022</c:v>
                </c:pt>
                <c:pt idx="31">
                  <c:v>30786.494693622531</c:v>
                </c:pt>
                <c:pt idx="32">
                  <c:v>30665.573364191037</c:v>
                </c:pt>
                <c:pt idx="33">
                  <c:v>30544.652034759547</c:v>
                </c:pt>
                <c:pt idx="34">
                  <c:v>30423.730705328057</c:v>
                </c:pt>
                <c:pt idx="35">
                  <c:v>30302.809375896562</c:v>
                </c:pt>
                <c:pt idx="36">
                  <c:v>30181.888046465072</c:v>
                </c:pt>
                <c:pt idx="37">
                  <c:v>30060.966717033582</c:v>
                </c:pt>
                <c:pt idx="38">
                  <c:v>29940.045387602091</c:v>
                </c:pt>
                <c:pt idx="39">
                  <c:v>29819.124058170601</c:v>
                </c:pt>
                <c:pt idx="40">
                  <c:v>29698.202728739107</c:v>
                </c:pt>
                <c:pt idx="41">
                  <c:v>29577.281399307616</c:v>
                </c:pt>
                <c:pt idx="42">
                  <c:v>29456.360069876122</c:v>
                </c:pt>
                <c:pt idx="43">
                  <c:v>29335.438740444632</c:v>
                </c:pt>
                <c:pt idx="44">
                  <c:v>29214.517411013141</c:v>
                </c:pt>
                <c:pt idx="45">
                  <c:v>29093.596081581651</c:v>
                </c:pt>
                <c:pt idx="46">
                  <c:v>28972.67475215016</c:v>
                </c:pt>
                <c:pt idx="47">
                  <c:v>28851.753422718666</c:v>
                </c:pt>
                <c:pt idx="48">
                  <c:v>28730.832093287176</c:v>
                </c:pt>
                <c:pt idx="49">
                  <c:v>28609.910763855685</c:v>
                </c:pt>
                <c:pt idx="50">
                  <c:v>28488.989434424191</c:v>
                </c:pt>
                <c:pt idx="51">
                  <c:v>28368.068104992701</c:v>
                </c:pt>
                <c:pt idx="52">
                  <c:v>28247.14677556121</c:v>
                </c:pt>
                <c:pt idx="53">
                  <c:v>28126.22544612972</c:v>
                </c:pt>
                <c:pt idx="54">
                  <c:v>28005.304116698229</c:v>
                </c:pt>
                <c:pt idx="55">
                  <c:v>27884.382787266735</c:v>
                </c:pt>
                <c:pt idx="56">
                  <c:v>27763.461457835245</c:v>
                </c:pt>
                <c:pt idx="57">
                  <c:v>27642.540128403751</c:v>
                </c:pt>
                <c:pt idx="58">
                  <c:v>27521.61879897226</c:v>
                </c:pt>
                <c:pt idx="59">
                  <c:v>27400.69746954077</c:v>
                </c:pt>
                <c:pt idx="60">
                  <c:v>27279.776140109279</c:v>
                </c:pt>
                <c:pt idx="61">
                  <c:v>27158.854810677789</c:v>
                </c:pt>
                <c:pt idx="62">
                  <c:v>27037.933481246295</c:v>
                </c:pt>
                <c:pt idx="63">
                  <c:v>26917.012151814804</c:v>
                </c:pt>
                <c:pt idx="64">
                  <c:v>26796.090822383314</c:v>
                </c:pt>
                <c:pt idx="65">
                  <c:v>26675.16949295182</c:v>
                </c:pt>
                <c:pt idx="66">
                  <c:v>26554.248163520329</c:v>
                </c:pt>
                <c:pt idx="67">
                  <c:v>26433.326834088839</c:v>
                </c:pt>
                <c:pt idx="68">
                  <c:v>26312.405504657349</c:v>
                </c:pt>
                <c:pt idx="69">
                  <c:v>26191.484175225858</c:v>
                </c:pt>
                <c:pt idx="70">
                  <c:v>26070.562845794364</c:v>
                </c:pt>
                <c:pt idx="71">
                  <c:v>25949.641516362874</c:v>
                </c:pt>
                <c:pt idx="72">
                  <c:v>25828.720186931379</c:v>
                </c:pt>
                <c:pt idx="73">
                  <c:v>25707.798857499889</c:v>
                </c:pt>
                <c:pt idx="74">
                  <c:v>25586.877528068399</c:v>
                </c:pt>
                <c:pt idx="75">
                  <c:v>25465.956198636908</c:v>
                </c:pt>
                <c:pt idx="76">
                  <c:v>25345.034869205418</c:v>
                </c:pt>
                <c:pt idx="77">
                  <c:v>25224.113539773927</c:v>
                </c:pt>
                <c:pt idx="78">
                  <c:v>25103.192210342433</c:v>
                </c:pt>
                <c:pt idx="79">
                  <c:v>24982.270880910943</c:v>
                </c:pt>
                <c:pt idx="80">
                  <c:v>24861.349551479449</c:v>
                </c:pt>
                <c:pt idx="81">
                  <c:v>24740.428222047958</c:v>
                </c:pt>
                <c:pt idx="82">
                  <c:v>24619.506892616468</c:v>
                </c:pt>
                <c:pt idx="83">
                  <c:v>24498.585563184977</c:v>
                </c:pt>
                <c:pt idx="84">
                  <c:v>24377.664233753487</c:v>
                </c:pt>
                <c:pt idx="85">
                  <c:v>24256.742904321993</c:v>
                </c:pt>
                <c:pt idx="86">
                  <c:v>24135.821574890502</c:v>
                </c:pt>
                <c:pt idx="87">
                  <c:v>24014.900245459008</c:v>
                </c:pt>
                <c:pt idx="88">
                  <c:v>23893.978916027518</c:v>
                </c:pt>
                <c:pt idx="89">
                  <c:v>23773.057586596027</c:v>
                </c:pt>
                <c:pt idx="90">
                  <c:v>23652.136257164537</c:v>
                </c:pt>
                <c:pt idx="91">
                  <c:v>23531.214927733046</c:v>
                </c:pt>
                <c:pt idx="92">
                  <c:v>23410.293598301556</c:v>
                </c:pt>
                <c:pt idx="93">
                  <c:v>23289.372268870062</c:v>
                </c:pt>
                <c:pt idx="94">
                  <c:v>23168.450939438571</c:v>
                </c:pt>
                <c:pt idx="95">
                  <c:v>23047.529610007077</c:v>
                </c:pt>
                <c:pt idx="96">
                  <c:v>22926.608280575587</c:v>
                </c:pt>
                <c:pt idx="97">
                  <c:v>22805.686951144096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D6-9945-BB52-A30DDC3FB947}"/>
            </c:ext>
          </c:extLst>
        </c:ser>
        <c:ser>
          <c:idx val="2"/>
          <c:order val="2"/>
          <c:tx>
            <c:strRef>
              <c:f>'Decomposition(LPG)'!$F$1</c:f>
              <c:strCache>
                <c:ptCount val="1"/>
                <c:pt idx="0">
                  <c:v>Seasonal Forecast with Trend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'Decomposition(LPG)'!$B$2:$C$99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'Decomposition(LPG)'!$F$2:$F$99</c:f>
              <c:numCache>
                <c:formatCode>General</c:formatCode>
                <c:ptCount val="98"/>
                <c:pt idx="0">
                  <c:v>33105.162391983315</c:v>
                </c:pt>
                <c:pt idx="1">
                  <c:v>34745.855854192014</c:v>
                </c:pt>
                <c:pt idx="2">
                  <c:v>35069.185611501634</c:v>
                </c:pt>
                <c:pt idx="3">
                  <c:v>34529.767646742257</c:v>
                </c:pt>
                <c:pt idx="4">
                  <c:v>32641.50363800531</c:v>
                </c:pt>
                <c:pt idx="5">
                  <c:v>34257.50824541795</c:v>
                </c:pt>
                <c:pt idx="6">
                  <c:v>34574.555666426219</c:v>
                </c:pt>
                <c:pt idx="7">
                  <c:v>34041.022505636713</c:v>
                </c:pt>
                <c:pt idx="8">
                  <c:v>32177.844884027309</c:v>
                </c:pt>
                <c:pt idx="9">
                  <c:v>33769.160636643886</c:v>
                </c:pt>
                <c:pt idx="10">
                  <c:v>34079.925721350817</c:v>
                </c:pt>
                <c:pt idx="11">
                  <c:v>33552.277364531161</c:v>
                </c:pt>
                <c:pt idx="12">
                  <c:v>31714.1861300493</c:v>
                </c:pt>
                <c:pt idx="13">
                  <c:v>33280.813027869823</c:v>
                </c:pt>
                <c:pt idx="14">
                  <c:v>33585.295776275409</c:v>
                </c:pt>
                <c:pt idx="15">
                  <c:v>33063.532223425616</c:v>
                </c:pt>
                <c:pt idx="16">
                  <c:v>31250.527376071299</c:v>
                </c:pt>
                <c:pt idx="17">
                  <c:v>32792.465419095759</c:v>
                </c:pt>
                <c:pt idx="18">
                  <c:v>33090.6658312</c:v>
                </c:pt>
                <c:pt idx="19">
                  <c:v>32574.787082320076</c:v>
                </c:pt>
                <c:pt idx="20">
                  <c:v>30786.86862209329</c:v>
                </c:pt>
                <c:pt idx="21">
                  <c:v>32304.117810321692</c:v>
                </c:pt>
                <c:pt idx="22">
                  <c:v>32596.035886124591</c:v>
                </c:pt>
                <c:pt idx="23">
                  <c:v>32086.041941214527</c:v>
                </c:pt>
                <c:pt idx="24">
                  <c:v>30323.209868115282</c:v>
                </c:pt>
                <c:pt idx="25">
                  <c:v>31815.770201547628</c:v>
                </c:pt>
                <c:pt idx="26">
                  <c:v>32101.405941049183</c:v>
                </c:pt>
                <c:pt idx="27">
                  <c:v>31597.296800108979</c:v>
                </c:pt>
                <c:pt idx="28">
                  <c:v>29859.551114137277</c:v>
                </c:pt>
                <c:pt idx="29">
                  <c:v>31327.422592773564</c:v>
                </c:pt>
                <c:pt idx="30">
                  <c:v>31606.775995973774</c:v>
                </c:pt>
                <c:pt idx="31">
                  <c:v>31108.551659003435</c:v>
                </c:pt>
                <c:pt idx="32">
                  <c:v>29395.892360159272</c:v>
                </c:pt>
                <c:pt idx="33">
                  <c:v>30839.074983999501</c:v>
                </c:pt>
                <c:pt idx="34">
                  <c:v>31112.146050898366</c:v>
                </c:pt>
                <c:pt idx="35">
                  <c:v>30619.806517897887</c:v>
                </c:pt>
                <c:pt idx="36">
                  <c:v>28932.233606181268</c:v>
                </c:pt>
                <c:pt idx="37">
                  <c:v>30350.727375225437</c:v>
                </c:pt>
                <c:pt idx="38">
                  <c:v>30617.516105822957</c:v>
                </c:pt>
                <c:pt idx="39">
                  <c:v>30131.061376792346</c:v>
                </c:pt>
                <c:pt idx="40">
                  <c:v>28468.574852203263</c:v>
                </c:pt>
                <c:pt idx="41">
                  <c:v>29862.379766451373</c:v>
                </c:pt>
                <c:pt idx="42">
                  <c:v>30122.886160747548</c:v>
                </c:pt>
                <c:pt idx="43">
                  <c:v>29642.316235686794</c:v>
                </c:pt>
                <c:pt idx="44">
                  <c:v>28004.916098225258</c:v>
                </c:pt>
                <c:pt idx="45">
                  <c:v>29374.032157677309</c:v>
                </c:pt>
                <c:pt idx="46">
                  <c:v>29628.256215672143</c:v>
                </c:pt>
                <c:pt idx="47">
                  <c:v>29153.57109458125</c:v>
                </c:pt>
                <c:pt idx="48">
                  <c:v>27541.257344247253</c:v>
                </c:pt>
                <c:pt idx="49">
                  <c:v>28885.684548903246</c:v>
                </c:pt>
                <c:pt idx="50">
                  <c:v>29133.626270596731</c:v>
                </c:pt>
                <c:pt idx="51">
                  <c:v>28664.825953475702</c:v>
                </c:pt>
                <c:pt idx="52">
                  <c:v>27077.598590269248</c:v>
                </c:pt>
                <c:pt idx="53">
                  <c:v>28397.336940129182</c:v>
                </c:pt>
                <c:pt idx="54">
                  <c:v>28638.996325521326</c:v>
                </c:pt>
                <c:pt idx="55">
                  <c:v>28176.080812370157</c:v>
                </c:pt>
                <c:pt idx="56">
                  <c:v>26613.939836291243</c:v>
                </c:pt>
                <c:pt idx="57">
                  <c:v>27908.989331355115</c:v>
                </c:pt>
                <c:pt idx="58">
                  <c:v>28144.366380445914</c:v>
                </c:pt>
                <c:pt idx="59">
                  <c:v>27687.335671264609</c:v>
                </c:pt>
                <c:pt idx="60">
                  <c:v>26150.281082313239</c:v>
                </c:pt>
                <c:pt idx="61">
                  <c:v>27420.641722581055</c:v>
                </c:pt>
                <c:pt idx="62">
                  <c:v>27649.736435370509</c:v>
                </c:pt>
                <c:pt idx="63">
                  <c:v>27198.590530159065</c:v>
                </c:pt>
                <c:pt idx="64">
                  <c:v>25686.622328335234</c:v>
                </c:pt>
                <c:pt idx="65">
                  <c:v>26932.294113806987</c:v>
                </c:pt>
                <c:pt idx="66">
                  <c:v>27155.1064902951</c:v>
                </c:pt>
                <c:pt idx="67">
                  <c:v>26709.84538905352</c:v>
                </c:pt>
                <c:pt idx="68">
                  <c:v>25222.963574357229</c:v>
                </c:pt>
                <c:pt idx="69">
                  <c:v>26443.946505032927</c:v>
                </c:pt>
                <c:pt idx="70">
                  <c:v>26660.476545219692</c:v>
                </c:pt>
                <c:pt idx="71">
                  <c:v>26221.100247947972</c:v>
                </c:pt>
                <c:pt idx="72">
                  <c:v>24759.30482037922</c:v>
                </c:pt>
                <c:pt idx="73">
                  <c:v>25955.598896258856</c:v>
                </c:pt>
                <c:pt idx="74">
                  <c:v>26165.846600144283</c:v>
                </c:pt>
                <c:pt idx="75">
                  <c:v>25732.355106842428</c:v>
                </c:pt>
                <c:pt idx="76">
                  <c:v>24295.646066401219</c:v>
                </c:pt>
                <c:pt idx="77">
                  <c:v>25467.251287484796</c:v>
                </c:pt>
                <c:pt idx="78">
                  <c:v>25671.216655068874</c:v>
                </c:pt>
                <c:pt idx="79">
                  <c:v>25243.60996573688</c:v>
                </c:pt>
                <c:pt idx="80">
                  <c:v>23831.987312423207</c:v>
                </c:pt>
                <c:pt idx="81">
                  <c:v>24978.903678710729</c:v>
                </c:pt>
                <c:pt idx="82">
                  <c:v>25176.586709993469</c:v>
                </c:pt>
                <c:pt idx="83">
                  <c:v>24754.864824631335</c:v>
                </c:pt>
                <c:pt idx="84">
                  <c:v>23368.328558445206</c:v>
                </c:pt>
                <c:pt idx="85">
                  <c:v>24490.556069936665</c:v>
                </c:pt>
                <c:pt idx="86">
                  <c:v>24681.956764918061</c:v>
                </c:pt>
                <c:pt idx="87">
                  <c:v>24266.119683525787</c:v>
                </c:pt>
                <c:pt idx="88">
                  <c:v>22904.669804467198</c:v>
                </c:pt>
                <c:pt idx="89">
                  <c:v>24002.208461162601</c:v>
                </c:pt>
                <c:pt idx="90">
                  <c:v>24187.326819842652</c:v>
                </c:pt>
                <c:pt idx="91">
                  <c:v>23777.374542420243</c:v>
                </c:pt>
                <c:pt idx="92">
                  <c:v>22441.011050489196</c:v>
                </c:pt>
                <c:pt idx="93">
                  <c:v>23513.860852388538</c:v>
                </c:pt>
                <c:pt idx="94">
                  <c:v>23692.696874767244</c:v>
                </c:pt>
                <c:pt idx="95">
                  <c:v>23288.629401314694</c:v>
                </c:pt>
                <c:pt idx="96">
                  <c:v>21977.352296511188</c:v>
                </c:pt>
                <c:pt idx="97">
                  <c:v>23025.513243614474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D6-9945-BB52-A30DDC3FB9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8783680"/>
        <c:axId val="381859568"/>
      </c:lineChart>
      <c:catAx>
        <c:axId val="36878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1859568"/>
        <c:crosses val="autoZero"/>
        <c:auto val="1"/>
        <c:lblAlgn val="ctr"/>
        <c:lblOffset val="100"/>
        <c:noMultiLvlLbl val="0"/>
      </c:catAx>
      <c:valAx>
        <c:axId val="38185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78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ARIMA (Total Piped Gas Sales (Town Gas) (Million Kilowatt Hours))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Total Piped Gas Sales (Town Gas) (Million Kilowatt Hours)</c:v>
          </c:tx>
          <c:spPr>
            <a:ln w="12700">
              <a:solidFill>
                <a:srgbClr val="4472C4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[3]ARIMA1!$B$55:$B$152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[3]ARIMA1!$C$55:$C$152</c:f>
              <c:numCache>
                <c:formatCode>General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>
                  <c:v>344</c:v>
                </c:pt>
                <c:pt idx="31">
                  <c:v>343</c:v>
                </c:pt>
                <c:pt idx="32">
                  <c:v>345.6</c:v>
                </c:pt>
                <c:pt idx="33">
                  <c:v>344.9</c:v>
                </c:pt>
                <c:pt idx="34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>
                  <c:v>422</c:v>
                </c:pt>
                <c:pt idx="89">
                  <c:v>435.5</c:v>
                </c:pt>
                <c:pt idx="90">
                  <c:v>442</c:v>
                </c:pt>
                <c:pt idx="91">
                  <c:v>441.2</c:v>
                </c:pt>
                <c:pt idx="92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7-F64E-9864-2E0911396170}"/>
            </c:ext>
          </c:extLst>
        </c:ser>
        <c:ser>
          <c:idx val="1"/>
          <c:order val="1"/>
          <c:tx>
            <c:v>ARIMA (Total Piped Gas Sales (Town Gas) (Million Kilowatt Hours))</c:v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[3]ARIMA1!$B$55:$B$152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[3]ARIMA1!$D$55:$D$152</c:f>
              <c:numCache>
                <c:formatCode>General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262.41910195031176</c:v>
                </c:pt>
                <c:pt idx="3">
                  <c:v>265.95062950070826</c:v>
                </c:pt>
                <c:pt idx="4">
                  <c:v>268.18074807692676</c:v>
                </c:pt>
                <c:pt idx="5">
                  <c:v>272.74897760254277</c:v>
                </c:pt>
                <c:pt idx="6">
                  <c:v>267.69018642768299</c:v>
                </c:pt>
                <c:pt idx="7">
                  <c:v>273.18614233815362</c:v>
                </c:pt>
                <c:pt idx="8">
                  <c:v>277.77684484513321</c:v>
                </c:pt>
                <c:pt idx="9">
                  <c:v>290.54535558878433</c:v>
                </c:pt>
                <c:pt idx="10">
                  <c:v>286.28732847573434</c:v>
                </c:pt>
                <c:pt idx="11">
                  <c:v>293.16473710847436</c:v>
                </c:pt>
                <c:pt idx="12">
                  <c:v>298.04334229919777</c:v>
                </c:pt>
                <c:pt idx="13">
                  <c:v>305.69795510592581</c:v>
                </c:pt>
                <c:pt idx="14">
                  <c:v>301.36581170139408</c:v>
                </c:pt>
                <c:pt idx="15">
                  <c:v>309.89923603734991</c:v>
                </c:pt>
                <c:pt idx="16">
                  <c:v>318.38351174585227</c:v>
                </c:pt>
                <c:pt idx="17">
                  <c:v>319.76658260443935</c:v>
                </c:pt>
                <c:pt idx="18">
                  <c:v>312.23113694906704</c:v>
                </c:pt>
                <c:pt idx="19">
                  <c:v>319.45395687795246</c:v>
                </c:pt>
                <c:pt idx="20">
                  <c:v>327.18514526405556</c:v>
                </c:pt>
                <c:pt idx="21">
                  <c:v>330.93965857755921</c:v>
                </c:pt>
                <c:pt idx="22">
                  <c:v>320.47967630363564</c:v>
                </c:pt>
                <c:pt idx="23">
                  <c:v>330.35822619865837</c:v>
                </c:pt>
                <c:pt idx="24">
                  <c:v>334.64100403649206</c:v>
                </c:pt>
                <c:pt idx="25">
                  <c:v>345.50201432862252</c:v>
                </c:pt>
                <c:pt idx="26">
                  <c:v>338.38848863068932</c:v>
                </c:pt>
                <c:pt idx="27">
                  <c:v>345.32033945690711</c:v>
                </c:pt>
                <c:pt idx="28">
                  <c:v>347.62688301024673</c:v>
                </c:pt>
                <c:pt idx="29">
                  <c:v>328.06579819926088</c:v>
                </c:pt>
                <c:pt idx="30">
                  <c:v>335.60429660446977</c:v>
                </c:pt>
                <c:pt idx="31">
                  <c:v>343.29227611587731</c:v>
                </c:pt>
                <c:pt idx="32">
                  <c:v>352.35330881146643</c:v>
                </c:pt>
                <c:pt idx="33">
                  <c:v>345.25833868319575</c:v>
                </c:pt>
                <c:pt idx="34">
                  <c:v>345.61241905808623</c:v>
                </c:pt>
                <c:pt idx="35">
                  <c:v>349.00991087328822</c:v>
                </c:pt>
                <c:pt idx="36">
                  <c:v>351.63791872489611</c:v>
                </c:pt>
                <c:pt idx="37">
                  <c:v>349.22480280257884</c:v>
                </c:pt>
                <c:pt idx="38">
                  <c:v>343.04111627231106</c:v>
                </c:pt>
                <c:pt idx="39">
                  <c:v>338.84652779517597</c:v>
                </c:pt>
                <c:pt idx="40">
                  <c:v>335.96224712519057</c:v>
                </c:pt>
                <c:pt idx="41">
                  <c:v>335.89399349670106</c:v>
                </c:pt>
                <c:pt idx="42">
                  <c:v>333.83616349034742</c:v>
                </c:pt>
                <c:pt idx="43">
                  <c:v>334.37414545499803</c:v>
                </c:pt>
                <c:pt idx="44">
                  <c:v>333.29782560846877</c:v>
                </c:pt>
                <c:pt idx="45">
                  <c:v>339.73584184767714</c:v>
                </c:pt>
                <c:pt idx="46">
                  <c:v>342.1453265244279</c:v>
                </c:pt>
                <c:pt idx="47">
                  <c:v>350.05810542218927</c:v>
                </c:pt>
                <c:pt idx="48">
                  <c:v>350.10267299584876</c:v>
                </c:pt>
                <c:pt idx="49">
                  <c:v>351.25929652125302</c:v>
                </c:pt>
                <c:pt idx="50">
                  <c:v>347.77335232883172</c:v>
                </c:pt>
                <c:pt idx="51">
                  <c:v>352.40612508751497</c:v>
                </c:pt>
                <c:pt idx="52">
                  <c:v>352.54798642980393</c:v>
                </c:pt>
                <c:pt idx="53">
                  <c:v>359.48924560254545</c:v>
                </c:pt>
                <c:pt idx="54">
                  <c:v>355.18663390291624</c:v>
                </c:pt>
                <c:pt idx="55">
                  <c:v>358.87644944314604</c:v>
                </c:pt>
                <c:pt idx="56">
                  <c:v>358.00158139000933</c:v>
                </c:pt>
                <c:pt idx="57">
                  <c:v>364.93846747849545</c:v>
                </c:pt>
                <c:pt idx="58">
                  <c:v>365.99927219166011</c:v>
                </c:pt>
                <c:pt idx="59">
                  <c:v>368.87701545838337</c:v>
                </c:pt>
                <c:pt idx="60">
                  <c:v>365.01701002146251</c:v>
                </c:pt>
                <c:pt idx="61">
                  <c:v>355.21356383115557</c:v>
                </c:pt>
                <c:pt idx="62">
                  <c:v>358.84261841330488</c:v>
                </c:pt>
                <c:pt idx="63">
                  <c:v>371.15992330449427</c:v>
                </c:pt>
                <c:pt idx="64">
                  <c:v>378.55090960041917</c:v>
                </c:pt>
                <c:pt idx="65">
                  <c:v>379.76814996409985</c:v>
                </c:pt>
                <c:pt idx="66">
                  <c:v>380.46854015588565</c:v>
                </c:pt>
                <c:pt idx="67">
                  <c:v>390.21363144039486</c:v>
                </c:pt>
                <c:pt idx="68">
                  <c:v>400.25870571198431</c:v>
                </c:pt>
                <c:pt idx="69">
                  <c:v>403.46929994737042</c:v>
                </c:pt>
                <c:pt idx="70">
                  <c:v>401.21428062709475</c:v>
                </c:pt>
                <c:pt idx="71">
                  <c:v>402.77777858031703</c:v>
                </c:pt>
                <c:pt idx="72">
                  <c:v>408.42157004072993</c:v>
                </c:pt>
                <c:pt idx="73">
                  <c:v>411.88556024987275</c:v>
                </c:pt>
                <c:pt idx="74">
                  <c:v>409.09633363915924</c:v>
                </c:pt>
                <c:pt idx="75">
                  <c:v>416.16532534683273</c:v>
                </c:pt>
                <c:pt idx="76">
                  <c:v>415.36641199118912</c:v>
                </c:pt>
                <c:pt idx="77">
                  <c:v>409.10907920223906</c:v>
                </c:pt>
                <c:pt idx="78">
                  <c:v>412.56063489023211</c:v>
                </c:pt>
                <c:pt idx="79">
                  <c:v>420.7164192121939</c:v>
                </c:pt>
                <c:pt idx="80">
                  <c:v>426.89978667070164</c:v>
                </c:pt>
                <c:pt idx="81">
                  <c:v>421.31176654093753</c:v>
                </c:pt>
                <c:pt idx="82">
                  <c:v>413.37831716223201</c:v>
                </c:pt>
                <c:pt idx="83">
                  <c:v>414.24343564234465</c:v>
                </c:pt>
                <c:pt idx="84">
                  <c:v>415.19407503712944</c:v>
                </c:pt>
                <c:pt idx="85">
                  <c:v>424.05327008624602</c:v>
                </c:pt>
                <c:pt idx="86">
                  <c:v>422.06136655723662</c:v>
                </c:pt>
                <c:pt idx="87">
                  <c:v>425.62024090355902</c:v>
                </c:pt>
                <c:pt idx="88">
                  <c:v>430.03096539594065</c:v>
                </c:pt>
                <c:pt idx="89">
                  <c:v>426.1218231342848</c:v>
                </c:pt>
                <c:pt idx="90">
                  <c:v>435.29189251660858</c:v>
                </c:pt>
                <c:pt idx="91">
                  <c:v>445.29222457968154</c:v>
                </c:pt>
                <c:pt idx="92">
                  <c:v>450.64950507289728</c:v>
                </c:pt>
                <c:pt idx="93">
                  <c:v>445.74953840757883</c:v>
                </c:pt>
                <c:pt idx="94">
                  <c:v>438.642819279506</c:v>
                </c:pt>
                <c:pt idx="95">
                  <c:v>439.63126977697294</c:v>
                </c:pt>
                <c:pt idx="96">
                  <c:v>432.3581647394966</c:v>
                </c:pt>
                <c:pt idx="97">
                  <c:v>437.67689186228552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C7-F64E-9864-2E09113961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5723584"/>
        <c:axId val="865721616"/>
      </c:scatterChart>
      <c:valAx>
        <c:axId val="865723584"/>
        <c:scaling>
          <c:orientation val="minMax"/>
          <c:max val="1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5721616"/>
        <c:crosses val="autoZero"/>
        <c:crossBetween val="midCat"/>
      </c:valAx>
      <c:valAx>
        <c:axId val="865721616"/>
        <c:scaling>
          <c:orientation val="minMax"/>
          <c:max val="450"/>
          <c:min val="25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Total Piped Gas Sales (Town Gas) (Million Kilowatt Hours)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65723584"/>
        <c:crosses val="autoZero"/>
        <c:crossBetween val="midCat"/>
      </c:valAx>
      <c:spPr>
        <a:ln>
          <a:solidFill>
            <a:srgbClr val="808080"/>
          </a:solidFill>
          <a:prstDash val="solid"/>
        </a:ln>
      </c:spPr>
    </c:plotArea>
    <c:legend>
      <c:legendPos val="b"/>
      <c:overlay val="0"/>
      <c:spPr>
        <a:ln w="12700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03CE6"/>
            </a:solidFill>
            <a:ln>
              <a:solidFill>
                <a:srgbClr val="000000"/>
              </a:solidFill>
              <a:prstDash val="solid"/>
            </a:ln>
            <a:effectLst/>
          </c:spPr>
          <c:invertIfNegative val="0"/>
          <c:cat>
            <c:numRef>
              <c:f>[3]ARIMA1!$B$55:$B$152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[3]ARIMA1!$E$55:$E$152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0.88089804968825547</c:v>
                </c:pt>
                <c:pt idx="3">
                  <c:v>-0.65062950070824854</c:v>
                </c:pt>
                <c:pt idx="4">
                  <c:v>1.7192519230732159</c:v>
                </c:pt>
                <c:pt idx="5">
                  <c:v>-7.9489776025427545</c:v>
                </c:pt>
                <c:pt idx="6">
                  <c:v>5.4098135723170344</c:v>
                </c:pt>
                <c:pt idx="7">
                  <c:v>2.9138576618464072</c:v>
                </c:pt>
                <c:pt idx="8">
                  <c:v>7.0231551548667994</c:v>
                </c:pt>
                <c:pt idx="9">
                  <c:v>-9.6453555887843549</c:v>
                </c:pt>
                <c:pt idx="10">
                  <c:v>4.2126715242656587</c:v>
                </c:pt>
                <c:pt idx="11">
                  <c:v>1.9352628915256673</c:v>
                </c:pt>
                <c:pt idx="12">
                  <c:v>0.75665770080223638</c:v>
                </c:pt>
                <c:pt idx="13">
                  <c:v>-8.1979551059258142</c:v>
                </c:pt>
                <c:pt idx="14">
                  <c:v>6.9341882986059318</c:v>
                </c:pt>
                <c:pt idx="15">
                  <c:v>3.7007639626501145</c:v>
                </c:pt>
                <c:pt idx="16">
                  <c:v>-6.1835117458522859</c:v>
                </c:pt>
                <c:pt idx="17">
                  <c:v>-9.2665826044393498</c:v>
                </c:pt>
                <c:pt idx="18">
                  <c:v>8.2688630509329641</c:v>
                </c:pt>
                <c:pt idx="19">
                  <c:v>3.6460431220475584</c:v>
                </c:pt>
                <c:pt idx="20">
                  <c:v>-2.2851452640555863</c:v>
                </c:pt>
                <c:pt idx="21">
                  <c:v>-12.239658577559226</c:v>
                </c:pt>
                <c:pt idx="22">
                  <c:v>11.420323696364335</c:v>
                </c:pt>
                <c:pt idx="23">
                  <c:v>0.94177380134163968</c:v>
                </c:pt>
                <c:pt idx="24">
                  <c:v>4.5589959635079254</c:v>
                </c:pt>
                <c:pt idx="25">
                  <c:v>-10.402014328622499</c:v>
                </c:pt>
                <c:pt idx="26">
                  <c:v>4.811511369310665</c:v>
                </c:pt>
                <c:pt idx="27">
                  <c:v>0.27966054309291621</c:v>
                </c:pt>
                <c:pt idx="28">
                  <c:v>-23.526883010246706</c:v>
                </c:pt>
                <c:pt idx="29">
                  <c:v>15.834201800739095</c:v>
                </c:pt>
                <c:pt idx="30">
                  <c:v>8.3957033955302336</c:v>
                </c:pt>
                <c:pt idx="31">
                  <c:v>-0.29227611587731417</c:v>
                </c:pt>
                <c:pt idx="32">
                  <c:v>-6.753308811466411</c:v>
                </c:pt>
                <c:pt idx="33">
                  <c:v>-0.35833868319576823</c:v>
                </c:pt>
                <c:pt idx="34">
                  <c:v>2.3875809419137681</c:v>
                </c:pt>
                <c:pt idx="35">
                  <c:v>1.3900891267117572</c:v>
                </c:pt>
                <c:pt idx="36">
                  <c:v>-4.8379187248960989</c:v>
                </c:pt>
                <c:pt idx="37">
                  <c:v>-5.4248028025788244</c:v>
                </c:pt>
                <c:pt idx="38">
                  <c:v>-0.94111627231103512</c:v>
                </c:pt>
                <c:pt idx="39">
                  <c:v>-0.44652779517599583</c:v>
                </c:pt>
                <c:pt idx="40">
                  <c:v>2.5377528748094278</c:v>
                </c:pt>
                <c:pt idx="41">
                  <c:v>-0.19399349670106858</c:v>
                </c:pt>
                <c:pt idx="42">
                  <c:v>1.8638365096525717</c:v>
                </c:pt>
                <c:pt idx="43">
                  <c:v>0.32585454500195965</c:v>
                </c:pt>
                <c:pt idx="44">
                  <c:v>6.70217439153123</c:v>
                </c:pt>
                <c:pt idx="45">
                  <c:v>0.36415815232288651</c:v>
                </c:pt>
                <c:pt idx="46">
                  <c:v>5.0546734755720877</c:v>
                </c:pt>
                <c:pt idx="47">
                  <c:v>-3.3581054221892828</c:v>
                </c:pt>
                <c:pt idx="48">
                  <c:v>-2.0026729958487408</c:v>
                </c:pt>
                <c:pt idx="49">
                  <c:v>-3.859296521253043</c:v>
                </c:pt>
                <c:pt idx="50">
                  <c:v>4.1266476711682571</c:v>
                </c:pt>
                <c:pt idx="51">
                  <c:v>-1.606125087514954</c:v>
                </c:pt>
                <c:pt idx="52">
                  <c:v>5.0520135701960953</c:v>
                </c:pt>
                <c:pt idx="53">
                  <c:v>-6.7892456025454635</c:v>
                </c:pt>
                <c:pt idx="54">
                  <c:v>2.6133660970837695</c:v>
                </c:pt>
                <c:pt idx="55">
                  <c:v>-0.97644944314606619</c:v>
                </c:pt>
                <c:pt idx="56">
                  <c:v>4.2984186099906765</c:v>
                </c:pt>
                <c:pt idx="57">
                  <c:v>-1.1384674784954427</c:v>
                </c:pt>
                <c:pt idx="58">
                  <c:v>7.2780833988872473E-4</c:v>
                </c:pt>
                <c:pt idx="59">
                  <c:v>-5.4770154583833914</c:v>
                </c:pt>
                <c:pt idx="60">
                  <c:v>-9.2170100214624995</c:v>
                </c:pt>
                <c:pt idx="61">
                  <c:v>8.1864361688444092</c:v>
                </c:pt>
                <c:pt idx="62">
                  <c:v>11.957381586695135</c:v>
                </c:pt>
                <c:pt idx="63">
                  <c:v>0.24007669550570654</c:v>
                </c:pt>
                <c:pt idx="64">
                  <c:v>-2.7509096004191633</c:v>
                </c:pt>
                <c:pt idx="65">
                  <c:v>-1.7681499640998481</c:v>
                </c:pt>
                <c:pt idx="66">
                  <c:v>6.2314598441143403</c:v>
                </c:pt>
                <c:pt idx="67">
                  <c:v>4.4863685596051255</c:v>
                </c:pt>
                <c:pt idx="68">
                  <c:v>-4.7587057119843053</c:v>
                </c:pt>
                <c:pt idx="69">
                  <c:v>-6.4692999473704162</c:v>
                </c:pt>
                <c:pt idx="70">
                  <c:v>0.28571937290524829</c:v>
                </c:pt>
                <c:pt idx="71">
                  <c:v>2.6222214196829441</c:v>
                </c:pt>
                <c:pt idx="72">
                  <c:v>-0.62157004072992095</c:v>
                </c:pt>
                <c:pt idx="73">
                  <c:v>-5.6855602498727649</c:v>
                </c:pt>
                <c:pt idx="74">
                  <c:v>6.3036663608407366</c:v>
                </c:pt>
                <c:pt idx="75">
                  <c:v>-4.2653253468327534</c:v>
                </c:pt>
                <c:pt idx="76">
                  <c:v>-8.6664119911891362</c:v>
                </c:pt>
                <c:pt idx="77">
                  <c:v>7.1909207977609526</c:v>
                </c:pt>
                <c:pt idx="78">
                  <c:v>5.9393651097678912</c:v>
                </c:pt>
                <c:pt idx="79">
                  <c:v>0.48358078780609048</c:v>
                </c:pt>
                <c:pt idx="80">
                  <c:v>-7.7997866707016215</c:v>
                </c:pt>
                <c:pt idx="81">
                  <c:v>-7.9117665409375491</c:v>
                </c:pt>
                <c:pt idx="82">
                  <c:v>4.4216828377680031</c:v>
                </c:pt>
                <c:pt idx="83">
                  <c:v>1.6565643576553271</c:v>
                </c:pt>
                <c:pt idx="84">
                  <c:v>7.4059249628705857</c:v>
                </c:pt>
                <c:pt idx="85">
                  <c:v>-4.1532700862460388</c:v>
                </c:pt>
                <c:pt idx="86">
                  <c:v>1.5386334427633983</c:v>
                </c:pt>
                <c:pt idx="87">
                  <c:v>3.6797590964409892</c:v>
                </c:pt>
                <c:pt idx="88">
                  <c:v>-8.0309653959406546</c:v>
                </c:pt>
                <c:pt idx="89">
                  <c:v>9.3781768657152043</c:v>
                </c:pt>
                <c:pt idx="90">
                  <c:v>6.7081074833914158</c:v>
                </c:pt>
                <c:pt idx="91">
                  <c:v>-4.092224579681556</c:v>
                </c:pt>
                <c:pt idx="92">
                  <c:v>-7.6495050728972842</c:v>
                </c:pt>
                <c:pt idx="93">
                  <c:v>-7.3495384075788479</c:v>
                </c:pt>
                <c:pt idx="94">
                  <c:v>2.2571807204939773</c:v>
                </c:pt>
                <c:pt idx="95">
                  <c:v>-5.9312697769729539</c:v>
                </c:pt>
                <c:pt idx="96">
                  <c:v>7.3418352605033874</c:v>
                </c:pt>
                <c:pt idx="97">
                  <c:v>3.623108137714496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74-0A40-9DAE-79419F4B2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2023648"/>
        <c:axId val="872025288"/>
      </c:barChart>
      <c:catAx>
        <c:axId val="8720236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Time step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72025288"/>
        <c:crosses val="autoZero"/>
        <c:auto val="1"/>
        <c:lblAlgn val="ctr"/>
        <c:lblOffset val="100"/>
        <c:noMultiLvlLbl val="0"/>
      </c:catAx>
      <c:valAx>
        <c:axId val="872025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87202364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AutocorrelogramTotal Piped Gas Sales (Town Gas) (Million Kilowatt Hours)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[3]ARIMA1!$C$178:$C$198</c:f>
              <c:numCache>
                <c:formatCode>General</c:formatCode>
                <c:ptCount val="21"/>
                <c:pt idx="0">
                  <c:v>1</c:v>
                </c:pt>
                <c:pt idx="1">
                  <c:v>0.95878625376146165</c:v>
                </c:pt>
                <c:pt idx="2">
                  <c:v>0.92192516970928995</c:v>
                </c:pt>
                <c:pt idx="3">
                  <c:v>0.88666364508796003</c:v>
                </c:pt>
                <c:pt idx="4">
                  <c:v>0.84794370027386345</c:v>
                </c:pt>
                <c:pt idx="5">
                  <c:v>0.80990140015584644</c:v>
                </c:pt>
                <c:pt idx="6">
                  <c:v>0.76573509151540153</c:v>
                </c:pt>
                <c:pt idx="7">
                  <c:v>0.72597647986397529</c:v>
                </c:pt>
                <c:pt idx="8">
                  <c:v>0.68466863971281211</c:v>
                </c:pt>
                <c:pt idx="9">
                  <c:v>0.64692447588499924</c:v>
                </c:pt>
                <c:pt idx="10">
                  <c:v>0.61261574113006956</c:v>
                </c:pt>
                <c:pt idx="11">
                  <c:v>0.57813178674796362</c:v>
                </c:pt>
                <c:pt idx="12">
                  <c:v>0.54644348422715083</c:v>
                </c:pt>
                <c:pt idx="13">
                  <c:v>0.51375080706500698</c:v>
                </c:pt>
                <c:pt idx="14">
                  <c:v>0.47990622362107255</c:v>
                </c:pt>
                <c:pt idx="15">
                  <c:v>0.45334502942335614</c:v>
                </c:pt>
                <c:pt idx="16">
                  <c:v>0.42625176043802637</c:v>
                </c:pt>
                <c:pt idx="17">
                  <c:v>0.39849836060210692</c:v>
                </c:pt>
                <c:pt idx="18">
                  <c:v>0.36772073560645269</c:v>
                </c:pt>
                <c:pt idx="19">
                  <c:v>0.33999353958194234</c:v>
                </c:pt>
                <c:pt idx="20">
                  <c:v>0.31316651318733857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6B-D444-B88B-109554C26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4260448"/>
        <c:axId val="76426340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[3]ARIMA1!$E$178:$E$198</c:f>
              <c:numCache>
                <c:formatCode>General</c:formatCode>
                <c:ptCount val="21"/>
                <c:pt idx="1">
                  <c:v>-0.19798626062138247</c:v>
                </c:pt>
                <c:pt idx="2">
                  <c:v>-0.33356673018306621</c:v>
                </c:pt>
                <c:pt idx="3">
                  <c:v>-0.42178203193781222</c:v>
                </c:pt>
                <c:pt idx="4">
                  <c:v>-0.48942183750617263</c:v>
                </c:pt>
                <c:pt idx="5">
                  <c:v>-0.54396868594593473</c:v>
                </c:pt>
                <c:pt idx="6">
                  <c:v>-0.58934349846336553</c:v>
                </c:pt>
                <c:pt idx="7">
                  <c:v>-0.62713150761570324</c:v>
                </c:pt>
                <c:pt idx="8">
                  <c:v>-0.65925146212373131</c:v>
                </c:pt>
                <c:pt idx="9">
                  <c:v>-0.68655866285888267</c:v>
                </c:pt>
                <c:pt idx="10">
                  <c:v>-0.71005131919002251</c:v>
                </c:pt>
                <c:pt idx="11">
                  <c:v>-0.73047598276689751</c:v>
                </c:pt>
                <c:pt idx="12">
                  <c:v>-0.74819671827756595</c:v>
                </c:pt>
                <c:pt idx="13">
                  <c:v>-0.76368039562145851</c:v>
                </c:pt>
                <c:pt idx="14">
                  <c:v>-0.77710994955938262</c:v>
                </c:pt>
                <c:pt idx="15">
                  <c:v>-0.78864156169755006</c:v>
                </c:pt>
                <c:pt idx="16">
                  <c:v>-0.79879147666745054</c:v>
                </c:pt>
                <c:pt idx="17">
                  <c:v>-0.80765824447517298</c:v>
                </c:pt>
                <c:pt idx="18">
                  <c:v>-0.81532899880512155</c:v>
                </c:pt>
                <c:pt idx="19">
                  <c:v>-0.82180418603708416</c:v>
                </c:pt>
                <c:pt idx="20">
                  <c:v>-0.82729951209841945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6B-D444-B88B-109554C2686A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[3]ARIMA1!$F$178:$F$198</c:f>
              <c:numCache>
                <c:formatCode>General</c:formatCode>
                <c:ptCount val="21"/>
                <c:pt idx="1">
                  <c:v>0.19798626062138247</c:v>
                </c:pt>
                <c:pt idx="2">
                  <c:v>0.33356673018306621</c:v>
                </c:pt>
                <c:pt idx="3">
                  <c:v>0.42178203193781222</c:v>
                </c:pt>
                <c:pt idx="4">
                  <c:v>0.48942183750617263</c:v>
                </c:pt>
                <c:pt idx="5">
                  <c:v>0.54396868594593473</c:v>
                </c:pt>
                <c:pt idx="6">
                  <c:v>0.58934349846336553</c:v>
                </c:pt>
                <c:pt idx="7">
                  <c:v>0.62713150761570324</c:v>
                </c:pt>
                <c:pt idx="8">
                  <c:v>0.65925146212373131</c:v>
                </c:pt>
                <c:pt idx="9">
                  <c:v>0.68655866285888267</c:v>
                </c:pt>
                <c:pt idx="10">
                  <c:v>0.71005131919002251</c:v>
                </c:pt>
                <c:pt idx="11">
                  <c:v>0.73047598276689751</c:v>
                </c:pt>
                <c:pt idx="12">
                  <c:v>0.74819671827756595</c:v>
                </c:pt>
                <c:pt idx="13">
                  <c:v>0.76368039562145851</c:v>
                </c:pt>
                <c:pt idx="14">
                  <c:v>0.77710994955938262</c:v>
                </c:pt>
                <c:pt idx="15">
                  <c:v>0.78864156169755006</c:v>
                </c:pt>
                <c:pt idx="16">
                  <c:v>0.79879147666745054</c:v>
                </c:pt>
                <c:pt idx="17">
                  <c:v>0.80765824447517298</c:v>
                </c:pt>
                <c:pt idx="18">
                  <c:v>0.81532899880512155</c:v>
                </c:pt>
                <c:pt idx="19">
                  <c:v>0.82180418603708416</c:v>
                </c:pt>
                <c:pt idx="20">
                  <c:v>0.82729951209841945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6B-D444-B88B-109554C26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260448"/>
        <c:axId val="764263400"/>
      </c:lineChart>
      <c:catAx>
        <c:axId val="7642604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63400"/>
        <c:crosses val="autoZero"/>
        <c:auto val="1"/>
        <c:lblAlgn val="ctr"/>
        <c:lblOffset val="100"/>
        <c:noMultiLvlLbl val="0"/>
      </c:catAx>
      <c:valAx>
        <c:axId val="76426340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6044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Partial autocorrelogramTotal Piped Gas Sales (Town Gas) (Million Kilowatt Hours)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[3]ARIMA1!$G$178:$G$198</c:f>
              <c:numCache>
                <c:formatCode>General</c:formatCode>
                <c:ptCount val="21"/>
                <c:pt idx="0">
                  <c:v>1</c:v>
                </c:pt>
                <c:pt idx="1">
                  <c:v>0.95878625376146165</c:v>
                </c:pt>
                <c:pt idx="2">
                  <c:v>3.2876561715012902E-2</c:v>
                </c:pt>
                <c:pt idx="3">
                  <c:v>3.3905818850404734E-3</c:v>
                </c:pt>
                <c:pt idx="4">
                  <c:v>-5.9416566386367449E-2</c:v>
                </c:pt>
                <c:pt idx="5">
                  <c:v>-1.6397712337221877E-2</c:v>
                </c:pt>
                <c:pt idx="6">
                  <c:v>-9.8252614520125611E-2</c:v>
                </c:pt>
                <c:pt idx="7">
                  <c:v>2.4109346246310573E-2</c:v>
                </c:pt>
                <c:pt idx="8">
                  <c:v>-4.1160252179341814E-2</c:v>
                </c:pt>
                <c:pt idx="9">
                  <c:v>2.7102884911774604E-2</c:v>
                </c:pt>
                <c:pt idx="10">
                  <c:v>1.8962806939353177E-2</c:v>
                </c:pt>
                <c:pt idx="11">
                  <c:v>-9.4546763659258022E-3</c:v>
                </c:pt>
                <c:pt idx="12">
                  <c:v>4.0242222484360088E-3</c:v>
                </c:pt>
                <c:pt idx="13">
                  <c:v>-2.8454302857936205E-2</c:v>
                </c:pt>
                <c:pt idx="14">
                  <c:v>-4.4905930019694465E-2</c:v>
                </c:pt>
                <c:pt idx="15">
                  <c:v>6.2623454022755251E-2</c:v>
                </c:pt>
                <c:pt idx="16">
                  <c:v>-1.6046758542746911E-2</c:v>
                </c:pt>
                <c:pt idx="17">
                  <c:v>-2.5523851496486814E-2</c:v>
                </c:pt>
                <c:pt idx="18">
                  <c:v>-5.9608992985113525E-2</c:v>
                </c:pt>
                <c:pt idx="19">
                  <c:v>1.5172004540469169E-2</c:v>
                </c:pt>
                <c:pt idx="20">
                  <c:v>-1.9231055076813729E-2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6-E04F-8B87-B1A6D213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4267008"/>
        <c:axId val="764267992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[3]ARIMA1!$I$178:$I$198</c:f>
              <c:numCache>
                <c:formatCode>General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6-E04F-8B87-B1A6D2136705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[3]ARIMA1!$B$178:$B$198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[3]ARIMA1!$J$178:$J$198</c:f>
              <c:numCache>
                <c:formatCode>General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56-E04F-8B87-B1A6D21367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267008"/>
        <c:axId val="764267992"/>
      </c:lineChart>
      <c:catAx>
        <c:axId val="7642670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67992"/>
        <c:crosses val="autoZero"/>
        <c:auto val="1"/>
        <c:lblAlgn val="ctr"/>
        <c:lblOffset val="100"/>
        <c:noMultiLvlLbl val="0"/>
      </c:catAx>
      <c:valAx>
        <c:axId val="764267992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6700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[3]ARIMA1!$C$224:$C$244</c:f>
              <c:numCache>
                <c:formatCode>General</c:formatCode>
                <c:ptCount val="21"/>
                <c:pt idx="0">
                  <c:v>1</c:v>
                </c:pt>
                <c:pt idx="1">
                  <c:v>-0.1738718352869866</c:v>
                </c:pt>
                <c:pt idx="2">
                  <c:v>-0.29273189916231362</c:v>
                </c:pt>
                <c:pt idx="3">
                  <c:v>-0.15410650019564368</c:v>
                </c:pt>
                <c:pt idx="4">
                  <c:v>0.22422263566908099</c:v>
                </c:pt>
                <c:pt idx="5">
                  <c:v>-2.9129612886415884E-3</c:v>
                </c:pt>
                <c:pt idx="6">
                  <c:v>-0.15361982899473961</c:v>
                </c:pt>
                <c:pt idx="7">
                  <c:v>8.4934970948699895E-2</c:v>
                </c:pt>
                <c:pt idx="8">
                  <c:v>8.5060986764182153E-2</c:v>
                </c:pt>
                <c:pt idx="9">
                  <c:v>-0.21821408071374673</c:v>
                </c:pt>
                <c:pt idx="10">
                  <c:v>-6.9722524975472114E-2</c:v>
                </c:pt>
                <c:pt idx="11">
                  <c:v>0.14545312348046385</c:v>
                </c:pt>
                <c:pt idx="12">
                  <c:v>0.29973690714632228</c:v>
                </c:pt>
                <c:pt idx="13">
                  <c:v>-0.1859532101551096</c:v>
                </c:pt>
                <c:pt idx="14">
                  <c:v>-0.24693043898465356</c:v>
                </c:pt>
                <c:pt idx="15">
                  <c:v>9.493604220943179E-2</c:v>
                </c:pt>
                <c:pt idx="16">
                  <c:v>0.17205958190479267</c:v>
                </c:pt>
                <c:pt idx="17">
                  <c:v>-5.6153214818294675E-2</c:v>
                </c:pt>
                <c:pt idx="18">
                  <c:v>-0.12587025964295856</c:v>
                </c:pt>
                <c:pt idx="19">
                  <c:v>1.3935017051446331E-2</c:v>
                </c:pt>
                <c:pt idx="20">
                  <c:v>3.0030447310275842E-2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BB-8248-904B-21C03BD00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4270288"/>
        <c:axId val="764260120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[3]ARIMA1!$E$224:$E$244</c:f>
              <c:numCache>
                <c:formatCode>General</c:formatCode>
                <c:ptCount val="21"/>
                <c:pt idx="1">
                  <c:v>-0.19798626062138247</c:v>
                </c:pt>
                <c:pt idx="2">
                  <c:v>-0.20388382779437947</c:v>
                </c:pt>
                <c:pt idx="3">
                  <c:v>-0.21974216340709185</c:v>
                </c:pt>
                <c:pt idx="4">
                  <c:v>-0.22393851148085855</c:v>
                </c:pt>
                <c:pt idx="5">
                  <c:v>-0.23257242749795889</c:v>
                </c:pt>
                <c:pt idx="6">
                  <c:v>-0.23257385764262772</c:v>
                </c:pt>
                <c:pt idx="7">
                  <c:v>-0.23651785753045088</c:v>
                </c:pt>
                <c:pt idx="8">
                  <c:v>-0.23771043260704799</c:v>
                </c:pt>
                <c:pt idx="9">
                  <c:v>-0.23890056937310922</c:v>
                </c:pt>
                <c:pt idx="10">
                  <c:v>-0.24658983725368594</c:v>
                </c:pt>
                <c:pt idx="11">
                  <c:v>-0.24736138401315985</c:v>
                </c:pt>
                <c:pt idx="12">
                  <c:v>-0.25069158672932962</c:v>
                </c:pt>
                <c:pt idx="13">
                  <c:v>-0.26436649247096033</c:v>
                </c:pt>
                <c:pt idx="14">
                  <c:v>-0.26944480820450323</c:v>
                </c:pt>
                <c:pt idx="15">
                  <c:v>-0.27817394000274581</c:v>
                </c:pt>
                <c:pt idx="16">
                  <c:v>-0.27944108955946928</c:v>
                </c:pt>
                <c:pt idx="17">
                  <c:v>-0.28356344971778863</c:v>
                </c:pt>
                <c:pt idx="18">
                  <c:v>-0.28399899739253864</c:v>
                </c:pt>
                <c:pt idx="19">
                  <c:v>-0.28617739487494503</c:v>
                </c:pt>
                <c:pt idx="20">
                  <c:v>-0.28620399168848232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9BB-8248-904B-21C03BD00E36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[3]ARIMA1!$F$224:$F$244</c:f>
              <c:numCache>
                <c:formatCode>General</c:formatCode>
                <c:ptCount val="21"/>
                <c:pt idx="1">
                  <c:v>0.19798626062138247</c:v>
                </c:pt>
                <c:pt idx="2">
                  <c:v>0.20388382779437947</c:v>
                </c:pt>
                <c:pt idx="3">
                  <c:v>0.21974216340709185</c:v>
                </c:pt>
                <c:pt idx="4">
                  <c:v>0.22393851148085855</c:v>
                </c:pt>
                <c:pt idx="5">
                  <c:v>0.23257242749795889</c:v>
                </c:pt>
                <c:pt idx="6">
                  <c:v>0.23257385764262772</c:v>
                </c:pt>
                <c:pt idx="7">
                  <c:v>0.23651785753045088</c:v>
                </c:pt>
                <c:pt idx="8">
                  <c:v>0.23771043260704799</c:v>
                </c:pt>
                <c:pt idx="9">
                  <c:v>0.23890056937310922</c:v>
                </c:pt>
                <c:pt idx="10">
                  <c:v>0.24658983725368594</c:v>
                </c:pt>
                <c:pt idx="11">
                  <c:v>0.24736138401315985</c:v>
                </c:pt>
                <c:pt idx="12">
                  <c:v>0.25069158672932962</c:v>
                </c:pt>
                <c:pt idx="13">
                  <c:v>0.26436649247096033</c:v>
                </c:pt>
                <c:pt idx="14">
                  <c:v>0.26944480820450323</c:v>
                </c:pt>
                <c:pt idx="15">
                  <c:v>0.27817394000274581</c:v>
                </c:pt>
                <c:pt idx="16">
                  <c:v>0.27944108955946928</c:v>
                </c:pt>
                <c:pt idx="17">
                  <c:v>0.28356344971778863</c:v>
                </c:pt>
                <c:pt idx="18">
                  <c:v>0.28399899739253864</c:v>
                </c:pt>
                <c:pt idx="19">
                  <c:v>0.28617739487494503</c:v>
                </c:pt>
                <c:pt idx="20">
                  <c:v>0.28620399168848232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BB-8248-904B-21C03BD00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270288"/>
        <c:axId val="764260120"/>
      </c:lineChart>
      <c:catAx>
        <c:axId val="7642702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60120"/>
        <c:crosses val="autoZero"/>
        <c:auto val="1"/>
        <c:lblAlgn val="ctr"/>
        <c:lblOffset val="100"/>
        <c:noMultiLvlLbl val="0"/>
      </c:catAx>
      <c:valAx>
        <c:axId val="764260120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70288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/>
            </a:pPr>
            <a:r>
              <a:rPr lang="en-SG"/>
              <a:t>Partial autocorrelogramResiduals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effectLst/>
          </c:spPr>
          <c:invertIfNegative val="0"/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[3]ARIMA1!$G$224:$G$244</c:f>
              <c:numCache>
                <c:formatCode>General</c:formatCode>
                <c:ptCount val="21"/>
                <c:pt idx="0">
                  <c:v>1</c:v>
                </c:pt>
                <c:pt idx="1">
                  <c:v>-0.1738718352869866</c:v>
                </c:pt>
                <c:pt idx="2">
                  <c:v>-0.33303132241977251</c:v>
                </c:pt>
                <c:pt idx="3">
                  <c:v>-0.32458348368352535</c:v>
                </c:pt>
                <c:pt idx="4">
                  <c:v>-5.3168806393529468E-3</c:v>
                </c:pt>
                <c:pt idx="5">
                  <c:v>-0.11154248079463046</c:v>
                </c:pt>
                <c:pt idx="6">
                  <c:v>-0.18888428285289108</c:v>
                </c:pt>
                <c:pt idx="7">
                  <c:v>3.118061862120414E-2</c:v>
                </c:pt>
                <c:pt idx="8">
                  <c:v>-1.1915504170521651E-3</c:v>
                </c:pt>
                <c:pt idx="9">
                  <c:v>-0.27191938864942528</c:v>
                </c:pt>
                <c:pt idx="10">
                  <c:v>-0.17251375727847179</c:v>
                </c:pt>
                <c:pt idx="11">
                  <c:v>-0.11098709982103266</c:v>
                </c:pt>
                <c:pt idx="12">
                  <c:v>0.16861215209101466</c:v>
                </c:pt>
                <c:pt idx="13">
                  <c:v>1.9361588590798832E-2</c:v>
                </c:pt>
                <c:pt idx="14">
                  <c:v>-0.15131016440416883</c:v>
                </c:pt>
                <c:pt idx="15">
                  <c:v>-3.5999628819186495E-2</c:v>
                </c:pt>
                <c:pt idx="16">
                  <c:v>-1.5546033812069203E-3</c:v>
                </c:pt>
                <c:pt idx="17">
                  <c:v>-4.2770300948109415E-2</c:v>
                </c:pt>
                <c:pt idx="18">
                  <c:v>-6.8601705027195495E-2</c:v>
                </c:pt>
                <c:pt idx="19">
                  <c:v>-0.14417930100323875</c:v>
                </c:pt>
                <c:pt idx="20">
                  <c:v>-0.15517128802436383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72-2D45-94AB-EC6EDF33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64273896"/>
        <c:axId val="764272584"/>
      </c:barChart>
      <c:lineChart>
        <c:grouping val="standard"/>
        <c:varyColors val="0"/>
        <c:ser>
          <c:idx val="1"/>
          <c:order val="1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[3]ARIMA1!$I$224:$I$244</c:f>
              <c:numCache>
                <c:formatCode>General</c:formatCode>
                <c:ptCount val="21"/>
                <c:pt idx="1">
                  <c:v>-0.19798626062138247</c:v>
                </c:pt>
                <c:pt idx="2">
                  <c:v>-0.19798626062138247</c:v>
                </c:pt>
                <c:pt idx="3">
                  <c:v>-0.19798626062138247</c:v>
                </c:pt>
                <c:pt idx="4">
                  <c:v>-0.19798626062138247</c:v>
                </c:pt>
                <c:pt idx="5">
                  <c:v>-0.19798626062138247</c:v>
                </c:pt>
                <c:pt idx="6">
                  <c:v>-0.19798626062138247</c:v>
                </c:pt>
                <c:pt idx="7">
                  <c:v>-0.19798626062138247</c:v>
                </c:pt>
                <c:pt idx="8">
                  <c:v>-0.19798626062138247</c:v>
                </c:pt>
                <c:pt idx="9">
                  <c:v>-0.19798626062138247</c:v>
                </c:pt>
                <c:pt idx="10">
                  <c:v>-0.19798626062138247</c:v>
                </c:pt>
                <c:pt idx="11">
                  <c:v>-0.19798626062138247</c:v>
                </c:pt>
                <c:pt idx="12">
                  <c:v>-0.19798626062138247</c:v>
                </c:pt>
                <c:pt idx="13">
                  <c:v>-0.19798626062138247</c:v>
                </c:pt>
                <c:pt idx="14">
                  <c:v>-0.19798626062138247</c:v>
                </c:pt>
                <c:pt idx="15">
                  <c:v>-0.19798626062138247</c:v>
                </c:pt>
                <c:pt idx="16">
                  <c:v>-0.19798626062138247</c:v>
                </c:pt>
                <c:pt idx="17">
                  <c:v>-0.19798626062138247</c:v>
                </c:pt>
                <c:pt idx="18">
                  <c:v>-0.19798626062138247</c:v>
                </c:pt>
                <c:pt idx="19">
                  <c:v>-0.19798626062138247</c:v>
                </c:pt>
                <c:pt idx="20">
                  <c:v>-0.19798626062138247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72-2D45-94AB-EC6EDF338D7F}"/>
            </c:ext>
          </c:extLst>
        </c:ser>
        <c:ser>
          <c:idx val="2"/>
          <c:order val="2"/>
          <c:spPr>
            <a:ln w="12700">
              <a:solidFill>
                <a:srgbClr val="000000"/>
              </a:solidFill>
              <a:prstDash val="sysDash"/>
            </a:ln>
            <a:effectLst/>
          </c:spPr>
          <c:marker>
            <c:symbol val="none"/>
          </c:marker>
          <c:cat>
            <c:numRef>
              <c:f>[3]ARIMA1!$B$224:$B$244</c:f>
              <c:numCache>
                <c:formatCode>General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</c:numCache>
            </c:numRef>
          </c:cat>
          <c:val>
            <c:numRef>
              <c:f>[3]ARIMA1!$J$224:$J$244</c:f>
              <c:numCache>
                <c:formatCode>General</c:formatCode>
                <c:ptCount val="21"/>
                <c:pt idx="1">
                  <c:v>0.19798626062138247</c:v>
                </c:pt>
                <c:pt idx="2">
                  <c:v>0.19798626062138247</c:v>
                </c:pt>
                <c:pt idx="3">
                  <c:v>0.19798626062138247</c:v>
                </c:pt>
                <c:pt idx="4">
                  <c:v>0.19798626062138247</c:v>
                </c:pt>
                <c:pt idx="5">
                  <c:v>0.19798626062138247</c:v>
                </c:pt>
                <c:pt idx="6">
                  <c:v>0.19798626062138247</c:v>
                </c:pt>
                <c:pt idx="7">
                  <c:v>0.19798626062138247</c:v>
                </c:pt>
                <c:pt idx="8">
                  <c:v>0.19798626062138247</c:v>
                </c:pt>
                <c:pt idx="9">
                  <c:v>0.19798626062138247</c:v>
                </c:pt>
                <c:pt idx="10">
                  <c:v>0.19798626062138247</c:v>
                </c:pt>
                <c:pt idx="11">
                  <c:v>0.19798626062138247</c:v>
                </c:pt>
                <c:pt idx="12">
                  <c:v>0.19798626062138247</c:v>
                </c:pt>
                <c:pt idx="13">
                  <c:v>0.19798626062138247</c:v>
                </c:pt>
                <c:pt idx="14">
                  <c:v>0.19798626062138247</c:v>
                </c:pt>
                <c:pt idx="15">
                  <c:v>0.19798626062138247</c:v>
                </c:pt>
                <c:pt idx="16">
                  <c:v>0.19798626062138247</c:v>
                </c:pt>
                <c:pt idx="17">
                  <c:v>0.19798626062138247</c:v>
                </c:pt>
                <c:pt idx="18">
                  <c:v>0.19798626062138247</c:v>
                </c:pt>
                <c:pt idx="19">
                  <c:v>0.19798626062138247</c:v>
                </c:pt>
                <c:pt idx="20">
                  <c:v>0.19798626062138247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72-2D45-94AB-EC6EDF338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4273896"/>
        <c:axId val="764272584"/>
      </c:lineChart>
      <c:catAx>
        <c:axId val="764273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Lag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72584"/>
        <c:crosses val="autoZero"/>
        <c:auto val="1"/>
        <c:lblAlgn val="ctr"/>
        <c:lblOffset val="100"/>
        <c:noMultiLvlLbl val="0"/>
      </c:catAx>
      <c:valAx>
        <c:axId val="764272584"/>
        <c:scaling>
          <c:orientation val="minMax"/>
          <c:max val="1"/>
          <c:min val="-1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Partial autocorrelation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764273896"/>
        <c:crosses val="autoZero"/>
        <c:crossBetween val="between"/>
      </c:valAx>
      <c:spPr>
        <a:ln>
          <a:solidFill>
            <a:srgbClr val="80808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Exponential / Simple / Var1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Var1</c:v>
          </c:tx>
          <c:spPr>
            <a:ln w="6350">
              <a:solidFill>
                <a:srgbClr val="003CE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003CE6"/>
              </a:solidFill>
              <a:ln w="3175">
                <a:solidFill>
                  <a:srgbClr val="003CE6"/>
                </a:solidFill>
                <a:prstDash val="solid"/>
              </a:ln>
            </c:spPr>
          </c:marker>
          <c:xVal>
            <c:numRef>
              <c:f>'[3]Exponential-Piped Gas'!$B$46:$B$143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xVal>
          <c:yVal>
            <c:numRef>
              <c:f>'[3]Exponential-Piped Gas'!$C$46:$C$143</c:f>
              <c:numCache>
                <c:formatCode>General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>
                  <c:v>344</c:v>
                </c:pt>
                <c:pt idx="31">
                  <c:v>343</c:v>
                </c:pt>
                <c:pt idx="32">
                  <c:v>345.6</c:v>
                </c:pt>
                <c:pt idx="33">
                  <c:v>344.9</c:v>
                </c:pt>
                <c:pt idx="34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>
                  <c:v>422</c:v>
                </c:pt>
                <c:pt idx="89">
                  <c:v>435.5</c:v>
                </c:pt>
                <c:pt idx="90">
                  <c:v>442</c:v>
                </c:pt>
                <c:pt idx="91">
                  <c:v>441.2</c:v>
                </c:pt>
                <c:pt idx="92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36-FB4B-B89E-D6EAD1785883}"/>
            </c:ext>
          </c:extLst>
        </c:ser>
        <c:ser>
          <c:idx val="1"/>
          <c:order val="1"/>
          <c:tx>
            <c:v>Exponential(Var1)</c:v>
          </c:tx>
          <c:spPr>
            <a:ln w="6350">
              <a:solidFill>
                <a:srgbClr val="FF0000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FF0000"/>
              </a:solidFill>
              <a:ln w="3175">
                <a:solidFill>
                  <a:srgbClr val="FF0000"/>
                </a:solidFill>
                <a:prstDash val="solid"/>
              </a:ln>
            </c:spPr>
          </c:marker>
          <c:xVal>
            <c:numRef>
              <c:f>'[3]Exponential-Piped Gas'!$B$46:$B$144</c:f>
              <c:numCache>
                <c:formatCode>General</c:formatCode>
                <c:ptCount val="9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</c:numCache>
            </c:numRef>
          </c:xVal>
          <c:yVal>
            <c:numRef>
              <c:f>'[3]Exponential-Piped Gas'!$D$46:$D$144</c:f>
              <c:numCache>
                <c:formatCode>General</c:formatCode>
                <c:ptCount val="99"/>
                <c:pt idx="1">
                  <c:v>257.39999999999998</c:v>
                </c:pt>
                <c:pt idx="2">
                  <c:v>259.32829793659795</c:v>
                </c:pt>
                <c:pt idx="3">
                  <c:v>262.65813484687624</c:v>
                </c:pt>
                <c:pt idx="4">
                  <c:v>264.87304924841476</c:v>
                </c:pt>
                <c:pt idx="5">
                  <c:v>269.0875965360936</c:v>
                </c:pt>
                <c:pt idx="6">
                  <c:v>265.49291673021798</c:v>
                </c:pt>
                <c:pt idx="7">
                  <c:v>271.87062237050043</c:v>
                </c:pt>
                <c:pt idx="8">
                  <c:v>275.41649200356898</c:v>
                </c:pt>
                <c:pt idx="9">
                  <c:v>283.28353509381617</c:v>
                </c:pt>
                <c:pt idx="10">
                  <c:v>281.28520213589678</c:v>
                </c:pt>
                <c:pt idx="11">
                  <c:v>289.01080026960011</c:v>
                </c:pt>
                <c:pt idx="12">
                  <c:v>294.11592691119273</c:v>
                </c:pt>
                <c:pt idx="13">
                  <c:v>298.04300885554977</c:v>
                </c:pt>
                <c:pt idx="14">
                  <c:v>297.58775544002322</c:v>
                </c:pt>
                <c:pt idx="15">
                  <c:v>306.56879851886498</c:v>
                </c:pt>
                <c:pt idx="16">
                  <c:v>312.4636903918551</c:v>
                </c:pt>
                <c:pt idx="17">
                  <c:v>312.24261489684864</c:v>
                </c:pt>
                <c:pt idx="18">
                  <c:v>310.78162328385815</c:v>
                </c:pt>
                <c:pt idx="19">
                  <c:v>318.92941709638774</c:v>
                </c:pt>
                <c:pt idx="20">
                  <c:v>322.42599379527746</c:v>
                </c:pt>
                <c:pt idx="21">
                  <c:v>324.50017686471097</c:v>
                </c:pt>
                <c:pt idx="22">
                  <c:v>319.63736422117813</c:v>
                </c:pt>
                <c:pt idx="23">
                  <c:v>329.91824042533233</c:v>
                </c:pt>
                <c:pt idx="24">
                  <c:v>331.0766943978133</c:v>
                </c:pt>
                <c:pt idx="25">
                  <c:v>337.88719588957474</c:v>
                </c:pt>
                <c:pt idx="26">
                  <c:v>335.55043759272201</c:v>
                </c:pt>
                <c:pt idx="27">
                  <c:v>341.96375733438788</c:v>
                </c:pt>
                <c:pt idx="28">
                  <c:v>345.01234830354849</c:v>
                </c:pt>
                <c:pt idx="29">
                  <c:v>327.47963609348301</c:v>
                </c:pt>
                <c:pt idx="30">
                  <c:v>341.24631167571101</c:v>
                </c:pt>
                <c:pt idx="31">
                  <c:v>343.55497755125901</c:v>
                </c:pt>
                <c:pt idx="32">
                  <c:v>343.08968969606298</c:v>
                </c:pt>
                <c:pt idx="33">
                  <c:v>345.19430977402055</c:v>
                </c:pt>
                <c:pt idx="34">
                  <c:v>344.94756328273166</c:v>
                </c:pt>
                <c:pt idx="35">
                  <c:v>347.50669694512487</c:v>
                </c:pt>
                <c:pt idx="36">
                  <c:v>349.9324144715024</c:v>
                </c:pt>
                <c:pt idx="37">
                  <c:v>347.30622822716862</c:v>
                </c:pt>
                <c:pt idx="38">
                  <c:v>344.36664011599873</c:v>
                </c:pt>
                <c:pt idx="39">
                  <c:v>342.46631078613331</c:v>
                </c:pt>
                <c:pt idx="40">
                  <c:v>339.05715483027808</c:v>
                </c:pt>
                <c:pt idx="41">
                  <c:v>338.59004156523861</c:v>
                </c:pt>
                <c:pt idx="42">
                  <c:v>336.16705844048556</c:v>
                </c:pt>
                <c:pt idx="43">
                  <c:v>335.77548112437296</c:v>
                </c:pt>
                <c:pt idx="44">
                  <c:v>334.87380806655625</c:v>
                </c:pt>
                <c:pt idx="45">
                  <c:v>339.17155820910614</c:v>
                </c:pt>
                <c:pt idx="46">
                  <c:v>339.94995490025048</c:v>
                </c:pt>
                <c:pt idx="47">
                  <c:v>346.02832316376754</c:v>
                </c:pt>
                <c:pt idx="48">
                  <c:v>346.59145058001434</c:v>
                </c:pt>
                <c:pt idx="49">
                  <c:v>347.85620394254238</c:v>
                </c:pt>
                <c:pt idx="50">
                  <c:v>347.47372693338048</c:v>
                </c:pt>
                <c:pt idx="51">
                  <c:v>351.18467181215505</c:v>
                </c:pt>
                <c:pt idx="52">
                  <c:v>350.8621666549177</c:v>
                </c:pt>
                <c:pt idx="53">
                  <c:v>356.51110149685826</c:v>
                </c:pt>
                <c:pt idx="54">
                  <c:v>353.3159105609638</c:v>
                </c:pt>
                <c:pt idx="55">
                  <c:v>357.0753281317526</c:v>
                </c:pt>
                <c:pt idx="56">
                  <c:v>357.76672511519251</c:v>
                </c:pt>
                <c:pt idx="57">
                  <c:v>361.56737929189063</c:v>
                </c:pt>
                <c:pt idx="58">
                  <c:v>363.43918707652244</c:v>
                </c:pt>
                <c:pt idx="59">
                  <c:v>365.58614806624212</c:v>
                </c:pt>
                <c:pt idx="60">
                  <c:v>363.7533024987498</c:v>
                </c:pt>
                <c:pt idx="61">
                  <c:v>357.08532997810687</c:v>
                </c:pt>
                <c:pt idx="62">
                  <c:v>362.37948874919971</c:v>
                </c:pt>
                <c:pt idx="63">
                  <c:v>369.43916460572939</c:v>
                </c:pt>
                <c:pt idx="64">
                  <c:v>371.08311019041645</c:v>
                </c:pt>
                <c:pt idx="65">
                  <c:v>375.03770535866863</c:v>
                </c:pt>
                <c:pt idx="66">
                  <c:v>377.52126476930971</c:v>
                </c:pt>
                <c:pt idx="67">
                  <c:v>385.21662833710064</c:v>
                </c:pt>
                <c:pt idx="68">
                  <c:v>393.16739616734435</c:v>
                </c:pt>
                <c:pt idx="69">
                  <c:v>395.12302884447934</c:v>
                </c:pt>
                <c:pt idx="70">
                  <c:v>396.69666345588996</c:v>
                </c:pt>
                <c:pt idx="71">
                  <c:v>400.72373473710434</c:v>
                </c:pt>
                <c:pt idx="72">
                  <c:v>404.64427067511582</c:v>
                </c:pt>
                <c:pt idx="73">
                  <c:v>407.29000386887054</c:v>
                </c:pt>
                <c:pt idx="74">
                  <c:v>406.3761550813806</c:v>
                </c:pt>
                <c:pt idx="75">
                  <c:v>413.94166009736051</c:v>
                </c:pt>
                <c:pt idx="76">
                  <c:v>412.22995185693674</c:v>
                </c:pt>
                <c:pt idx="77">
                  <c:v>407.59369326771184</c:v>
                </c:pt>
                <c:pt idx="78">
                  <c:v>414.89297731434675</c:v>
                </c:pt>
                <c:pt idx="79">
                  <c:v>417.91707053261075</c:v>
                </c:pt>
                <c:pt idx="80">
                  <c:v>420.66944710563831</c:v>
                </c:pt>
                <c:pt idx="81">
                  <c:v>419.35363770763746</c:v>
                </c:pt>
                <c:pt idx="82">
                  <c:v>414.36216496551168</c:v>
                </c:pt>
                <c:pt idx="83">
                  <c:v>417.24441288001952</c:v>
                </c:pt>
                <c:pt idx="84">
                  <c:v>416.11727001807282</c:v>
                </c:pt>
                <c:pt idx="85">
                  <c:v>421.55232864749541</c:v>
                </c:pt>
                <c:pt idx="86">
                  <c:v>420.16703215986621</c:v>
                </c:pt>
                <c:pt idx="87">
                  <c:v>423.04519946531718</c:v>
                </c:pt>
                <c:pt idx="88">
                  <c:v>428.28916423264798</c:v>
                </c:pt>
                <c:pt idx="89">
                  <c:v>423.01638927058673</c:v>
                </c:pt>
                <c:pt idx="90">
                  <c:v>433.48252875355189</c:v>
                </c:pt>
                <c:pt idx="91">
                  <c:v>440.62349494031645</c:v>
                </c:pt>
                <c:pt idx="92">
                  <c:v>441.10683125206691</c:v>
                </c:pt>
                <c:pt idx="93">
                  <c:v>442.69404576957612</c:v>
                </c:pt>
                <c:pt idx="94">
                  <c:v>439.09395898821487</c:v>
                </c:pt>
                <c:pt idx="95">
                  <c:v>440.60812644753508</c:v>
                </c:pt>
                <c:pt idx="96">
                  <c:v>434.81641950208302</c:v>
                </c:pt>
                <c:pt idx="97">
                  <c:v>438.91076654440621</c:v>
                </c:pt>
                <c:pt idx="98">
                  <c:v>440.91387695417683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36-FB4B-B89E-D6EAD1785883}"/>
            </c:ext>
          </c:extLst>
        </c:ser>
        <c:ser>
          <c:idx val="2"/>
          <c:order val="2"/>
          <c:tx>
            <c:v>Lower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'[3]Exponential-Piped Gas'!$B$144</c:f>
              <c:numCache>
                <c:formatCode>General</c:formatCode>
                <c:ptCount val="1"/>
                <c:pt idx="0">
                  <c:v>99</c:v>
                </c:pt>
              </c:numCache>
            </c:numRef>
          </c:xVal>
          <c:yVal>
            <c:numRef>
              <c:f>'[3]Exponential-Piped Gas'!$F$144</c:f>
              <c:numCache>
                <c:formatCode>General</c:formatCode>
                <c:ptCount val="1"/>
                <c:pt idx="0">
                  <c:v>429.60380905221723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36-FB4B-B89E-D6EAD1785883}"/>
            </c:ext>
          </c:extLst>
        </c:ser>
        <c:ser>
          <c:idx val="3"/>
          <c:order val="3"/>
          <c:tx>
            <c:v>Upper bound (95%)</c:v>
          </c:tx>
          <c:spPr>
            <a:ln w="6350">
              <a:solidFill>
                <a:srgbClr val="969696"/>
              </a:solidFill>
              <a:prstDash val="solid"/>
            </a:ln>
            <a:effectLst/>
          </c:spPr>
          <c:marker>
            <c:symbol val="circle"/>
            <c:size val="2"/>
            <c:spPr>
              <a:solidFill>
                <a:srgbClr val="969696"/>
              </a:solidFill>
              <a:ln w="3175">
                <a:solidFill>
                  <a:srgbClr val="969696"/>
                </a:solidFill>
                <a:prstDash val="solid"/>
              </a:ln>
            </c:spPr>
          </c:marker>
          <c:xVal>
            <c:numRef>
              <c:f>'[3]Exponential-Piped Gas'!$B$144</c:f>
              <c:numCache>
                <c:formatCode>General</c:formatCode>
                <c:ptCount val="1"/>
                <c:pt idx="0">
                  <c:v>99</c:v>
                </c:pt>
              </c:numCache>
            </c:numRef>
          </c:xVal>
          <c:yVal>
            <c:numRef>
              <c:f>'[3]Exponential-Piped Gas'!$G$144</c:f>
              <c:numCache>
                <c:formatCode>General</c:formatCode>
                <c:ptCount val="1"/>
                <c:pt idx="0">
                  <c:v>452.22394485613643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36-FB4B-B89E-D6EAD1785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8473872"/>
        <c:axId val="588473544"/>
      </c:scatterChart>
      <c:valAx>
        <c:axId val="588473872"/>
        <c:scaling>
          <c:orientation val="minMax"/>
          <c:max val="100"/>
          <c:min val="0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8473544"/>
        <c:crosses val="autoZero"/>
        <c:crossBetween val="midCat"/>
      </c:valAx>
      <c:valAx>
        <c:axId val="588473544"/>
        <c:scaling>
          <c:orientation val="minMax"/>
          <c:max val="500"/>
          <c:min val="250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Var1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8473872"/>
        <c:crosses val="autoZero"/>
        <c:crossBetween val="midCat"/>
      </c:valAx>
      <c:spPr>
        <a:ln>
          <a:solidFill>
            <a:srgbClr val="C0C0C0"/>
          </a:solidFill>
          <a:prstDash val="solid"/>
        </a:ln>
      </c:spPr>
    </c:plotArea>
    <c:legend>
      <c:legendPos val="b"/>
      <c:overlay val="0"/>
      <c:spPr>
        <a:ln w="6350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>
                <a:latin typeface="Arial"/>
                <a:ea typeface="Arial"/>
                <a:cs typeface="Arial"/>
              </a:defRPr>
            </a:pPr>
            <a:r>
              <a:rPr lang="en-SG"/>
              <a:t>Residuals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Residuals</c:v>
          </c:tx>
          <c:spPr>
            <a:solidFill>
              <a:srgbClr val="003CE6"/>
            </a:solidFill>
            <a:ln>
              <a:solidFill>
                <a:srgbClr val="003CE6"/>
              </a:solidFill>
              <a:prstDash val="solid"/>
            </a:ln>
          </c:spPr>
          <c:invertIfNegative val="0"/>
          <c:cat>
            <c:numRef>
              <c:f>'[3]Exponential-Piped Gas'!$B$46:$B$143</c:f>
              <c:numCache>
                <c:formatCode>General</c:formatCode>
                <c:ptCount val="9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</c:numCache>
            </c:numRef>
          </c:cat>
          <c:val>
            <c:numRef>
              <c:f>'[3]Exponential-Piped Gas'!$E$46:$E$143</c:f>
              <c:numCache>
                <c:formatCode>General</c:formatCode>
                <c:ptCount val="98"/>
                <c:pt idx="1">
                  <c:v>2.3000000000000114</c:v>
                </c:pt>
                <c:pt idx="2">
                  <c:v>3.9717020634020628</c:v>
                </c:pt>
                <c:pt idx="3">
                  <c:v>2.6418651531237742</c:v>
                </c:pt>
                <c:pt idx="4">
                  <c:v>5.0269507515852183</c:v>
                </c:pt>
                <c:pt idx="5">
                  <c:v>-4.2875965360935879</c:v>
                </c:pt>
                <c:pt idx="6">
                  <c:v>7.6070832697820379</c:v>
                </c:pt>
                <c:pt idx="7">
                  <c:v>4.2293776294995951</c:v>
                </c:pt>
                <c:pt idx="8">
                  <c:v>9.3835079964310353</c:v>
                </c:pt>
                <c:pt idx="9">
                  <c:v>-2.3835350938161923</c:v>
                </c:pt>
                <c:pt idx="10">
                  <c:v>9.2147978641032182</c:v>
                </c:pt>
                <c:pt idx="11">
                  <c:v>6.0891997303999119</c:v>
                </c:pt>
                <c:pt idx="12">
                  <c:v>4.6840730888072812</c:v>
                </c:pt>
                <c:pt idx="13">
                  <c:v>-0.54300885554977185</c:v>
                </c:pt>
                <c:pt idx="14">
                  <c:v>10.712244559976796</c:v>
                </c:pt>
                <c:pt idx="15">
                  <c:v>7.0312014811350423</c:v>
                </c:pt>
                <c:pt idx="16">
                  <c:v>-0.26369039185510701</c:v>
                </c:pt>
                <c:pt idx="17">
                  <c:v>-1.7426148968486359</c:v>
                </c:pt>
                <c:pt idx="18">
                  <c:v>9.7183767161418473</c:v>
                </c:pt>
                <c:pt idx="19">
                  <c:v>4.170582903612285</c:v>
                </c:pt>
                <c:pt idx="20">
                  <c:v>2.4740062047225138</c:v>
                </c:pt>
                <c:pt idx="21">
                  <c:v>-5.800176864710977</c:v>
                </c:pt>
                <c:pt idx="22">
                  <c:v>12.262635778821846</c:v>
                </c:pt>
                <c:pt idx="23">
                  <c:v>1.381759574667683</c:v>
                </c:pt>
                <c:pt idx="24">
                  <c:v>8.1233056021866901</c:v>
                </c:pt>
                <c:pt idx="25">
                  <c:v>-2.7871958895747184</c:v>
                </c:pt>
                <c:pt idx="26">
                  <c:v>7.6495624072779833</c:v>
                </c:pt>
                <c:pt idx="27">
                  <c:v>3.6362426656121443</c:v>
                </c:pt>
                <c:pt idx="28">
                  <c:v>-20.91234830354847</c:v>
                </c:pt>
                <c:pt idx="29">
                  <c:v>16.420363906516968</c:v>
                </c:pt>
                <c:pt idx="30">
                  <c:v>2.7536883242889871</c:v>
                </c:pt>
                <c:pt idx="31">
                  <c:v>-0.55497755125901449</c:v>
                </c:pt>
                <c:pt idx="32">
                  <c:v>2.5103103039370467</c:v>
                </c:pt>
                <c:pt idx="33">
                  <c:v>-0.29430977402057579</c:v>
                </c:pt>
                <c:pt idx="34">
                  <c:v>3.0524367172683355</c:v>
                </c:pt>
                <c:pt idx="35">
                  <c:v>2.8933030548751049</c:v>
                </c:pt>
                <c:pt idx="36">
                  <c:v>-3.1324144715023863</c:v>
                </c:pt>
                <c:pt idx="37">
                  <c:v>-3.5062282271686058</c:v>
                </c:pt>
                <c:pt idx="38">
                  <c:v>-2.2666401159987117</c:v>
                </c:pt>
                <c:pt idx="39">
                  <c:v>-4.0663107861333287</c:v>
                </c:pt>
                <c:pt idx="40">
                  <c:v>-0.55715483027807977</c:v>
                </c:pt>
                <c:pt idx="41">
                  <c:v>-2.8900415652386187</c:v>
                </c:pt>
                <c:pt idx="42">
                  <c:v>-0.4670584404855731</c:v>
                </c:pt>
                <c:pt idx="43">
                  <c:v>-1.0754811243729705</c:v>
                </c:pt>
                <c:pt idx="44">
                  <c:v>5.1261919334437493</c:v>
                </c:pt>
                <c:pt idx="45">
                  <c:v>0.9284417908938849</c:v>
                </c:pt>
                <c:pt idx="46">
                  <c:v>7.2500450997495136</c:v>
                </c:pt>
                <c:pt idx="47">
                  <c:v>0.67167683623245011</c:v>
                </c:pt>
                <c:pt idx="48">
                  <c:v>1.5085494199856839</c:v>
                </c:pt>
                <c:pt idx="49">
                  <c:v>-0.45620394254240182</c:v>
                </c:pt>
                <c:pt idx="50">
                  <c:v>4.4262730666195012</c:v>
                </c:pt>
                <c:pt idx="51">
                  <c:v>-0.38467181215503388</c:v>
                </c:pt>
                <c:pt idx="52">
                  <c:v>6.737833345082322</c:v>
                </c:pt>
                <c:pt idx="53">
                  <c:v>-3.8111014968582708</c:v>
                </c:pt>
                <c:pt idx="54">
                  <c:v>4.4840894390362109</c:v>
                </c:pt>
                <c:pt idx="55">
                  <c:v>0.82467186824737837</c:v>
                </c:pt>
                <c:pt idx="56">
                  <c:v>4.5332748848074971</c:v>
                </c:pt>
                <c:pt idx="57">
                  <c:v>2.2326207081093798</c:v>
                </c:pt>
                <c:pt idx="58">
                  <c:v>2.5608129234775561</c:v>
                </c:pt>
                <c:pt idx="59">
                  <c:v>-2.18614806624214</c:v>
                </c:pt>
                <c:pt idx="60">
                  <c:v>-7.9533024987497924</c:v>
                </c:pt>
                <c:pt idx="61">
                  <c:v>6.3146700218931073</c:v>
                </c:pt>
                <c:pt idx="62">
                  <c:v>8.4205112508003026</c:v>
                </c:pt>
                <c:pt idx="63">
                  <c:v>1.9608353942705889</c:v>
                </c:pt>
                <c:pt idx="64">
                  <c:v>4.716889809583563</c:v>
                </c:pt>
                <c:pt idx="65">
                  <c:v>2.9622946413313684</c:v>
                </c:pt>
                <c:pt idx="66">
                  <c:v>9.178735230690279</c:v>
                </c:pt>
                <c:pt idx="67">
                  <c:v>9.4833716628993443</c:v>
                </c:pt>
                <c:pt idx="68">
                  <c:v>2.33260383265565</c:v>
                </c:pt>
                <c:pt idx="69">
                  <c:v>1.8769711555206641</c:v>
                </c:pt>
                <c:pt idx="70">
                  <c:v>4.8033365441100386</c:v>
                </c:pt>
                <c:pt idx="71">
                  <c:v>4.6762652628956403</c:v>
                </c:pt>
                <c:pt idx="72">
                  <c:v>3.1557293248841916</c:v>
                </c:pt>
                <c:pt idx="73">
                  <c:v>-1.0900038688705536</c:v>
                </c:pt>
                <c:pt idx="74">
                  <c:v>9.0238449186193748</c:v>
                </c:pt>
                <c:pt idx="75">
                  <c:v>-2.0416600973605341</c:v>
                </c:pt>
                <c:pt idx="76">
                  <c:v>-5.5299518569367478</c:v>
                </c:pt>
                <c:pt idx="77">
                  <c:v>8.7063067322881693</c:v>
                </c:pt>
                <c:pt idx="78">
                  <c:v>3.6070226856532486</c:v>
                </c:pt>
                <c:pt idx="79">
                  <c:v>3.2829294673892377</c:v>
                </c:pt>
                <c:pt idx="80">
                  <c:v>-1.5694471056382895</c:v>
                </c:pt>
                <c:pt idx="81">
                  <c:v>-5.9536377076374833</c:v>
                </c:pt>
                <c:pt idx="82">
                  <c:v>3.4378350344883302</c:v>
                </c:pt>
                <c:pt idx="83">
                  <c:v>-1.3444128800195472</c:v>
                </c:pt>
                <c:pt idx="84">
                  <c:v>6.4827299819272071</c:v>
                </c:pt>
                <c:pt idx="85">
                  <c:v>-1.6523286474954375</c:v>
                </c:pt>
                <c:pt idx="86">
                  <c:v>3.4329678401338128</c:v>
                </c:pt>
                <c:pt idx="87">
                  <c:v>6.254800534682829</c:v>
                </c:pt>
                <c:pt idx="88">
                  <c:v>-6.2891642326479769</c:v>
                </c:pt>
                <c:pt idx="89">
                  <c:v>12.483610729413272</c:v>
                </c:pt>
                <c:pt idx="90">
                  <c:v>8.5174712464481104</c:v>
                </c:pt>
                <c:pt idx="91">
                  <c:v>0.57650505968354082</c:v>
                </c:pt>
                <c:pt idx="92">
                  <c:v>1.893168747933089</c:v>
                </c:pt>
                <c:pt idx="93">
                  <c:v>-4.2940457695761438</c:v>
                </c:pt>
                <c:pt idx="94">
                  <c:v>1.806041011785112</c:v>
                </c:pt>
                <c:pt idx="95">
                  <c:v>-6.9081264475350963</c:v>
                </c:pt>
                <c:pt idx="96">
                  <c:v>4.8835804979169666</c:v>
                </c:pt>
                <c:pt idx="97">
                  <c:v>2.3892334555937964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27-CC42-8B1B-47C3DAF4A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588478464"/>
        <c:axId val="588478136"/>
      </c:barChart>
      <c:catAx>
        <c:axId val="588478464"/>
        <c:scaling>
          <c:orientation val="minMax"/>
        </c:scaling>
        <c:delete val="0"/>
        <c:axPos val="b"/>
        <c:numFmt formatCode="General" sourceLinked="0"/>
        <c:majorTickMark val="cross"/>
        <c:minorTickMark val="none"/>
        <c:tickLblPos val="nextTo"/>
        <c:txPr>
          <a:bodyPr rot="0" vert="horz"/>
          <a:lstStyle/>
          <a:p>
            <a:pPr>
              <a:defRPr sz="700"/>
            </a:pPr>
            <a:endParaRPr lang="en-US"/>
          </a:p>
        </c:txPr>
        <c:crossAx val="588478136"/>
        <c:crosses val="autoZero"/>
        <c:auto val="1"/>
        <c:lblAlgn val="ctr"/>
        <c:lblOffset val="100"/>
        <c:noMultiLvlLbl val="0"/>
      </c:catAx>
      <c:valAx>
        <c:axId val="58847813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>
                    <a:latin typeface="Arial"/>
                    <a:ea typeface="Arial"/>
                    <a:cs typeface="Arial"/>
                  </a:defRPr>
                </a:pPr>
                <a:r>
                  <a:rPr lang="en-SG"/>
                  <a:t>Residual</a:t>
                </a:r>
              </a:p>
            </c:rich>
          </c:tx>
          <c:overlay val="0"/>
        </c:title>
        <c:numFmt formatCode="General" sourceLinked="0"/>
        <c:majorTickMark val="cross"/>
        <c:minorTickMark val="none"/>
        <c:tickLblPos val="nextTo"/>
        <c:txPr>
          <a:bodyPr/>
          <a:lstStyle/>
          <a:p>
            <a:pPr>
              <a:defRPr sz="700"/>
            </a:pPr>
            <a:endParaRPr lang="en-US"/>
          </a:p>
        </c:txPr>
        <c:crossAx val="588478464"/>
        <c:crosses val="autoZero"/>
        <c:crossBetween val="between"/>
      </c:valAx>
      <c:spPr>
        <a:ln>
          <a:solidFill>
            <a:srgbClr val="C0C0C0"/>
          </a:solidFill>
          <a:prstDash val="solid"/>
        </a:ln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 b="1" i="0" cap="all" baseline="0">
                <a:effectLst/>
              </a:rPr>
              <a:t>Comparison of Predicted to actual values</a:t>
            </a:r>
            <a:endParaRPr lang="en-IN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'Decomposition(Piped Gas)'!$D$1</c:f>
              <c:strCache>
                <c:ptCount val="1"/>
                <c:pt idx="0">
                  <c:v>Total Piped Gas Sales (Town Gas) (Million Kilowatt Hours)</c:v>
                </c:pt>
              </c:strCache>
            </c:strRef>
          </c:tx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'Decomposition(Piped Gas)'!$B$2:$C$99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'Decomposition(Piped Gas)'!$D$2:$D$99</c:f>
              <c:numCache>
                <c:formatCode>#,##0.0</c:formatCode>
                <c:ptCount val="98"/>
                <c:pt idx="0">
                  <c:v>257.39999999999998</c:v>
                </c:pt>
                <c:pt idx="1">
                  <c:v>259.7</c:v>
                </c:pt>
                <c:pt idx="2">
                  <c:v>263.3</c:v>
                </c:pt>
                <c:pt idx="3">
                  <c:v>265.3</c:v>
                </c:pt>
                <c:pt idx="4">
                  <c:v>269.89999999999998</c:v>
                </c:pt>
                <c:pt idx="5">
                  <c:v>264.8</c:v>
                </c:pt>
                <c:pt idx="6">
                  <c:v>273.10000000000002</c:v>
                </c:pt>
                <c:pt idx="7">
                  <c:v>276.10000000000002</c:v>
                </c:pt>
                <c:pt idx="8">
                  <c:v>284.8</c:v>
                </c:pt>
                <c:pt idx="9">
                  <c:v>280.89999999999998</c:v>
                </c:pt>
                <c:pt idx="10">
                  <c:v>290.5</c:v>
                </c:pt>
                <c:pt idx="11">
                  <c:v>295.10000000000002</c:v>
                </c:pt>
                <c:pt idx="12">
                  <c:v>298.8</c:v>
                </c:pt>
                <c:pt idx="13">
                  <c:v>297.5</c:v>
                </c:pt>
                <c:pt idx="14">
                  <c:v>308.3</c:v>
                </c:pt>
                <c:pt idx="15">
                  <c:v>313.60000000000002</c:v>
                </c:pt>
                <c:pt idx="16">
                  <c:v>312.2</c:v>
                </c:pt>
                <c:pt idx="17">
                  <c:v>310.5</c:v>
                </c:pt>
                <c:pt idx="18">
                  <c:v>320.5</c:v>
                </c:pt>
                <c:pt idx="19">
                  <c:v>323.10000000000002</c:v>
                </c:pt>
                <c:pt idx="20">
                  <c:v>324.89999999999998</c:v>
                </c:pt>
                <c:pt idx="21">
                  <c:v>318.7</c:v>
                </c:pt>
                <c:pt idx="22">
                  <c:v>331.9</c:v>
                </c:pt>
                <c:pt idx="23">
                  <c:v>331.3</c:v>
                </c:pt>
                <c:pt idx="24">
                  <c:v>339.2</c:v>
                </c:pt>
                <c:pt idx="25">
                  <c:v>335.1</c:v>
                </c:pt>
                <c:pt idx="26">
                  <c:v>343.2</c:v>
                </c:pt>
                <c:pt idx="27">
                  <c:v>345.6</c:v>
                </c:pt>
                <c:pt idx="28">
                  <c:v>324.10000000000002</c:v>
                </c:pt>
                <c:pt idx="29">
                  <c:v>343.9</c:v>
                </c:pt>
                <c:pt idx="30" formatCode="#,##0">
                  <c:v>344</c:v>
                </c:pt>
                <c:pt idx="31" formatCode="#,##0">
                  <c:v>343</c:v>
                </c:pt>
                <c:pt idx="32">
                  <c:v>345.6</c:v>
                </c:pt>
                <c:pt idx="33">
                  <c:v>344.9</c:v>
                </c:pt>
                <c:pt idx="34" formatCode="#,##0">
                  <c:v>348</c:v>
                </c:pt>
                <c:pt idx="35">
                  <c:v>350.4</c:v>
                </c:pt>
                <c:pt idx="36">
                  <c:v>346.8</c:v>
                </c:pt>
                <c:pt idx="37">
                  <c:v>343.8</c:v>
                </c:pt>
                <c:pt idx="38">
                  <c:v>342.1</c:v>
                </c:pt>
                <c:pt idx="39">
                  <c:v>338.4</c:v>
                </c:pt>
                <c:pt idx="40">
                  <c:v>338.5</c:v>
                </c:pt>
                <c:pt idx="41">
                  <c:v>335.7</c:v>
                </c:pt>
                <c:pt idx="42">
                  <c:v>335.7</c:v>
                </c:pt>
                <c:pt idx="43">
                  <c:v>334.7</c:v>
                </c:pt>
                <c:pt idx="44" formatCode="#,##0">
                  <c:v>340</c:v>
                </c:pt>
                <c:pt idx="45">
                  <c:v>340.1</c:v>
                </c:pt>
                <c:pt idx="46">
                  <c:v>347.2</c:v>
                </c:pt>
                <c:pt idx="47">
                  <c:v>346.7</c:v>
                </c:pt>
                <c:pt idx="48">
                  <c:v>348.1</c:v>
                </c:pt>
                <c:pt idx="49">
                  <c:v>347.4</c:v>
                </c:pt>
                <c:pt idx="50">
                  <c:v>351.9</c:v>
                </c:pt>
                <c:pt idx="51">
                  <c:v>350.8</c:v>
                </c:pt>
                <c:pt idx="52">
                  <c:v>357.6</c:v>
                </c:pt>
                <c:pt idx="53">
                  <c:v>352.7</c:v>
                </c:pt>
                <c:pt idx="54">
                  <c:v>357.8</c:v>
                </c:pt>
                <c:pt idx="55">
                  <c:v>357.9</c:v>
                </c:pt>
                <c:pt idx="56">
                  <c:v>362.3</c:v>
                </c:pt>
                <c:pt idx="57">
                  <c:v>363.8</c:v>
                </c:pt>
                <c:pt idx="58" formatCode="#,##0">
                  <c:v>366</c:v>
                </c:pt>
                <c:pt idx="59">
                  <c:v>363.4</c:v>
                </c:pt>
                <c:pt idx="60">
                  <c:v>355.8</c:v>
                </c:pt>
                <c:pt idx="61">
                  <c:v>363.4</c:v>
                </c:pt>
                <c:pt idx="62">
                  <c:v>370.8</c:v>
                </c:pt>
                <c:pt idx="63">
                  <c:v>371.4</c:v>
                </c:pt>
                <c:pt idx="64">
                  <c:v>375.8</c:v>
                </c:pt>
                <c:pt idx="65" formatCode="#,##0">
                  <c:v>378</c:v>
                </c:pt>
                <c:pt idx="66">
                  <c:v>386.7</c:v>
                </c:pt>
                <c:pt idx="67">
                  <c:v>394.7</c:v>
                </c:pt>
                <c:pt idx="68">
                  <c:v>395.5</c:v>
                </c:pt>
                <c:pt idx="69" formatCode="#,##0">
                  <c:v>397</c:v>
                </c:pt>
                <c:pt idx="70">
                  <c:v>401.5</c:v>
                </c:pt>
                <c:pt idx="71">
                  <c:v>405.4</c:v>
                </c:pt>
                <c:pt idx="72">
                  <c:v>407.8</c:v>
                </c:pt>
                <c:pt idx="73">
                  <c:v>406.2</c:v>
                </c:pt>
                <c:pt idx="74">
                  <c:v>415.4</c:v>
                </c:pt>
                <c:pt idx="75">
                  <c:v>411.9</c:v>
                </c:pt>
                <c:pt idx="76">
                  <c:v>406.7</c:v>
                </c:pt>
                <c:pt idx="77">
                  <c:v>416.3</c:v>
                </c:pt>
                <c:pt idx="78">
                  <c:v>418.5</c:v>
                </c:pt>
                <c:pt idx="79">
                  <c:v>421.2</c:v>
                </c:pt>
                <c:pt idx="80">
                  <c:v>419.1</c:v>
                </c:pt>
                <c:pt idx="81">
                  <c:v>413.4</c:v>
                </c:pt>
                <c:pt idx="82">
                  <c:v>417.8</c:v>
                </c:pt>
                <c:pt idx="83">
                  <c:v>415.9</c:v>
                </c:pt>
                <c:pt idx="84">
                  <c:v>422.6</c:v>
                </c:pt>
                <c:pt idx="85">
                  <c:v>419.9</c:v>
                </c:pt>
                <c:pt idx="86">
                  <c:v>423.6</c:v>
                </c:pt>
                <c:pt idx="87">
                  <c:v>429.3</c:v>
                </c:pt>
                <c:pt idx="88" formatCode="#,##0">
                  <c:v>422</c:v>
                </c:pt>
                <c:pt idx="89">
                  <c:v>435.5</c:v>
                </c:pt>
                <c:pt idx="90" formatCode="#,##0">
                  <c:v>442</c:v>
                </c:pt>
                <c:pt idx="91">
                  <c:v>441.2</c:v>
                </c:pt>
                <c:pt idx="92" formatCode="#,##0">
                  <c:v>443</c:v>
                </c:pt>
                <c:pt idx="93">
                  <c:v>438.4</c:v>
                </c:pt>
                <c:pt idx="94">
                  <c:v>440.9</c:v>
                </c:pt>
                <c:pt idx="95">
                  <c:v>433.7</c:v>
                </c:pt>
                <c:pt idx="96">
                  <c:v>439.7</c:v>
                </c:pt>
                <c:pt idx="97">
                  <c:v>441.3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CE-BC40-8710-B037970DA1D4}"/>
            </c:ext>
          </c:extLst>
        </c:ser>
        <c:ser>
          <c:idx val="1"/>
          <c:order val="1"/>
          <c:tx>
            <c:strRef>
              <c:f>'Decomposition(Piped Gas)'!$E$1</c:f>
              <c:strCache>
                <c:ptCount val="1"/>
                <c:pt idx="0">
                  <c:v>LT Forecast</c:v>
                </c:pt>
              </c:strCache>
            </c:strRef>
          </c:tx>
          <c:spPr>
            <a:ln w="381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'Decomposition(Piped Gas)'!$B$2:$C$99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'Decomposition(Piped Gas)'!$E$2:$E$99</c:f>
              <c:numCache>
                <c:formatCode>General</c:formatCode>
                <c:ptCount val="98"/>
                <c:pt idx="0">
                  <c:v>275.02492269635133</c:v>
                </c:pt>
                <c:pt idx="1">
                  <c:v>276.75760891048083</c:v>
                </c:pt>
                <c:pt idx="2">
                  <c:v>278.49029512461038</c:v>
                </c:pt>
                <c:pt idx="3">
                  <c:v>280.22298133873988</c:v>
                </c:pt>
                <c:pt idx="4">
                  <c:v>281.95566755286939</c:v>
                </c:pt>
                <c:pt idx="5">
                  <c:v>283.68835376699889</c:v>
                </c:pt>
                <c:pt idx="6">
                  <c:v>285.42103998112844</c:v>
                </c:pt>
                <c:pt idx="7">
                  <c:v>287.15372619525795</c:v>
                </c:pt>
                <c:pt idx="8">
                  <c:v>288.88641240938745</c:v>
                </c:pt>
                <c:pt idx="9">
                  <c:v>290.61909862351695</c:v>
                </c:pt>
                <c:pt idx="10">
                  <c:v>292.35178483764645</c:v>
                </c:pt>
                <c:pt idx="11">
                  <c:v>294.08447105177601</c:v>
                </c:pt>
                <c:pt idx="12">
                  <c:v>295.81715726590551</c:v>
                </c:pt>
                <c:pt idx="13">
                  <c:v>297.54984348003501</c:v>
                </c:pt>
                <c:pt idx="14">
                  <c:v>299.28252969416451</c:v>
                </c:pt>
                <c:pt idx="15">
                  <c:v>301.01521590829407</c:v>
                </c:pt>
                <c:pt idx="16">
                  <c:v>302.74790212242357</c:v>
                </c:pt>
                <c:pt idx="17">
                  <c:v>304.48058833655307</c:v>
                </c:pt>
                <c:pt idx="18">
                  <c:v>306.21327455068257</c:v>
                </c:pt>
                <c:pt idx="19">
                  <c:v>307.94596076481207</c:v>
                </c:pt>
                <c:pt idx="20">
                  <c:v>309.67864697894163</c:v>
                </c:pt>
                <c:pt idx="21">
                  <c:v>311.41133319307113</c:v>
                </c:pt>
                <c:pt idx="22">
                  <c:v>313.14401940720063</c:v>
                </c:pt>
                <c:pt idx="23">
                  <c:v>314.87670562133013</c:v>
                </c:pt>
                <c:pt idx="24">
                  <c:v>316.60939183545969</c:v>
                </c:pt>
                <c:pt idx="25">
                  <c:v>318.34207804958919</c:v>
                </c:pt>
                <c:pt idx="26">
                  <c:v>320.07476426371869</c:v>
                </c:pt>
                <c:pt idx="27">
                  <c:v>321.80745047784819</c:v>
                </c:pt>
                <c:pt idx="28">
                  <c:v>323.54013669197775</c:v>
                </c:pt>
                <c:pt idx="29">
                  <c:v>325.27282290610725</c:v>
                </c:pt>
                <c:pt idx="30">
                  <c:v>327.00550912023675</c:v>
                </c:pt>
                <c:pt idx="31">
                  <c:v>328.73819533436625</c:v>
                </c:pt>
                <c:pt idx="32">
                  <c:v>330.47088154849575</c:v>
                </c:pt>
                <c:pt idx="33">
                  <c:v>332.20356776262531</c:v>
                </c:pt>
                <c:pt idx="34">
                  <c:v>333.93625397675481</c:v>
                </c:pt>
                <c:pt idx="35">
                  <c:v>335.66894019088431</c:v>
                </c:pt>
                <c:pt idx="36">
                  <c:v>337.40162640501381</c:v>
                </c:pt>
                <c:pt idx="37">
                  <c:v>339.13431261914332</c:v>
                </c:pt>
                <c:pt idx="38">
                  <c:v>340.86699883327287</c:v>
                </c:pt>
                <c:pt idx="39">
                  <c:v>342.59968504740237</c:v>
                </c:pt>
                <c:pt idx="40">
                  <c:v>344.33237126153188</c:v>
                </c:pt>
                <c:pt idx="41">
                  <c:v>346.06505747566138</c:v>
                </c:pt>
                <c:pt idx="42">
                  <c:v>347.79774368979088</c:v>
                </c:pt>
                <c:pt idx="43">
                  <c:v>349.53042990392044</c:v>
                </c:pt>
                <c:pt idx="44">
                  <c:v>351.26311611804994</c:v>
                </c:pt>
                <c:pt idx="45">
                  <c:v>352.99580233217944</c:v>
                </c:pt>
                <c:pt idx="46">
                  <c:v>354.72848854630899</c:v>
                </c:pt>
                <c:pt idx="47">
                  <c:v>356.4611747604385</c:v>
                </c:pt>
                <c:pt idx="48">
                  <c:v>358.193860974568</c:v>
                </c:pt>
                <c:pt idx="49">
                  <c:v>359.9265471886975</c:v>
                </c:pt>
                <c:pt idx="50">
                  <c:v>361.659233402827</c:v>
                </c:pt>
                <c:pt idx="51">
                  <c:v>363.39191961695656</c:v>
                </c:pt>
                <c:pt idx="52">
                  <c:v>365.12460583108606</c:v>
                </c:pt>
                <c:pt idx="53">
                  <c:v>366.85729204521556</c:v>
                </c:pt>
                <c:pt idx="54">
                  <c:v>368.58997825934506</c:v>
                </c:pt>
                <c:pt idx="55">
                  <c:v>370.32266447347456</c:v>
                </c:pt>
                <c:pt idx="56">
                  <c:v>372.05535068760412</c:v>
                </c:pt>
                <c:pt idx="57">
                  <c:v>373.78803690173362</c:v>
                </c:pt>
                <c:pt idx="58">
                  <c:v>375.52072311586312</c:v>
                </c:pt>
                <c:pt idx="59">
                  <c:v>377.25340932999262</c:v>
                </c:pt>
                <c:pt idx="60">
                  <c:v>378.98609554412212</c:v>
                </c:pt>
                <c:pt idx="61">
                  <c:v>380.71878175825168</c:v>
                </c:pt>
                <c:pt idx="62">
                  <c:v>382.45146797238118</c:v>
                </c:pt>
                <c:pt idx="63">
                  <c:v>384.18415418651068</c:v>
                </c:pt>
                <c:pt idx="64">
                  <c:v>385.91684040064024</c:v>
                </c:pt>
                <c:pt idx="65">
                  <c:v>387.64952661476974</c:v>
                </c:pt>
                <c:pt idx="66">
                  <c:v>389.38221282889924</c:v>
                </c:pt>
                <c:pt idx="67">
                  <c:v>391.11489904302874</c:v>
                </c:pt>
                <c:pt idx="68">
                  <c:v>392.84758525715824</c:v>
                </c:pt>
                <c:pt idx="69">
                  <c:v>394.5802714712878</c:v>
                </c:pt>
                <c:pt idx="70">
                  <c:v>396.3129576854173</c:v>
                </c:pt>
                <c:pt idx="71">
                  <c:v>398.0456438995468</c:v>
                </c:pt>
                <c:pt idx="72">
                  <c:v>399.7783301136763</c:v>
                </c:pt>
                <c:pt idx="73">
                  <c:v>401.51101632780581</c:v>
                </c:pt>
                <c:pt idx="74">
                  <c:v>403.24370254193536</c:v>
                </c:pt>
                <c:pt idx="75">
                  <c:v>404.97638875606486</c:v>
                </c:pt>
                <c:pt idx="76">
                  <c:v>406.70907497019437</c:v>
                </c:pt>
                <c:pt idx="77">
                  <c:v>408.44176118432392</c:v>
                </c:pt>
                <c:pt idx="78">
                  <c:v>410.17444739845337</c:v>
                </c:pt>
                <c:pt idx="79">
                  <c:v>411.90713361258292</c:v>
                </c:pt>
                <c:pt idx="80">
                  <c:v>413.63981982671243</c:v>
                </c:pt>
                <c:pt idx="81">
                  <c:v>415.37250604084193</c:v>
                </c:pt>
                <c:pt idx="82">
                  <c:v>417.10519225497148</c:v>
                </c:pt>
                <c:pt idx="83">
                  <c:v>418.83787846910093</c:v>
                </c:pt>
                <c:pt idx="84">
                  <c:v>420.57056468323049</c:v>
                </c:pt>
                <c:pt idx="85">
                  <c:v>422.30325089735999</c:v>
                </c:pt>
                <c:pt idx="86">
                  <c:v>424.03593711148949</c:v>
                </c:pt>
                <c:pt idx="87">
                  <c:v>425.76862332561905</c:v>
                </c:pt>
                <c:pt idx="88">
                  <c:v>427.50130953974855</c:v>
                </c:pt>
                <c:pt idx="89">
                  <c:v>429.23399575387805</c:v>
                </c:pt>
                <c:pt idx="90">
                  <c:v>430.96668196800761</c:v>
                </c:pt>
                <c:pt idx="91">
                  <c:v>432.69936818213705</c:v>
                </c:pt>
                <c:pt idx="92">
                  <c:v>434.43205439626661</c:v>
                </c:pt>
                <c:pt idx="93">
                  <c:v>436.16474061039611</c:v>
                </c:pt>
                <c:pt idx="94">
                  <c:v>437.89742682452561</c:v>
                </c:pt>
                <c:pt idx="95">
                  <c:v>439.63011303865517</c:v>
                </c:pt>
                <c:pt idx="96">
                  <c:v>441.36279925278461</c:v>
                </c:pt>
                <c:pt idx="97">
                  <c:v>443.09548546691417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CE-BC40-8710-B037970DA1D4}"/>
            </c:ext>
          </c:extLst>
        </c:ser>
        <c:ser>
          <c:idx val="2"/>
          <c:order val="2"/>
          <c:tx>
            <c:strRef>
              <c:f>'Decomposition(Piped Gas)'!$F$1</c:f>
              <c:strCache>
                <c:ptCount val="1"/>
                <c:pt idx="0">
                  <c:v>Seasonal Forcast</c:v>
                </c:pt>
              </c:strCache>
            </c:strRef>
          </c:tx>
          <c:spPr>
            <a:ln w="381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multiLvlStrRef>
              <c:f>'Decomposition(Piped Gas)'!$B$2:$C$99</c:f>
              <c:multiLvlStrCache>
                <c:ptCount val="98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Q1</c:v>
                  </c:pt>
                  <c:pt idx="5">
                    <c:v>Q2</c:v>
                  </c:pt>
                  <c:pt idx="6">
                    <c:v>Q3</c:v>
                  </c:pt>
                  <c:pt idx="7">
                    <c:v>Q4</c:v>
                  </c:pt>
                  <c:pt idx="8">
                    <c:v>Q1</c:v>
                  </c:pt>
                  <c:pt idx="9">
                    <c:v>Q2</c:v>
                  </c:pt>
                  <c:pt idx="10">
                    <c:v>Q3</c:v>
                  </c:pt>
                  <c:pt idx="11">
                    <c:v>Q4</c:v>
                  </c:pt>
                  <c:pt idx="12">
                    <c:v>Q1</c:v>
                  </c:pt>
                  <c:pt idx="13">
                    <c:v>Q2</c:v>
                  </c:pt>
                  <c:pt idx="14">
                    <c:v>Q3</c:v>
                  </c:pt>
                  <c:pt idx="15">
                    <c:v>Q4</c:v>
                  </c:pt>
                  <c:pt idx="16">
                    <c:v>Q1</c:v>
                  </c:pt>
                  <c:pt idx="17">
                    <c:v>Q2</c:v>
                  </c:pt>
                  <c:pt idx="18">
                    <c:v>Q3</c:v>
                  </c:pt>
                  <c:pt idx="19">
                    <c:v>Q4</c:v>
                  </c:pt>
                  <c:pt idx="20">
                    <c:v>Q1</c:v>
                  </c:pt>
                  <c:pt idx="21">
                    <c:v>Q2</c:v>
                  </c:pt>
                  <c:pt idx="22">
                    <c:v>Q3</c:v>
                  </c:pt>
                  <c:pt idx="23">
                    <c:v>Q4</c:v>
                  </c:pt>
                  <c:pt idx="24">
                    <c:v>Q1</c:v>
                  </c:pt>
                  <c:pt idx="25">
                    <c:v>Q2</c:v>
                  </c:pt>
                  <c:pt idx="26">
                    <c:v>Q3</c:v>
                  </c:pt>
                  <c:pt idx="27">
                    <c:v>Q4</c:v>
                  </c:pt>
                  <c:pt idx="28">
                    <c:v>Q1</c:v>
                  </c:pt>
                  <c:pt idx="29">
                    <c:v>Q2</c:v>
                  </c:pt>
                  <c:pt idx="30">
                    <c:v>Q3</c:v>
                  </c:pt>
                  <c:pt idx="31">
                    <c:v>Q4</c:v>
                  </c:pt>
                  <c:pt idx="32">
                    <c:v>Q1</c:v>
                  </c:pt>
                  <c:pt idx="33">
                    <c:v>Q2</c:v>
                  </c:pt>
                  <c:pt idx="34">
                    <c:v>Q3</c:v>
                  </c:pt>
                  <c:pt idx="35">
                    <c:v>Q4</c:v>
                  </c:pt>
                  <c:pt idx="36">
                    <c:v>Q1</c:v>
                  </c:pt>
                  <c:pt idx="37">
                    <c:v>Q2</c:v>
                  </c:pt>
                  <c:pt idx="38">
                    <c:v>Q3</c:v>
                  </c:pt>
                  <c:pt idx="39">
                    <c:v>Q4</c:v>
                  </c:pt>
                  <c:pt idx="40">
                    <c:v>Q1</c:v>
                  </c:pt>
                  <c:pt idx="41">
                    <c:v>Q2</c:v>
                  </c:pt>
                  <c:pt idx="42">
                    <c:v>Q3</c:v>
                  </c:pt>
                  <c:pt idx="43">
                    <c:v>Q4</c:v>
                  </c:pt>
                  <c:pt idx="44">
                    <c:v>Q1</c:v>
                  </c:pt>
                  <c:pt idx="45">
                    <c:v>Q2</c:v>
                  </c:pt>
                  <c:pt idx="46">
                    <c:v>Q3</c:v>
                  </c:pt>
                  <c:pt idx="47">
                    <c:v>Q4</c:v>
                  </c:pt>
                  <c:pt idx="48">
                    <c:v>Q1</c:v>
                  </c:pt>
                  <c:pt idx="49">
                    <c:v>Q2</c:v>
                  </c:pt>
                  <c:pt idx="50">
                    <c:v>Q3</c:v>
                  </c:pt>
                  <c:pt idx="51">
                    <c:v>Q4</c:v>
                  </c:pt>
                  <c:pt idx="52">
                    <c:v>Q1</c:v>
                  </c:pt>
                  <c:pt idx="53">
                    <c:v>Q2</c:v>
                  </c:pt>
                  <c:pt idx="54">
                    <c:v>Q3</c:v>
                  </c:pt>
                  <c:pt idx="55">
                    <c:v>Q4</c:v>
                  </c:pt>
                  <c:pt idx="56">
                    <c:v>Q1</c:v>
                  </c:pt>
                  <c:pt idx="57">
                    <c:v>Q2</c:v>
                  </c:pt>
                  <c:pt idx="58">
                    <c:v>Q3</c:v>
                  </c:pt>
                  <c:pt idx="59">
                    <c:v>Q4</c:v>
                  </c:pt>
                  <c:pt idx="60">
                    <c:v>Q1</c:v>
                  </c:pt>
                  <c:pt idx="61">
                    <c:v>Q2</c:v>
                  </c:pt>
                  <c:pt idx="62">
                    <c:v>Q3</c:v>
                  </c:pt>
                  <c:pt idx="63">
                    <c:v>Q4</c:v>
                  </c:pt>
                  <c:pt idx="64">
                    <c:v>Q1</c:v>
                  </c:pt>
                  <c:pt idx="65">
                    <c:v>Q2</c:v>
                  </c:pt>
                  <c:pt idx="66">
                    <c:v>Q3</c:v>
                  </c:pt>
                  <c:pt idx="67">
                    <c:v>Q4</c:v>
                  </c:pt>
                  <c:pt idx="68">
                    <c:v>Q1</c:v>
                  </c:pt>
                  <c:pt idx="69">
                    <c:v>Q2</c:v>
                  </c:pt>
                  <c:pt idx="70">
                    <c:v>Q3</c:v>
                  </c:pt>
                  <c:pt idx="71">
                    <c:v>Q4</c:v>
                  </c:pt>
                  <c:pt idx="72">
                    <c:v>Q1</c:v>
                  </c:pt>
                  <c:pt idx="73">
                    <c:v>Q2</c:v>
                  </c:pt>
                  <c:pt idx="74">
                    <c:v>Q3</c:v>
                  </c:pt>
                  <c:pt idx="75">
                    <c:v>Q4</c:v>
                  </c:pt>
                  <c:pt idx="76">
                    <c:v>Q1</c:v>
                  </c:pt>
                  <c:pt idx="77">
                    <c:v>Q2</c:v>
                  </c:pt>
                  <c:pt idx="78">
                    <c:v>Q3</c:v>
                  </c:pt>
                  <c:pt idx="79">
                    <c:v>Q4</c:v>
                  </c:pt>
                  <c:pt idx="80">
                    <c:v>Q1</c:v>
                  </c:pt>
                  <c:pt idx="81">
                    <c:v>Q2</c:v>
                  </c:pt>
                  <c:pt idx="82">
                    <c:v>Q3</c:v>
                  </c:pt>
                  <c:pt idx="83">
                    <c:v>Q4</c:v>
                  </c:pt>
                  <c:pt idx="84">
                    <c:v>Q1</c:v>
                  </c:pt>
                  <c:pt idx="85">
                    <c:v>Q2</c:v>
                  </c:pt>
                  <c:pt idx="86">
                    <c:v>Q3</c:v>
                  </c:pt>
                  <c:pt idx="87">
                    <c:v>Q4</c:v>
                  </c:pt>
                  <c:pt idx="88">
                    <c:v>Q1</c:v>
                  </c:pt>
                  <c:pt idx="89">
                    <c:v>Q2</c:v>
                  </c:pt>
                  <c:pt idx="90">
                    <c:v>Q3</c:v>
                  </c:pt>
                  <c:pt idx="91">
                    <c:v>Q4</c:v>
                  </c:pt>
                  <c:pt idx="92">
                    <c:v>Q1</c:v>
                  </c:pt>
                  <c:pt idx="93">
                    <c:v>Q2</c:v>
                  </c:pt>
                  <c:pt idx="94">
                    <c:v>Q3</c:v>
                  </c:pt>
                  <c:pt idx="95">
                    <c:v>Q4</c:v>
                  </c:pt>
                  <c:pt idx="96">
                    <c:v>Q1</c:v>
                  </c:pt>
                  <c:pt idx="97">
                    <c:v>Q2</c:v>
                  </c:pt>
                </c:lvl>
                <c:lvl>
                  <c:pt idx="0">
                    <c:v>1994</c:v>
                  </c:pt>
                  <c:pt idx="4">
                    <c:v>1995</c:v>
                  </c:pt>
                  <c:pt idx="8">
                    <c:v>1996</c:v>
                  </c:pt>
                  <c:pt idx="12">
                    <c:v>1997</c:v>
                  </c:pt>
                  <c:pt idx="16">
                    <c:v>1998</c:v>
                  </c:pt>
                  <c:pt idx="20">
                    <c:v>1999</c:v>
                  </c:pt>
                  <c:pt idx="24">
                    <c:v>2000</c:v>
                  </c:pt>
                  <c:pt idx="28">
                    <c:v>2001</c:v>
                  </c:pt>
                  <c:pt idx="32">
                    <c:v>2002</c:v>
                  </c:pt>
                  <c:pt idx="36">
                    <c:v>2003</c:v>
                  </c:pt>
                  <c:pt idx="40">
                    <c:v>2004</c:v>
                  </c:pt>
                  <c:pt idx="44">
                    <c:v>2005</c:v>
                  </c:pt>
                  <c:pt idx="48">
                    <c:v>2006</c:v>
                  </c:pt>
                  <c:pt idx="52">
                    <c:v>2007</c:v>
                  </c:pt>
                  <c:pt idx="56">
                    <c:v>2008</c:v>
                  </c:pt>
                  <c:pt idx="60">
                    <c:v>2009</c:v>
                  </c:pt>
                  <c:pt idx="64">
                    <c:v>2010</c:v>
                  </c:pt>
                  <c:pt idx="68">
                    <c:v>2011</c:v>
                  </c:pt>
                  <c:pt idx="72">
                    <c:v>2012</c:v>
                  </c:pt>
                  <c:pt idx="76">
                    <c:v>2013</c:v>
                  </c:pt>
                  <c:pt idx="80">
                    <c:v>2014</c:v>
                  </c:pt>
                  <c:pt idx="84">
                    <c:v>2015</c:v>
                  </c:pt>
                  <c:pt idx="88">
                    <c:v>2016</c:v>
                  </c:pt>
                  <c:pt idx="92">
                    <c:v>2017</c:v>
                  </c:pt>
                  <c:pt idx="96">
                    <c:v>2018</c:v>
                  </c:pt>
                </c:lvl>
              </c:multiLvlStrCache>
            </c:multiLvlStrRef>
          </c:cat>
          <c:val>
            <c:numRef>
              <c:f>'Decomposition(Piped Gas)'!$F$2:$F$99</c:f>
              <c:numCache>
                <c:formatCode>General</c:formatCode>
                <c:ptCount val="98"/>
                <c:pt idx="0">
                  <c:v>273.85131920502636</c:v>
                </c:pt>
                <c:pt idx="1">
                  <c:v>275.90650684484388</c:v>
                </c:pt>
                <c:pt idx="2">
                  <c:v>279.2418311433708</c:v>
                </c:pt>
                <c:pt idx="3">
                  <c:v>281.61004444209851</c:v>
                </c:pt>
                <c:pt idx="4">
                  <c:v>280.75248875512733</c:v>
                </c:pt>
                <c:pt idx="5">
                  <c:v>282.81593784738334</c:v>
                </c:pt>
                <c:pt idx="6">
                  <c:v>286.1912793604285</c:v>
                </c:pt>
                <c:pt idx="7">
                  <c:v>288.57509548015577</c:v>
                </c:pt>
                <c:pt idx="8">
                  <c:v>287.65365830522825</c:v>
                </c:pt>
                <c:pt idx="9">
                  <c:v>289.7253688499228</c:v>
                </c:pt>
                <c:pt idx="10">
                  <c:v>293.14072757748619</c:v>
                </c:pt>
                <c:pt idx="11">
                  <c:v>295.54014651821302</c:v>
                </c:pt>
                <c:pt idx="12">
                  <c:v>294.55482785532917</c:v>
                </c:pt>
                <c:pt idx="13">
                  <c:v>296.63479985246227</c:v>
                </c:pt>
                <c:pt idx="14">
                  <c:v>300.09017579454388</c:v>
                </c:pt>
                <c:pt idx="15">
                  <c:v>302.50519755627033</c:v>
                </c:pt>
                <c:pt idx="16">
                  <c:v>301.45599740543008</c:v>
                </c:pt>
                <c:pt idx="17">
                  <c:v>303.54423085500173</c:v>
                </c:pt>
                <c:pt idx="18">
                  <c:v>307.03962401160157</c:v>
                </c:pt>
                <c:pt idx="19">
                  <c:v>309.47024859432753</c:v>
                </c:pt>
                <c:pt idx="20">
                  <c:v>308.35716695553106</c:v>
                </c:pt>
                <c:pt idx="21">
                  <c:v>310.45366185754119</c:v>
                </c:pt>
                <c:pt idx="22">
                  <c:v>313.98907222865932</c:v>
                </c:pt>
                <c:pt idx="23">
                  <c:v>316.43529963238484</c:v>
                </c:pt>
                <c:pt idx="24">
                  <c:v>315.25833650563197</c:v>
                </c:pt>
                <c:pt idx="25">
                  <c:v>317.36309286008066</c:v>
                </c:pt>
                <c:pt idx="26">
                  <c:v>320.93852044571702</c:v>
                </c:pt>
                <c:pt idx="27">
                  <c:v>323.40035067044209</c:v>
                </c:pt>
                <c:pt idx="28">
                  <c:v>322.15950605573289</c:v>
                </c:pt>
                <c:pt idx="29">
                  <c:v>324.27252386262012</c:v>
                </c:pt>
                <c:pt idx="30">
                  <c:v>327.88796866277477</c:v>
                </c:pt>
                <c:pt idx="31">
                  <c:v>330.36540170849941</c:v>
                </c:pt>
                <c:pt idx="32">
                  <c:v>329.06067560583375</c:v>
                </c:pt>
                <c:pt idx="33">
                  <c:v>331.18195486515958</c:v>
                </c:pt>
                <c:pt idx="34">
                  <c:v>334.83741687983246</c:v>
                </c:pt>
                <c:pt idx="35">
                  <c:v>337.33045274655666</c:v>
                </c:pt>
                <c:pt idx="36">
                  <c:v>335.96184515593472</c:v>
                </c:pt>
                <c:pt idx="37">
                  <c:v>338.09138586769899</c:v>
                </c:pt>
                <c:pt idx="38">
                  <c:v>341.78686509689021</c:v>
                </c:pt>
                <c:pt idx="39">
                  <c:v>344.29550378461397</c:v>
                </c:pt>
                <c:pt idx="40">
                  <c:v>342.86301470603564</c:v>
                </c:pt>
                <c:pt idx="41">
                  <c:v>345.00081687023845</c:v>
                </c:pt>
                <c:pt idx="42">
                  <c:v>348.73631331394785</c:v>
                </c:pt>
                <c:pt idx="43">
                  <c:v>351.26055482267122</c:v>
                </c:pt>
                <c:pt idx="44">
                  <c:v>349.76418425613656</c:v>
                </c:pt>
                <c:pt idx="45">
                  <c:v>351.91024787277786</c:v>
                </c:pt>
                <c:pt idx="46">
                  <c:v>355.68576153100565</c:v>
                </c:pt>
                <c:pt idx="47">
                  <c:v>358.22560586072854</c:v>
                </c:pt>
                <c:pt idx="48">
                  <c:v>356.66535380623748</c:v>
                </c:pt>
                <c:pt idx="49">
                  <c:v>358.81967887531732</c:v>
                </c:pt>
                <c:pt idx="50">
                  <c:v>362.63520974806329</c:v>
                </c:pt>
                <c:pt idx="51">
                  <c:v>365.19065689878579</c:v>
                </c:pt>
                <c:pt idx="52">
                  <c:v>363.56652335633845</c:v>
                </c:pt>
                <c:pt idx="53">
                  <c:v>365.72910987785679</c:v>
                </c:pt>
                <c:pt idx="54">
                  <c:v>369.58465796512104</c:v>
                </c:pt>
                <c:pt idx="55">
                  <c:v>372.15570793684304</c:v>
                </c:pt>
                <c:pt idx="56">
                  <c:v>370.46769290643937</c:v>
                </c:pt>
                <c:pt idx="57">
                  <c:v>372.63854088039625</c:v>
                </c:pt>
                <c:pt idx="58">
                  <c:v>376.53410618217873</c:v>
                </c:pt>
                <c:pt idx="59">
                  <c:v>379.1207589749003</c:v>
                </c:pt>
                <c:pt idx="60">
                  <c:v>377.36886245654023</c:v>
                </c:pt>
                <c:pt idx="61">
                  <c:v>379.54797188293571</c:v>
                </c:pt>
                <c:pt idx="62">
                  <c:v>383.48355439923648</c:v>
                </c:pt>
                <c:pt idx="63">
                  <c:v>386.08581001295761</c:v>
                </c:pt>
                <c:pt idx="64">
                  <c:v>384.2700320066412</c:v>
                </c:pt>
                <c:pt idx="65">
                  <c:v>386.45740288547518</c:v>
                </c:pt>
                <c:pt idx="66">
                  <c:v>390.43300261629417</c:v>
                </c:pt>
                <c:pt idx="67">
                  <c:v>393.05086105101486</c:v>
                </c:pt>
                <c:pt idx="68">
                  <c:v>391.17120155674212</c:v>
                </c:pt>
                <c:pt idx="69">
                  <c:v>393.36683388801464</c:v>
                </c:pt>
                <c:pt idx="70">
                  <c:v>397.38245083335192</c:v>
                </c:pt>
                <c:pt idx="71">
                  <c:v>400.01591208907217</c:v>
                </c:pt>
                <c:pt idx="72">
                  <c:v>398.07237110684304</c:v>
                </c:pt>
                <c:pt idx="73">
                  <c:v>400.27626489055405</c:v>
                </c:pt>
                <c:pt idx="74">
                  <c:v>404.33189905040962</c:v>
                </c:pt>
                <c:pt idx="75">
                  <c:v>406.98096312712943</c:v>
                </c:pt>
                <c:pt idx="76">
                  <c:v>404.97354065694395</c:v>
                </c:pt>
                <c:pt idx="77">
                  <c:v>407.18569589309357</c:v>
                </c:pt>
                <c:pt idx="78">
                  <c:v>411.28134726746731</c:v>
                </c:pt>
                <c:pt idx="79">
                  <c:v>413.94601416518674</c:v>
                </c:pt>
                <c:pt idx="80">
                  <c:v>411.87471020704487</c:v>
                </c:pt>
                <c:pt idx="81">
                  <c:v>414.09512689563297</c:v>
                </c:pt>
                <c:pt idx="82">
                  <c:v>418.23079548452506</c:v>
                </c:pt>
                <c:pt idx="83">
                  <c:v>420.91106520324394</c:v>
                </c:pt>
                <c:pt idx="84">
                  <c:v>418.77587975714584</c:v>
                </c:pt>
                <c:pt idx="85">
                  <c:v>421.00455789817244</c:v>
                </c:pt>
                <c:pt idx="86">
                  <c:v>425.18024370158275</c:v>
                </c:pt>
                <c:pt idx="87">
                  <c:v>427.8761162413013</c:v>
                </c:pt>
                <c:pt idx="88">
                  <c:v>425.67704930724676</c:v>
                </c:pt>
                <c:pt idx="89">
                  <c:v>427.9139889007119</c:v>
                </c:pt>
                <c:pt idx="90">
                  <c:v>432.1296919186405</c:v>
                </c:pt>
                <c:pt idx="91">
                  <c:v>434.8411672793585</c:v>
                </c:pt>
                <c:pt idx="92">
                  <c:v>432.57821885734768</c:v>
                </c:pt>
                <c:pt idx="93">
                  <c:v>434.82341990325131</c:v>
                </c:pt>
                <c:pt idx="94">
                  <c:v>439.07914013569814</c:v>
                </c:pt>
                <c:pt idx="95">
                  <c:v>441.80621831741587</c:v>
                </c:pt>
                <c:pt idx="96">
                  <c:v>439.47938840744854</c:v>
                </c:pt>
                <c:pt idx="97">
                  <c:v>441.73285090579077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CE-BC40-8710-B037970DA1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2720736"/>
        <c:axId val="317433456"/>
      </c:lineChart>
      <c:catAx>
        <c:axId val="282720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7433456"/>
        <c:crosses val="autoZero"/>
        <c:auto val="1"/>
        <c:lblAlgn val="ctr"/>
        <c:lblOffset val="100"/>
        <c:noMultiLvlLbl val="0"/>
      </c:catAx>
      <c:valAx>
        <c:axId val="31743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720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Drop" dropStyle="combo" dx="22" sel="1" val="0">
  <itemLst>
    <item val="Summary statistics"/>
    <item val="Goodness of fit statistics (Var1)"/>
    <item val="Model parameters (Var1)"/>
    <item val="Series before and after smoothing (Var1)"/>
  </itemLst>
</formControlPr>
</file>

<file path=xl/ctrlProps/ctrlProp2.xml><?xml version="1.0" encoding="utf-8"?>
<formControlPr xmlns="http://schemas.microsoft.com/office/spreadsheetml/2009/9/main" objectType="Drop" dropStyle="combo" dx="22" sel="1" val="0">
  <itemLst>
    <item val="Summary statistics"/>
    <item val="Goodness of fit statistics (Var1)"/>
    <item val="Model parameters (Var1)"/>
    <item val="Series before and after smoothing (Var1)"/>
  </itemLst>
</formControlPr>
</file>

<file path=xl/ctrlProps/ctrlProp3.xml><?xml version="1.0" encoding="utf-8"?>
<formControlPr xmlns="http://schemas.microsoft.com/office/spreadsheetml/2009/9/main" objectType="Drop" dropStyle="combo" dx="31" sel="1" val="0">
  <itemLst>
    <item val="Summary statistics"/>
    <item val="Results of ARIMA modeling of the Total Piped Gas Sales (Town Gas) (Million Kilowatt Hours) series"/>
    <item val="Results after optimization (Total Piped Gas Sales (Town Gas) (Million Kilowatt Hours))"/>
    <item val="Goodness of fit statistics"/>
    <item val="Model parameters"/>
    <item val="Predictions and residuals"/>
    <item val="Descriptive analysis (Total Piped Gas Sales (Town Gas) (Million Kilowatt Hours))"/>
    <item val="Descriptive analysis (Residuals)"/>
  </itemLst>
</formControlPr>
</file>

<file path=xl/ctrlProps/ctrlProp4.xml><?xml version="1.0" encoding="utf-8"?>
<formControlPr xmlns="http://schemas.microsoft.com/office/spreadsheetml/2009/9/main" objectType="Drop" dropStyle="combo" dx="31" sel="1" val="0">
  <itemLst>
    <item val="Summary statistics"/>
    <item val="Goodness of fit statistics (Var1)"/>
    <item val="Model parameters (Var1)"/>
    <item val="Series before and after smoothing (Var1)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.xml"/><Relationship Id="rId3" Type="http://schemas.openxmlformats.org/officeDocument/2006/relationships/image" Target="../media/image3.png"/><Relationship Id="rId7" Type="http://schemas.openxmlformats.org/officeDocument/2006/relationships/chart" Target="../charts/chart4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3.xml"/><Relationship Id="rId11" Type="http://schemas.openxmlformats.org/officeDocument/2006/relationships/chart" Target="../charts/chart8.xml"/><Relationship Id="rId5" Type="http://schemas.openxmlformats.org/officeDocument/2006/relationships/image" Target="../media/image5.png"/><Relationship Id="rId10" Type="http://schemas.openxmlformats.org/officeDocument/2006/relationships/chart" Target="../charts/chart7.xml"/><Relationship Id="rId4" Type="http://schemas.openxmlformats.org/officeDocument/2006/relationships/image" Target="../media/image4.png"/><Relationship Id="rId9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1.xml"/><Relationship Id="rId1" Type="http://schemas.openxmlformats.org/officeDocument/2006/relationships/chart" Target="../charts/chart2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590550</xdr:colOff>
      <xdr:row>0</xdr:row>
      <xdr:rowOff>69850</xdr:rowOff>
    </xdr:from>
    <xdr:to>
      <xdr:col>13</xdr:col>
      <xdr:colOff>488950</xdr:colOff>
      <xdr:row>19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</xdr:colOff>
      <xdr:row>0</xdr:row>
      <xdr:rowOff>0</xdr:rowOff>
    </xdr:from>
    <xdr:to>
      <xdr:col>13</xdr:col>
      <xdr:colOff>352425</xdr:colOff>
      <xdr:row>14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581967" hidden="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955675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IN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RefEditDate,RefEdit0,,True,000000000402_General,True,Date data:,False,
CheckBoxCheckInt,CheckBox,True,True,000000000502_General,True,Check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TextBox_p,TextBox,2,True,000000000008_General,True,p:,False,
TextBox_d,TextBox,1,True,000000000308_General,True,d:,False,
TextBox_q,TextBox,0,True,000000000508_General,True,q:,False,
TextBox_Gd,TextBox,1,True,000000000908_General,True,D:,False,
TextBox_s,TextBox,4,True,000000001308_General,True,s:,False,
TextBox_GP,TextBox,2,True,000000000708_General,True,P:,False,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OptionButtonLike,OptionButton,True,True,100000000102_Options,True,Likelihood,False,
OptionButtonLeast,OptionButton,False,True,100000000202_Options,True,Least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RefEditT,RefEdit0,'Sheet5'!$C$1:$C$99,True,000000000001_General,True,,False,
</a:t>
          </a:r>
        </a:p>
      </xdr:txBody>
    </xdr:sp>
    <xdr:clientData/>
  </xdr:twoCellAnchor>
  <xdr:twoCellAnchor editAs="absolute">
    <xdr:from>
      <xdr:col>1</xdr:col>
      <xdr:colOff>6350</xdr:colOff>
      <xdr:row>8</xdr:row>
      <xdr:rowOff>6350</xdr:rowOff>
    </xdr:from>
    <xdr:to>
      <xdr:col>3</xdr:col>
      <xdr:colOff>582803</xdr:colOff>
      <xdr:row>9</xdr:row>
      <xdr:rowOff>0</xdr:rowOff>
    </xdr:to>
    <xdr:sp macro="" textlink="">
      <xdr:nvSpPr>
        <xdr:cNvPr id="3" name="BK58196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39725" y="1530350"/>
          <a:ext cx="1824228" cy="422275"/>
        </a:xfrm>
        <a:prstGeom prst="rect">
          <a:avLst/>
        </a:prstGeom>
        <a:solidFill>
          <a:srgbClr val="F0F2F0"/>
        </a:solidFill>
        <a:ln w="6350">
          <a:solidFill>
            <a:srgbClr val="5078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absolute">
    <xdr:from>
      <xdr:col>1</xdr:col>
      <xdr:colOff>49783</xdr:colOff>
      <xdr:row>8</xdr:row>
      <xdr:rowOff>43434</xdr:rowOff>
    </xdr:from>
    <xdr:to>
      <xdr:col>1</xdr:col>
      <xdr:colOff>392683</xdr:colOff>
      <xdr:row>8</xdr:row>
      <xdr:rowOff>386334</xdr:rowOff>
    </xdr:to>
    <xdr:pic macro="[1]!RelaunchCall">
      <xdr:nvPicPr>
        <xdr:cNvPr id="4" name="BT581967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3158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[1]!AddRemovGrid">
      <xdr:nvPicPr>
        <xdr:cNvPr id="5" name="RM581967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1</xdr:col>
      <xdr:colOff>527557</xdr:colOff>
      <xdr:row>8</xdr:row>
      <xdr:rowOff>43434</xdr:rowOff>
    </xdr:from>
    <xdr:to>
      <xdr:col>2</xdr:col>
      <xdr:colOff>260857</xdr:colOff>
      <xdr:row>8</xdr:row>
      <xdr:rowOff>386334</xdr:rowOff>
    </xdr:to>
    <xdr:pic macro="AddRemovGrid">
      <xdr:nvPicPr>
        <xdr:cNvPr id="6" name="AD581967" hidden="1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932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2</xdr:col>
      <xdr:colOff>395731</xdr:colOff>
      <xdr:row>8</xdr:row>
      <xdr:rowOff>43434</xdr:rowOff>
    </xdr:from>
    <xdr:to>
      <xdr:col>3</xdr:col>
      <xdr:colOff>100456</xdr:colOff>
      <xdr:row>8</xdr:row>
      <xdr:rowOff>386334</xdr:rowOff>
    </xdr:to>
    <xdr:pic macro="[1]!SendToOffice">
      <xdr:nvPicPr>
        <xdr:cNvPr id="7" name="WD581967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870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 editAs="absolute">
    <xdr:from>
      <xdr:col>3</xdr:col>
      <xdr:colOff>191896</xdr:colOff>
      <xdr:row>8</xdr:row>
      <xdr:rowOff>43434</xdr:rowOff>
    </xdr:from>
    <xdr:to>
      <xdr:col>3</xdr:col>
      <xdr:colOff>534796</xdr:colOff>
      <xdr:row>8</xdr:row>
      <xdr:rowOff>386334</xdr:rowOff>
    </xdr:to>
    <xdr:pic macro="[1]!SendToOffice">
      <xdr:nvPicPr>
        <xdr:cNvPr id="8" name="PT58196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3046" y="1567434"/>
          <a:ext cx="342900" cy="342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 fLocksWithSheet="0" fPrintsWithSheet="0"/>
  </xdr:twoCellAnchor>
  <xdr:twoCellAnchor>
    <xdr:from>
      <xdr:col>1</xdr:col>
      <xdr:colOff>0</xdr:colOff>
      <xdr:row>156</xdr:row>
      <xdr:rowOff>0</xdr:rowOff>
    </xdr:from>
    <xdr:to>
      <xdr:col>7</xdr:col>
      <xdr:colOff>0</xdr:colOff>
      <xdr:row>173</xdr:row>
      <xdr:rowOff>0</xdr:rowOff>
    </xdr:to>
    <xdr:graphicFrame macro="">
      <xdr:nvGraphicFramePr>
        <xdr:cNvPr id="9" name="Chart 8-XLSTAT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127000</xdr:colOff>
      <xdr:row>156</xdr:row>
      <xdr:rowOff>0</xdr:rowOff>
    </xdr:from>
    <xdr:to>
      <xdr:col>13</xdr:col>
      <xdr:colOff>231775</xdr:colOff>
      <xdr:row>173</xdr:row>
      <xdr:rowOff>0</xdr:rowOff>
    </xdr:to>
    <xdr:graphicFrame macro="">
      <xdr:nvGraphicFramePr>
        <xdr:cNvPr id="10" name="Chart 9-XLSTAT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201</xdr:row>
      <xdr:rowOff>0</xdr:rowOff>
    </xdr:from>
    <xdr:to>
      <xdr:col>7</xdr:col>
      <xdr:colOff>0</xdr:colOff>
      <xdr:row>218</xdr:row>
      <xdr:rowOff>0</xdr:rowOff>
    </xdr:to>
    <xdr:graphicFrame macro="">
      <xdr:nvGraphicFramePr>
        <xdr:cNvPr id="11" name="Chart 10-XLSTAT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127000</xdr:colOff>
      <xdr:row>201</xdr:row>
      <xdr:rowOff>0</xdr:rowOff>
    </xdr:from>
    <xdr:to>
      <xdr:col>13</xdr:col>
      <xdr:colOff>231775</xdr:colOff>
      <xdr:row>218</xdr:row>
      <xdr:rowOff>0</xdr:rowOff>
    </xdr:to>
    <xdr:graphicFrame macro="">
      <xdr:nvGraphicFramePr>
        <xdr:cNvPr id="12" name="Chart 11-XLSTAT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7</xdr:col>
      <xdr:colOff>0</xdr:colOff>
      <xdr:row>263</xdr:row>
      <xdr:rowOff>0</xdr:rowOff>
    </xdr:to>
    <xdr:graphicFrame macro="">
      <xdr:nvGraphicFramePr>
        <xdr:cNvPr id="13" name="Chart 12-XLSTAT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127000</xdr:colOff>
      <xdr:row>246</xdr:row>
      <xdr:rowOff>0</xdr:rowOff>
    </xdr:from>
    <xdr:to>
      <xdr:col>13</xdr:col>
      <xdr:colOff>231775</xdr:colOff>
      <xdr:row>263</xdr:row>
      <xdr:rowOff>0</xdr:rowOff>
    </xdr:to>
    <xdr:graphicFrame macro="">
      <xdr:nvGraphicFramePr>
        <xdr:cNvPr id="14" name="Chart 13-XLSTAT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7</xdr:row>
      <xdr:rowOff>0</xdr:rowOff>
    </xdr:from>
    <xdr:to>
      <xdr:col>2</xdr:col>
      <xdr:colOff>38100</xdr:colOff>
      <xdr:row>7</xdr:row>
      <xdr:rowOff>25400</xdr:rowOff>
    </xdr:to>
    <xdr:sp macro="" textlink="">
      <xdr:nvSpPr>
        <xdr:cNvPr id="2" name="TX356349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066800" y="1333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CheckBoxVarLabels,CheckBox,False,True,000000000201_General,True,Series labels,False,
CheckBoxCharts,CheckBox,True,True,600000000000_Charts,True,Display charts,False,
CheckBoxLeft,CheckBox,False,True,100000000300_Options,True,Left side,False,
RefEditT,RefEdit0,'Sheet154738X765'!$C$2:$C$99,True,000000000100_General,True,,False,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CheckBox_Prediction,CheckBox,False,True,300000000000_Prediction,True,Prediction,False,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ComboBoxModel,ComboBox,0,True,000000010301_General,True,Choose this option to smooth the time series using the exponential smoothing method,False,
ComboBoxMethod,ComboBox,0,True,100000000002_Options,True,Series with no trend and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CheckBoxOptA,CheckBox,False,True,100000000203_Options,True,Optimize,False,
CheckBoxOptC,CheckBox,False,False,100000000603_Options,False,Optimize,False,
TextBoxC,TextBox,0.2,False,100000000503_Options,False,Gamma:,False,
CheckBoxOptB,CheckBox,False,False,100000000403_Options,False,Optimize,False,
TextBoxB,TextBox,0.2,False,100000000303_Options,False,Beta:,False,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>
    <xdr:from>
      <xdr:col>1</xdr:col>
      <xdr:colOff>0</xdr:colOff>
      <xdr:row>141</xdr:row>
      <xdr:rowOff>0</xdr:rowOff>
    </xdr:from>
    <xdr:to>
      <xdr:col>7</xdr:col>
      <xdr:colOff>0</xdr:colOff>
      <xdr:row>158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141</xdr:row>
      <xdr:rowOff>0</xdr:rowOff>
    </xdr:from>
    <xdr:to>
      <xdr:col>13</xdr:col>
      <xdr:colOff>488950</xdr:colOff>
      <xdr:row>158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8</xdr:row>
          <xdr:rowOff>0</xdr:rowOff>
        </xdr:from>
        <xdr:to>
          <xdr:col>3</xdr:col>
          <xdr:colOff>177800</xdr:colOff>
          <xdr:row>9</xdr:row>
          <xdr:rowOff>12700</xdr:rowOff>
        </xdr:to>
        <xdr:sp macro="" textlink="">
          <xdr:nvSpPr>
            <xdr:cNvPr id="4097" name="DD114218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7</xdr:row>
      <xdr:rowOff>0</xdr:rowOff>
    </xdr:from>
    <xdr:to>
      <xdr:col>2</xdr:col>
      <xdr:colOff>38100</xdr:colOff>
      <xdr:row>7</xdr:row>
      <xdr:rowOff>25400</xdr:rowOff>
    </xdr:to>
    <xdr:sp macro="" textlink="">
      <xdr:nvSpPr>
        <xdr:cNvPr id="2" name="TX557049" hidden="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1066800" y="1333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RunProcTSM
Form47.txt
CheckBoxVarLabels,CheckBox,False,True,000000000201_General,True,Series labels,False,
CheckBoxCharts,CheckBox,True,True,600000000000_Charts,True,Display charts,False,
CheckBoxLeft,CheckBox,False,True,100000000300_Options,True,Left side,False,
RefEditT,RefEdit0,'Sheet1'!$C$2:$C$99,True,000000000100_General,True,,False,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CheckBox_Prediction,CheckBox,False,True,300000000000_Prediction,True,Prediction,False,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ComboBoxModel,ComboBox,1,True,000000010301_General,True,Choose this option to smooth the time series using the exponential smoothing method,False,
ComboBoxMethod,ComboBox,0,True,100000000002_Options,True,Series with a trend, but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CheckBoxOptA,CheckBox,False,True,100000000203_Options,True,Optimize,False,
CheckBoxOptC,CheckBox,False,False,100000000603_Options,False,Optimize,False,
TextBoxC,TextBox,0.2,False,100000000503_Options,False,Gamma:,False,
CheckBoxOptB,CheckBox,False,True,100000000403_Options,True,Optimize,False,
TextBoxB,TextBox,0.2,True,100000000303_Options,True,Beta:,False,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>
    <xdr:from>
      <xdr:col>1</xdr:col>
      <xdr:colOff>0</xdr:colOff>
      <xdr:row>143</xdr:row>
      <xdr:rowOff>0</xdr:rowOff>
    </xdr:from>
    <xdr:to>
      <xdr:col>7</xdr:col>
      <xdr:colOff>0</xdr:colOff>
      <xdr:row>160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143</xdr:row>
      <xdr:rowOff>0</xdr:rowOff>
    </xdr:from>
    <xdr:to>
      <xdr:col>13</xdr:col>
      <xdr:colOff>488950</xdr:colOff>
      <xdr:row>160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330200</xdr:colOff>
          <xdr:row>8</xdr:row>
          <xdr:rowOff>0</xdr:rowOff>
        </xdr:from>
        <xdr:to>
          <xdr:col>3</xdr:col>
          <xdr:colOff>177800</xdr:colOff>
          <xdr:row>9</xdr:row>
          <xdr:rowOff>12700</xdr:rowOff>
        </xdr:to>
        <xdr:sp macro="" textlink="">
          <xdr:nvSpPr>
            <xdr:cNvPr id="5121" name="DD618032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6350</xdr:colOff>
      <xdr:row>17</xdr:row>
      <xdr:rowOff>165100</xdr:rowOff>
    </xdr:from>
    <xdr:to>
      <xdr:col>18</xdr:col>
      <xdr:colOff>482600</xdr:colOff>
      <xdr:row>52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8</xdr:row>
      <xdr:rowOff>0</xdr:rowOff>
    </xdr:from>
    <xdr:to>
      <xdr:col>2</xdr:col>
      <xdr:colOff>38100</xdr:colOff>
      <xdr:row>8</xdr:row>
      <xdr:rowOff>25400</xdr:rowOff>
    </xdr:to>
    <xdr:sp macro="" textlink="">
      <xdr:nvSpPr>
        <xdr:cNvPr id="2" name="TX371532" hidden="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/>
      </xdr:nvSpPr>
      <xdr:spPr>
        <a:xfrm>
          <a:off x="1028700" y="15240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RunProcARI
Form48.txt
OptionButton_R,OptionButton,False,True,000000000005_General,True,Range,False,
OptionButton_S,OptionButton,True,True,000000000205_General,True,Sheet,False,
OptionButton_W,OptionButton,False,True,000000000305_General,True,Workbook,False,
RefEdit_R,RefEdit,,True,000000000105_General,True,Range:,False,
CheckBoxVarLabels,CheckBox,True,True,000000000006_General,True,Series labels,False,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CheckBoxCharts,CheckBox,True,True,600000000000_Charts,True,Display charts,False,
CheckBoxDate,CheckBox,False,True,000000000302_General,True,Date data,False,
RefEditDate,RefEdit,,True,000000000402_General,True,Date data:,False,
CheckBoxCheckInt,CheckBox,False,True,000000000502_General,True,Check intervals,False,
CheckBoxCenter,CheckBox,True,True,000000000002_General,True,Center,False,
CheckBoxVar,CheckBox,False,True,000000000102_General,True,Variance,False,
TextBoxVar,TextBox,1,True,000000000202_General,True,Variance:,False,
TextBox_GQ,TextBox,0,True,000000001108_General,True,Q:,False,
TextBox_p,TextBox,2,True,000000000008_General,True,p:,False,
TextBox_d,TextBox,2,True,000000000308_General,True,d:,False,
TextBox_q,TextBox,0,True,000000000508_General,True,q:,False,
TextBox_Gd,TextBox,1,True,000000000908_General,True,D:,False,
TextBox_s,TextBox,0,True,000000001308_General,True,s:,False,
TextBox_GP,TextBox,3,True,000000000708_General,True,P:,False,
OptionButtonHR,OptionButton,False,True,100000000400_Options,True,Hannan-Rissanen,False,
OptionButtonInnov,OptionButton,False,True,100000000300_Options,True,Innovations,False,
CheckBoxPre,CheckBox,False,True,100000000000_Options,True,Preliminary estimation,False,
TextBox_m,TextBox,,True,100000000700_Options,True,m:,False,
CheckBoxAuto,CheckBox,True,True,100000000500_Options,True,Automatic,False,
OptionButtonYW,OptionButton,True,True,100000000100_Options,True,Yule-Walker,False,
OptionButtonBurg,OptionButton,False,True,100000000200_Options,True,Burg,False,
CheckBoxInitCoeffs,CheckBox,False,True,100000000001_Options,True,Initial coefficients,False,
RefEditPhi,RefEdit,,True,100000000101_Options,True,Phi:,False,
RefEditTheta,RefEdit,,True,100000000201_Options,True,Theta:,False,
OptionButtonLike,OptionButton,False,True,100000000102_Options,True,Likelihood,False,
OptionButtonLeast,OptionButton,True,True,100000000202_Options,True,Least Squares,False,
CheckBoxOpt,CheckBox,True,True,100000000002_Options,True,Optimize,False,
TextBoxMaxIter,TextBox,500,True,100000010302_Options,True,Iterations:,False,
TextBoxConv,TextBox,0.00001,True,100000040302_Options,True,Convergence:,False,
TextBoxTestNumber,TextBox,1,True,200000000000_Validation,True,,False,
CheckBox_Validation,CheckBox,False,True,200000000001_Validation,True,Validation,False,
CheckBox_Prediction,CheckBox,False,True,300000000001_Prediction,True,Prediction,False,
TextboxPredNumber,TextBox,1,True,300000000000_Prediction,True,,False,
CheckBoxTrans,CheckBox,False,False,04,False,Trans,False,
RefEdit_XPred,RefEdit,,True,300000000002_Prediction,True,X / Explanatory variables:,False,
CheckBox_XPred,CheckBox,False,True,300000000003_Prediction,True,X / Explanatory variables,True,
RefEdit_X,RefEdit,,True,000000000004_General,True,X / Explanatory variables:,False,
CheckBox_X,CheckBox,False,True,000000000003_General,True,X / Explanatory variables,False,
ComboBoxMode,ComboBox,0,True,000000000009_General,True,Mode:,False,
CheckBoxBestOrders,CheckBox,False,True,100000000003_Options,True,Find the best model,False,
CheckBoxMaxP,CheckBox,False,True,100000000103_Options,True,Max(p),False,
TextBoxMaxP,TextBox,1,True,100000000203_Options,True,Max(p):,False,
CheckBoxMaxQ,CheckBox,False,True,100000000303_Options,True,Max(q),False,
TextBoxMaxQ,TextBox,0,True,100000000403_Options,True,Max(q):,False,
CheckBoxMaxGP,CheckBox,False,True,100000000503_Options,True,Max(P),False,
CheckBoxMaxGQ,CheckBox,False,True,100000000603_Options,True,Max(Q),False,
TextBoxMaxGP,TextBox,0,True,100000000703_Options,True,Max(P):,False,
TextBoxMaxGQ,TextBox,0,True,100000000803_Options,True,Max(Q):,False,
OptionButtonAICC,OptionButton,True,True,100000001003_Options,True,AICC,False,
OptionButtonBIC,OptionButton,False,True,100000001103_Options,True,SBC,False,
TextBox_Conf,TextBox,95,True,500000010400_Outputs,True,Confidence intervals (%):,False,
RefEditT,RefEdit0,'Sheet392394X765'!$C$1:$C$99,True,000000000001_General,True,,False,
</a:t>
          </a:r>
        </a:p>
      </xdr:txBody>
    </xdr:sp>
    <xdr:clientData/>
  </xdr:twoCellAnchor>
  <xdr:twoCellAnchor>
    <xdr:from>
      <xdr:col>1</xdr:col>
      <xdr:colOff>0</xdr:colOff>
      <xdr:row>154</xdr:row>
      <xdr:rowOff>0</xdr:rowOff>
    </xdr:from>
    <xdr:to>
      <xdr:col>7</xdr:col>
      <xdr:colOff>0</xdr:colOff>
      <xdr:row>172</xdr:row>
      <xdr:rowOff>0</xdr:rowOff>
    </xdr:to>
    <xdr:graphicFrame macro="">
      <xdr:nvGraphicFramePr>
        <xdr:cNvPr id="3" name="Chart 8-XLSTAT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154</xdr:row>
      <xdr:rowOff>0</xdr:rowOff>
    </xdr:from>
    <xdr:to>
      <xdr:col>13</xdr:col>
      <xdr:colOff>127000</xdr:colOff>
      <xdr:row>172</xdr:row>
      <xdr:rowOff>0</xdr:rowOff>
    </xdr:to>
    <xdr:graphicFrame macro="">
      <xdr:nvGraphicFramePr>
        <xdr:cNvPr id="4" name="Chart 9-XLSTAT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200</xdr:row>
      <xdr:rowOff>0</xdr:rowOff>
    </xdr:from>
    <xdr:to>
      <xdr:col>7</xdr:col>
      <xdr:colOff>0</xdr:colOff>
      <xdr:row>218</xdr:row>
      <xdr:rowOff>0</xdr:rowOff>
    </xdr:to>
    <xdr:graphicFrame macro="">
      <xdr:nvGraphicFramePr>
        <xdr:cNvPr id="5" name="Chart 10-XLSTAT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127000</xdr:colOff>
      <xdr:row>200</xdr:row>
      <xdr:rowOff>0</xdr:rowOff>
    </xdr:from>
    <xdr:to>
      <xdr:col>13</xdr:col>
      <xdr:colOff>127000</xdr:colOff>
      <xdr:row>218</xdr:row>
      <xdr:rowOff>0</xdr:rowOff>
    </xdr:to>
    <xdr:graphicFrame macro="">
      <xdr:nvGraphicFramePr>
        <xdr:cNvPr id="6" name="Chart 11-XLSTAT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7</xdr:col>
      <xdr:colOff>0</xdr:colOff>
      <xdr:row>264</xdr:row>
      <xdr:rowOff>0</xdr:rowOff>
    </xdr:to>
    <xdr:graphicFrame macro="">
      <xdr:nvGraphicFramePr>
        <xdr:cNvPr id="7" name="Chart 12-XLSTAT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127000</xdr:colOff>
      <xdr:row>246</xdr:row>
      <xdr:rowOff>0</xdr:rowOff>
    </xdr:from>
    <xdr:to>
      <xdr:col>13</xdr:col>
      <xdr:colOff>127000</xdr:colOff>
      <xdr:row>264</xdr:row>
      <xdr:rowOff>0</xdr:rowOff>
    </xdr:to>
    <xdr:graphicFrame macro="">
      <xdr:nvGraphicFramePr>
        <xdr:cNvPr id="8" name="Chart 13-XLSTAT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0</xdr:rowOff>
        </xdr:from>
        <xdr:to>
          <xdr:col>7</xdr:col>
          <xdr:colOff>444500</xdr:colOff>
          <xdr:row>10</xdr:row>
          <xdr:rowOff>12700</xdr:rowOff>
        </xdr:to>
        <xdr:sp macro="" textlink="">
          <xdr:nvSpPr>
            <xdr:cNvPr id="10241" name="DD748185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12700</xdr:colOff>
      <xdr:row>9</xdr:row>
      <xdr:rowOff>0</xdr:rowOff>
    </xdr:from>
    <xdr:to>
      <xdr:col>2</xdr:col>
      <xdr:colOff>38100</xdr:colOff>
      <xdr:row>9</xdr:row>
      <xdr:rowOff>25400</xdr:rowOff>
    </xdr:to>
    <xdr:sp macro="" textlink="">
      <xdr:nvSpPr>
        <xdr:cNvPr id="2" name="TX558972" hidden="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 txBox="1"/>
      </xdr:nvSpPr>
      <xdr:spPr>
        <a:xfrm>
          <a:off x="1028700" y="17145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SG" sz="1100"/>
            <a:t>RunProcTSM
Form47.txt
CheckBoxVarLabels,CheckBox,False,True,000000000201_General,True,Series labels,False,
CheckBoxCharts,CheckBox,True,True,600000000000_Charts,True,Display charts,False,
CheckBoxLeft,CheckBox,False,True,100000000300_Options,True,Left side,False,
RefEditT,RefEdit0,'Holt-Winters-Piped Gas'!$C$2:$C$99,True,000000000100_General,True,,False,
CheckBoxDate,CheckBox,False,True,000000000300_General,True,Date data,False,
RefEditDate,RefEdit,,True,000000000400_General,True,Date data:,False,
CheckBoxCheckInt,CheckBox,False,True,000000000500_General,True,Check intervals,False,
TextBoxq,TextBox,2,True,100000000200_Options,True,q:,False,
RefEdit_W,RefEdit,,False,100000000100_Options,False,Workbook,False,
TextBoxp,TextBox,0.5,True,100000000001_Options,True,p:,False,
ScrollBarp,ScrollBar,40,True,100000000101_Options,False,,,
OptionButtonMVRemove,OptionButton,False,True,400000000100_Missing data,True,Remove the observations,False,
OptionButtonMVRefuse,OptionButton,True,True,400000000000_Missing data,True,Do not accept missing data,False,
OptionButtonMVReplace,OptionButton,False,True,400000000200_Missing data,True,Replace by the average of the previous and next values,False,
OptionButtonMVIgnore,OptionButton,False,True,400000000300_Missing data,True,Ignore missing data,False,
CheckBoxGood,CheckBox,True,True,500000000100_Outputs,True,Goodness of fit statistics,False,
CheckBoxResiduals,CheckBox,True,True,500000000300_Outputs,True,Predictions and residuals,False,
CheckboxParam,CheckBox,True,True,500000000200_Outputs,True,Model parameters,False,
CheckBox_Desc,CheckBox,True,True,500000000000_Outputs,True,Descriptive statistics,False,
CheckBoxStrictly,CheckBox,False,True,100000000500_Options,True,Strictly,False,
OptionButtonEachY,OptionButton,True,True,400000000400_Missing data,True,Check for each series separately,False,
OptionButtonAcrossAll,OptionButton,False,True,400000010400_Missing data,True,Across all series,False,
TextBoxList,TextBox,,False,03,False,,False,
ScrollBarSelect,ScrollBar,0,False,04,False,,,
CheckBoxTrans,CheckBox,False,False,05,False,Trans,False,
OptionButton_W,OptionButton,False,True,000000000001_General,True,Workbook,False,
OptionButton_R,OptionButton,False,True,000000010001_General,True,Range,False,
OptionButton_S,OptionButton,True,True,000000020001_General,True,Sheet,False,
RefEdit_R,RefEdit,,True,000000000101_General,True,Range:,False,
CheckBox_Prediction,CheckBox,True,True,300000000000_Prediction,True,Prediction,False,
TextboxPredNumber,TextBox,1,True,300000000100_Prediction,True,,False,
CheckBox_Validation,CheckBox,False,True,200000000000_Validation,True,Validation,False,
TextBoxTestNumber,TextBox,1,True,200000000100_Validation,True,,False,
ComboBoxModel,ComboBox,0,True,000000010301_General,True,Choose this option to smooth the time series using the exponential smoothing method,False,
ComboBoxMethod,ComboBox,0,True,100000000002_Options,True,Series with no trend and no seasonal component,False,
TextBoxMaxIter,TextBox,500,True,100000000102_Options,True,Iterations:,False,
TextBoxConv,TextBox,0.00001,True,100000020102_Options,True,Convergence:,False,
TextBox_Conf,TextBox,95,True,100000010202_Options,True,Confidence intervals (%):,False,
TextBoxA,TextBox,0.2,True,100000000103_Options,True,Alpha:,False,
CheckBoxOptA,CheckBox,True,True,100000000203_Options,True,Optimize,False,
CheckBoxOptC,CheckBox,True,False,100000000603_Options,False,Optimize,False,
TextBoxC,TextBox,0.2,False,100000000503_Options,False,Gamma:,False,
CheckBoxOptB,CheckBox,True,False,100000000403_Options,False,Optimize,False,
TextBoxB,TextBox,0.2,False,100000000303_Options,False,Beta:,False,
ComboBoxS1,ComboBox,0,True,100000000003_Options,True,Choose the method to compute the initial values,False,
TextBoxPeriod,TextBox,12,False,100000000703_Options,False,Period:,False,
</a:t>
          </a:r>
        </a:p>
      </xdr:txBody>
    </xdr:sp>
    <xdr:clientData/>
  </xdr:twoCellAnchor>
  <xdr:twoCellAnchor>
    <xdr:from>
      <xdr:col>1</xdr:col>
      <xdr:colOff>0</xdr:colOff>
      <xdr:row>146</xdr:row>
      <xdr:rowOff>0</xdr:rowOff>
    </xdr:from>
    <xdr:to>
      <xdr:col>7</xdr:col>
      <xdr:colOff>0</xdr:colOff>
      <xdr:row>164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127000</xdr:colOff>
      <xdr:row>146</xdr:row>
      <xdr:rowOff>0</xdr:rowOff>
    </xdr:from>
    <xdr:to>
      <xdr:col>13</xdr:col>
      <xdr:colOff>127000</xdr:colOff>
      <xdr:row>164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9</xdr:row>
          <xdr:rowOff>431800</xdr:rowOff>
        </xdr:from>
        <xdr:to>
          <xdr:col>4</xdr:col>
          <xdr:colOff>228600</xdr:colOff>
          <xdr:row>11</xdr:row>
          <xdr:rowOff>0</xdr:rowOff>
        </xdr:to>
        <xdr:sp macro="" textlink="">
          <xdr:nvSpPr>
            <xdr:cNvPr id="11265" name="DD822835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17</xdr:row>
      <xdr:rowOff>12700</xdr:rowOff>
    </xdr:from>
    <xdr:to>
      <xdr:col>17</xdr:col>
      <xdr:colOff>622300</xdr:colOff>
      <xdr:row>51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Program%20Files%20(x86)/Addinsoft/XLSTAT/XLSTAT.xl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ple/Downloads/DMO_Demand_Forecasting_Group14/Wroking%20Files/Gas_Consumption/GAS_LPG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pple/Downloads/Piped%20Gas_Exponential_ARIM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STAT"/>
    </sheetNames>
    <definedNames>
      <definedName name="AddRemovGrid"/>
      <definedName name="RelaunchCall"/>
      <definedName name="SendToOffice"/>
    </definedNames>
    <sheetDataSet>
      <sheetData sheetId="0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PG Data"/>
      <sheetName val="Exponential"/>
      <sheetName val="Holt-Winters"/>
      <sheetName val="Sheet1"/>
      <sheetName val="GAS_LPG (1)"/>
    </sheetNames>
    <definedNames>
      <definedName name="GoToResultsNew101420184080761"/>
      <definedName name="GoToResultsNew101420184095748"/>
    </definedNames>
    <sheetDataSet>
      <sheetData sheetId="0" refreshError="1"/>
      <sheetData sheetId="1">
        <row r="42">
          <cell r="B42">
            <v>1</v>
          </cell>
          <cell r="C42">
            <v>29226.3</v>
          </cell>
        </row>
        <row r="43">
          <cell r="B43">
            <v>2</v>
          </cell>
          <cell r="C43">
            <v>38153.9</v>
          </cell>
          <cell r="D43">
            <v>29226.3</v>
          </cell>
          <cell r="E43">
            <v>8927.6000000000022</v>
          </cell>
        </row>
        <row r="44">
          <cell r="B44">
            <v>3</v>
          </cell>
          <cell r="C44">
            <v>39414.699999999997</v>
          </cell>
          <cell r="D44">
            <v>31011.82</v>
          </cell>
          <cell r="E44">
            <v>8402.8799999999974</v>
          </cell>
        </row>
        <row r="45">
          <cell r="B45">
            <v>4</v>
          </cell>
          <cell r="C45">
            <v>37600.300000000003</v>
          </cell>
          <cell r="D45">
            <v>32692.396000000001</v>
          </cell>
          <cell r="E45">
            <v>4907.9040000000023</v>
          </cell>
        </row>
        <row r="46">
          <cell r="B46">
            <v>5</v>
          </cell>
          <cell r="C46">
            <v>34100.6</v>
          </cell>
          <cell r="D46">
            <v>33673.976800000004</v>
          </cell>
          <cell r="E46">
            <v>426.62319999999454</v>
          </cell>
        </row>
        <row r="47">
          <cell r="B47">
            <v>6</v>
          </cell>
          <cell r="C47">
            <v>39855.9</v>
          </cell>
          <cell r="D47">
            <v>33759.301440000003</v>
          </cell>
          <cell r="E47">
            <v>6096.5985599999985</v>
          </cell>
        </row>
        <row r="48">
          <cell r="B48">
            <v>7</v>
          </cell>
          <cell r="C48">
            <v>36850</v>
          </cell>
          <cell r="D48">
            <v>34978.621152</v>
          </cell>
          <cell r="E48">
            <v>1871.3788480000003</v>
          </cell>
        </row>
        <row r="49">
          <cell r="B49">
            <v>8</v>
          </cell>
          <cell r="C49">
            <v>31891</v>
          </cell>
          <cell r="D49">
            <v>35352.896921599997</v>
          </cell>
          <cell r="E49">
            <v>-3461.8969215999969</v>
          </cell>
        </row>
        <row r="50">
          <cell r="B50">
            <v>9</v>
          </cell>
          <cell r="C50">
            <v>29775.4</v>
          </cell>
          <cell r="D50">
            <v>34660.51753728</v>
          </cell>
          <cell r="E50">
            <v>-4885.1175372799989</v>
          </cell>
        </row>
        <row r="51">
          <cell r="B51">
            <v>10</v>
          </cell>
          <cell r="C51">
            <v>31878.400000000001</v>
          </cell>
          <cell r="D51">
            <v>33683.494029824004</v>
          </cell>
          <cell r="E51">
            <v>-1805.0940298240021</v>
          </cell>
        </row>
        <row r="52">
          <cell r="B52">
            <v>11</v>
          </cell>
          <cell r="C52">
            <v>32743.3</v>
          </cell>
          <cell r="D52">
            <v>33322.475223859205</v>
          </cell>
          <cell r="E52">
            <v>-579.17522385920529</v>
          </cell>
        </row>
        <row r="53">
          <cell r="B53">
            <v>12</v>
          </cell>
          <cell r="C53">
            <v>32667</v>
          </cell>
          <cell r="D53">
            <v>33206.640179087364</v>
          </cell>
          <cell r="E53">
            <v>-539.64017908736423</v>
          </cell>
        </row>
        <row r="54">
          <cell r="B54">
            <v>13</v>
          </cell>
          <cell r="C54">
            <v>29213.599999999999</v>
          </cell>
          <cell r="D54">
            <v>33098.712143269891</v>
          </cell>
          <cell r="E54">
            <v>-3885.1121432698928</v>
          </cell>
        </row>
        <row r="55">
          <cell r="B55">
            <v>14</v>
          </cell>
          <cell r="C55">
            <v>32091</v>
          </cell>
          <cell r="D55">
            <v>32321.689714615914</v>
          </cell>
          <cell r="E55">
            <v>-230.68971461591354</v>
          </cell>
        </row>
        <row r="56">
          <cell r="B56">
            <v>15</v>
          </cell>
          <cell r="C56">
            <v>32247.5</v>
          </cell>
          <cell r="D56">
            <v>32275.551771692732</v>
          </cell>
          <cell r="E56">
            <v>-28.051771692731563</v>
          </cell>
        </row>
        <row r="57">
          <cell r="B57">
            <v>16</v>
          </cell>
          <cell r="C57">
            <v>31778.799999999999</v>
          </cell>
          <cell r="D57">
            <v>32269.941417354185</v>
          </cell>
          <cell r="E57">
            <v>-491.14141735418525</v>
          </cell>
        </row>
        <row r="58">
          <cell r="B58">
            <v>17</v>
          </cell>
          <cell r="C58">
            <v>29355.8</v>
          </cell>
          <cell r="D58">
            <v>32171.713133883346</v>
          </cell>
          <cell r="E58">
            <v>-2815.9131338833467</v>
          </cell>
        </row>
        <row r="59">
          <cell r="B59">
            <v>18</v>
          </cell>
          <cell r="C59">
            <v>30408.799999999999</v>
          </cell>
          <cell r="D59">
            <v>31608.530507106676</v>
          </cell>
          <cell r="E59">
            <v>-1199.7305071066767</v>
          </cell>
        </row>
        <row r="60">
          <cell r="B60">
            <v>19</v>
          </cell>
          <cell r="C60">
            <v>32011</v>
          </cell>
          <cell r="D60">
            <v>31368.584405685342</v>
          </cell>
          <cell r="E60">
            <v>642.41559431465794</v>
          </cell>
        </row>
        <row r="61">
          <cell r="B61">
            <v>20</v>
          </cell>
          <cell r="C61">
            <v>32922.300000000003</v>
          </cell>
          <cell r="D61">
            <v>31497.067524548274</v>
          </cell>
          <cell r="E61">
            <v>1425.2324754517285</v>
          </cell>
        </row>
        <row r="62">
          <cell r="B62">
            <v>21</v>
          </cell>
          <cell r="C62">
            <v>29569.8</v>
          </cell>
          <cell r="D62">
            <v>31782.114019638619</v>
          </cell>
          <cell r="E62">
            <v>-2212.3140196386194</v>
          </cell>
        </row>
        <row r="63">
          <cell r="B63">
            <v>22</v>
          </cell>
          <cell r="C63">
            <v>30128.5</v>
          </cell>
          <cell r="D63">
            <v>31339.651215710895</v>
          </cell>
          <cell r="E63">
            <v>-1211.1512157108955</v>
          </cell>
        </row>
        <row r="64">
          <cell r="B64">
            <v>23</v>
          </cell>
          <cell r="C64">
            <v>31302</v>
          </cell>
          <cell r="D64">
            <v>31097.420972568718</v>
          </cell>
          <cell r="E64">
            <v>204.57902743128216</v>
          </cell>
        </row>
        <row r="65">
          <cell r="B65">
            <v>24</v>
          </cell>
          <cell r="C65">
            <v>31152.2</v>
          </cell>
          <cell r="D65">
            <v>31138.336778054974</v>
          </cell>
          <cell r="E65">
            <v>13.863221945026453</v>
          </cell>
        </row>
        <row r="66">
          <cell r="B66">
            <v>25</v>
          </cell>
          <cell r="C66">
            <v>29930.400000000001</v>
          </cell>
          <cell r="D66">
            <v>31141.10942244398</v>
          </cell>
          <cell r="E66">
            <v>-1210.7094224439788</v>
          </cell>
        </row>
        <row r="67">
          <cell r="B67">
            <v>26</v>
          </cell>
          <cell r="C67">
            <v>31080.5</v>
          </cell>
          <cell r="D67">
            <v>30898.967537955185</v>
          </cell>
          <cell r="E67">
            <v>181.53246204481547</v>
          </cell>
        </row>
        <row r="68">
          <cell r="B68">
            <v>27</v>
          </cell>
          <cell r="C68">
            <v>32549.200000000001</v>
          </cell>
          <cell r="D68">
            <v>30935.274030364148</v>
          </cell>
          <cell r="E68">
            <v>1613.9259696358531</v>
          </cell>
        </row>
        <row r="69">
          <cell r="B69">
            <v>28</v>
          </cell>
          <cell r="C69">
            <v>29440.2</v>
          </cell>
          <cell r="D69">
            <v>31258.059224291319</v>
          </cell>
          <cell r="E69">
            <v>-1817.8592242913182</v>
          </cell>
        </row>
        <row r="70">
          <cell r="B70">
            <v>29</v>
          </cell>
          <cell r="C70">
            <v>28134.3</v>
          </cell>
          <cell r="D70">
            <v>30894.487379433056</v>
          </cell>
          <cell r="E70">
            <v>-2760.1873794330568</v>
          </cell>
        </row>
        <row r="71">
          <cell r="B71">
            <v>30</v>
          </cell>
          <cell r="C71">
            <v>31911.599999999999</v>
          </cell>
          <cell r="D71">
            <v>30342.449903546443</v>
          </cell>
          <cell r="E71">
            <v>1569.1500964535553</v>
          </cell>
        </row>
        <row r="72">
          <cell r="B72">
            <v>31</v>
          </cell>
          <cell r="C72">
            <v>28129.4</v>
          </cell>
          <cell r="D72">
            <v>30656.279922837155</v>
          </cell>
          <cell r="E72">
            <v>-2526.8799228371536</v>
          </cell>
        </row>
        <row r="73">
          <cell r="B73">
            <v>32</v>
          </cell>
          <cell r="C73">
            <v>32750.5</v>
          </cell>
          <cell r="D73">
            <v>30150.903938269723</v>
          </cell>
          <cell r="E73">
            <v>2599.5960617302771</v>
          </cell>
        </row>
        <row r="74">
          <cell r="B74">
            <v>33</v>
          </cell>
          <cell r="C74">
            <v>37531.800000000003</v>
          </cell>
          <cell r="D74">
            <v>30670.823150615779</v>
          </cell>
          <cell r="E74">
            <v>6860.9768493842239</v>
          </cell>
        </row>
        <row r="75">
          <cell r="B75">
            <v>34</v>
          </cell>
          <cell r="C75">
            <v>35977.9</v>
          </cell>
          <cell r="D75">
            <v>32043.018520492624</v>
          </cell>
          <cell r="E75">
            <v>3934.8814795073777</v>
          </cell>
        </row>
        <row r="76">
          <cell r="B76">
            <v>35</v>
          </cell>
          <cell r="C76">
            <v>36124.800000000003</v>
          </cell>
          <cell r="D76">
            <v>32829.994816394101</v>
          </cell>
          <cell r="E76">
            <v>3294.8051836059021</v>
          </cell>
        </row>
        <row r="77">
          <cell r="B77">
            <v>36</v>
          </cell>
          <cell r="C77">
            <v>35890.400000000001</v>
          </cell>
          <cell r="D77">
            <v>33488.95585311528</v>
          </cell>
          <cell r="E77">
            <v>2401.4441468847217</v>
          </cell>
        </row>
        <row r="78">
          <cell r="B78">
            <v>37</v>
          </cell>
          <cell r="C78">
            <v>29915.4</v>
          </cell>
          <cell r="D78">
            <v>33969.244682492223</v>
          </cell>
          <cell r="E78">
            <v>-4053.8446824922212</v>
          </cell>
        </row>
        <row r="79">
          <cell r="B79">
            <v>38</v>
          </cell>
          <cell r="C79">
            <v>29001.3</v>
          </cell>
          <cell r="D79">
            <v>33158.475745993775</v>
          </cell>
          <cell r="E79">
            <v>-4157.1757459937762</v>
          </cell>
        </row>
        <row r="80">
          <cell r="B80">
            <v>39</v>
          </cell>
          <cell r="C80">
            <v>28504.400000000001</v>
          </cell>
          <cell r="D80">
            <v>32327.040596795021</v>
          </cell>
          <cell r="E80">
            <v>-3822.6405967950195</v>
          </cell>
        </row>
        <row r="81">
          <cell r="B81">
            <v>40</v>
          </cell>
          <cell r="C81">
            <v>31735.1</v>
          </cell>
          <cell r="D81">
            <v>31562.512477436016</v>
          </cell>
          <cell r="E81">
            <v>172.58752256398293</v>
          </cell>
        </row>
        <row r="82">
          <cell r="B82">
            <v>41</v>
          </cell>
          <cell r="C82">
            <v>30061.5</v>
          </cell>
          <cell r="D82">
            <v>31597.029981948814</v>
          </cell>
          <cell r="E82">
            <v>-1535.5299819488137</v>
          </cell>
        </row>
        <row r="83">
          <cell r="B83">
            <v>42</v>
          </cell>
          <cell r="C83">
            <v>30531.200000000001</v>
          </cell>
          <cell r="D83">
            <v>31289.923985559049</v>
          </cell>
          <cell r="E83">
            <v>-758.72398555904874</v>
          </cell>
        </row>
        <row r="84">
          <cell r="B84">
            <v>43</v>
          </cell>
          <cell r="C84">
            <v>31297.200000000001</v>
          </cell>
          <cell r="D84">
            <v>31138.17918844724</v>
          </cell>
          <cell r="E84">
            <v>159.02081155276028</v>
          </cell>
        </row>
        <row r="85">
          <cell r="B85">
            <v>44</v>
          </cell>
          <cell r="C85">
            <v>28978.2</v>
          </cell>
          <cell r="D85">
            <v>31169.983350757793</v>
          </cell>
          <cell r="E85">
            <v>-2191.7833507577925</v>
          </cell>
        </row>
        <row r="86">
          <cell r="B86">
            <v>45</v>
          </cell>
          <cell r="C86">
            <v>27903.9</v>
          </cell>
          <cell r="D86">
            <v>30731.626680606234</v>
          </cell>
          <cell r="E86">
            <v>-2827.7266806062325</v>
          </cell>
        </row>
        <row r="87">
          <cell r="B87">
            <v>46</v>
          </cell>
          <cell r="C87">
            <v>28861.1</v>
          </cell>
          <cell r="D87">
            <v>30166.081344484988</v>
          </cell>
          <cell r="E87">
            <v>-1304.9813444849897</v>
          </cell>
        </row>
        <row r="88">
          <cell r="B88">
            <v>47</v>
          </cell>
          <cell r="C88">
            <v>27362.3</v>
          </cell>
          <cell r="D88">
            <v>29905.085075587991</v>
          </cell>
          <cell r="E88">
            <v>-2542.7850755879917</v>
          </cell>
        </row>
        <row r="89">
          <cell r="B89">
            <v>48</v>
          </cell>
          <cell r="C89">
            <v>27219.599999999999</v>
          </cell>
          <cell r="D89">
            <v>29396.528060470391</v>
          </cell>
          <cell r="E89">
            <v>-2176.9280604703927</v>
          </cell>
        </row>
        <row r="90">
          <cell r="B90">
            <v>49</v>
          </cell>
          <cell r="C90">
            <v>23945.599999999999</v>
          </cell>
          <cell r="D90">
            <v>28961.142448376311</v>
          </cell>
          <cell r="E90">
            <v>-5015.5424483763127</v>
          </cell>
        </row>
        <row r="91">
          <cell r="B91">
            <v>50</v>
          </cell>
          <cell r="C91">
            <v>24871.3</v>
          </cell>
          <cell r="D91">
            <v>27958.033958701049</v>
          </cell>
          <cell r="E91">
            <v>-3086.7339587010501</v>
          </cell>
        </row>
        <row r="92">
          <cell r="B92">
            <v>51</v>
          </cell>
          <cell r="C92">
            <v>25135.8</v>
          </cell>
          <cell r="D92">
            <v>27340.687166960841</v>
          </cell>
          <cell r="E92">
            <v>-2204.8871669608416</v>
          </cell>
        </row>
        <row r="93">
          <cell r="B93">
            <v>52</v>
          </cell>
          <cell r="C93">
            <v>25755.8</v>
          </cell>
          <cell r="D93">
            <v>26899.709733568674</v>
          </cell>
          <cell r="E93">
            <v>-1143.9097335686747</v>
          </cell>
        </row>
        <row r="94">
          <cell r="B94">
            <v>53</v>
          </cell>
          <cell r="C94">
            <v>26175.9</v>
          </cell>
          <cell r="D94">
            <v>26670.92778685494</v>
          </cell>
          <cell r="E94">
            <v>-495.02778685493831</v>
          </cell>
        </row>
        <row r="95">
          <cell r="B95">
            <v>54</v>
          </cell>
          <cell r="C95">
            <v>28491.9</v>
          </cell>
          <cell r="D95">
            <v>26571.922229483953</v>
          </cell>
          <cell r="E95">
            <v>1919.9777705160486</v>
          </cell>
        </row>
        <row r="96">
          <cell r="B96">
            <v>55</v>
          </cell>
          <cell r="C96">
            <v>29512</v>
          </cell>
          <cell r="D96">
            <v>26955.917783587163</v>
          </cell>
          <cell r="E96">
            <v>2556.0822164128367</v>
          </cell>
        </row>
        <row r="97">
          <cell r="B97">
            <v>56</v>
          </cell>
          <cell r="C97">
            <v>27895.8</v>
          </cell>
          <cell r="D97">
            <v>27467.13422686973</v>
          </cell>
          <cell r="E97">
            <v>428.66577313026937</v>
          </cell>
        </row>
        <row r="98">
          <cell r="B98">
            <v>57</v>
          </cell>
          <cell r="C98">
            <v>26771.200000000001</v>
          </cell>
          <cell r="D98">
            <v>27552.867381495784</v>
          </cell>
          <cell r="E98">
            <v>-781.66738149578305</v>
          </cell>
        </row>
        <row r="99">
          <cell r="B99">
            <v>58</v>
          </cell>
          <cell r="C99">
            <v>27559.599999999999</v>
          </cell>
          <cell r="D99">
            <v>27396.533905196626</v>
          </cell>
          <cell r="E99">
            <v>163.06609480337283</v>
          </cell>
        </row>
        <row r="100">
          <cell r="B100">
            <v>59</v>
          </cell>
          <cell r="C100">
            <v>28067.599999999999</v>
          </cell>
          <cell r="D100">
            <v>27429.147124157302</v>
          </cell>
          <cell r="E100">
            <v>638.45287584269681</v>
          </cell>
        </row>
        <row r="101">
          <cell r="B101">
            <v>60</v>
          </cell>
          <cell r="C101">
            <v>27697.8</v>
          </cell>
          <cell r="D101">
            <v>27556.837699325843</v>
          </cell>
          <cell r="E101">
            <v>140.96230067415672</v>
          </cell>
        </row>
        <row r="102">
          <cell r="B102">
            <v>61</v>
          </cell>
          <cell r="C102">
            <v>26401.9</v>
          </cell>
          <cell r="D102">
            <v>27585.030159460675</v>
          </cell>
          <cell r="E102">
            <v>-1183.1301594606739</v>
          </cell>
        </row>
        <row r="103">
          <cell r="B103">
            <v>62</v>
          </cell>
          <cell r="C103">
            <v>28462.7</v>
          </cell>
          <cell r="D103">
            <v>27348.404127568541</v>
          </cell>
          <cell r="E103">
            <v>1114.2958724314594</v>
          </cell>
        </row>
        <row r="104">
          <cell r="B104">
            <v>63</v>
          </cell>
          <cell r="C104">
            <v>28252.2</v>
          </cell>
          <cell r="D104">
            <v>27571.263302054835</v>
          </cell>
          <cell r="E104">
            <v>680.93669794516609</v>
          </cell>
        </row>
        <row r="105">
          <cell r="B105">
            <v>64</v>
          </cell>
          <cell r="C105">
            <v>28430.400000000001</v>
          </cell>
          <cell r="D105">
            <v>27707.450641643867</v>
          </cell>
          <cell r="E105">
            <v>722.94935835613433</v>
          </cell>
        </row>
        <row r="106">
          <cell r="B106">
            <v>65</v>
          </cell>
          <cell r="C106">
            <v>28234.6</v>
          </cell>
          <cell r="D106">
            <v>27852.040513315093</v>
          </cell>
          <cell r="E106">
            <v>382.55948668490601</v>
          </cell>
        </row>
        <row r="107">
          <cell r="B107">
            <v>66</v>
          </cell>
          <cell r="C107">
            <v>27960.799999999999</v>
          </cell>
          <cell r="D107">
            <v>27928.552410652075</v>
          </cell>
          <cell r="E107">
            <v>32.247589347924077</v>
          </cell>
        </row>
        <row r="108">
          <cell r="B108">
            <v>67</v>
          </cell>
          <cell r="C108">
            <v>28676.9</v>
          </cell>
          <cell r="D108">
            <v>27935.001928521659</v>
          </cell>
          <cell r="E108">
            <v>741.8980714783429</v>
          </cell>
        </row>
        <row r="109">
          <cell r="B109">
            <v>68</v>
          </cell>
          <cell r="C109">
            <v>28780.9</v>
          </cell>
          <cell r="D109">
            <v>28083.381542817326</v>
          </cell>
          <cell r="E109">
            <v>697.51845718267577</v>
          </cell>
        </row>
        <row r="110">
          <cell r="B110">
            <v>69</v>
          </cell>
          <cell r="C110">
            <v>24749.5</v>
          </cell>
          <cell r="D110">
            <v>28222.885234253859</v>
          </cell>
          <cell r="E110">
            <v>-3473.3852342538594</v>
          </cell>
        </row>
        <row r="111">
          <cell r="B111">
            <v>70</v>
          </cell>
          <cell r="C111">
            <v>27228.400000000001</v>
          </cell>
          <cell r="D111">
            <v>27528.208187403088</v>
          </cell>
          <cell r="E111">
            <v>-299.80818740308678</v>
          </cell>
        </row>
        <row r="112">
          <cell r="B112">
            <v>71</v>
          </cell>
          <cell r="C112">
            <v>27615.3</v>
          </cell>
          <cell r="D112">
            <v>27468.246549922471</v>
          </cell>
          <cell r="E112">
            <v>147.0534500775284</v>
          </cell>
        </row>
        <row r="113">
          <cell r="B113">
            <v>72</v>
          </cell>
          <cell r="C113">
            <v>24988.7</v>
          </cell>
          <cell r="D113">
            <v>27497.657239937977</v>
          </cell>
          <cell r="E113">
            <v>-2508.9572399379758</v>
          </cell>
        </row>
        <row r="114">
          <cell r="B114">
            <v>73</v>
          </cell>
          <cell r="C114">
            <v>25172.1</v>
          </cell>
          <cell r="D114">
            <v>26995.865791950382</v>
          </cell>
          <cell r="E114">
            <v>-1823.7657919503836</v>
          </cell>
        </row>
        <row r="115">
          <cell r="B115">
            <v>74</v>
          </cell>
          <cell r="C115">
            <v>26022.799999999999</v>
          </cell>
          <cell r="D115">
            <v>26631.112633560304</v>
          </cell>
          <cell r="E115">
            <v>-608.31263356030468</v>
          </cell>
        </row>
        <row r="116">
          <cell r="B116">
            <v>75</v>
          </cell>
          <cell r="C116">
            <v>25934</v>
          </cell>
          <cell r="D116">
            <v>26509.450106848242</v>
          </cell>
          <cell r="E116">
            <v>-575.45010684824229</v>
          </cell>
        </row>
        <row r="117">
          <cell r="B117">
            <v>76</v>
          </cell>
          <cell r="C117">
            <v>26481.599999999999</v>
          </cell>
          <cell r="D117">
            <v>26394.360085478595</v>
          </cell>
          <cell r="E117">
            <v>87.239914521403989</v>
          </cell>
        </row>
        <row r="118">
          <cell r="B118">
            <v>77</v>
          </cell>
          <cell r="C118">
            <v>25597.599999999999</v>
          </cell>
          <cell r="D118">
            <v>26411.808068382874</v>
          </cell>
          <cell r="E118">
            <v>-814.20806838287535</v>
          </cell>
        </row>
        <row r="119">
          <cell r="B119">
            <v>78</v>
          </cell>
          <cell r="C119">
            <v>27424</v>
          </cell>
          <cell r="D119">
            <v>26248.9664547063</v>
          </cell>
          <cell r="E119">
            <v>1175.0335452936997</v>
          </cell>
        </row>
        <row r="120">
          <cell r="B120">
            <v>79</v>
          </cell>
          <cell r="C120">
            <v>26599.4</v>
          </cell>
          <cell r="D120">
            <v>26483.97316376504</v>
          </cell>
          <cell r="E120">
            <v>115.42683623496123</v>
          </cell>
        </row>
        <row r="121">
          <cell r="B121">
            <v>80</v>
          </cell>
          <cell r="C121">
            <v>25980.5</v>
          </cell>
          <cell r="D121">
            <v>26507.058531012033</v>
          </cell>
          <cell r="E121">
            <v>-526.5585310120332</v>
          </cell>
        </row>
        <row r="122">
          <cell r="B122">
            <v>81</v>
          </cell>
          <cell r="C122">
            <v>24525.1</v>
          </cell>
          <cell r="D122">
            <v>26401.746824809627</v>
          </cell>
          <cell r="E122">
            <v>-1876.646824809628</v>
          </cell>
        </row>
        <row r="123">
          <cell r="B123">
            <v>82</v>
          </cell>
          <cell r="C123">
            <v>23431.7</v>
          </cell>
          <cell r="D123">
            <v>26026.4174598477</v>
          </cell>
          <cell r="E123">
            <v>-2594.7174598476995</v>
          </cell>
        </row>
        <row r="124">
          <cell r="B124">
            <v>83</v>
          </cell>
          <cell r="C124">
            <v>23965.3</v>
          </cell>
          <cell r="D124">
            <v>25507.473967878159</v>
          </cell>
          <cell r="E124">
            <v>-1542.1739678781596</v>
          </cell>
        </row>
        <row r="125">
          <cell r="B125">
            <v>84</v>
          </cell>
          <cell r="C125">
            <v>23474.799999999999</v>
          </cell>
          <cell r="D125">
            <v>25199.039174302528</v>
          </cell>
          <cell r="E125">
            <v>-1724.2391743025291</v>
          </cell>
        </row>
        <row r="126">
          <cell r="B126">
            <v>85</v>
          </cell>
          <cell r="C126">
            <v>23384.799999999999</v>
          </cell>
          <cell r="D126">
            <v>24854.191339442023</v>
          </cell>
          <cell r="E126">
            <v>-1469.3913394420233</v>
          </cell>
        </row>
        <row r="127">
          <cell r="B127">
            <v>86</v>
          </cell>
          <cell r="C127">
            <v>23808.7</v>
          </cell>
          <cell r="D127">
            <v>24560.313071553617</v>
          </cell>
          <cell r="E127">
            <v>-751.61307155361646</v>
          </cell>
        </row>
        <row r="128">
          <cell r="B128">
            <v>87</v>
          </cell>
          <cell r="C128">
            <v>24311.7</v>
          </cell>
          <cell r="D128">
            <v>24409.990457242893</v>
          </cell>
          <cell r="E128">
            <v>-98.290457242892444</v>
          </cell>
        </row>
        <row r="129">
          <cell r="B129">
            <v>88</v>
          </cell>
          <cell r="C129">
            <v>25315.1</v>
          </cell>
          <cell r="D129">
            <v>24390.332365794315</v>
          </cell>
          <cell r="E129">
            <v>924.76763420568386</v>
          </cell>
        </row>
        <row r="130">
          <cell r="B130">
            <v>89</v>
          </cell>
          <cell r="C130">
            <v>23129.9</v>
          </cell>
          <cell r="D130">
            <v>24575.285892635453</v>
          </cell>
          <cell r="E130">
            <v>-1445.3858926354515</v>
          </cell>
        </row>
        <row r="131">
          <cell r="B131">
            <v>90</v>
          </cell>
          <cell r="C131">
            <v>23324.9</v>
          </cell>
          <cell r="D131">
            <v>24286.208714108361</v>
          </cell>
          <cell r="E131">
            <v>-961.30871410835971</v>
          </cell>
        </row>
        <row r="132">
          <cell r="B132">
            <v>91</v>
          </cell>
          <cell r="C132">
            <v>23889.9</v>
          </cell>
          <cell r="D132">
            <v>24093.946971286688</v>
          </cell>
          <cell r="E132">
            <v>-204.04697128668704</v>
          </cell>
        </row>
        <row r="133">
          <cell r="B133">
            <v>92</v>
          </cell>
          <cell r="C133">
            <v>23206.6</v>
          </cell>
          <cell r="D133">
            <v>24053.137577029353</v>
          </cell>
          <cell r="E133">
            <v>-846.537577029354</v>
          </cell>
        </row>
        <row r="134">
          <cell r="B134">
            <v>93</v>
          </cell>
          <cell r="C134">
            <v>21934.5</v>
          </cell>
          <cell r="D134">
            <v>23883.830061623481</v>
          </cell>
          <cell r="E134">
            <v>-1949.330061623481</v>
          </cell>
        </row>
        <row r="135">
          <cell r="B135">
            <v>94</v>
          </cell>
          <cell r="C135">
            <v>22573.1</v>
          </cell>
          <cell r="D135">
            <v>23493.964049298786</v>
          </cell>
          <cell r="E135">
            <v>-920.86404929878699</v>
          </cell>
        </row>
        <row r="136">
          <cell r="B136">
            <v>95</v>
          </cell>
          <cell r="C136">
            <v>23162.799999999999</v>
          </cell>
          <cell r="D136">
            <v>23309.79123943903</v>
          </cell>
          <cell r="E136">
            <v>-146.99123943903032</v>
          </cell>
        </row>
        <row r="137">
          <cell r="B137">
            <v>96</v>
          </cell>
          <cell r="C137">
            <v>23253.4</v>
          </cell>
          <cell r="D137">
            <v>23280.392991551224</v>
          </cell>
          <cell r="E137">
            <v>-26.992991551222076</v>
          </cell>
        </row>
        <row r="138">
          <cell r="B138">
            <v>97</v>
          </cell>
          <cell r="C138">
            <v>22341</v>
          </cell>
          <cell r="D138">
            <v>23274.994393240981</v>
          </cell>
          <cell r="E138">
            <v>-933.99439324098057</v>
          </cell>
        </row>
        <row r="139">
          <cell r="B139">
            <v>98</v>
          </cell>
          <cell r="C139">
            <v>22628.2</v>
          </cell>
          <cell r="D139">
            <v>23088.195514592786</v>
          </cell>
          <cell r="E139">
            <v>-459.99551459278518</v>
          </cell>
        </row>
      </sheetData>
      <sheetData sheetId="2">
        <row r="44">
          <cell r="B44">
            <v>1</v>
          </cell>
          <cell r="C44">
            <v>29226.3</v>
          </cell>
        </row>
        <row r="45">
          <cell r="B45">
            <v>2</v>
          </cell>
          <cell r="C45">
            <v>38153.9</v>
          </cell>
          <cell r="D45">
            <v>29226.3</v>
          </cell>
          <cell r="E45">
            <v>8927.6000000000022</v>
          </cell>
        </row>
        <row r="46">
          <cell r="B46">
            <v>3</v>
          </cell>
          <cell r="C46">
            <v>39414.699999999997</v>
          </cell>
          <cell r="D46">
            <v>31368.923999999999</v>
          </cell>
          <cell r="E46">
            <v>8045.775999999998</v>
          </cell>
        </row>
        <row r="47">
          <cell r="B47">
            <v>4</v>
          </cell>
          <cell r="C47">
            <v>37600.300000000003</v>
          </cell>
          <cell r="D47">
            <v>33657.014239999997</v>
          </cell>
          <cell r="E47">
            <v>3943.2857600000061</v>
          </cell>
        </row>
        <row r="48">
          <cell r="B48">
            <v>5</v>
          </cell>
          <cell r="C48">
            <v>34100.6</v>
          </cell>
          <cell r="D48">
            <v>35282.337862400003</v>
          </cell>
          <cell r="E48">
            <v>-1181.7378624000048</v>
          </cell>
        </row>
        <row r="49">
          <cell r="B49">
            <v>6</v>
          </cell>
          <cell r="C49">
            <v>39855.9</v>
          </cell>
          <cell r="D49">
            <v>35835.387245824</v>
          </cell>
          <cell r="E49">
            <v>4020.5127541760012</v>
          </cell>
        </row>
        <row r="50">
          <cell r="B50">
            <v>7</v>
          </cell>
          <cell r="C50">
            <v>36850</v>
          </cell>
          <cell r="D50">
            <v>37589.70726273024</v>
          </cell>
          <cell r="E50">
            <v>-739.70726273024047</v>
          </cell>
        </row>
        <row r="51">
          <cell r="B51">
            <v>8</v>
          </cell>
          <cell r="C51">
            <v>31891</v>
          </cell>
          <cell r="D51">
            <v>38362.394985746025</v>
          </cell>
          <cell r="E51">
            <v>-6471.3949857460248</v>
          </cell>
        </row>
        <row r="52">
          <cell r="B52">
            <v>9</v>
          </cell>
          <cell r="C52">
            <v>29775.4</v>
          </cell>
          <cell r="D52">
            <v>37729.889364728813</v>
          </cell>
          <cell r="E52">
            <v>-7954.4893647288118</v>
          </cell>
        </row>
        <row r="53">
          <cell r="B53">
            <v>10</v>
          </cell>
          <cell r="C53">
            <v>31878.400000000001</v>
          </cell>
          <cell r="D53">
            <v>36482.585293325894</v>
          </cell>
          <cell r="E53">
            <v>-4604.1852933258924</v>
          </cell>
        </row>
        <row r="54">
          <cell r="B54">
            <v>11</v>
          </cell>
          <cell r="C54">
            <v>32743.3</v>
          </cell>
          <cell r="D54">
            <v>35721.174624470514</v>
          </cell>
          <cell r="E54">
            <v>-2977.8746244705144</v>
          </cell>
        </row>
        <row r="55">
          <cell r="B55">
            <v>12</v>
          </cell>
          <cell r="C55">
            <v>32667</v>
          </cell>
          <cell r="D55">
            <v>35165.911104407394</v>
          </cell>
          <cell r="E55">
            <v>-2498.9111044073943</v>
          </cell>
        </row>
        <row r="56">
          <cell r="B56">
            <v>13</v>
          </cell>
          <cell r="C56">
            <v>29213.599999999999</v>
          </cell>
          <cell r="D56">
            <v>34606.483844180606</v>
          </cell>
          <cell r="E56">
            <v>-5392.8838441806074</v>
          </cell>
        </row>
        <row r="57">
          <cell r="B57">
            <v>14</v>
          </cell>
          <cell r="C57">
            <v>32091</v>
          </cell>
          <cell r="D57">
            <v>33252.546682231943</v>
          </cell>
          <cell r="E57">
            <v>-1161.5466822319431</v>
          </cell>
        </row>
        <row r="58">
          <cell r="B58">
            <v>15</v>
          </cell>
          <cell r="C58">
            <v>32247.5</v>
          </cell>
          <cell r="D58">
            <v>32698.415085383742</v>
          </cell>
          <cell r="E58">
            <v>-450.91508538374183</v>
          </cell>
        </row>
        <row r="59">
          <cell r="B59">
            <v>16</v>
          </cell>
          <cell r="C59">
            <v>31778.799999999999</v>
          </cell>
          <cell r="D59">
            <v>32268.373204489828</v>
          </cell>
          <cell r="E59">
            <v>-489.57320448982864</v>
          </cell>
        </row>
        <row r="60">
          <cell r="B60">
            <v>17</v>
          </cell>
          <cell r="C60">
            <v>29355.8</v>
          </cell>
          <cell r="D60">
            <v>31811.016771595107</v>
          </cell>
          <cell r="E60">
            <v>-2455.2167715951073</v>
          </cell>
        </row>
        <row r="61">
          <cell r="B61">
            <v>18</v>
          </cell>
          <cell r="C61">
            <v>30408.799999999999</v>
          </cell>
          <cell r="D61">
            <v>30862.322954415522</v>
          </cell>
          <cell r="E61">
            <v>-453.52295441552269</v>
          </cell>
        </row>
        <row r="62">
          <cell r="B62">
            <v>19</v>
          </cell>
          <cell r="C62">
            <v>32011</v>
          </cell>
          <cell r="D62">
            <v>30295.826982495233</v>
          </cell>
          <cell r="E62">
            <v>1715.1730175047669</v>
          </cell>
        </row>
        <row r="63">
          <cell r="B63">
            <v>20</v>
          </cell>
          <cell r="C63">
            <v>32922.300000000003</v>
          </cell>
          <cell r="D63">
            <v>30231.677125659193</v>
          </cell>
          <cell r="E63">
            <v>2690.6228743408101</v>
          </cell>
        </row>
        <row r="64">
          <cell r="B64">
            <v>21</v>
          </cell>
          <cell r="C64">
            <v>29569.8</v>
          </cell>
          <cell r="D64">
            <v>30470.242155163993</v>
          </cell>
          <cell r="E64">
            <v>-900.44215516399345</v>
          </cell>
        </row>
        <row r="65">
          <cell r="B65">
            <v>22</v>
          </cell>
          <cell r="C65">
            <v>30128.5</v>
          </cell>
          <cell r="D65">
            <v>29954.576492561275</v>
          </cell>
          <cell r="E65">
            <v>173.92350743872521</v>
          </cell>
        </row>
        <row r="66">
          <cell r="B66">
            <v>23</v>
          </cell>
          <cell r="C66">
            <v>31302</v>
          </cell>
          <cell r="D66">
            <v>29660.740902776652</v>
          </cell>
          <cell r="E66">
            <v>1641.2590972233484</v>
          </cell>
        </row>
        <row r="67">
          <cell r="B67">
            <v>24</v>
          </cell>
          <cell r="C67">
            <v>31152.2</v>
          </cell>
          <cell r="D67">
            <v>29726.022794837885</v>
          </cell>
          <cell r="E67">
            <v>1426.1772051621156</v>
          </cell>
        </row>
        <row r="68">
          <cell r="B68">
            <v>25</v>
          </cell>
          <cell r="C68">
            <v>29930.400000000001</v>
          </cell>
          <cell r="D68">
            <v>29805.335396693354</v>
          </cell>
          <cell r="E68">
            <v>125.06460330664777</v>
          </cell>
        </row>
        <row r="69">
          <cell r="B69">
            <v>26</v>
          </cell>
          <cell r="C69">
            <v>31080.5</v>
          </cell>
          <cell r="D69">
            <v>29629.428062309998</v>
          </cell>
          <cell r="E69">
            <v>1451.0719376900015</v>
          </cell>
        </row>
        <row r="70">
          <cell r="B70">
            <v>27</v>
          </cell>
          <cell r="C70">
            <v>32549.200000000001</v>
          </cell>
          <cell r="D70">
            <v>29776.765072310911</v>
          </cell>
          <cell r="E70">
            <v>2772.4349276890898</v>
          </cell>
        </row>
        <row r="71">
          <cell r="B71">
            <v>28</v>
          </cell>
          <cell r="C71">
            <v>29440.2</v>
          </cell>
          <cell r="D71">
            <v>30299.272077419206</v>
          </cell>
          <cell r="E71">
            <v>-859.07207741920502</v>
          </cell>
        </row>
        <row r="72">
          <cell r="B72">
            <v>29</v>
          </cell>
          <cell r="C72">
            <v>28134.3</v>
          </cell>
          <cell r="D72">
            <v>30061.114798409075</v>
          </cell>
          <cell r="E72">
            <v>-1926.8147984090756</v>
          </cell>
        </row>
        <row r="73">
          <cell r="B73">
            <v>30</v>
          </cell>
          <cell r="C73">
            <v>31911.599999999999</v>
          </cell>
          <cell r="D73">
            <v>29532.336383264603</v>
          </cell>
          <cell r="E73">
            <v>2379.2636167353958</v>
          </cell>
        </row>
        <row r="74">
          <cell r="B74">
            <v>31</v>
          </cell>
          <cell r="C74">
            <v>28129.4</v>
          </cell>
          <cell r="D74">
            <v>29959.944195818447</v>
          </cell>
          <cell r="E74">
            <v>-1830.5441958184456</v>
          </cell>
        </row>
        <row r="75">
          <cell r="B75">
            <v>32</v>
          </cell>
          <cell r="C75">
            <v>32750.5</v>
          </cell>
          <cell r="D75">
            <v>29472.368678028779</v>
          </cell>
          <cell r="E75">
            <v>3278.131321971221</v>
          </cell>
        </row>
        <row r="76">
          <cell r="B76">
            <v>33</v>
          </cell>
          <cell r="C76">
            <v>37531.800000000003</v>
          </cell>
          <cell r="D76">
            <v>30137.653516675899</v>
          </cell>
          <cell r="E76">
            <v>7394.1464833241043</v>
          </cell>
        </row>
        <row r="77">
          <cell r="B77">
            <v>34</v>
          </cell>
          <cell r="C77">
            <v>35977.9</v>
          </cell>
          <cell r="D77">
            <v>31921.907246926559</v>
          </cell>
          <cell r="E77">
            <v>4055.9927530734421</v>
          </cell>
        </row>
        <row r="78">
          <cell r="B78">
            <v>35</v>
          </cell>
          <cell r="C78">
            <v>36124.800000000003</v>
          </cell>
          <cell r="D78">
            <v>33200.769941250022</v>
          </cell>
          <cell r="E78">
            <v>2924.0300587499805</v>
          </cell>
        </row>
        <row r="79">
          <cell r="B79">
            <v>36</v>
          </cell>
          <cell r="C79">
            <v>35890.400000000001</v>
          </cell>
          <cell r="D79">
            <v>34370.201299058797</v>
          </cell>
          <cell r="E79">
            <v>1520.1987009412042</v>
          </cell>
        </row>
        <row r="80">
          <cell r="B80">
            <v>37</v>
          </cell>
          <cell r="C80">
            <v>29915.4</v>
          </cell>
          <cell r="D80">
            <v>35319.674333343464</v>
          </cell>
          <cell r="E80">
            <v>-5404.2743333434628</v>
          </cell>
        </row>
        <row r="81">
          <cell r="B81">
            <v>38</v>
          </cell>
          <cell r="C81">
            <v>29001.3</v>
          </cell>
          <cell r="D81">
            <v>34668.081787437455</v>
          </cell>
          <cell r="E81">
            <v>-5666.7817874374559</v>
          </cell>
        </row>
        <row r="82">
          <cell r="B82">
            <v>39</v>
          </cell>
          <cell r="C82">
            <v>28504.400000000001</v>
          </cell>
          <cell r="D82">
            <v>33737.316479215158</v>
          </cell>
          <cell r="E82">
            <v>-5232.9164792151569</v>
          </cell>
        </row>
        <row r="83">
          <cell r="B83">
            <v>40</v>
          </cell>
          <cell r="C83">
            <v>31735.1</v>
          </cell>
          <cell r="D83">
            <v>32684.007573468705</v>
          </cell>
          <cell r="E83">
            <v>-948.90757346870669</v>
          </cell>
        </row>
        <row r="84">
          <cell r="B84">
            <v>41</v>
          </cell>
          <cell r="C84">
            <v>30061.5</v>
          </cell>
          <cell r="D84">
            <v>32449.544145932799</v>
          </cell>
          <cell r="E84">
            <v>-2388.0441459327994</v>
          </cell>
        </row>
        <row r="85">
          <cell r="B85">
            <v>42</v>
          </cell>
          <cell r="C85">
            <v>30531.200000000001</v>
          </cell>
          <cell r="D85">
            <v>31831.731638066762</v>
          </cell>
          <cell r="E85">
            <v>-1300.5316380667609</v>
          </cell>
        </row>
        <row r="86">
          <cell r="B86">
            <v>43</v>
          </cell>
          <cell r="C86">
            <v>31297.200000000001</v>
          </cell>
          <cell r="D86">
            <v>31379.400366251259</v>
          </cell>
          <cell r="E86">
            <v>-82.200366251257947</v>
          </cell>
        </row>
        <row r="87">
          <cell r="B87">
            <v>44</v>
          </cell>
          <cell r="C87">
            <v>28978.2</v>
          </cell>
          <cell r="D87">
            <v>31167.447334148808</v>
          </cell>
          <cell r="E87">
            <v>-2189.2473341488076</v>
          </cell>
        </row>
        <row r="88">
          <cell r="B88">
            <v>45</v>
          </cell>
          <cell r="C88">
            <v>27903.9</v>
          </cell>
          <cell r="D88">
            <v>30446.515015100897</v>
          </cell>
          <cell r="E88">
            <v>-2542.6150151008951</v>
          </cell>
        </row>
        <row r="89">
          <cell r="B89">
            <v>46</v>
          </cell>
          <cell r="C89">
            <v>28861.1</v>
          </cell>
          <cell r="D89">
            <v>29553.204559258531</v>
          </cell>
          <cell r="E89">
            <v>-692.10455925853239</v>
          </cell>
        </row>
        <row r="90">
          <cell r="B90">
            <v>47</v>
          </cell>
          <cell r="C90">
            <v>27362.3</v>
          </cell>
          <cell r="D90">
            <v>29002.312012214297</v>
          </cell>
          <cell r="E90">
            <v>-1640.012012214298</v>
          </cell>
        </row>
        <row r="91">
          <cell r="B91">
            <v>48</v>
          </cell>
          <cell r="C91">
            <v>27219.599999999999</v>
          </cell>
          <cell r="D91">
            <v>28196.237494090336</v>
          </cell>
          <cell r="E91">
            <v>-976.63749409033699</v>
          </cell>
        </row>
        <row r="92">
          <cell r="B92">
            <v>49</v>
          </cell>
          <cell r="C92">
            <v>23945.599999999999</v>
          </cell>
          <cell r="D92">
            <v>27483.772379827555</v>
          </cell>
          <cell r="E92">
            <v>-3538.1723798275561</v>
          </cell>
        </row>
        <row r="93">
          <cell r="B93">
            <v>50</v>
          </cell>
          <cell r="C93">
            <v>24871.3</v>
          </cell>
          <cell r="D93">
            <v>26117.473393224227</v>
          </cell>
          <cell r="E93">
            <v>-1246.1733932242278</v>
          </cell>
        </row>
        <row r="94">
          <cell r="B94">
            <v>51</v>
          </cell>
          <cell r="C94">
            <v>25135.8</v>
          </cell>
          <cell r="D94">
            <v>25159.727268212595</v>
          </cell>
          <cell r="E94">
            <v>-23.927268212595663</v>
          </cell>
        </row>
        <row r="95">
          <cell r="B95">
            <v>52</v>
          </cell>
          <cell r="C95">
            <v>25755.8</v>
          </cell>
          <cell r="D95">
            <v>24445.473277474786</v>
          </cell>
          <cell r="E95">
            <v>1310.326722525213</v>
          </cell>
        </row>
        <row r="96">
          <cell r="B96">
            <v>53</v>
          </cell>
          <cell r="C96">
            <v>26175.9</v>
          </cell>
          <cell r="D96">
            <v>24050.48315378555</v>
          </cell>
          <cell r="E96">
            <v>2125.4168462144517</v>
          </cell>
        </row>
        <row r="97">
          <cell r="B97">
            <v>54</v>
          </cell>
          <cell r="C97">
            <v>28491.9</v>
          </cell>
          <cell r="D97">
            <v>23903.527728682737</v>
          </cell>
          <cell r="E97">
            <v>4588.3722713172647</v>
          </cell>
        </row>
        <row r="98">
          <cell r="B98">
            <v>55</v>
          </cell>
          <cell r="C98">
            <v>29512</v>
          </cell>
          <cell r="D98">
            <v>24432.698279453176</v>
          </cell>
          <cell r="E98">
            <v>5079.3017205468241</v>
          </cell>
        </row>
        <row r="99">
          <cell r="B99">
            <v>56</v>
          </cell>
          <cell r="C99">
            <v>27895.8</v>
          </cell>
          <cell r="D99">
            <v>25263.226788891403</v>
          </cell>
          <cell r="E99">
            <v>2632.5732111085963</v>
          </cell>
        </row>
        <row r="100">
          <cell r="B100">
            <v>57</v>
          </cell>
          <cell r="C100">
            <v>26771.200000000001</v>
          </cell>
          <cell r="D100">
            <v>25709.712524886327</v>
          </cell>
          <cell r="E100">
            <v>1061.487475113674</v>
          </cell>
        </row>
        <row r="101">
          <cell r="B101">
            <v>58</v>
          </cell>
          <cell r="C101">
            <v>27559.599999999999</v>
          </cell>
          <cell r="D101">
            <v>25884.440612686809</v>
          </cell>
          <cell r="E101">
            <v>1675.1593873131897</v>
          </cell>
        </row>
        <row r="102">
          <cell r="B102">
            <v>59</v>
          </cell>
          <cell r="C102">
            <v>28067.599999999999</v>
          </cell>
          <cell r="D102">
            <v>26248.909458419726</v>
          </cell>
          <cell r="E102">
            <v>1818.6905415802721</v>
          </cell>
        </row>
        <row r="103">
          <cell r="B103">
            <v>60</v>
          </cell>
          <cell r="C103">
            <v>27697.8</v>
          </cell>
          <cell r="D103">
            <v>26714.832156669272</v>
          </cell>
          <cell r="E103">
            <v>982.96784333072719</v>
          </cell>
        </row>
        <row r="104">
          <cell r="B104">
            <v>61</v>
          </cell>
          <cell r="C104">
            <v>26401.9</v>
          </cell>
          <cell r="D104">
            <v>27052.929029002134</v>
          </cell>
          <cell r="E104">
            <v>-651.02902900213303</v>
          </cell>
        </row>
        <row r="105">
          <cell r="B105">
            <v>62</v>
          </cell>
          <cell r="C105">
            <v>28462.7</v>
          </cell>
          <cell r="D105">
            <v>27038.185365708341</v>
          </cell>
          <cell r="E105">
            <v>1424.5146342916596</v>
          </cell>
        </row>
        <row r="106">
          <cell r="B106">
            <v>63</v>
          </cell>
          <cell r="C106">
            <v>28252.2</v>
          </cell>
          <cell r="D106">
            <v>27495.531020444974</v>
          </cell>
          <cell r="E106">
            <v>756.66897955502645</v>
          </cell>
        </row>
        <row r="107">
          <cell r="B107">
            <v>64</v>
          </cell>
          <cell r="C107">
            <v>28430.400000000001</v>
          </cell>
          <cell r="D107">
            <v>27849.574303416477</v>
          </cell>
          <cell r="E107">
            <v>580.8256965835244</v>
          </cell>
        </row>
        <row r="108">
          <cell r="B108">
            <v>65</v>
          </cell>
          <cell r="C108">
            <v>28234.6</v>
          </cell>
          <cell r="D108">
            <v>28191.681957657023</v>
          </cell>
          <cell r="E108">
            <v>42.918042342975241</v>
          </cell>
        </row>
        <row r="109">
          <cell r="B109">
            <v>66</v>
          </cell>
          <cell r="C109">
            <v>27960.799999999999</v>
          </cell>
          <cell r="D109">
            <v>28427.924802743179</v>
          </cell>
          <cell r="E109">
            <v>-467.12480274317932</v>
          </cell>
        </row>
        <row r="110">
          <cell r="B110">
            <v>67</v>
          </cell>
          <cell r="C110">
            <v>28676.9</v>
          </cell>
          <cell r="D110">
            <v>28543.474086702376</v>
          </cell>
          <cell r="E110">
            <v>133.42591329762581</v>
          </cell>
        </row>
        <row r="111">
          <cell r="B111">
            <v>68</v>
          </cell>
          <cell r="C111">
            <v>28780.9</v>
          </cell>
          <cell r="D111">
            <v>28784.470550401635</v>
          </cell>
          <cell r="E111">
            <v>-3.570550401633227</v>
          </cell>
        </row>
        <row r="112">
          <cell r="B112">
            <v>69</v>
          </cell>
          <cell r="C112">
            <v>24749.5</v>
          </cell>
          <cell r="D112">
            <v>28997.924899344984</v>
          </cell>
          <cell r="E112">
            <v>-4248.4248993449837</v>
          </cell>
        </row>
        <row r="113">
          <cell r="B113">
            <v>70</v>
          </cell>
          <cell r="C113">
            <v>27228.400000000001</v>
          </cell>
          <cell r="D113">
            <v>28192.471382525859</v>
          </cell>
          <cell r="E113">
            <v>-964.07138252585719</v>
          </cell>
        </row>
        <row r="114">
          <cell r="B114">
            <v>71</v>
          </cell>
          <cell r="C114">
            <v>27615.3</v>
          </cell>
          <cell r="D114">
            <v>28005.325713769525</v>
          </cell>
          <cell r="E114">
            <v>-390.02571376952619</v>
          </cell>
        </row>
        <row r="115">
          <cell r="B115">
            <v>72</v>
          </cell>
          <cell r="C115">
            <v>24988.7</v>
          </cell>
          <cell r="D115">
            <v>27917.388150213679</v>
          </cell>
          <cell r="E115">
            <v>-2928.6881502136785</v>
          </cell>
        </row>
        <row r="116">
          <cell r="B116">
            <v>73</v>
          </cell>
          <cell r="C116">
            <v>25172.1</v>
          </cell>
          <cell r="D116">
            <v>27204.570573360455</v>
          </cell>
          <cell r="E116">
            <v>-2032.4705733604569</v>
          </cell>
        </row>
        <row r="117">
          <cell r="B117">
            <v>74</v>
          </cell>
          <cell r="C117">
            <v>26022.799999999999</v>
          </cell>
          <cell r="D117">
            <v>26589.697688943455</v>
          </cell>
          <cell r="E117">
            <v>-566.89768894345616</v>
          </cell>
        </row>
        <row r="118">
          <cell r="B118">
            <v>75</v>
          </cell>
          <cell r="C118">
            <v>25934</v>
          </cell>
          <cell r="D118">
            <v>26245.263473852116</v>
          </cell>
          <cell r="E118">
            <v>-311.26347385211557</v>
          </cell>
        </row>
        <row r="119">
          <cell r="B119">
            <v>76</v>
          </cell>
          <cell r="C119">
            <v>26481.599999999999</v>
          </cell>
          <cell r="D119">
            <v>25939.505562824965</v>
          </cell>
          <cell r="E119">
            <v>542.09443717503382</v>
          </cell>
        </row>
        <row r="120">
          <cell r="B120">
            <v>77</v>
          </cell>
          <cell r="C120">
            <v>25597.599999999999</v>
          </cell>
          <cell r="D120">
            <v>25826.103011490242</v>
          </cell>
          <cell r="E120">
            <v>-228.50301149024381</v>
          </cell>
        </row>
        <row r="121">
          <cell r="B121">
            <v>78</v>
          </cell>
          <cell r="C121">
            <v>27424</v>
          </cell>
          <cell r="D121">
            <v>25549.440849962855</v>
          </cell>
          <cell r="E121">
            <v>1874.5591500371447</v>
          </cell>
        </row>
        <row r="122">
          <cell r="B122">
            <v>79</v>
          </cell>
          <cell r="C122">
            <v>26599.4</v>
          </cell>
          <cell r="D122">
            <v>25768.373486742428</v>
          </cell>
          <cell r="E122">
            <v>831.02651325757324</v>
          </cell>
        </row>
        <row r="123">
          <cell r="B123">
            <v>80</v>
          </cell>
          <cell r="C123">
            <v>25980.5</v>
          </cell>
          <cell r="D123">
            <v>25811.840656696389</v>
          </cell>
          <cell r="E123">
            <v>168.65934330361051</v>
          </cell>
        </row>
        <row r="124">
          <cell r="B124">
            <v>81</v>
          </cell>
          <cell r="C124">
            <v>24525.1</v>
          </cell>
          <cell r="D124">
            <v>25729.580766391704</v>
          </cell>
          <cell r="E124">
            <v>-1204.4807663917054</v>
          </cell>
        </row>
        <row r="125">
          <cell r="B125">
            <v>82</v>
          </cell>
          <cell r="C125">
            <v>23431.7</v>
          </cell>
          <cell r="D125">
            <v>25324.51362349229</v>
          </cell>
          <cell r="E125">
            <v>-1892.8136234922895</v>
          </cell>
        </row>
        <row r="126">
          <cell r="B126">
            <v>83</v>
          </cell>
          <cell r="C126">
            <v>23965.3</v>
          </cell>
          <cell r="D126">
            <v>24706.067364233066</v>
          </cell>
          <cell r="E126">
            <v>-740.76736423306647</v>
          </cell>
        </row>
        <row r="127">
          <cell r="B127">
            <v>84</v>
          </cell>
          <cell r="C127">
            <v>23474.799999999999</v>
          </cell>
          <cell r="D127">
            <v>24288.399662256365</v>
          </cell>
          <cell r="E127">
            <v>-813.59966225636526</v>
          </cell>
        </row>
        <row r="128">
          <cell r="B128">
            <v>85</v>
          </cell>
          <cell r="C128">
            <v>23384.799999999999</v>
          </cell>
          <cell r="D128">
            <v>23823.62151418475</v>
          </cell>
          <cell r="E128">
            <v>-438.82151418475041</v>
          </cell>
        </row>
        <row r="129">
          <cell r="B129">
            <v>86</v>
          </cell>
          <cell r="C129">
            <v>23808.7</v>
          </cell>
          <cell r="D129">
            <v>23416.246135160061</v>
          </cell>
          <cell r="E129">
            <v>392.45386483993934</v>
          </cell>
        </row>
        <row r="130">
          <cell r="B130">
            <v>87</v>
          </cell>
          <cell r="C130">
            <v>24311.7</v>
          </cell>
          <cell r="D130">
            <v>23190.823986533916</v>
          </cell>
          <cell r="E130">
            <v>1120.8760134660843</v>
          </cell>
        </row>
        <row r="131">
          <cell r="B131">
            <v>88</v>
          </cell>
          <cell r="C131">
            <v>25315.1</v>
          </cell>
          <cell r="D131">
            <v>23155.921308171641</v>
          </cell>
          <cell r="E131">
            <v>2159.1786918283578</v>
          </cell>
        </row>
        <row r="132">
          <cell r="B132">
            <v>89</v>
          </cell>
          <cell r="C132">
            <v>23129.9</v>
          </cell>
          <cell r="D132">
            <v>23415.046313154951</v>
          </cell>
          <cell r="E132">
            <v>-285.14631315494989</v>
          </cell>
        </row>
        <row r="133">
          <cell r="B133">
            <v>90</v>
          </cell>
          <cell r="C133">
            <v>23324.9</v>
          </cell>
          <cell r="D133">
            <v>23173.900464615406</v>
          </cell>
          <cell r="E133">
            <v>150.99953538459522</v>
          </cell>
        </row>
        <row r="134">
          <cell r="B134">
            <v>91</v>
          </cell>
          <cell r="C134">
            <v>23889.9</v>
          </cell>
          <cell r="D134">
            <v>23026.023767199153</v>
          </cell>
          <cell r="E134">
            <v>863.87623280084881</v>
          </cell>
        </row>
        <row r="135">
          <cell r="B135">
            <v>92</v>
          </cell>
          <cell r="C135">
            <v>23206.6</v>
          </cell>
          <cell r="D135">
            <v>23055.277458578184</v>
          </cell>
          <cell r="E135">
            <v>151.32254142181409</v>
          </cell>
        </row>
        <row r="136">
          <cell r="B136">
            <v>93</v>
          </cell>
          <cell r="C136">
            <v>21934.5</v>
          </cell>
          <cell r="D136">
            <v>22948.073313338282</v>
          </cell>
          <cell r="E136">
            <v>-1013.5733133382819</v>
          </cell>
        </row>
        <row r="137">
          <cell r="B137">
            <v>94</v>
          </cell>
          <cell r="C137">
            <v>22573.1</v>
          </cell>
          <cell r="D137">
            <v>22567.347064612826</v>
          </cell>
          <cell r="E137">
            <v>5.7529353871723288</v>
          </cell>
        </row>
        <row r="138">
          <cell r="B138">
            <v>95</v>
          </cell>
          <cell r="C138">
            <v>23162.799999999999</v>
          </cell>
          <cell r="D138">
            <v>22390.716183047949</v>
          </cell>
          <cell r="E138">
            <v>772.08381695205026</v>
          </cell>
        </row>
        <row r="139">
          <cell r="B139">
            <v>96</v>
          </cell>
          <cell r="C139">
            <v>23253.4</v>
          </cell>
          <cell r="D139">
            <v>22398.234830474132</v>
          </cell>
          <cell r="E139">
            <v>855.16516952586971</v>
          </cell>
        </row>
        <row r="140">
          <cell r="B140">
            <v>97</v>
          </cell>
          <cell r="C140">
            <v>22341</v>
          </cell>
          <cell r="D140">
            <v>22456.57635519611</v>
          </cell>
          <cell r="E140">
            <v>-115.57635519610994</v>
          </cell>
        </row>
        <row r="141">
          <cell r="B141">
            <v>98</v>
          </cell>
          <cell r="C141">
            <v>22628.2</v>
          </cell>
          <cell r="D141">
            <v>22316.146520765848</v>
          </cell>
          <cell r="E141">
            <v>312.0534792341532</v>
          </cell>
        </row>
      </sheetData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tle"/>
      <sheetName val="Data"/>
      <sheetName val="Piped Gas"/>
      <sheetName val="ARIMA1"/>
      <sheetName val="Exponential-Piped Gas"/>
      <sheetName val="LPG"/>
      <sheetName val="Piped Gas_Exponential_ARIMA"/>
    </sheetNames>
    <definedNames>
      <definedName name="GoToResultsNew1014201811295221"/>
      <definedName name="GoToResultsNew1014201812015677"/>
    </definedNames>
    <sheetDataSet>
      <sheetData sheetId="0"/>
      <sheetData sheetId="1"/>
      <sheetData sheetId="2"/>
      <sheetData sheetId="3">
        <row r="55">
          <cell r="B55">
            <v>1</v>
          </cell>
          <cell r="C55">
            <v>257.39999999999998</v>
          </cell>
          <cell r="D55">
            <v>257.39999999999998</v>
          </cell>
          <cell r="E55">
            <v>0</v>
          </cell>
        </row>
        <row r="56">
          <cell r="B56">
            <v>2</v>
          </cell>
          <cell r="C56">
            <v>259.7</v>
          </cell>
          <cell r="D56">
            <v>259.7</v>
          </cell>
          <cell r="E56">
            <v>0</v>
          </cell>
        </row>
        <row r="57">
          <cell r="B57">
            <v>3</v>
          </cell>
          <cell r="C57">
            <v>263.3</v>
          </cell>
          <cell r="D57">
            <v>262.41910195031176</v>
          </cell>
          <cell r="E57">
            <v>0.88089804968825547</v>
          </cell>
        </row>
        <row r="58">
          <cell r="B58">
            <v>4</v>
          </cell>
          <cell r="C58">
            <v>265.3</v>
          </cell>
          <cell r="D58">
            <v>265.95062950070826</v>
          </cell>
          <cell r="E58">
            <v>-0.65062950070824854</v>
          </cell>
        </row>
        <row r="59">
          <cell r="B59">
            <v>5</v>
          </cell>
          <cell r="C59">
            <v>269.89999999999998</v>
          </cell>
          <cell r="D59">
            <v>268.18074807692676</v>
          </cell>
          <cell r="E59">
            <v>1.7192519230732159</v>
          </cell>
        </row>
        <row r="60">
          <cell r="B60">
            <v>6</v>
          </cell>
          <cell r="C60">
            <v>264.8</v>
          </cell>
          <cell r="D60">
            <v>272.74897760254277</v>
          </cell>
          <cell r="E60">
            <v>-7.9489776025427545</v>
          </cell>
        </row>
        <row r="61">
          <cell r="B61">
            <v>7</v>
          </cell>
          <cell r="C61">
            <v>273.10000000000002</v>
          </cell>
          <cell r="D61">
            <v>267.69018642768299</v>
          </cell>
          <cell r="E61">
            <v>5.4098135723170344</v>
          </cell>
        </row>
        <row r="62">
          <cell r="B62">
            <v>8</v>
          </cell>
          <cell r="C62">
            <v>276.10000000000002</v>
          </cell>
          <cell r="D62">
            <v>273.18614233815362</v>
          </cell>
          <cell r="E62">
            <v>2.9138576618464072</v>
          </cell>
        </row>
        <row r="63">
          <cell r="B63">
            <v>9</v>
          </cell>
          <cell r="C63">
            <v>284.8</v>
          </cell>
          <cell r="D63">
            <v>277.77684484513321</v>
          </cell>
          <cell r="E63">
            <v>7.0231551548667994</v>
          </cell>
        </row>
        <row r="64">
          <cell r="B64">
            <v>10</v>
          </cell>
          <cell r="C64">
            <v>280.89999999999998</v>
          </cell>
          <cell r="D64">
            <v>290.54535558878433</v>
          </cell>
          <cell r="E64">
            <v>-9.6453555887843549</v>
          </cell>
        </row>
        <row r="65">
          <cell r="B65">
            <v>11</v>
          </cell>
          <cell r="C65">
            <v>290.5</v>
          </cell>
          <cell r="D65">
            <v>286.28732847573434</v>
          </cell>
          <cell r="E65">
            <v>4.2126715242656587</v>
          </cell>
        </row>
        <row r="66">
          <cell r="B66">
            <v>12</v>
          </cell>
          <cell r="C66">
            <v>295.10000000000002</v>
          </cell>
          <cell r="D66">
            <v>293.16473710847436</v>
          </cell>
          <cell r="E66">
            <v>1.9352628915256673</v>
          </cell>
        </row>
        <row r="67">
          <cell r="B67">
            <v>13</v>
          </cell>
          <cell r="C67">
            <v>298.8</v>
          </cell>
          <cell r="D67">
            <v>298.04334229919777</v>
          </cell>
          <cell r="E67">
            <v>0.75665770080223638</v>
          </cell>
        </row>
        <row r="68">
          <cell r="B68">
            <v>14</v>
          </cell>
          <cell r="C68">
            <v>297.5</v>
          </cell>
          <cell r="D68">
            <v>305.69795510592581</v>
          </cell>
          <cell r="E68">
            <v>-8.1979551059258142</v>
          </cell>
        </row>
        <row r="69">
          <cell r="B69">
            <v>15</v>
          </cell>
          <cell r="C69">
            <v>308.3</v>
          </cell>
          <cell r="D69">
            <v>301.36581170139408</v>
          </cell>
          <cell r="E69">
            <v>6.9341882986059318</v>
          </cell>
        </row>
        <row r="70">
          <cell r="B70">
            <v>16</v>
          </cell>
          <cell r="C70">
            <v>313.60000000000002</v>
          </cell>
          <cell r="D70">
            <v>309.89923603734991</v>
          </cell>
          <cell r="E70">
            <v>3.7007639626501145</v>
          </cell>
        </row>
        <row r="71">
          <cell r="B71">
            <v>17</v>
          </cell>
          <cell r="C71">
            <v>312.2</v>
          </cell>
          <cell r="D71">
            <v>318.38351174585227</v>
          </cell>
          <cell r="E71">
            <v>-6.1835117458522859</v>
          </cell>
        </row>
        <row r="72">
          <cell r="B72">
            <v>18</v>
          </cell>
          <cell r="C72">
            <v>310.5</v>
          </cell>
          <cell r="D72">
            <v>319.76658260443935</v>
          </cell>
          <cell r="E72">
            <v>-9.2665826044393498</v>
          </cell>
        </row>
        <row r="73">
          <cell r="B73">
            <v>19</v>
          </cell>
          <cell r="C73">
            <v>320.5</v>
          </cell>
          <cell r="D73">
            <v>312.23113694906704</v>
          </cell>
          <cell r="E73">
            <v>8.2688630509329641</v>
          </cell>
        </row>
        <row r="74">
          <cell r="B74">
            <v>20</v>
          </cell>
          <cell r="C74">
            <v>323.10000000000002</v>
          </cell>
          <cell r="D74">
            <v>319.45395687795246</v>
          </cell>
          <cell r="E74">
            <v>3.6460431220475584</v>
          </cell>
        </row>
        <row r="75">
          <cell r="B75">
            <v>21</v>
          </cell>
          <cell r="C75">
            <v>324.89999999999998</v>
          </cell>
          <cell r="D75">
            <v>327.18514526405556</v>
          </cell>
          <cell r="E75">
            <v>-2.2851452640555863</v>
          </cell>
        </row>
        <row r="76">
          <cell r="B76">
            <v>22</v>
          </cell>
          <cell r="C76">
            <v>318.7</v>
          </cell>
          <cell r="D76">
            <v>330.93965857755921</v>
          </cell>
          <cell r="E76">
            <v>-12.239658577559226</v>
          </cell>
        </row>
        <row r="77">
          <cell r="B77">
            <v>23</v>
          </cell>
          <cell r="C77">
            <v>331.9</v>
          </cell>
          <cell r="D77">
            <v>320.47967630363564</v>
          </cell>
          <cell r="E77">
            <v>11.420323696364335</v>
          </cell>
        </row>
        <row r="78">
          <cell r="B78">
            <v>24</v>
          </cell>
          <cell r="C78">
            <v>331.3</v>
          </cell>
          <cell r="D78">
            <v>330.35822619865837</v>
          </cell>
          <cell r="E78">
            <v>0.94177380134163968</v>
          </cell>
        </row>
        <row r="79">
          <cell r="B79">
            <v>25</v>
          </cell>
          <cell r="C79">
            <v>339.2</v>
          </cell>
          <cell r="D79">
            <v>334.64100403649206</v>
          </cell>
          <cell r="E79">
            <v>4.5589959635079254</v>
          </cell>
        </row>
        <row r="80">
          <cell r="B80">
            <v>26</v>
          </cell>
          <cell r="C80">
            <v>335.1</v>
          </cell>
          <cell r="D80">
            <v>345.50201432862252</v>
          </cell>
          <cell r="E80">
            <v>-10.402014328622499</v>
          </cell>
        </row>
        <row r="81">
          <cell r="B81">
            <v>27</v>
          </cell>
          <cell r="C81">
            <v>343.2</v>
          </cell>
          <cell r="D81">
            <v>338.38848863068932</v>
          </cell>
          <cell r="E81">
            <v>4.811511369310665</v>
          </cell>
        </row>
        <row r="82">
          <cell r="B82">
            <v>28</v>
          </cell>
          <cell r="C82">
            <v>345.6</v>
          </cell>
          <cell r="D82">
            <v>345.32033945690711</v>
          </cell>
          <cell r="E82">
            <v>0.27966054309291621</v>
          </cell>
        </row>
        <row r="83">
          <cell r="B83">
            <v>29</v>
          </cell>
          <cell r="C83">
            <v>324.10000000000002</v>
          </cell>
          <cell r="D83">
            <v>347.62688301024673</v>
          </cell>
          <cell r="E83">
            <v>-23.526883010246706</v>
          </cell>
        </row>
        <row r="84">
          <cell r="B84">
            <v>30</v>
          </cell>
          <cell r="C84">
            <v>343.9</v>
          </cell>
          <cell r="D84">
            <v>328.06579819926088</v>
          </cell>
          <cell r="E84">
            <v>15.834201800739095</v>
          </cell>
        </row>
        <row r="85">
          <cell r="B85">
            <v>31</v>
          </cell>
          <cell r="C85">
            <v>344</v>
          </cell>
          <cell r="D85">
            <v>335.60429660446977</v>
          </cell>
          <cell r="E85">
            <v>8.3957033955302336</v>
          </cell>
        </row>
        <row r="86">
          <cell r="B86">
            <v>32</v>
          </cell>
          <cell r="C86">
            <v>343</v>
          </cell>
          <cell r="D86">
            <v>343.29227611587731</v>
          </cell>
          <cell r="E86">
            <v>-0.29227611587731417</v>
          </cell>
        </row>
        <row r="87">
          <cell r="B87">
            <v>33</v>
          </cell>
          <cell r="C87">
            <v>345.6</v>
          </cell>
          <cell r="D87">
            <v>352.35330881146643</v>
          </cell>
          <cell r="E87">
            <v>-6.753308811466411</v>
          </cell>
        </row>
        <row r="88">
          <cell r="B88">
            <v>34</v>
          </cell>
          <cell r="C88">
            <v>344.9</v>
          </cell>
          <cell r="D88">
            <v>345.25833868319575</v>
          </cell>
          <cell r="E88">
            <v>-0.35833868319576823</v>
          </cell>
        </row>
        <row r="89">
          <cell r="B89">
            <v>35</v>
          </cell>
          <cell r="C89">
            <v>348</v>
          </cell>
          <cell r="D89">
            <v>345.61241905808623</v>
          </cell>
          <cell r="E89">
            <v>2.3875809419137681</v>
          </cell>
        </row>
        <row r="90">
          <cell r="B90">
            <v>36</v>
          </cell>
          <cell r="C90">
            <v>350.4</v>
          </cell>
          <cell r="D90">
            <v>349.00991087328822</v>
          </cell>
          <cell r="E90">
            <v>1.3900891267117572</v>
          </cell>
        </row>
        <row r="91">
          <cell r="B91">
            <v>37</v>
          </cell>
          <cell r="C91">
            <v>346.8</v>
          </cell>
          <cell r="D91">
            <v>351.63791872489611</v>
          </cell>
          <cell r="E91">
            <v>-4.8379187248960989</v>
          </cell>
        </row>
        <row r="92">
          <cell r="B92">
            <v>38</v>
          </cell>
          <cell r="C92">
            <v>343.8</v>
          </cell>
          <cell r="D92">
            <v>349.22480280257884</v>
          </cell>
          <cell r="E92">
            <v>-5.4248028025788244</v>
          </cell>
        </row>
        <row r="93">
          <cell r="B93">
            <v>39</v>
          </cell>
          <cell r="C93">
            <v>342.1</v>
          </cell>
          <cell r="D93">
            <v>343.04111627231106</v>
          </cell>
          <cell r="E93">
            <v>-0.94111627231103512</v>
          </cell>
        </row>
        <row r="94">
          <cell r="B94">
            <v>40</v>
          </cell>
          <cell r="C94">
            <v>338.4</v>
          </cell>
          <cell r="D94">
            <v>338.84652779517597</v>
          </cell>
          <cell r="E94">
            <v>-0.44652779517599583</v>
          </cell>
        </row>
        <row r="95">
          <cell r="B95">
            <v>41</v>
          </cell>
          <cell r="C95">
            <v>338.5</v>
          </cell>
          <cell r="D95">
            <v>335.96224712519057</v>
          </cell>
          <cell r="E95">
            <v>2.5377528748094278</v>
          </cell>
        </row>
        <row r="96">
          <cell r="B96">
            <v>42</v>
          </cell>
          <cell r="C96">
            <v>335.7</v>
          </cell>
          <cell r="D96">
            <v>335.89399349670106</v>
          </cell>
          <cell r="E96">
            <v>-0.19399349670106858</v>
          </cell>
        </row>
        <row r="97">
          <cell r="B97">
            <v>43</v>
          </cell>
          <cell r="C97">
            <v>335.7</v>
          </cell>
          <cell r="D97">
            <v>333.83616349034742</v>
          </cell>
          <cell r="E97">
            <v>1.8638365096525717</v>
          </cell>
        </row>
        <row r="98">
          <cell r="B98">
            <v>44</v>
          </cell>
          <cell r="C98">
            <v>334.7</v>
          </cell>
          <cell r="D98">
            <v>334.37414545499803</v>
          </cell>
          <cell r="E98">
            <v>0.32585454500195965</v>
          </cell>
        </row>
        <row r="99">
          <cell r="B99">
            <v>45</v>
          </cell>
          <cell r="C99">
            <v>340</v>
          </cell>
          <cell r="D99">
            <v>333.29782560846877</v>
          </cell>
          <cell r="E99">
            <v>6.70217439153123</v>
          </cell>
        </row>
        <row r="100">
          <cell r="B100">
            <v>46</v>
          </cell>
          <cell r="C100">
            <v>340.1</v>
          </cell>
          <cell r="D100">
            <v>339.73584184767714</v>
          </cell>
          <cell r="E100">
            <v>0.36415815232288651</v>
          </cell>
        </row>
        <row r="101">
          <cell r="B101">
            <v>47</v>
          </cell>
          <cell r="C101">
            <v>347.2</v>
          </cell>
          <cell r="D101">
            <v>342.1453265244279</v>
          </cell>
          <cell r="E101">
            <v>5.0546734755720877</v>
          </cell>
        </row>
        <row r="102">
          <cell r="B102">
            <v>48</v>
          </cell>
          <cell r="C102">
            <v>346.7</v>
          </cell>
          <cell r="D102">
            <v>350.05810542218927</v>
          </cell>
          <cell r="E102">
            <v>-3.3581054221892828</v>
          </cell>
        </row>
        <row r="103">
          <cell r="B103">
            <v>49</v>
          </cell>
          <cell r="C103">
            <v>348.1</v>
          </cell>
          <cell r="D103">
            <v>350.10267299584876</v>
          </cell>
          <cell r="E103">
            <v>-2.0026729958487408</v>
          </cell>
        </row>
        <row r="104">
          <cell r="B104">
            <v>50</v>
          </cell>
          <cell r="C104">
            <v>347.4</v>
          </cell>
          <cell r="D104">
            <v>351.25929652125302</v>
          </cell>
          <cell r="E104">
            <v>-3.859296521253043</v>
          </cell>
        </row>
        <row r="105">
          <cell r="B105">
            <v>51</v>
          </cell>
          <cell r="C105">
            <v>351.9</v>
          </cell>
          <cell r="D105">
            <v>347.77335232883172</v>
          </cell>
          <cell r="E105">
            <v>4.1266476711682571</v>
          </cell>
        </row>
        <row r="106">
          <cell r="B106">
            <v>52</v>
          </cell>
          <cell r="C106">
            <v>350.8</v>
          </cell>
          <cell r="D106">
            <v>352.40612508751497</v>
          </cell>
          <cell r="E106">
            <v>-1.606125087514954</v>
          </cell>
        </row>
        <row r="107">
          <cell r="B107">
            <v>53</v>
          </cell>
          <cell r="C107">
            <v>357.6</v>
          </cell>
          <cell r="D107">
            <v>352.54798642980393</v>
          </cell>
          <cell r="E107">
            <v>5.0520135701960953</v>
          </cell>
        </row>
        <row r="108">
          <cell r="B108">
            <v>54</v>
          </cell>
          <cell r="C108">
            <v>352.7</v>
          </cell>
          <cell r="D108">
            <v>359.48924560254545</v>
          </cell>
          <cell r="E108">
            <v>-6.7892456025454635</v>
          </cell>
        </row>
        <row r="109">
          <cell r="B109">
            <v>55</v>
          </cell>
          <cell r="C109">
            <v>357.8</v>
          </cell>
          <cell r="D109">
            <v>355.18663390291624</v>
          </cell>
          <cell r="E109">
            <v>2.6133660970837695</v>
          </cell>
        </row>
        <row r="110">
          <cell r="B110">
            <v>56</v>
          </cell>
          <cell r="C110">
            <v>357.9</v>
          </cell>
          <cell r="D110">
            <v>358.87644944314604</v>
          </cell>
          <cell r="E110">
            <v>-0.97644944314606619</v>
          </cell>
        </row>
        <row r="111">
          <cell r="B111">
            <v>57</v>
          </cell>
          <cell r="C111">
            <v>362.3</v>
          </cell>
          <cell r="D111">
            <v>358.00158139000933</v>
          </cell>
          <cell r="E111">
            <v>4.2984186099906765</v>
          </cell>
        </row>
        <row r="112">
          <cell r="B112">
            <v>58</v>
          </cell>
          <cell r="C112">
            <v>363.8</v>
          </cell>
          <cell r="D112">
            <v>364.93846747849545</v>
          </cell>
          <cell r="E112">
            <v>-1.1384674784954427</v>
          </cell>
        </row>
        <row r="113">
          <cell r="B113">
            <v>59</v>
          </cell>
          <cell r="C113">
            <v>366</v>
          </cell>
          <cell r="D113">
            <v>365.99927219166011</v>
          </cell>
          <cell r="E113">
            <v>7.2780833988872473E-4</v>
          </cell>
        </row>
        <row r="114">
          <cell r="B114">
            <v>60</v>
          </cell>
          <cell r="C114">
            <v>363.4</v>
          </cell>
          <cell r="D114">
            <v>368.87701545838337</v>
          </cell>
          <cell r="E114">
            <v>-5.4770154583833914</v>
          </cell>
        </row>
        <row r="115">
          <cell r="B115">
            <v>61</v>
          </cell>
          <cell r="C115">
            <v>355.8</v>
          </cell>
          <cell r="D115">
            <v>365.01701002146251</v>
          </cell>
          <cell r="E115">
            <v>-9.2170100214624995</v>
          </cell>
        </row>
        <row r="116">
          <cell r="B116">
            <v>62</v>
          </cell>
          <cell r="C116">
            <v>363.4</v>
          </cell>
          <cell r="D116">
            <v>355.21356383115557</v>
          </cell>
          <cell r="E116">
            <v>8.1864361688444092</v>
          </cell>
        </row>
        <row r="117">
          <cell r="B117">
            <v>63</v>
          </cell>
          <cell r="C117">
            <v>370.8</v>
          </cell>
          <cell r="D117">
            <v>358.84261841330488</v>
          </cell>
          <cell r="E117">
            <v>11.957381586695135</v>
          </cell>
        </row>
        <row r="118">
          <cell r="B118">
            <v>64</v>
          </cell>
          <cell r="C118">
            <v>371.4</v>
          </cell>
          <cell r="D118">
            <v>371.15992330449427</v>
          </cell>
          <cell r="E118">
            <v>0.24007669550570654</v>
          </cell>
        </row>
        <row r="119">
          <cell r="B119">
            <v>65</v>
          </cell>
          <cell r="C119">
            <v>375.8</v>
          </cell>
          <cell r="D119">
            <v>378.55090960041917</v>
          </cell>
          <cell r="E119">
            <v>-2.7509096004191633</v>
          </cell>
        </row>
        <row r="120">
          <cell r="B120">
            <v>66</v>
          </cell>
          <cell r="C120">
            <v>378</v>
          </cell>
          <cell r="D120">
            <v>379.76814996409985</v>
          </cell>
          <cell r="E120">
            <v>-1.7681499640998481</v>
          </cell>
        </row>
        <row r="121">
          <cell r="B121">
            <v>67</v>
          </cell>
          <cell r="C121">
            <v>386.7</v>
          </cell>
          <cell r="D121">
            <v>380.46854015588565</v>
          </cell>
          <cell r="E121">
            <v>6.2314598441143403</v>
          </cell>
        </row>
        <row r="122">
          <cell r="B122">
            <v>68</v>
          </cell>
          <cell r="C122">
            <v>394.7</v>
          </cell>
          <cell r="D122">
            <v>390.21363144039486</v>
          </cell>
          <cell r="E122">
            <v>4.4863685596051255</v>
          </cell>
        </row>
        <row r="123">
          <cell r="B123">
            <v>69</v>
          </cell>
          <cell r="C123">
            <v>395.5</v>
          </cell>
          <cell r="D123">
            <v>400.25870571198431</v>
          </cell>
          <cell r="E123">
            <v>-4.7587057119843053</v>
          </cell>
        </row>
        <row r="124">
          <cell r="B124">
            <v>70</v>
          </cell>
          <cell r="C124">
            <v>397</v>
          </cell>
          <cell r="D124">
            <v>403.46929994737042</v>
          </cell>
          <cell r="E124">
            <v>-6.4692999473704162</v>
          </cell>
        </row>
        <row r="125">
          <cell r="B125">
            <v>71</v>
          </cell>
          <cell r="C125">
            <v>401.5</v>
          </cell>
          <cell r="D125">
            <v>401.21428062709475</v>
          </cell>
          <cell r="E125">
            <v>0.28571937290524829</v>
          </cell>
        </row>
        <row r="126">
          <cell r="B126">
            <v>72</v>
          </cell>
          <cell r="C126">
            <v>405.4</v>
          </cell>
          <cell r="D126">
            <v>402.77777858031703</v>
          </cell>
          <cell r="E126">
            <v>2.6222214196829441</v>
          </cell>
        </row>
        <row r="127">
          <cell r="B127">
            <v>73</v>
          </cell>
          <cell r="C127">
            <v>407.8</v>
          </cell>
          <cell r="D127">
            <v>408.42157004072993</v>
          </cell>
          <cell r="E127">
            <v>-0.62157004072992095</v>
          </cell>
        </row>
        <row r="128">
          <cell r="B128">
            <v>74</v>
          </cell>
          <cell r="C128">
            <v>406.2</v>
          </cell>
          <cell r="D128">
            <v>411.88556024987275</v>
          </cell>
          <cell r="E128">
            <v>-5.6855602498727649</v>
          </cell>
        </row>
        <row r="129">
          <cell r="B129">
            <v>75</v>
          </cell>
          <cell r="C129">
            <v>415.4</v>
          </cell>
          <cell r="D129">
            <v>409.09633363915924</v>
          </cell>
          <cell r="E129">
            <v>6.3036663608407366</v>
          </cell>
        </row>
        <row r="130">
          <cell r="B130">
            <v>76</v>
          </cell>
          <cell r="C130">
            <v>411.9</v>
          </cell>
          <cell r="D130">
            <v>416.16532534683273</v>
          </cell>
          <cell r="E130">
            <v>-4.2653253468327534</v>
          </cell>
        </row>
        <row r="131">
          <cell r="B131">
            <v>77</v>
          </cell>
          <cell r="C131">
            <v>406.7</v>
          </cell>
          <cell r="D131">
            <v>415.36641199118912</v>
          </cell>
          <cell r="E131">
            <v>-8.6664119911891362</v>
          </cell>
        </row>
        <row r="132">
          <cell r="B132">
            <v>78</v>
          </cell>
          <cell r="C132">
            <v>416.3</v>
          </cell>
          <cell r="D132">
            <v>409.10907920223906</v>
          </cell>
          <cell r="E132">
            <v>7.1909207977609526</v>
          </cell>
        </row>
        <row r="133">
          <cell r="B133">
            <v>79</v>
          </cell>
          <cell r="C133">
            <v>418.5</v>
          </cell>
          <cell r="D133">
            <v>412.56063489023211</v>
          </cell>
          <cell r="E133">
            <v>5.9393651097678912</v>
          </cell>
        </row>
        <row r="134">
          <cell r="B134">
            <v>80</v>
          </cell>
          <cell r="C134">
            <v>421.2</v>
          </cell>
          <cell r="D134">
            <v>420.7164192121939</v>
          </cell>
          <cell r="E134">
            <v>0.48358078780609048</v>
          </cell>
        </row>
        <row r="135">
          <cell r="B135">
            <v>81</v>
          </cell>
          <cell r="C135">
            <v>419.1</v>
          </cell>
          <cell r="D135">
            <v>426.89978667070164</v>
          </cell>
          <cell r="E135">
            <v>-7.7997866707016215</v>
          </cell>
        </row>
        <row r="136">
          <cell r="B136">
            <v>82</v>
          </cell>
          <cell r="C136">
            <v>413.4</v>
          </cell>
          <cell r="D136">
            <v>421.31176654093753</v>
          </cell>
          <cell r="E136">
            <v>-7.9117665409375491</v>
          </cell>
        </row>
        <row r="137">
          <cell r="B137">
            <v>83</v>
          </cell>
          <cell r="C137">
            <v>417.8</v>
          </cell>
          <cell r="D137">
            <v>413.37831716223201</v>
          </cell>
          <cell r="E137">
            <v>4.4216828377680031</v>
          </cell>
        </row>
        <row r="138">
          <cell r="B138">
            <v>84</v>
          </cell>
          <cell r="C138">
            <v>415.9</v>
          </cell>
          <cell r="D138">
            <v>414.24343564234465</v>
          </cell>
          <cell r="E138">
            <v>1.6565643576553271</v>
          </cell>
        </row>
        <row r="139">
          <cell r="B139">
            <v>85</v>
          </cell>
          <cell r="C139">
            <v>422.6</v>
          </cell>
          <cell r="D139">
            <v>415.19407503712944</v>
          </cell>
          <cell r="E139">
            <v>7.4059249628705857</v>
          </cell>
        </row>
        <row r="140">
          <cell r="B140">
            <v>86</v>
          </cell>
          <cell r="C140">
            <v>419.9</v>
          </cell>
          <cell r="D140">
            <v>424.05327008624602</v>
          </cell>
          <cell r="E140">
            <v>-4.1532700862460388</v>
          </cell>
        </row>
        <row r="141">
          <cell r="B141">
            <v>87</v>
          </cell>
          <cell r="C141">
            <v>423.6</v>
          </cell>
          <cell r="D141">
            <v>422.06136655723662</v>
          </cell>
          <cell r="E141">
            <v>1.5386334427633983</v>
          </cell>
        </row>
        <row r="142">
          <cell r="B142">
            <v>88</v>
          </cell>
          <cell r="C142">
            <v>429.3</v>
          </cell>
          <cell r="D142">
            <v>425.62024090355902</v>
          </cell>
          <cell r="E142">
            <v>3.6797590964409892</v>
          </cell>
        </row>
        <row r="143">
          <cell r="B143">
            <v>89</v>
          </cell>
          <cell r="C143">
            <v>422</v>
          </cell>
          <cell r="D143">
            <v>430.03096539594065</v>
          </cell>
          <cell r="E143">
            <v>-8.0309653959406546</v>
          </cell>
        </row>
        <row r="144">
          <cell r="B144">
            <v>90</v>
          </cell>
          <cell r="C144">
            <v>435.5</v>
          </cell>
          <cell r="D144">
            <v>426.1218231342848</v>
          </cell>
          <cell r="E144">
            <v>9.3781768657152043</v>
          </cell>
        </row>
        <row r="145">
          <cell r="B145">
            <v>91</v>
          </cell>
          <cell r="C145">
            <v>442</v>
          </cell>
          <cell r="D145">
            <v>435.29189251660858</v>
          </cell>
          <cell r="E145">
            <v>6.7081074833914158</v>
          </cell>
        </row>
        <row r="146">
          <cell r="B146">
            <v>92</v>
          </cell>
          <cell r="C146">
            <v>441.2</v>
          </cell>
          <cell r="D146">
            <v>445.29222457968154</v>
          </cell>
          <cell r="E146">
            <v>-4.092224579681556</v>
          </cell>
        </row>
        <row r="147">
          <cell r="B147">
            <v>93</v>
          </cell>
          <cell r="C147">
            <v>443</v>
          </cell>
          <cell r="D147">
            <v>450.64950507289728</v>
          </cell>
          <cell r="E147">
            <v>-7.6495050728972842</v>
          </cell>
        </row>
        <row r="148">
          <cell r="B148">
            <v>94</v>
          </cell>
          <cell r="C148">
            <v>438.4</v>
          </cell>
          <cell r="D148">
            <v>445.74953840757883</v>
          </cell>
          <cell r="E148">
            <v>-7.3495384075788479</v>
          </cell>
        </row>
        <row r="149">
          <cell r="B149">
            <v>95</v>
          </cell>
          <cell r="C149">
            <v>440.9</v>
          </cell>
          <cell r="D149">
            <v>438.642819279506</v>
          </cell>
          <cell r="E149">
            <v>2.2571807204939773</v>
          </cell>
        </row>
        <row r="150">
          <cell r="B150">
            <v>96</v>
          </cell>
          <cell r="C150">
            <v>433.7</v>
          </cell>
          <cell r="D150">
            <v>439.63126977697294</v>
          </cell>
          <cell r="E150">
            <v>-5.9312697769729539</v>
          </cell>
        </row>
        <row r="151">
          <cell r="B151">
            <v>97</v>
          </cell>
          <cell r="C151">
            <v>439.7</v>
          </cell>
          <cell r="D151">
            <v>432.3581647394966</v>
          </cell>
          <cell r="E151">
            <v>7.3418352605033874</v>
          </cell>
        </row>
        <row r="152">
          <cell r="B152">
            <v>98</v>
          </cell>
          <cell r="C152">
            <v>441.3</v>
          </cell>
          <cell r="D152">
            <v>437.67689186228552</v>
          </cell>
          <cell r="E152">
            <v>3.623108137714496</v>
          </cell>
        </row>
        <row r="178">
          <cell r="B178">
            <v>0</v>
          </cell>
          <cell r="C178">
            <v>1</v>
          </cell>
          <cell r="G178">
            <v>1</v>
          </cell>
        </row>
        <row r="179">
          <cell r="B179">
            <v>1</v>
          </cell>
          <cell r="C179">
            <v>0.95878625376146165</v>
          </cell>
          <cell r="E179">
            <v>-0.19798626062138247</v>
          </cell>
          <cell r="F179">
            <v>0.19798626062138247</v>
          </cell>
          <cell r="G179">
            <v>0.95878625376146165</v>
          </cell>
          <cell r="I179">
            <v>-0.19798626062138247</v>
          </cell>
          <cell r="J179">
            <v>0.19798626062138247</v>
          </cell>
        </row>
        <row r="180">
          <cell r="B180">
            <v>2</v>
          </cell>
          <cell r="C180">
            <v>0.92192516970928995</v>
          </cell>
          <cell r="E180">
            <v>-0.33356673018306621</v>
          </cell>
          <cell r="F180">
            <v>0.33356673018306621</v>
          </cell>
          <cell r="G180">
            <v>3.2876561715012902E-2</v>
          </cell>
          <cell r="I180">
            <v>-0.19798626062138247</v>
          </cell>
          <cell r="J180">
            <v>0.19798626062138247</v>
          </cell>
        </row>
        <row r="181">
          <cell r="B181">
            <v>3</v>
          </cell>
          <cell r="C181">
            <v>0.88666364508796003</v>
          </cell>
          <cell r="E181">
            <v>-0.42178203193781222</v>
          </cell>
          <cell r="F181">
            <v>0.42178203193781222</v>
          </cell>
          <cell r="G181">
            <v>3.3905818850404734E-3</v>
          </cell>
          <cell r="I181">
            <v>-0.19798626062138247</v>
          </cell>
          <cell r="J181">
            <v>0.19798626062138247</v>
          </cell>
        </row>
        <row r="182">
          <cell r="B182">
            <v>4</v>
          </cell>
          <cell r="C182">
            <v>0.84794370027386345</v>
          </cell>
          <cell r="E182">
            <v>-0.48942183750617263</v>
          </cell>
          <cell r="F182">
            <v>0.48942183750617263</v>
          </cell>
          <cell r="G182">
            <v>-5.9416566386367449E-2</v>
          </cell>
          <cell r="I182">
            <v>-0.19798626062138247</v>
          </cell>
          <cell r="J182">
            <v>0.19798626062138247</v>
          </cell>
        </row>
        <row r="183">
          <cell r="B183">
            <v>5</v>
          </cell>
          <cell r="C183">
            <v>0.80990140015584644</v>
          </cell>
          <cell r="E183">
            <v>-0.54396868594593473</v>
          </cell>
          <cell r="F183">
            <v>0.54396868594593473</v>
          </cell>
          <cell r="G183">
            <v>-1.6397712337221877E-2</v>
          </cell>
          <cell r="I183">
            <v>-0.19798626062138247</v>
          </cell>
          <cell r="J183">
            <v>0.19798626062138247</v>
          </cell>
        </row>
        <row r="184">
          <cell r="B184">
            <v>6</v>
          </cell>
          <cell r="C184">
            <v>0.76573509151540153</v>
          </cell>
          <cell r="E184">
            <v>-0.58934349846336553</v>
          </cell>
          <cell r="F184">
            <v>0.58934349846336553</v>
          </cell>
          <cell r="G184">
            <v>-9.8252614520125611E-2</v>
          </cell>
          <cell r="I184">
            <v>-0.19798626062138247</v>
          </cell>
          <cell r="J184">
            <v>0.19798626062138247</v>
          </cell>
        </row>
        <row r="185">
          <cell r="B185">
            <v>7</v>
          </cell>
          <cell r="C185">
            <v>0.72597647986397529</v>
          </cell>
          <cell r="E185">
            <v>-0.62713150761570324</v>
          </cell>
          <cell r="F185">
            <v>0.62713150761570324</v>
          </cell>
          <cell r="G185">
            <v>2.4109346246310573E-2</v>
          </cell>
          <cell r="I185">
            <v>-0.19798626062138247</v>
          </cell>
          <cell r="J185">
            <v>0.19798626062138247</v>
          </cell>
        </row>
        <row r="186">
          <cell r="B186">
            <v>8</v>
          </cell>
          <cell r="C186">
            <v>0.68466863971281211</v>
          </cell>
          <cell r="E186">
            <v>-0.65925146212373131</v>
          </cell>
          <cell r="F186">
            <v>0.65925146212373131</v>
          </cell>
          <cell r="G186">
            <v>-4.1160252179341814E-2</v>
          </cell>
          <cell r="I186">
            <v>-0.19798626062138247</v>
          </cell>
          <cell r="J186">
            <v>0.19798626062138247</v>
          </cell>
        </row>
        <row r="187">
          <cell r="B187">
            <v>9</v>
          </cell>
          <cell r="C187">
            <v>0.64692447588499924</v>
          </cell>
          <cell r="E187">
            <v>-0.68655866285888267</v>
          </cell>
          <cell r="F187">
            <v>0.68655866285888267</v>
          </cell>
          <cell r="G187">
            <v>2.7102884911774604E-2</v>
          </cell>
          <cell r="I187">
            <v>-0.19798626062138247</v>
          </cell>
          <cell r="J187">
            <v>0.19798626062138247</v>
          </cell>
        </row>
        <row r="188">
          <cell r="B188">
            <v>10</v>
          </cell>
          <cell r="C188">
            <v>0.61261574113006956</v>
          </cell>
          <cell r="E188">
            <v>-0.71005131919002251</v>
          </cell>
          <cell r="F188">
            <v>0.71005131919002251</v>
          </cell>
          <cell r="G188">
            <v>1.8962806939353177E-2</v>
          </cell>
          <cell r="I188">
            <v>-0.19798626062138247</v>
          </cell>
          <cell r="J188">
            <v>0.19798626062138247</v>
          </cell>
        </row>
        <row r="189">
          <cell r="B189">
            <v>11</v>
          </cell>
          <cell r="C189">
            <v>0.57813178674796362</v>
          </cell>
          <cell r="E189">
            <v>-0.73047598276689751</v>
          </cell>
          <cell r="F189">
            <v>0.73047598276689751</v>
          </cell>
          <cell r="G189">
            <v>-9.4546763659258022E-3</v>
          </cell>
          <cell r="I189">
            <v>-0.19798626062138247</v>
          </cell>
          <cell r="J189">
            <v>0.19798626062138247</v>
          </cell>
        </row>
        <row r="190">
          <cell r="B190">
            <v>12</v>
          </cell>
          <cell r="C190">
            <v>0.54644348422715083</v>
          </cell>
          <cell r="E190">
            <v>-0.74819671827756595</v>
          </cell>
          <cell r="F190">
            <v>0.74819671827756595</v>
          </cell>
          <cell r="G190">
            <v>4.0242222484360088E-3</v>
          </cell>
          <cell r="I190">
            <v>-0.19798626062138247</v>
          </cell>
          <cell r="J190">
            <v>0.19798626062138247</v>
          </cell>
        </row>
        <row r="191">
          <cell r="B191">
            <v>13</v>
          </cell>
          <cell r="C191">
            <v>0.51375080706500698</v>
          </cell>
          <cell r="E191">
            <v>-0.76368039562145851</v>
          </cell>
          <cell r="F191">
            <v>0.76368039562145851</v>
          </cell>
          <cell r="G191">
            <v>-2.8454302857936205E-2</v>
          </cell>
          <cell r="I191">
            <v>-0.19798626062138247</v>
          </cell>
          <cell r="J191">
            <v>0.19798626062138247</v>
          </cell>
        </row>
        <row r="192">
          <cell r="B192">
            <v>14</v>
          </cell>
          <cell r="C192">
            <v>0.47990622362107255</v>
          </cell>
          <cell r="E192">
            <v>-0.77710994955938262</v>
          </cell>
          <cell r="F192">
            <v>0.77710994955938262</v>
          </cell>
          <cell r="G192">
            <v>-4.4905930019694465E-2</v>
          </cell>
          <cell r="I192">
            <v>-0.19798626062138247</v>
          </cell>
          <cell r="J192">
            <v>0.19798626062138247</v>
          </cell>
        </row>
        <row r="193">
          <cell r="B193">
            <v>15</v>
          </cell>
          <cell r="C193">
            <v>0.45334502942335614</v>
          </cell>
          <cell r="E193">
            <v>-0.78864156169755006</v>
          </cell>
          <cell r="F193">
            <v>0.78864156169755006</v>
          </cell>
          <cell r="G193">
            <v>6.2623454022755251E-2</v>
          </cell>
          <cell r="I193">
            <v>-0.19798626062138247</v>
          </cell>
          <cell r="J193">
            <v>0.19798626062138247</v>
          </cell>
        </row>
        <row r="194">
          <cell r="B194">
            <v>16</v>
          </cell>
          <cell r="C194">
            <v>0.42625176043802637</v>
          </cell>
          <cell r="E194">
            <v>-0.79879147666745054</v>
          </cell>
          <cell r="F194">
            <v>0.79879147666745054</v>
          </cell>
          <cell r="G194">
            <v>-1.6046758542746911E-2</v>
          </cell>
          <cell r="I194">
            <v>-0.19798626062138247</v>
          </cell>
          <cell r="J194">
            <v>0.19798626062138247</v>
          </cell>
        </row>
        <row r="195">
          <cell r="B195">
            <v>17</v>
          </cell>
          <cell r="C195">
            <v>0.39849836060210692</v>
          </cell>
          <cell r="E195">
            <v>-0.80765824447517298</v>
          </cell>
          <cell r="F195">
            <v>0.80765824447517298</v>
          </cell>
          <cell r="G195">
            <v>-2.5523851496486814E-2</v>
          </cell>
          <cell r="I195">
            <v>-0.19798626062138247</v>
          </cell>
          <cell r="J195">
            <v>0.19798626062138247</v>
          </cell>
        </row>
        <row r="196">
          <cell r="B196">
            <v>18</v>
          </cell>
          <cell r="C196">
            <v>0.36772073560645269</v>
          </cell>
          <cell r="E196">
            <v>-0.81532899880512155</v>
          </cell>
          <cell r="F196">
            <v>0.81532899880512155</v>
          </cell>
          <cell r="G196">
            <v>-5.9608992985113525E-2</v>
          </cell>
          <cell r="I196">
            <v>-0.19798626062138247</v>
          </cell>
          <cell r="J196">
            <v>0.19798626062138247</v>
          </cell>
        </row>
        <row r="197">
          <cell r="B197">
            <v>19</v>
          </cell>
          <cell r="C197">
            <v>0.33999353958194234</v>
          </cell>
          <cell r="E197">
            <v>-0.82180418603708416</v>
          </cell>
          <cell r="F197">
            <v>0.82180418603708416</v>
          </cell>
          <cell r="G197">
            <v>1.5172004540469169E-2</v>
          </cell>
          <cell r="I197">
            <v>-0.19798626062138247</v>
          </cell>
          <cell r="J197">
            <v>0.19798626062138247</v>
          </cell>
        </row>
        <row r="198">
          <cell r="B198">
            <v>20</v>
          </cell>
          <cell r="C198">
            <v>0.31316651318733857</v>
          </cell>
          <cell r="E198">
            <v>-0.82729951209841945</v>
          </cell>
          <cell r="F198">
            <v>0.82729951209841945</v>
          </cell>
          <cell r="G198">
            <v>-1.9231055076813729E-2</v>
          </cell>
          <cell r="I198">
            <v>-0.19798626062138247</v>
          </cell>
          <cell r="J198">
            <v>0.19798626062138247</v>
          </cell>
        </row>
        <row r="224">
          <cell r="B224">
            <v>0</v>
          </cell>
          <cell r="C224">
            <v>1</v>
          </cell>
          <cell r="G224">
            <v>1</v>
          </cell>
        </row>
        <row r="225">
          <cell r="B225">
            <v>1</v>
          </cell>
          <cell r="C225">
            <v>-0.1738718352869866</v>
          </cell>
          <cell r="E225">
            <v>-0.19798626062138247</v>
          </cell>
          <cell r="F225">
            <v>0.19798626062138247</v>
          </cell>
          <cell r="G225">
            <v>-0.1738718352869866</v>
          </cell>
          <cell r="I225">
            <v>-0.19798626062138247</v>
          </cell>
          <cell r="J225">
            <v>0.19798626062138247</v>
          </cell>
        </row>
        <row r="226">
          <cell r="B226">
            <v>2</v>
          </cell>
          <cell r="C226">
            <v>-0.29273189916231362</v>
          </cell>
          <cell r="E226">
            <v>-0.20388382779437947</v>
          </cell>
          <cell r="F226">
            <v>0.20388382779437947</v>
          </cell>
          <cell r="G226">
            <v>-0.33303132241977251</v>
          </cell>
          <cell r="I226">
            <v>-0.19798626062138247</v>
          </cell>
          <cell r="J226">
            <v>0.19798626062138247</v>
          </cell>
        </row>
        <row r="227">
          <cell r="B227">
            <v>3</v>
          </cell>
          <cell r="C227">
            <v>-0.15410650019564368</v>
          </cell>
          <cell r="E227">
            <v>-0.21974216340709185</v>
          </cell>
          <cell r="F227">
            <v>0.21974216340709185</v>
          </cell>
          <cell r="G227">
            <v>-0.32458348368352535</v>
          </cell>
          <cell r="I227">
            <v>-0.19798626062138247</v>
          </cell>
          <cell r="J227">
            <v>0.19798626062138247</v>
          </cell>
        </row>
        <row r="228">
          <cell r="B228">
            <v>4</v>
          </cell>
          <cell r="C228">
            <v>0.22422263566908099</v>
          </cell>
          <cell r="E228">
            <v>-0.22393851148085855</v>
          </cell>
          <cell r="F228">
            <v>0.22393851148085855</v>
          </cell>
          <cell r="G228">
            <v>-5.3168806393529468E-3</v>
          </cell>
          <cell r="I228">
            <v>-0.19798626062138247</v>
          </cell>
          <cell r="J228">
            <v>0.19798626062138247</v>
          </cell>
        </row>
        <row r="229">
          <cell r="B229">
            <v>5</v>
          </cell>
          <cell r="C229">
            <v>-2.9129612886415884E-3</v>
          </cell>
          <cell r="E229">
            <v>-0.23257242749795889</v>
          </cell>
          <cell r="F229">
            <v>0.23257242749795889</v>
          </cell>
          <cell r="G229">
            <v>-0.11154248079463046</v>
          </cell>
          <cell r="I229">
            <v>-0.19798626062138247</v>
          </cell>
          <cell r="J229">
            <v>0.19798626062138247</v>
          </cell>
        </row>
        <row r="230">
          <cell r="B230">
            <v>6</v>
          </cell>
          <cell r="C230">
            <v>-0.15361982899473961</v>
          </cell>
          <cell r="E230">
            <v>-0.23257385764262772</v>
          </cell>
          <cell r="F230">
            <v>0.23257385764262772</v>
          </cell>
          <cell r="G230">
            <v>-0.18888428285289108</v>
          </cell>
          <cell r="I230">
            <v>-0.19798626062138247</v>
          </cell>
          <cell r="J230">
            <v>0.19798626062138247</v>
          </cell>
        </row>
        <row r="231">
          <cell r="B231">
            <v>7</v>
          </cell>
          <cell r="C231">
            <v>8.4934970948699895E-2</v>
          </cell>
          <cell r="E231">
            <v>-0.23651785753045088</v>
          </cell>
          <cell r="F231">
            <v>0.23651785753045088</v>
          </cell>
          <cell r="G231">
            <v>3.118061862120414E-2</v>
          </cell>
          <cell r="I231">
            <v>-0.19798626062138247</v>
          </cell>
          <cell r="J231">
            <v>0.19798626062138247</v>
          </cell>
        </row>
        <row r="232">
          <cell r="B232">
            <v>8</v>
          </cell>
          <cell r="C232">
            <v>8.5060986764182153E-2</v>
          </cell>
          <cell r="E232">
            <v>-0.23771043260704799</v>
          </cell>
          <cell r="F232">
            <v>0.23771043260704799</v>
          </cell>
          <cell r="G232">
            <v>-1.1915504170521651E-3</v>
          </cell>
          <cell r="I232">
            <v>-0.19798626062138247</v>
          </cell>
          <cell r="J232">
            <v>0.19798626062138247</v>
          </cell>
        </row>
        <row r="233">
          <cell r="B233">
            <v>9</v>
          </cell>
          <cell r="C233">
            <v>-0.21821408071374673</v>
          </cell>
          <cell r="E233">
            <v>-0.23890056937310922</v>
          </cell>
          <cell r="F233">
            <v>0.23890056937310922</v>
          </cell>
          <cell r="G233">
            <v>-0.27191938864942528</v>
          </cell>
          <cell r="I233">
            <v>-0.19798626062138247</v>
          </cell>
          <cell r="J233">
            <v>0.19798626062138247</v>
          </cell>
        </row>
        <row r="234">
          <cell r="B234">
            <v>10</v>
          </cell>
          <cell r="C234">
            <v>-6.9722524975472114E-2</v>
          </cell>
          <cell r="E234">
            <v>-0.24658983725368594</v>
          </cell>
          <cell r="F234">
            <v>0.24658983725368594</v>
          </cell>
          <cell r="G234">
            <v>-0.17251375727847179</v>
          </cell>
          <cell r="I234">
            <v>-0.19798626062138247</v>
          </cell>
          <cell r="J234">
            <v>0.19798626062138247</v>
          </cell>
        </row>
        <row r="235">
          <cell r="B235">
            <v>11</v>
          </cell>
          <cell r="C235">
            <v>0.14545312348046385</v>
          </cell>
          <cell r="E235">
            <v>-0.24736138401315985</v>
          </cell>
          <cell r="F235">
            <v>0.24736138401315985</v>
          </cell>
          <cell r="G235">
            <v>-0.11098709982103266</v>
          </cell>
          <cell r="I235">
            <v>-0.19798626062138247</v>
          </cell>
          <cell r="J235">
            <v>0.19798626062138247</v>
          </cell>
        </row>
        <row r="236">
          <cell r="B236">
            <v>12</v>
          </cell>
          <cell r="C236">
            <v>0.29973690714632228</v>
          </cell>
          <cell r="E236">
            <v>-0.25069158672932962</v>
          </cell>
          <cell r="F236">
            <v>0.25069158672932962</v>
          </cell>
          <cell r="G236">
            <v>0.16861215209101466</v>
          </cell>
          <cell r="I236">
            <v>-0.19798626062138247</v>
          </cell>
          <cell r="J236">
            <v>0.19798626062138247</v>
          </cell>
        </row>
        <row r="237">
          <cell r="B237">
            <v>13</v>
          </cell>
          <cell r="C237">
            <v>-0.1859532101551096</v>
          </cell>
          <cell r="E237">
            <v>-0.26436649247096033</v>
          </cell>
          <cell r="F237">
            <v>0.26436649247096033</v>
          </cell>
          <cell r="G237">
            <v>1.9361588590798832E-2</v>
          </cell>
          <cell r="I237">
            <v>-0.19798626062138247</v>
          </cell>
          <cell r="J237">
            <v>0.19798626062138247</v>
          </cell>
        </row>
        <row r="238">
          <cell r="B238">
            <v>14</v>
          </cell>
          <cell r="C238">
            <v>-0.24693043898465356</v>
          </cell>
          <cell r="E238">
            <v>-0.26944480820450323</v>
          </cell>
          <cell r="F238">
            <v>0.26944480820450323</v>
          </cell>
          <cell r="G238">
            <v>-0.15131016440416883</v>
          </cell>
          <cell r="I238">
            <v>-0.19798626062138247</v>
          </cell>
          <cell r="J238">
            <v>0.19798626062138247</v>
          </cell>
        </row>
        <row r="239">
          <cell r="B239">
            <v>15</v>
          </cell>
          <cell r="C239">
            <v>9.493604220943179E-2</v>
          </cell>
          <cell r="E239">
            <v>-0.27817394000274581</v>
          </cell>
          <cell r="F239">
            <v>0.27817394000274581</v>
          </cell>
          <cell r="G239">
            <v>-3.5999628819186495E-2</v>
          </cell>
          <cell r="I239">
            <v>-0.19798626062138247</v>
          </cell>
          <cell r="J239">
            <v>0.19798626062138247</v>
          </cell>
        </row>
        <row r="240">
          <cell r="B240">
            <v>16</v>
          </cell>
          <cell r="C240">
            <v>0.17205958190479267</v>
          </cell>
          <cell r="E240">
            <v>-0.27944108955946928</v>
          </cell>
          <cell r="F240">
            <v>0.27944108955946928</v>
          </cell>
          <cell r="G240">
            <v>-1.5546033812069203E-3</v>
          </cell>
          <cell r="I240">
            <v>-0.19798626062138247</v>
          </cell>
          <cell r="J240">
            <v>0.19798626062138247</v>
          </cell>
        </row>
        <row r="241">
          <cell r="B241">
            <v>17</v>
          </cell>
          <cell r="C241">
            <v>-5.6153214818294675E-2</v>
          </cell>
          <cell r="E241">
            <v>-0.28356344971778863</v>
          </cell>
          <cell r="F241">
            <v>0.28356344971778863</v>
          </cell>
          <cell r="G241">
            <v>-4.2770300948109415E-2</v>
          </cell>
          <cell r="I241">
            <v>-0.19798626062138247</v>
          </cell>
          <cell r="J241">
            <v>0.19798626062138247</v>
          </cell>
        </row>
        <row r="242">
          <cell r="B242">
            <v>18</v>
          </cell>
          <cell r="C242">
            <v>-0.12587025964295856</v>
          </cell>
          <cell r="E242">
            <v>-0.28399899739253864</v>
          </cell>
          <cell r="F242">
            <v>0.28399899739253864</v>
          </cell>
          <cell r="G242">
            <v>-6.8601705027195495E-2</v>
          </cell>
          <cell r="I242">
            <v>-0.19798626062138247</v>
          </cell>
          <cell r="J242">
            <v>0.19798626062138247</v>
          </cell>
        </row>
        <row r="243">
          <cell r="B243">
            <v>19</v>
          </cell>
          <cell r="C243">
            <v>1.3935017051446331E-2</v>
          </cell>
          <cell r="E243">
            <v>-0.28617739487494503</v>
          </cell>
          <cell r="F243">
            <v>0.28617739487494503</v>
          </cell>
          <cell r="G243">
            <v>-0.14417930100323875</v>
          </cell>
          <cell r="I243">
            <v>-0.19798626062138247</v>
          </cell>
          <cell r="J243">
            <v>0.19798626062138247</v>
          </cell>
        </row>
        <row r="244">
          <cell r="B244">
            <v>20</v>
          </cell>
          <cell r="C244">
            <v>3.0030447310275842E-2</v>
          </cell>
          <cell r="E244">
            <v>-0.28620399168848232</v>
          </cell>
          <cell r="F244">
            <v>0.28620399168848232</v>
          </cell>
          <cell r="G244">
            <v>-0.15517128802436383</v>
          </cell>
          <cell r="I244">
            <v>-0.19798626062138247</v>
          </cell>
          <cell r="J244">
            <v>0.19798626062138247</v>
          </cell>
        </row>
      </sheetData>
      <sheetData sheetId="4">
        <row r="46">
          <cell r="B46">
            <v>1</v>
          </cell>
          <cell r="C46">
            <v>257.39999999999998</v>
          </cell>
        </row>
        <row r="47">
          <cell r="B47">
            <v>2</v>
          </cell>
          <cell r="C47">
            <v>259.7</v>
          </cell>
          <cell r="D47">
            <v>257.39999999999998</v>
          </cell>
          <cell r="E47">
            <v>2.3000000000000114</v>
          </cell>
        </row>
        <row r="48">
          <cell r="B48">
            <v>3</v>
          </cell>
          <cell r="C48">
            <v>263.3</v>
          </cell>
          <cell r="D48">
            <v>259.32829793659795</v>
          </cell>
          <cell r="E48">
            <v>3.9717020634020628</v>
          </cell>
        </row>
        <row r="49">
          <cell r="B49">
            <v>4</v>
          </cell>
          <cell r="C49">
            <v>265.3</v>
          </cell>
          <cell r="D49">
            <v>262.65813484687624</v>
          </cell>
          <cell r="E49">
            <v>2.6418651531237742</v>
          </cell>
        </row>
        <row r="50">
          <cell r="B50">
            <v>5</v>
          </cell>
          <cell r="C50">
            <v>269.89999999999998</v>
          </cell>
          <cell r="D50">
            <v>264.87304924841476</v>
          </cell>
          <cell r="E50">
            <v>5.0269507515852183</v>
          </cell>
        </row>
        <row r="51">
          <cell r="B51">
            <v>6</v>
          </cell>
          <cell r="C51">
            <v>264.8</v>
          </cell>
          <cell r="D51">
            <v>269.0875965360936</v>
          </cell>
          <cell r="E51">
            <v>-4.2875965360935879</v>
          </cell>
        </row>
        <row r="52">
          <cell r="B52">
            <v>7</v>
          </cell>
          <cell r="C52">
            <v>273.10000000000002</v>
          </cell>
          <cell r="D52">
            <v>265.49291673021798</v>
          </cell>
          <cell r="E52">
            <v>7.6070832697820379</v>
          </cell>
        </row>
        <row r="53">
          <cell r="B53">
            <v>8</v>
          </cell>
          <cell r="C53">
            <v>276.10000000000002</v>
          </cell>
          <cell r="D53">
            <v>271.87062237050043</v>
          </cell>
          <cell r="E53">
            <v>4.2293776294995951</v>
          </cell>
        </row>
        <row r="54">
          <cell r="B54">
            <v>9</v>
          </cell>
          <cell r="C54">
            <v>284.8</v>
          </cell>
          <cell r="D54">
            <v>275.41649200356898</v>
          </cell>
          <cell r="E54">
            <v>9.3835079964310353</v>
          </cell>
        </row>
        <row r="55">
          <cell r="B55">
            <v>10</v>
          </cell>
          <cell r="C55">
            <v>280.89999999999998</v>
          </cell>
          <cell r="D55">
            <v>283.28353509381617</v>
          </cell>
          <cell r="E55">
            <v>-2.3835350938161923</v>
          </cell>
        </row>
        <row r="56">
          <cell r="B56">
            <v>11</v>
          </cell>
          <cell r="C56">
            <v>290.5</v>
          </cell>
          <cell r="D56">
            <v>281.28520213589678</v>
          </cell>
          <cell r="E56">
            <v>9.2147978641032182</v>
          </cell>
        </row>
        <row r="57">
          <cell r="B57">
            <v>12</v>
          </cell>
          <cell r="C57">
            <v>295.10000000000002</v>
          </cell>
          <cell r="D57">
            <v>289.01080026960011</v>
          </cell>
          <cell r="E57">
            <v>6.0891997303999119</v>
          </cell>
        </row>
        <row r="58">
          <cell r="B58">
            <v>13</v>
          </cell>
          <cell r="C58">
            <v>298.8</v>
          </cell>
          <cell r="D58">
            <v>294.11592691119273</v>
          </cell>
          <cell r="E58">
            <v>4.6840730888072812</v>
          </cell>
        </row>
        <row r="59">
          <cell r="B59">
            <v>14</v>
          </cell>
          <cell r="C59">
            <v>297.5</v>
          </cell>
          <cell r="D59">
            <v>298.04300885554977</v>
          </cell>
          <cell r="E59">
            <v>-0.54300885554977185</v>
          </cell>
        </row>
        <row r="60">
          <cell r="B60">
            <v>15</v>
          </cell>
          <cell r="C60">
            <v>308.3</v>
          </cell>
          <cell r="D60">
            <v>297.58775544002322</v>
          </cell>
          <cell r="E60">
            <v>10.712244559976796</v>
          </cell>
        </row>
        <row r="61">
          <cell r="B61">
            <v>16</v>
          </cell>
          <cell r="C61">
            <v>313.60000000000002</v>
          </cell>
          <cell r="D61">
            <v>306.56879851886498</v>
          </cell>
          <cell r="E61">
            <v>7.0312014811350423</v>
          </cell>
        </row>
        <row r="62">
          <cell r="B62">
            <v>17</v>
          </cell>
          <cell r="C62">
            <v>312.2</v>
          </cell>
          <cell r="D62">
            <v>312.4636903918551</v>
          </cell>
          <cell r="E62">
            <v>-0.26369039185510701</v>
          </cell>
        </row>
        <row r="63">
          <cell r="B63">
            <v>18</v>
          </cell>
          <cell r="C63">
            <v>310.5</v>
          </cell>
          <cell r="D63">
            <v>312.24261489684864</v>
          </cell>
          <cell r="E63">
            <v>-1.7426148968486359</v>
          </cell>
        </row>
        <row r="64">
          <cell r="B64">
            <v>19</v>
          </cell>
          <cell r="C64">
            <v>320.5</v>
          </cell>
          <cell r="D64">
            <v>310.78162328385815</v>
          </cell>
          <cell r="E64">
            <v>9.7183767161418473</v>
          </cell>
        </row>
        <row r="65">
          <cell r="B65">
            <v>20</v>
          </cell>
          <cell r="C65">
            <v>323.10000000000002</v>
          </cell>
          <cell r="D65">
            <v>318.92941709638774</v>
          </cell>
          <cell r="E65">
            <v>4.170582903612285</v>
          </cell>
        </row>
        <row r="66">
          <cell r="B66">
            <v>21</v>
          </cell>
          <cell r="C66">
            <v>324.89999999999998</v>
          </cell>
          <cell r="D66">
            <v>322.42599379527746</v>
          </cell>
          <cell r="E66">
            <v>2.4740062047225138</v>
          </cell>
        </row>
        <row r="67">
          <cell r="B67">
            <v>22</v>
          </cell>
          <cell r="C67">
            <v>318.7</v>
          </cell>
          <cell r="D67">
            <v>324.50017686471097</v>
          </cell>
          <cell r="E67">
            <v>-5.800176864710977</v>
          </cell>
        </row>
        <row r="68">
          <cell r="B68">
            <v>23</v>
          </cell>
          <cell r="C68">
            <v>331.9</v>
          </cell>
          <cell r="D68">
            <v>319.63736422117813</v>
          </cell>
          <cell r="E68">
            <v>12.262635778821846</v>
          </cell>
        </row>
        <row r="69">
          <cell r="B69">
            <v>24</v>
          </cell>
          <cell r="C69">
            <v>331.3</v>
          </cell>
          <cell r="D69">
            <v>329.91824042533233</v>
          </cell>
          <cell r="E69">
            <v>1.381759574667683</v>
          </cell>
        </row>
        <row r="70">
          <cell r="B70">
            <v>25</v>
          </cell>
          <cell r="C70">
            <v>339.2</v>
          </cell>
          <cell r="D70">
            <v>331.0766943978133</v>
          </cell>
          <cell r="E70">
            <v>8.1233056021866901</v>
          </cell>
        </row>
        <row r="71">
          <cell r="B71">
            <v>26</v>
          </cell>
          <cell r="C71">
            <v>335.1</v>
          </cell>
          <cell r="D71">
            <v>337.88719588957474</v>
          </cell>
          <cell r="E71">
            <v>-2.7871958895747184</v>
          </cell>
        </row>
        <row r="72">
          <cell r="B72">
            <v>27</v>
          </cell>
          <cell r="C72">
            <v>343.2</v>
          </cell>
          <cell r="D72">
            <v>335.55043759272201</v>
          </cell>
          <cell r="E72">
            <v>7.6495624072779833</v>
          </cell>
        </row>
        <row r="73">
          <cell r="B73">
            <v>28</v>
          </cell>
          <cell r="C73">
            <v>345.6</v>
          </cell>
          <cell r="D73">
            <v>341.96375733438788</v>
          </cell>
          <cell r="E73">
            <v>3.6362426656121443</v>
          </cell>
        </row>
        <row r="74">
          <cell r="B74">
            <v>29</v>
          </cell>
          <cell r="C74">
            <v>324.10000000000002</v>
          </cell>
          <cell r="D74">
            <v>345.01234830354849</v>
          </cell>
          <cell r="E74">
            <v>-20.91234830354847</v>
          </cell>
        </row>
        <row r="75">
          <cell r="B75">
            <v>30</v>
          </cell>
          <cell r="C75">
            <v>343.9</v>
          </cell>
          <cell r="D75">
            <v>327.47963609348301</v>
          </cell>
          <cell r="E75">
            <v>16.420363906516968</v>
          </cell>
        </row>
        <row r="76">
          <cell r="B76">
            <v>31</v>
          </cell>
          <cell r="C76">
            <v>344</v>
          </cell>
          <cell r="D76">
            <v>341.24631167571101</v>
          </cell>
          <cell r="E76">
            <v>2.7536883242889871</v>
          </cell>
        </row>
        <row r="77">
          <cell r="B77">
            <v>32</v>
          </cell>
          <cell r="C77">
            <v>343</v>
          </cell>
          <cell r="D77">
            <v>343.55497755125901</v>
          </cell>
          <cell r="E77">
            <v>-0.55497755125901449</v>
          </cell>
        </row>
        <row r="78">
          <cell r="B78">
            <v>33</v>
          </cell>
          <cell r="C78">
            <v>345.6</v>
          </cell>
          <cell r="D78">
            <v>343.08968969606298</v>
          </cell>
          <cell r="E78">
            <v>2.5103103039370467</v>
          </cell>
        </row>
        <row r="79">
          <cell r="B79">
            <v>34</v>
          </cell>
          <cell r="C79">
            <v>344.9</v>
          </cell>
          <cell r="D79">
            <v>345.19430977402055</v>
          </cell>
          <cell r="E79">
            <v>-0.29430977402057579</v>
          </cell>
        </row>
        <row r="80">
          <cell r="B80">
            <v>35</v>
          </cell>
          <cell r="C80">
            <v>348</v>
          </cell>
          <cell r="D80">
            <v>344.94756328273166</v>
          </cell>
          <cell r="E80">
            <v>3.0524367172683355</v>
          </cell>
        </row>
        <row r="81">
          <cell r="B81">
            <v>36</v>
          </cell>
          <cell r="C81">
            <v>350.4</v>
          </cell>
          <cell r="D81">
            <v>347.50669694512487</v>
          </cell>
          <cell r="E81">
            <v>2.8933030548751049</v>
          </cell>
        </row>
        <row r="82">
          <cell r="B82">
            <v>37</v>
          </cell>
          <cell r="C82">
            <v>346.8</v>
          </cell>
          <cell r="D82">
            <v>349.9324144715024</v>
          </cell>
          <cell r="E82">
            <v>-3.1324144715023863</v>
          </cell>
        </row>
        <row r="83">
          <cell r="B83">
            <v>38</v>
          </cell>
          <cell r="C83">
            <v>343.8</v>
          </cell>
          <cell r="D83">
            <v>347.30622822716862</v>
          </cell>
          <cell r="E83">
            <v>-3.5062282271686058</v>
          </cell>
        </row>
        <row r="84">
          <cell r="B84">
            <v>39</v>
          </cell>
          <cell r="C84">
            <v>342.1</v>
          </cell>
          <cell r="D84">
            <v>344.36664011599873</v>
          </cell>
          <cell r="E84">
            <v>-2.2666401159987117</v>
          </cell>
        </row>
        <row r="85">
          <cell r="B85">
            <v>40</v>
          </cell>
          <cell r="C85">
            <v>338.4</v>
          </cell>
          <cell r="D85">
            <v>342.46631078613331</v>
          </cell>
          <cell r="E85">
            <v>-4.0663107861333287</v>
          </cell>
        </row>
        <row r="86">
          <cell r="B86">
            <v>41</v>
          </cell>
          <cell r="C86">
            <v>338.5</v>
          </cell>
          <cell r="D86">
            <v>339.05715483027808</v>
          </cell>
          <cell r="E86">
            <v>-0.55715483027807977</v>
          </cell>
        </row>
        <row r="87">
          <cell r="B87">
            <v>42</v>
          </cell>
          <cell r="C87">
            <v>335.7</v>
          </cell>
          <cell r="D87">
            <v>338.59004156523861</v>
          </cell>
          <cell r="E87">
            <v>-2.8900415652386187</v>
          </cell>
        </row>
        <row r="88">
          <cell r="B88">
            <v>43</v>
          </cell>
          <cell r="C88">
            <v>335.7</v>
          </cell>
          <cell r="D88">
            <v>336.16705844048556</v>
          </cell>
          <cell r="E88">
            <v>-0.4670584404855731</v>
          </cell>
        </row>
        <row r="89">
          <cell r="B89">
            <v>44</v>
          </cell>
          <cell r="C89">
            <v>334.7</v>
          </cell>
          <cell r="D89">
            <v>335.77548112437296</v>
          </cell>
          <cell r="E89">
            <v>-1.0754811243729705</v>
          </cell>
        </row>
        <row r="90">
          <cell r="B90">
            <v>45</v>
          </cell>
          <cell r="C90">
            <v>340</v>
          </cell>
          <cell r="D90">
            <v>334.87380806655625</v>
          </cell>
          <cell r="E90">
            <v>5.1261919334437493</v>
          </cell>
        </row>
        <row r="91">
          <cell r="B91">
            <v>46</v>
          </cell>
          <cell r="C91">
            <v>340.1</v>
          </cell>
          <cell r="D91">
            <v>339.17155820910614</v>
          </cell>
          <cell r="E91">
            <v>0.9284417908938849</v>
          </cell>
        </row>
        <row r="92">
          <cell r="B92">
            <v>47</v>
          </cell>
          <cell r="C92">
            <v>347.2</v>
          </cell>
          <cell r="D92">
            <v>339.94995490025048</v>
          </cell>
          <cell r="E92">
            <v>7.2500450997495136</v>
          </cell>
        </row>
        <row r="93">
          <cell r="B93">
            <v>48</v>
          </cell>
          <cell r="C93">
            <v>346.7</v>
          </cell>
          <cell r="D93">
            <v>346.02832316376754</v>
          </cell>
          <cell r="E93">
            <v>0.67167683623245011</v>
          </cell>
        </row>
        <row r="94">
          <cell r="B94">
            <v>49</v>
          </cell>
          <cell r="C94">
            <v>348.1</v>
          </cell>
          <cell r="D94">
            <v>346.59145058001434</v>
          </cell>
          <cell r="E94">
            <v>1.5085494199856839</v>
          </cell>
        </row>
        <row r="95">
          <cell r="B95">
            <v>50</v>
          </cell>
          <cell r="C95">
            <v>347.4</v>
          </cell>
          <cell r="D95">
            <v>347.85620394254238</v>
          </cell>
          <cell r="E95">
            <v>-0.45620394254240182</v>
          </cell>
        </row>
        <row r="96">
          <cell r="B96">
            <v>51</v>
          </cell>
          <cell r="C96">
            <v>351.9</v>
          </cell>
          <cell r="D96">
            <v>347.47372693338048</v>
          </cell>
          <cell r="E96">
            <v>4.4262730666195012</v>
          </cell>
        </row>
        <row r="97">
          <cell r="B97">
            <v>52</v>
          </cell>
          <cell r="C97">
            <v>350.8</v>
          </cell>
          <cell r="D97">
            <v>351.18467181215505</v>
          </cell>
          <cell r="E97">
            <v>-0.38467181215503388</v>
          </cell>
        </row>
        <row r="98">
          <cell r="B98">
            <v>53</v>
          </cell>
          <cell r="C98">
            <v>357.6</v>
          </cell>
          <cell r="D98">
            <v>350.8621666549177</v>
          </cell>
          <cell r="E98">
            <v>6.737833345082322</v>
          </cell>
        </row>
        <row r="99">
          <cell r="B99">
            <v>54</v>
          </cell>
          <cell r="C99">
            <v>352.7</v>
          </cell>
          <cell r="D99">
            <v>356.51110149685826</v>
          </cell>
          <cell r="E99">
            <v>-3.8111014968582708</v>
          </cell>
        </row>
        <row r="100">
          <cell r="B100">
            <v>55</v>
          </cell>
          <cell r="C100">
            <v>357.8</v>
          </cell>
          <cell r="D100">
            <v>353.3159105609638</v>
          </cell>
          <cell r="E100">
            <v>4.4840894390362109</v>
          </cell>
        </row>
        <row r="101">
          <cell r="B101">
            <v>56</v>
          </cell>
          <cell r="C101">
            <v>357.9</v>
          </cell>
          <cell r="D101">
            <v>357.0753281317526</v>
          </cell>
          <cell r="E101">
            <v>0.82467186824737837</v>
          </cell>
        </row>
        <row r="102">
          <cell r="B102">
            <v>57</v>
          </cell>
          <cell r="C102">
            <v>362.3</v>
          </cell>
          <cell r="D102">
            <v>357.76672511519251</v>
          </cell>
          <cell r="E102">
            <v>4.5332748848074971</v>
          </cell>
        </row>
        <row r="103">
          <cell r="B103">
            <v>58</v>
          </cell>
          <cell r="C103">
            <v>363.8</v>
          </cell>
          <cell r="D103">
            <v>361.56737929189063</v>
          </cell>
          <cell r="E103">
            <v>2.2326207081093798</v>
          </cell>
        </row>
        <row r="104">
          <cell r="B104">
            <v>59</v>
          </cell>
          <cell r="C104">
            <v>366</v>
          </cell>
          <cell r="D104">
            <v>363.43918707652244</v>
          </cell>
          <cell r="E104">
            <v>2.5608129234775561</v>
          </cell>
        </row>
        <row r="105">
          <cell r="B105">
            <v>60</v>
          </cell>
          <cell r="C105">
            <v>363.4</v>
          </cell>
          <cell r="D105">
            <v>365.58614806624212</v>
          </cell>
          <cell r="E105">
            <v>-2.18614806624214</v>
          </cell>
        </row>
        <row r="106">
          <cell r="B106">
            <v>61</v>
          </cell>
          <cell r="C106">
            <v>355.8</v>
          </cell>
          <cell r="D106">
            <v>363.7533024987498</v>
          </cell>
          <cell r="E106">
            <v>-7.9533024987497924</v>
          </cell>
        </row>
        <row r="107">
          <cell r="B107">
            <v>62</v>
          </cell>
          <cell r="C107">
            <v>363.4</v>
          </cell>
          <cell r="D107">
            <v>357.08532997810687</v>
          </cell>
          <cell r="E107">
            <v>6.3146700218931073</v>
          </cell>
        </row>
        <row r="108">
          <cell r="B108">
            <v>63</v>
          </cell>
          <cell r="C108">
            <v>370.8</v>
          </cell>
          <cell r="D108">
            <v>362.37948874919971</v>
          </cell>
          <cell r="E108">
            <v>8.4205112508003026</v>
          </cell>
        </row>
        <row r="109">
          <cell r="B109">
            <v>64</v>
          </cell>
          <cell r="C109">
            <v>371.4</v>
          </cell>
          <cell r="D109">
            <v>369.43916460572939</v>
          </cell>
          <cell r="E109">
            <v>1.9608353942705889</v>
          </cell>
        </row>
        <row r="110">
          <cell r="B110">
            <v>65</v>
          </cell>
          <cell r="C110">
            <v>375.8</v>
          </cell>
          <cell r="D110">
            <v>371.08311019041645</v>
          </cell>
          <cell r="E110">
            <v>4.716889809583563</v>
          </cell>
        </row>
        <row r="111">
          <cell r="B111">
            <v>66</v>
          </cell>
          <cell r="C111">
            <v>378</v>
          </cell>
          <cell r="D111">
            <v>375.03770535866863</v>
          </cell>
          <cell r="E111">
            <v>2.9622946413313684</v>
          </cell>
        </row>
        <row r="112">
          <cell r="B112">
            <v>67</v>
          </cell>
          <cell r="C112">
            <v>386.7</v>
          </cell>
          <cell r="D112">
            <v>377.52126476930971</v>
          </cell>
          <cell r="E112">
            <v>9.178735230690279</v>
          </cell>
        </row>
        <row r="113">
          <cell r="B113">
            <v>68</v>
          </cell>
          <cell r="C113">
            <v>394.7</v>
          </cell>
          <cell r="D113">
            <v>385.21662833710064</v>
          </cell>
          <cell r="E113">
            <v>9.4833716628993443</v>
          </cell>
        </row>
        <row r="114">
          <cell r="B114">
            <v>69</v>
          </cell>
          <cell r="C114">
            <v>395.5</v>
          </cell>
          <cell r="D114">
            <v>393.16739616734435</v>
          </cell>
          <cell r="E114">
            <v>2.33260383265565</v>
          </cell>
        </row>
        <row r="115">
          <cell r="B115">
            <v>70</v>
          </cell>
          <cell r="C115">
            <v>397</v>
          </cell>
          <cell r="D115">
            <v>395.12302884447934</v>
          </cell>
          <cell r="E115">
            <v>1.8769711555206641</v>
          </cell>
        </row>
        <row r="116">
          <cell r="B116">
            <v>71</v>
          </cell>
          <cell r="C116">
            <v>401.5</v>
          </cell>
          <cell r="D116">
            <v>396.69666345588996</v>
          </cell>
          <cell r="E116">
            <v>4.8033365441100386</v>
          </cell>
        </row>
        <row r="117">
          <cell r="B117">
            <v>72</v>
          </cell>
          <cell r="C117">
            <v>405.4</v>
          </cell>
          <cell r="D117">
            <v>400.72373473710434</v>
          </cell>
          <cell r="E117">
            <v>4.6762652628956403</v>
          </cell>
        </row>
        <row r="118">
          <cell r="B118">
            <v>73</v>
          </cell>
          <cell r="C118">
            <v>407.8</v>
          </cell>
          <cell r="D118">
            <v>404.64427067511582</v>
          </cell>
          <cell r="E118">
            <v>3.1557293248841916</v>
          </cell>
        </row>
        <row r="119">
          <cell r="B119">
            <v>74</v>
          </cell>
          <cell r="C119">
            <v>406.2</v>
          </cell>
          <cell r="D119">
            <v>407.29000386887054</v>
          </cell>
          <cell r="E119">
            <v>-1.0900038688705536</v>
          </cell>
        </row>
        <row r="120">
          <cell r="B120">
            <v>75</v>
          </cell>
          <cell r="C120">
            <v>415.4</v>
          </cell>
          <cell r="D120">
            <v>406.3761550813806</v>
          </cell>
          <cell r="E120">
            <v>9.0238449186193748</v>
          </cell>
        </row>
        <row r="121">
          <cell r="B121">
            <v>76</v>
          </cell>
          <cell r="C121">
            <v>411.9</v>
          </cell>
          <cell r="D121">
            <v>413.94166009736051</v>
          </cell>
          <cell r="E121">
            <v>-2.0416600973605341</v>
          </cell>
        </row>
        <row r="122">
          <cell r="B122">
            <v>77</v>
          </cell>
          <cell r="C122">
            <v>406.7</v>
          </cell>
          <cell r="D122">
            <v>412.22995185693674</v>
          </cell>
          <cell r="E122">
            <v>-5.5299518569367478</v>
          </cell>
        </row>
        <row r="123">
          <cell r="B123">
            <v>78</v>
          </cell>
          <cell r="C123">
            <v>416.3</v>
          </cell>
          <cell r="D123">
            <v>407.59369326771184</v>
          </cell>
          <cell r="E123">
            <v>8.7063067322881693</v>
          </cell>
        </row>
        <row r="124">
          <cell r="B124">
            <v>79</v>
          </cell>
          <cell r="C124">
            <v>418.5</v>
          </cell>
          <cell r="D124">
            <v>414.89297731434675</v>
          </cell>
          <cell r="E124">
            <v>3.6070226856532486</v>
          </cell>
        </row>
        <row r="125">
          <cell r="B125">
            <v>80</v>
          </cell>
          <cell r="C125">
            <v>421.2</v>
          </cell>
          <cell r="D125">
            <v>417.91707053261075</v>
          </cell>
          <cell r="E125">
            <v>3.2829294673892377</v>
          </cell>
        </row>
        <row r="126">
          <cell r="B126">
            <v>81</v>
          </cell>
          <cell r="C126">
            <v>419.1</v>
          </cell>
          <cell r="D126">
            <v>420.66944710563831</v>
          </cell>
          <cell r="E126">
            <v>-1.5694471056382895</v>
          </cell>
        </row>
        <row r="127">
          <cell r="B127">
            <v>82</v>
          </cell>
          <cell r="C127">
            <v>413.4</v>
          </cell>
          <cell r="D127">
            <v>419.35363770763746</v>
          </cell>
          <cell r="E127">
            <v>-5.9536377076374833</v>
          </cell>
        </row>
        <row r="128">
          <cell r="B128">
            <v>83</v>
          </cell>
          <cell r="C128">
            <v>417.8</v>
          </cell>
          <cell r="D128">
            <v>414.36216496551168</v>
          </cell>
          <cell r="E128">
            <v>3.4378350344883302</v>
          </cell>
        </row>
        <row r="129">
          <cell r="B129">
            <v>84</v>
          </cell>
          <cell r="C129">
            <v>415.9</v>
          </cell>
          <cell r="D129">
            <v>417.24441288001952</v>
          </cell>
          <cell r="E129">
            <v>-1.3444128800195472</v>
          </cell>
        </row>
        <row r="130">
          <cell r="B130">
            <v>85</v>
          </cell>
          <cell r="C130">
            <v>422.6</v>
          </cell>
          <cell r="D130">
            <v>416.11727001807282</v>
          </cell>
          <cell r="E130">
            <v>6.4827299819272071</v>
          </cell>
        </row>
        <row r="131">
          <cell r="B131">
            <v>86</v>
          </cell>
          <cell r="C131">
            <v>419.9</v>
          </cell>
          <cell r="D131">
            <v>421.55232864749541</v>
          </cell>
          <cell r="E131">
            <v>-1.6523286474954375</v>
          </cell>
        </row>
        <row r="132">
          <cell r="B132">
            <v>87</v>
          </cell>
          <cell r="C132">
            <v>423.6</v>
          </cell>
          <cell r="D132">
            <v>420.16703215986621</v>
          </cell>
          <cell r="E132">
            <v>3.4329678401338128</v>
          </cell>
        </row>
        <row r="133">
          <cell r="B133">
            <v>88</v>
          </cell>
          <cell r="C133">
            <v>429.3</v>
          </cell>
          <cell r="D133">
            <v>423.04519946531718</v>
          </cell>
          <cell r="E133">
            <v>6.254800534682829</v>
          </cell>
        </row>
        <row r="134">
          <cell r="B134">
            <v>89</v>
          </cell>
          <cell r="C134">
            <v>422</v>
          </cell>
          <cell r="D134">
            <v>428.28916423264798</v>
          </cell>
          <cell r="E134">
            <v>-6.2891642326479769</v>
          </cell>
        </row>
        <row r="135">
          <cell r="B135">
            <v>90</v>
          </cell>
          <cell r="C135">
            <v>435.5</v>
          </cell>
          <cell r="D135">
            <v>423.01638927058673</v>
          </cell>
          <cell r="E135">
            <v>12.483610729413272</v>
          </cell>
        </row>
        <row r="136">
          <cell r="B136">
            <v>91</v>
          </cell>
          <cell r="C136">
            <v>442</v>
          </cell>
          <cell r="D136">
            <v>433.48252875355189</v>
          </cell>
          <cell r="E136">
            <v>8.5174712464481104</v>
          </cell>
        </row>
        <row r="137">
          <cell r="B137">
            <v>92</v>
          </cell>
          <cell r="C137">
            <v>441.2</v>
          </cell>
          <cell r="D137">
            <v>440.62349494031645</v>
          </cell>
          <cell r="E137">
            <v>0.57650505968354082</v>
          </cell>
        </row>
        <row r="138">
          <cell r="B138">
            <v>93</v>
          </cell>
          <cell r="C138">
            <v>443</v>
          </cell>
          <cell r="D138">
            <v>441.10683125206691</v>
          </cell>
          <cell r="E138">
            <v>1.893168747933089</v>
          </cell>
        </row>
        <row r="139">
          <cell r="B139">
            <v>94</v>
          </cell>
          <cell r="C139">
            <v>438.4</v>
          </cell>
          <cell r="D139">
            <v>442.69404576957612</v>
          </cell>
          <cell r="E139">
            <v>-4.2940457695761438</v>
          </cell>
        </row>
        <row r="140">
          <cell r="B140">
            <v>95</v>
          </cell>
          <cell r="C140">
            <v>440.9</v>
          </cell>
          <cell r="D140">
            <v>439.09395898821487</v>
          </cell>
          <cell r="E140">
            <v>1.806041011785112</v>
          </cell>
        </row>
        <row r="141">
          <cell r="B141">
            <v>96</v>
          </cell>
          <cell r="C141">
            <v>433.7</v>
          </cell>
          <cell r="D141">
            <v>440.60812644753508</v>
          </cell>
          <cell r="E141">
            <v>-6.9081264475350963</v>
          </cell>
        </row>
        <row r="142">
          <cell r="B142">
            <v>97</v>
          </cell>
          <cell r="C142">
            <v>439.7</v>
          </cell>
          <cell r="D142">
            <v>434.81641950208302</v>
          </cell>
          <cell r="E142">
            <v>4.8835804979169666</v>
          </cell>
        </row>
        <row r="143">
          <cell r="B143">
            <v>98</v>
          </cell>
          <cell r="C143">
            <v>441.3</v>
          </cell>
          <cell r="D143">
            <v>438.91076654440621</v>
          </cell>
          <cell r="E143">
            <v>2.3892334555937964</v>
          </cell>
        </row>
        <row r="144">
          <cell r="B144">
            <v>99</v>
          </cell>
          <cell r="D144">
            <v>440.91387695417683</v>
          </cell>
          <cell r="F144">
            <v>429.60380905221723</v>
          </cell>
          <cell r="G144">
            <v>452.22394485613643</v>
          </cell>
        </row>
      </sheetData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U32"/>
  <sheetViews>
    <sheetView topLeftCell="A6" workbookViewId="0">
      <selection activeCell="C25" sqref="C25"/>
    </sheetView>
  </sheetViews>
  <sheetFormatPr baseColWidth="10" defaultColWidth="8.83203125" defaultRowHeight="15" customHeight="1"/>
  <cols>
    <col min="1" max="1" width="68.5" customWidth="1"/>
  </cols>
  <sheetData>
    <row r="1" spans="1:99" ht="15" customHeight="1">
      <c r="A1" t="s">
        <v>0</v>
      </c>
    </row>
    <row r="2" spans="1:99" ht="15" customHeight="1">
      <c r="A2" t="s">
        <v>1</v>
      </c>
    </row>
    <row r="3" spans="1:99" ht="15" customHeight="1">
      <c r="A3" t="s">
        <v>2</v>
      </c>
    </row>
    <row r="6" spans="1:99" ht="15" customHeight="1">
      <c r="A6" s="1" t="s">
        <v>3</v>
      </c>
      <c r="B6" s="1" t="s">
        <v>4</v>
      </c>
      <c r="C6" s="1" t="s">
        <v>5</v>
      </c>
      <c r="D6" s="1" t="s">
        <v>6</v>
      </c>
      <c r="E6" s="1" t="s">
        <v>7</v>
      </c>
      <c r="F6" s="1" t="s">
        <v>8</v>
      </c>
      <c r="G6" s="1" t="s">
        <v>9</v>
      </c>
      <c r="H6" s="1" t="s">
        <v>10</v>
      </c>
      <c r="I6" s="1" t="s">
        <v>11</v>
      </c>
      <c r="J6" s="1" t="s">
        <v>12</v>
      </c>
      <c r="K6" s="1" t="s">
        <v>13</v>
      </c>
      <c r="L6" s="1" t="s">
        <v>14</v>
      </c>
      <c r="M6" s="1" t="s">
        <v>15</v>
      </c>
      <c r="N6" s="1" t="s">
        <v>16</v>
      </c>
      <c r="O6" s="1" t="s">
        <v>17</v>
      </c>
      <c r="P6" s="1" t="s">
        <v>18</v>
      </c>
      <c r="Q6" s="1" t="s">
        <v>19</v>
      </c>
      <c r="R6" s="1" t="s">
        <v>20</v>
      </c>
      <c r="S6" s="1" t="s">
        <v>21</v>
      </c>
      <c r="T6" s="1" t="s">
        <v>22</v>
      </c>
      <c r="U6" s="1" t="s">
        <v>23</v>
      </c>
      <c r="V6" s="1" t="s">
        <v>24</v>
      </c>
      <c r="W6" s="1" t="s">
        <v>25</v>
      </c>
      <c r="X6" s="1" t="s">
        <v>26</v>
      </c>
      <c r="Y6" s="1" t="s">
        <v>27</v>
      </c>
      <c r="Z6" s="1" t="s">
        <v>28</v>
      </c>
      <c r="AA6" s="1" t="s">
        <v>29</v>
      </c>
      <c r="AB6" s="1" t="s">
        <v>30</v>
      </c>
      <c r="AC6" s="1" t="s">
        <v>31</v>
      </c>
      <c r="AD6" s="1" t="s">
        <v>32</v>
      </c>
      <c r="AE6" s="1" t="s">
        <v>33</v>
      </c>
      <c r="AF6" s="1" t="s">
        <v>34</v>
      </c>
      <c r="AG6" s="1" t="s">
        <v>35</v>
      </c>
      <c r="AH6" s="1" t="s">
        <v>36</v>
      </c>
      <c r="AI6" s="1" t="s">
        <v>37</v>
      </c>
      <c r="AJ6" s="1" t="s">
        <v>38</v>
      </c>
      <c r="AK6" s="1" t="s">
        <v>39</v>
      </c>
      <c r="AL6" s="1" t="s">
        <v>40</v>
      </c>
      <c r="AM6" s="1" t="s">
        <v>41</v>
      </c>
      <c r="AN6" s="1" t="s">
        <v>42</v>
      </c>
      <c r="AO6" s="1" t="s">
        <v>43</v>
      </c>
      <c r="AP6" s="1" t="s">
        <v>44</v>
      </c>
      <c r="AQ6" s="1" t="s">
        <v>45</v>
      </c>
      <c r="AR6" s="1" t="s">
        <v>46</v>
      </c>
      <c r="AS6" s="1" t="s">
        <v>47</v>
      </c>
      <c r="AT6" s="1" t="s">
        <v>48</v>
      </c>
      <c r="AU6" s="1" t="s">
        <v>49</v>
      </c>
      <c r="AV6" s="1" t="s">
        <v>50</v>
      </c>
      <c r="AW6" s="1" t="s">
        <v>51</v>
      </c>
      <c r="AX6" s="1" t="s">
        <v>52</v>
      </c>
      <c r="AY6" s="1" t="s">
        <v>53</v>
      </c>
      <c r="AZ6" s="1" t="s">
        <v>54</v>
      </c>
      <c r="BA6" s="1" t="s">
        <v>55</v>
      </c>
      <c r="BB6" s="1" t="s">
        <v>56</v>
      </c>
      <c r="BC6" s="1" t="s">
        <v>57</v>
      </c>
      <c r="BD6" s="1" t="s">
        <v>58</v>
      </c>
      <c r="BE6" s="1" t="s">
        <v>59</v>
      </c>
      <c r="BF6" s="1" t="s">
        <v>60</v>
      </c>
      <c r="BG6" s="1" t="s">
        <v>61</v>
      </c>
      <c r="BH6" s="1" t="s">
        <v>62</v>
      </c>
      <c r="BI6" s="1" t="s">
        <v>63</v>
      </c>
      <c r="BJ6" s="1" t="s">
        <v>64</v>
      </c>
      <c r="BK6" s="1" t="s">
        <v>65</v>
      </c>
      <c r="BL6" s="1" t="s">
        <v>66</v>
      </c>
      <c r="BM6" s="1" t="s">
        <v>67</v>
      </c>
      <c r="BN6" s="1" t="s">
        <v>68</v>
      </c>
      <c r="BO6" s="1" t="s">
        <v>69</v>
      </c>
      <c r="BP6" s="1" t="s">
        <v>70</v>
      </c>
      <c r="BQ6" s="1" t="s">
        <v>71</v>
      </c>
      <c r="BR6" s="1" t="s">
        <v>72</v>
      </c>
      <c r="BS6" s="1" t="s">
        <v>73</v>
      </c>
      <c r="BT6" s="1" t="s">
        <v>74</v>
      </c>
      <c r="BU6" s="1" t="s">
        <v>75</v>
      </c>
      <c r="BV6" s="1" t="s">
        <v>76</v>
      </c>
      <c r="BW6" s="1" t="s">
        <v>77</v>
      </c>
      <c r="BX6" s="1" t="s">
        <v>78</v>
      </c>
      <c r="BY6" s="1" t="s">
        <v>79</v>
      </c>
      <c r="BZ6" s="1" t="s">
        <v>80</v>
      </c>
      <c r="CA6" s="1" t="s">
        <v>81</v>
      </c>
      <c r="CB6" s="1" t="s">
        <v>82</v>
      </c>
      <c r="CC6" s="1" t="s">
        <v>83</v>
      </c>
      <c r="CD6" s="1" t="s">
        <v>84</v>
      </c>
      <c r="CE6" s="1" t="s">
        <v>85</v>
      </c>
      <c r="CF6" s="1" t="s">
        <v>86</v>
      </c>
      <c r="CG6" s="1" t="s">
        <v>87</v>
      </c>
      <c r="CH6" s="1" t="s">
        <v>88</v>
      </c>
      <c r="CI6" s="1" t="s">
        <v>89</v>
      </c>
      <c r="CJ6" s="1" t="s">
        <v>90</v>
      </c>
      <c r="CK6" s="1" t="s">
        <v>91</v>
      </c>
      <c r="CL6" s="1" t="s">
        <v>92</v>
      </c>
      <c r="CM6" s="1" t="s">
        <v>93</v>
      </c>
      <c r="CN6" s="1" t="s">
        <v>94</v>
      </c>
      <c r="CO6" s="1" t="s">
        <v>95</v>
      </c>
      <c r="CP6" s="1" t="s">
        <v>96</v>
      </c>
      <c r="CQ6" s="1" t="s">
        <v>97</v>
      </c>
      <c r="CR6" s="1" t="s">
        <v>98</v>
      </c>
      <c r="CS6" s="1" t="s">
        <v>99</v>
      </c>
      <c r="CT6" s="1" t="s">
        <v>100</v>
      </c>
      <c r="CU6" s="1" t="s">
        <v>101</v>
      </c>
    </row>
    <row r="7" spans="1:99" ht="15" customHeight="1">
      <c r="A7" s="2" t="s">
        <v>102</v>
      </c>
      <c r="B7" s="4">
        <v>257.39999999999998</v>
      </c>
      <c r="C7" s="5">
        <v>259.7</v>
      </c>
      <c r="D7" s="6">
        <v>263.3</v>
      </c>
      <c r="E7" s="7">
        <v>265.3</v>
      </c>
      <c r="F7" s="8">
        <v>269.89999999999998</v>
      </c>
      <c r="G7" s="9">
        <v>264.8</v>
      </c>
      <c r="H7" s="10">
        <v>273.10000000000002</v>
      </c>
      <c r="I7" s="11">
        <v>276.10000000000002</v>
      </c>
      <c r="J7" s="12">
        <v>284.8</v>
      </c>
      <c r="K7" s="13">
        <v>280.89999999999998</v>
      </c>
      <c r="L7" s="14">
        <v>290.5</v>
      </c>
      <c r="M7" s="15">
        <v>295.10000000000002</v>
      </c>
      <c r="N7" s="16">
        <v>298.8</v>
      </c>
      <c r="O7" s="17">
        <v>297.5</v>
      </c>
      <c r="P7" s="18">
        <v>308.3</v>
      </c>
      <c r="Q7" s="19">
        <v>313.60000000000002</v>
      </c>
      <c r="R7" s="20">
        <v>312.2</v>
      </c>
      <c r="S7" s="21">
        <v>310.5</v>
      </c>
      <c r="T7" s="22">
        <v>320.5</v>
      </c>
      <c r="U7" s="23">
        <v>323.10000000000002</v>
      </c>
      <c r="V7" s="24">
        <v>324.89999999999998</v>
      </c>
      <c r="W7" s="25">
        <v>318.7</v>
      </c>
      <c r="X7" s="26">
        <v>331.9</v>
      </c>
      <c r="Y7" s="27">
        <v>331.3</v>
      </c>
      <c r="Z7" s="28">
        <v>339.2</v>
      </c>
      <c r="AA7" s="29">
        <v>335.1</v>
      </c>
      <c r="AB7" s="30">
        <v>343.2</v>
      </c>
      <c r="AC7" s="31">
        <v>345.6</v>
      </c>
      <c r="AD7" s="32">
        <v>324.10000000000002</v>
      </c>
      <c r="AE7" s="33">
        <v>343.9</v>
      </c>
      <c r="AF7" s="34">
        <v>344</v>
      </c>
      <c r="AG7" s="35">
        <v>343</v>
      </c>
      <c r="AH7" s="36">
        <v>345.6</v>
      </c>
      <c r="AI7" s="37">
        <v>344.9</v>
      </c>
      <c r="AJ7" s="38">
        <v>348</v>
      </c>
      <c r="AK7" s="39">
        <v>350.4</v>
      </c>
      <c r="AL7" s="40">
        <v>346.8</v>
      </c>
      <c r="AM7" s="41">
        <v>343.8</v>
      </c>
      <c r="AN7" s="42">
        <v>342.1</v>
      </c>
      <c r="AO7" s="43">
        <v>338.4</v>
      </c>
      <c r="AP7" s="44">
        <v>338.5</v>
      </c>
      <c r="AQ7" s="45">
        <v>335.7</v>
      </c>
      <c r="AR7" s="46">
        <v>335.7</v>
      </c>
      <c r="AS7" s="47">
        <v>334.7</v>
      </c>
      <c r="AT7" s="48">
        <v>340</v>
      </c>
      <c r="AU7" s="49">
        <v>340.1</v>
      </c>
      <c r="AV7" s="50">
        <v>347.2</v>
      </c>
      <c r="AW7" s="51">
        <v>346.7</v>
      </c>
      <c r="AX7" s="52">
        <v>348.1</v>
      </c>
      <c r="AY7" s="53">
        <v>347.4</v>
      </c>
      <c r="AZ7" s="54">
        <v>351.9</v>
      </c>
      <c r="BA7" s="55">
        <v>350.8</v>
      </c>
      <c r="BB7" s="56">
        <v>357.6</v>
      </c>
      <c r="BC7" s="57">
        <v>352.7</v>
      </c>
      <c r="BD7" s="58">
        <v>357.8</v>
      </c>
      <c r="BE7" s="59">
        <v>357.9</v>
      </c>
      <c r="BF7" s="60">
        <v>362.3</v>
      </c>
      <c r="BG7" s="61">
        <v>363.8</v>
      </c>
      <c r="BH7" s="62">
        <v>366</v>
      </c>
      <c r="BI7" s="63">
        <v>363.4</v>
      </c>
      <c r="BJ7" s="64">
        <v>355.8</v>
      </c>
      <c r="BK7" s="65">
        <v>363.4</v>
      </c>
      <c r="BL7" s="66">
        <v>370.8</v>
      </c>
      <c r="BM7" s="67">
        <v>371.4</v>
      </c>
      <c r="BN7" s="68">
        <v>375.8</v>
      </c>
      <c r="BO7" s="69">
        <v>378</v>
      </c>
      <c r="BP7" s="70">
        <v>386.7</v>
      </c>
      <c r="BQ7" s="71">
        <v>394.7</v>
      </c>
      <c r="BR7" s="72">
        <v>395.5</v>
      </c>
      <c r="BS7" s="73">
        <v>397</v>
      </c>
      <c r="BT7" s="74">
        <v>401.5</v>
      </c>
      <c r="BU7" s="75">
        <v>405.4</v>
      </c>
      <c r="BV7" s="76">
        <v>407.8</v>
      </c>
      <c r="BW7" s="77">
        <v>406.2</v>
      </c>
      <c r="BX7" s="78">
        <v>415.4</v>
      </c>
      <c r="BY7" s="79">
        <v>411.9</v>
      </c>
      <c r="BZ7" s="80">
        <v>406.7</v>
      </c>
      <c r="CA7" s="81">
        <v>416.3</v>
      </c>
      <c r="CB7" s="82">
        <v>418.5</v>
      </c>
      <c r="CC7" s="83">
        <v>421.2</v>
      </c>
      <c r="CD7" s="84">
        <v>419.1</v>
      </c>
      <c r="CE7" s="85">
        <v>413.4</v>
      </c>
      <c r="CF7" s="86">
        <v>417.8</v>
      </c>
      <c r="CG7" s="87">
        <v>415.9</v>
      </c>
      <c r="CH7" s="88">
        <v>422.6</v>
      </c>
      <c r="CI7" s="89">
        <v>419.9</v>
      </c>
      <c r="CJ7" s="90">
        <v>423.6</v>
      </c>
      <c r="CK7" s="91">
        <v>429.3</v>
      </c>
      <c r="CL7" s="92">
        <v>422</v>
      </c>
      <c r="CM7" s="93">
        <v>435.5</v>
      </c>
      <c r="CN7" s="94">
        <v>442</v>
      </c>
      <c r="CO7" s="95">
        <v>441.2</v>
      </c>
      <c r="CP7" s="96">
        <v>443</v>
      </c>
      <c r="CQ7" s="97">
        <v>438.4</v>
      </c>
      <c r="CR7" s="98">
        <v>440.9</v>
      </c>
      <c r="CS7" s="99">
        <v>433.7</v>
      </c>
      <c r="CT7" s="100">
        <v>439.7</v>
      </c>
      <c r="CU7" s="101">
        <v>441.3</v>
      </c>
    </row>
    <row r="8" spans="1:99" ht="15" customHeight="1">
      <c r="A8" s="102" t="s">
        <v>103</v>
      </c>
      <c r="B8" s="103">
        <v>93.8</v>
      </c>
      <c r="C8" s="104">
        <v>96.1</v>
      </c>
      <c r="D8" s="105">
        <v>96.5</v>
      </c>
      <c r="E8" s="106">
        <v>95</v>
      </c>
      <c r="F8" s="107">
        <v>100.5</v>
      </c>
      <c r="G8" s="108">
        <v>97.1</v>
      </c>
      <c r="H8" s="109">
        <v>98.3</v>
      </c>
      <c r="I8" s="110">
        <v>97.9</v>
      </c>
      <c r="J8" s="111">
        <v>102.7</v>
      </c>
      <c r="K8" s="112">
        <v>101.6</v>
      </c>
      <c r="L8" s="113">
        <v>104.2</v>
      </c>
      <c r="M8" s="114">
        <v>103.8</v>
      </c>
      <c r="N8" s="115">
        <v>108</v>
      </c>
      <c r="O8" s="116">
        <v>106.5</v>
      </c>
      <c r="P8" s="117">
        <v>108.3</v>
      </c>
      <c r="Q8" s="118">
        <v>108.8</v>
      </c>
      <c r="R8" s="119">
        <v>114.9</v>
      </c>
      <c r="S8" s="120">
        <v>113.9</v>
      </c>
      <c r="T8" s="121">
        <v>117.2</v>
      </c>
      <c r="U8" s="122">
        <v>118.6</v>
      </c>
      <c r="V8" s="123">
        <v>123</v>
      </c>
      <c r="W8" s="124">
        <v>118.6</v>
      </c>
      <c r="X8" s="125">
        <v>122.6</v>
      </c>
      <c r="Y8" s="126">
        <v>122.4</v>
      </c>
      <c r="Z8" s="127">
        <v>128.30000000000001</v>
      </c>
      <c r="AA8" s="128">
        <v>125.2</v>
      </c>
      <c r="AB8" s="129">
        <v>128.5</v>
      </c>
      <c r="AC8" s="130">
        <v>128.4</v>
      </c>
      <c r="AD8" s="131">
        <v>122.7</v>
      </c>
      <c r="AE8" s="132">
        <v>130.69999999999999</v>
      </c>
      <c r="AF8" s="133">
        <v>129.4</v>
      </c>
      <c r="AG8" s="134">
        <v>128</v>
      </c>
      <c r="AH8" s="135">
        <v>142.5</v>
      </c>
      <c r="AI8" s="136">
        <v>140.5</v>
      </c>
      <c r="AJ8" s="137">
        <v>142.69999999999999</v>
      </c>
      <c r="AK8" s="138">
        <v>144.80000000000001</v>
      </c>
      <c r="AL8" s="139">
        <v>148.5</v>
      </c>
      <c r="AM8" s="140">
        <v>155.5</v>
      </c>
      <c r="AN8" s="141">
        <v>147.1</v>
      </c>
      <c r="AO8" s="142">
        <v>144.19999999999999</v>
      </c>
      <c r="AP8" s="143">
        <v>146</v>
      </c>
      <c r="AQ8" s="144">
        <v>142.80000000000001</v>
      </c>
      <c r="AR8" s="145">
        <v>143.19999999999999</v>
      </c>
      <c r="AS8" s="146">
        <v>143.80000000000001</v>
      </c>
      <c r="AT8" s="147">
        <v>145.4</v>
      </c>
      <c r="AU8" s="148">
        <v>144.19999999999999</v>
      </c>
      <c r="AV8" s="149">
        <v>144.1</v>
      </c>
      <c r="AW8" s="150">
        <v>144.19999999999999</v>
      </c>
      <c r="AX8" s="151">
        <v>145.1</v>
      </c>
      <c r="AY8" s="152">
        <v>144.30000000000001</v>
      </c>
      <c r="AZ8" s="153">
        <v>147.80000000000001</v>
      </c>
      <c r="BA8" s="154">
        <v>148.6</v>
      </c>
      <c r="BB8" s="155">
        <v>149.4</v>
      </c>
      <c r="BC8" s="156">
        <v>148.6</v>
      </c>
      <c r="BD8" s="157">
        <v>149.19999999999999</v>
      </c>
      <c r="BE8" s="158">
        <v>152.6</v>
      </c>
      <c r="BF8" s="159">
        <v>153.1</v>
      </c>
      <c r="BG8" s="160">
        <v>154.19999999999999</v>
      </c>
      <c r="BH8" s="161">
        <v>157.19999999999999</v>
      </c>
      <c r="BI8" s="162">
        <v>157.9</v>
      </c>
      <c r="BJ8" s="163">
        <v>156.4</v>
      </c>
      <c r="BK8" s="164">
        <v>157.1</v>
      </c>
      <c r="BL8" s="165">
        <v>157.69999999999999</v>
      </c>
      <c r="BM8" s="166">
        <v>158.30000000000001</v>
      </c>
      <c r="BN8" s="167">
        <v>155.5</v>
      </c>
      <c r="BO8" s="168">
        <v>155.9</v>
      </c>
      <c r="BP8" s="169">
        <v>158.5</v>
      </c>
      <c r="BQ8" s="170">
        <v>157.80000000000001</v>
      </c>
      <c r="BR8" s="171">
        <v>159.5</v>
      </c>
      <c r="BS8" s="172">
        <v>160.1</v>
      </c>
      <c r="BT8" s="173">
        <v>160.5</v>
      </c>
      <c r="BU8" s="174">
        <v>162.1</v>
      </c>
      <c r="BV8" s="175">
        <v>164.9</v>
      </c>
      <c r="BW8" s="176">
        <v>165</v>
      </c>
      <c r="BX8" s="177">
        <v>168</v>
      </c>
      <c r="BY8" s="178">
        <v>165.7</v>
      </c>
      <c r="BZ8" s="179">
        <v>164.7</v>
      </c>
      <c r="CA8" s="180">
        <v>167.3</v>
      </c>
      <c r="CB8" s="181">
        <v>170.1</v>
      </c>
      <c r="CC8" s="182">
        <v>169.1</v>
      </c>
      <c r="CD8" s="183">
        <v>173.3</v>
      </c>
      <c r="CE8" s="184">
        <v>170.8</v>
      </c>
      <c r="CF8" s="185">
        <v>173</v>
      </c>
      <c r="CG8" s="186">
        <v>170.8</v>
      </c>
      <c r="CH8" s="187">
        <v>177.2</v>
      </c>
      <c r="CI8" s="188">
        <v>176</v>
      </c>
      <c r="CJ8" s="189">
        <v>179</v>
      </c>
      <c r="CK8" s="190">
        <v>179.5</v>
      </c>
      <c r="CL8" s="191">
        <v>178.2</v>
      </c>
      <c r="CM8" s="192">
        <v>183.1</v>
      </c>
      <c r="CN8" s="193">
        <v>185.6</v>
      </c>
      <c r="CO8" s="194">
        <v>183.4</v>
      </c>
      <c r="CP8" s="195">
        <v>185</v>
      </c>
      <c r="CQ8" s="196">
        <v>186.5</v>
      </c>
      <c r="CR8" s="197">
        <v>187.4</v>
      </c>
      <c r="CS8" s="198">
        <v>186.4</v>
      </c>
      <c r="CT8" s="199">
        <v>189.8</v>
      </c>
      <c r="CU8" s="200">
        <v>191.6</v>
      </c>
    </row>
    <row r="9" spans="1:99" ht="15" customHeight="1">
      <c r="A9" s="201" t="s">
        <v>104</v>
      </c>
      <c r="B9" s="202">
        <v>163.6</v>
      </c>
      <c r="C9" s="203">
        <v>163.6</v>
      </c>
      <c r="D9" s="204">
        <v>166.8</v>
      </c>
      <c r="E9" s="205">
        <v>170.3</v>
      </c>
      <c r="F9" s="206">
        <v>169.4</v>
      </c>
      <c r="G9" s="207">
        <v>167.8</v>
      </c>
      <c r="H9" s="208">
        <v>174.9</v>
      </c>
      <c r="I9" s="209">
        <v>178.1</v>
      </c>
      <c r="J9" s="210">
        <v>182.1</v>
      </c>
      <c r="K9" s="211">
        <v>179.3</v>
      </c>
      <c r="L9" s="212">
        <v>186.3</v>
      </c>
      <c r="M9" s="213">
        <v>191.3</v>
      </c>
      <c r="N9" s="214">
        <v>190.8</v>
      </c>
      <c r="O9" s="215">
        <v>191</v>
      </c>
      <c r="P9" s="216">
        <v>200</v>
      </c>
      <c r="Q9" s="217">
        <v>204.8</v>
      </c>
      <c r="R9" s="218">
        <v>197.3</v>
      </c>
      <c r="S9" s="219">
        <v>196.6</v>
      </c>
      <c r="T9" s="220">
        <v>203.3</v>
      </c>
      <c r="U9" s="221">
        <v>204.4</v>
      </c>
      <c r="V9" s="222">
        <v>201.9</v>
      </c>
      <c r="W9" s="223">
        <v>200.1</v>
      </c>
      <c r="X9" s="224">
        <v>209.2</v>
      </c>
      <c r="Y9" s="225">
        <v>208.9</v>
      </c>
      <c r="Z9" s="226">
        <v>210.9</v>
      </c>
      <c r="AA9" s="227">
        <v>210</v>
      </c>
      <c r="AB9" s="228">
        <v>214.7</v>
      </c>
      <c r="AC9" s="229">
        <v>217.2</v>
      </c>
      <c r="AD9" s="230">
        <v>201.3</v>
      </c>
      <c r="AE9" s="231">
        <v>213.2</v>
      </c>
      <c r="AF9" s="232">
        <v>214.6</v>
      </c>
      <c r="AG9" s="233">
        <v>215</v>
      </c>
      <c r="AH9" s="234">
        <v>203.1</v>
      </c>
      <c r="AI9" s="235">
        <v>204.3</v>
      </c>
      <c r="AJ9" s="236">
        <v>205.3</v>
      </c>
      <c r="AK9" s="237">
        <v>205.5</v>
      </c>
      <c r="AL9" s="238">
        <v>198.3</v>
      </c>
      <c r="AM9" s="239">
        <v>188.3</v>
      </c>
      <c r="AN9" s="240">
        <v>195.1</v>
      </c>
      <c r="AO9" s="241">
        <v>194.3</v>
      </c>
      <c r="AP9" s="242">
        <v>192.5</v>
      </c>
      <c r="AQ9" s="243">
        <v>192.9</v>
      </c>
      <c r="AR9" s="244">
        <v>192.6</v>
      </c>
      <c r="AS9" s="245">
        <v>190.9</v>
      </c>
      <c r="AT9" s="246">
        <v>194.6</v>
      </c>
      <c r="AU9" s="247">
        <v>196</v>
      </c>
      <c r="AV9" s="248">
        <v>203.1</v>
      </c>
      <c r="AW9" s="249">
        <v>202.5</v>
      </c>
      <c r="AX9" s="250">
        <v>203</v>
      </c>
      <c r="AY9" s="251">
        <v>203.1</v>
      </c>
      <c r="AZ9" s="252">
        <v>204.2</v>
      </c>
      <c r="BA9" s="253">
        <v>202.1</v>
      </c>
      <c r="BB9" s="254">
        <v>208.2</v>
      </c>
      <c r="BC9" s="255">
        <v>204.2</v>
      </c>
      <c r="BD9" s="256">
        <v>208.5</v>
      </c>
      <c r="BE9" s="257">
        <v>205.3</v>
      </c>
      <c r="BF9" s="258">
        <v>209.2</v>
      </c>
      <c r="BG9" s="259">
        <v>209.6</v>
      </c>
      <c r="BH9" s="260">
        <v>208.8</v>
      </c>
      <c r="BI9" s="261">
        <v>205.6</v>
      </c>
      <c r="BJ9" s="262">
        <v>199.4</v>
      </c>
      <c r="BK9" s="263">
        <v>206.4</v>
      </c>
      <c r="BL9" s="264">
        <v>213.1</v>
      </c>
      <c r="BM9" s="265">
        <v>213.1</v>
      </c>
      <c r="BN9" s="266">
        <v>220.3</v>
      </c>
      <c r="BO9" s="267">
        <v>222.1</v>
      </c>
      <c r="BP9" s="268">
        <v>228.2</v>
      </c>
      <c r="BQ9" s="269">
        <v>236.9</v>
      </c>
      <c r="BR9" s="270">
        <v>236</v>
      </c>
      <c r="BS9" s="271">
        <v>236.9</v>
      </c>
      <c r="BT9" s="272">
        <v>241</v>
      </c>
      <c r="BU9" s="273">
        <v>243.3</v>
      </c>
      <c r="BV9" s="274">
        <v>243</v>
      </c>
      <c r="BW9" s="275">
        <v>241.2</v>
      </c>
      <c r="BX9" s="276">
        <v>247.4</v>
      </c>
      <c r="BY9" s="277">
        <v>246.2</v>
      </c>
      <c r="BZ9" s="278">
        <v>242</v>
      </c>
      <c r="CA9" s="279">
        <v>249</v>
      </c>
      <c r="CB9" s="280">
        <v>248.4</v>
      </c>
      <c r="CC9" s="281">
        <v>252.2</v>
      </c>
      <c r="CD9" s="282">
        <v>245.8</v>
      </c>
      <c r="CE9" s="283">
        <v>242.6</v>
      </c>
      <c r="CF9" s="284">
        <v>244.8</v>
      </c>
      <c r="CG9" s="285">
        <v>245.1</v>
      </c>
      <c r="CH9" s="286">
        <v>245.4</v>
      </c>
      <c r="CI9" s="287">
        <v>244</v>
      </c>
      <c r="CJ9" s="288">
        <v>244.7</v>
      </c>
      <c r="CK9" s="289">
        <v>249.8</v>
      </c>
      <c r="CL9" s="290">
        <v>243.8</v>
      </c>
      <c r="CM9" s="291">
        <v>252.4</v>
      </c>
      <c r="CN9" s="292">
        <v>256.39999999999998</v>
      </c>
      <c r="CO9" s="293">
        <v>257.8</v>
      </c>
      <c r="CP9" s="294">
        <v>257.89999999999998</v>
      </c>
      <c r="CQ9" s="295">
        <v>251.9</v>
      </c>
      <c r="CR9" s="296">
        <v>253.5</v>
      </c>
      <c r="CS9" s="297">
        <v>247.3</v>
      </c>
      <c r="CT9" s="298">
        <v>249.9</v>
      </c>
      <c r="CU9" s="299">
        <v>249.7</v>
      </c>
    </row>
    <row r="10" spans="1:99" ht="15" customHeight="1">
      <c r="A10" s="2" t="s">
        <v>105</v>
      </c>
      <c r="B10" s="300">
        <v>29226.3</v>
      </c>
      <c r="C10" s="301">
        <v>38153.9</v>
      </c>
      <c r="D10" s="302">
        <v>39414.699999999997</v>
      </c>
      <c r="E10" s="303">
        <v>37600.300000000003</v>
      </c>
      <c r="F10" s="304">
        <v>34100.6</v>
      </c>
      <c r="G10" s="305">
        <v>39855.9</v>
      </c>
      <c r="H10" s="306">
        <v>36850</v>
      </c>
      <c r="I10" s="307">
        <v>31891</v>
      </c>
      <c r="J10" s="308">
        <v>29775.4</v>
      </c>
      <c r="K10" s="309">
        <v>31878.400000000001</v>
      </c>
      <c r="L10" s="310">
        <v>32743.3</v>
      </c>
      <c r="M10" s="311">
        <v>32667</v>
      </c>
      <c r="N10" s="312">
        <v>29213.599999999999</v>
      </c>
      <c r="O10" s="313">
        <v>32091</v>
      </c>
      <c r="P10" s="314">
        <v>32247.5</v>
      </c>
      <c r="Q10" s="315">
        <v>31778.799999999999</v>
      </c>
      <c r="R10" s="316">
        <v>29355.8</v>
      </c>
      <c r="S10" s="317">
        <v>30408.799999999999</v>
      </c>
      <c r="T10" s="318">
        <v>32011</v>
      </c>
      <c r="U10" s="319">
        <v>32922.300000000003</v>
      </c>
      <c r="V10" s="320">
        <v>29569.8</v>
      </c>
      <c r="W10" s="321">
        <v>30128.5</v>
      </c>
      <c r="X10" s="322">
        <v>31302</v>
      </c>
      <c r="Y10" s="323">
        <v>31152.2</v>
      </c>
      <c r="Z10" s="324">
        <v>29930.400000000001</v>
      </c>
      <c r="AA10" s="325">
        <v>31080.5</v>
      </c>
      <c r="AB10" s="326">
        <v>32549.200000000001</v>
      </c>
      <c r="AC10" s="327">
        <v>29440.2</v>
      </c>
      <c r="AD10" s="328">
        <v>28134.3</v>
      </c>
      <c r="AE10" s="329">
        <v>31911.599999999999</v>
      </c>
      <c r="AF10" s="330">
        <v>28129.4</v>
      </c>
      <c r="AG10" s="331">
        <v>32750.5</v>
      </c>
      <c r="AH10" s="332">
        <v>37531.800000000003</v>
      </c>
      <c r="AI10" s="333">
        <v>35977.9</v>
      </c>
      <c r="AJ10" s="334">
        <v>36124.800000000003</v>
      </c>
      <c r="AK10" s="335">
        <v>35890.400000000001</v>
      </c>
      <c r="AL10" s="336">
        <v>29915.4</v>
      </c>
      <c r="AM10" s="337">
        <v>29001.3</v>
      </c>
      <c r="AN10" s="338">
        <v>28504.400000000001</v>
      </c>
      <c r="AO10" s="339">
        <v>31735.1</v>
      </c>
      <c r="AP10" s="340">
        <v>30061.5</v>
      </c>
      <c r="AQ10" s="341">
        <v>30531.200000000001</v>
      </c>
      <c r="AR10" s="342">
        <v>31297.200000000001</v>
      </c>
      <c r="AS10" s="343">
        <v>28978.2</v>
      </c>
      <c r="AT10" s="344">
        <v>27903.9</v>
      </c>
      <c r="AU10" s="345">
        <v>28861.1</v>
      </c>
      <c r="AV10" s="346">
        <v>27362.3</v>
      </c>
      <c r="AW10" s="347">
        <v>27219.599999999999</v>
      </c>
      <c r="AX10" s="348">
        <v>23945.599999999999</v>
      </c>
      <c r="AY10" s="349">
        <v>24871.3</v>
      </c>
      <c r="AZ10" s="350">
        <v>25135.8</v>
      </c>
      <c r="BA10" s="351">
        <v>25755.8</v>
      </c>
      <c r="BB10" s="352">
        <v>26175.9</v>
      </c>
      <c r="BC10" s="353">
        <v>28491.9</v>
      </c>
      <c r="BD10" s="354">
        <v>29512</v>
      </c>
      <c r="BE10" s="355">
        <v>27895.8</v>
      </c>
      <c r="BF10" s="356">
        <v>26771.200000000001</v>
      </c>
      <c r="BG10" s="357">
        <v>27559.599999999999</v>
      </c>
      <c r="BH10" s="358">
        <v>28067.599999999999</v>
      </c>
      <c r="BI10" s="359">
        <v>27697.8</v>
      </c>
      <c r="BJ10" s="360">
        <v>26401.9</v>
      </c>
      <c r="BK10" s="361">
        <v>28462.7</v>
      </c>
      <c r="BL10" s="362">
        <v>28252.2</v>
      </c>
      <c r="BM10" s="363">
        <v>28430.400000000001</v>
      </c>
      <c r="BN10" s="364">
        <v>28234.6</v>
      </c>
      <c r="BO10" s="365">
        <v>27960.799999999999</v>
      </c>
      <c r="BP10" s="366">
        <v>28676.9</v>
      </c>
      <c r="BQ10" s="367">
        <v>28780.9</v>
      </c>
      <c r="BR10" s="368">
        <v>24749.5</v>
      </c>
      <c r="BS10" s="369">
        <v>27228.400000000001</v>
      </c>
      <c r="BT10" s="370">
        <v>27615.3</v>
      </c>
      <c r="BU10" s="371">
        <v>24988.7</v>
      </c>
      <c r="BV10" s="372">
        <v>25172.1</v>
      </c>
      <c r="BW10" s="373">
        <v>26022.799999999999</v>
      </c>
      <c r="BX10" s="374">
        <v>25934</v>
      </c>
      <c r="BY10" s="375">
        <v>26481.599999999999</v>
      </c>
      <c r="BZ10" s="376">
        <v>25597.599999999999</v>
      </c>
      <c r="CA10" s="377">
        <v>27424</v>
      </c>
      <c r="CB10" s="378">
        <v>26599.4</v>
      </c>
      <c r="CC10" s="379">
        <v>25980.5</v>
      </c>
      <c r="CD10" s="380">
        <v>24525.1</v>
      </c>
      <c r="CE10" s="381">
        <v>23431.7</v>
      </c>
      <c r="CF10" s="382">
        <v>23965.3</v>
      </c>
      <c r="CG10" s="383">
        <v>23474.799999999999</v>
      </c>
      <c r="CH10" s="384">
        <v>23384.799999999999</v>
      </c>
      <c r="CI10" s="385">
        <v>23808.7</v>
      </c>
      <c r="CJ10" s="386">
        <v>24311.7</v>
      </c>
      <c r="CK10" s="387">
        <v>25315.1</v>
      </c>
      <c r="CL10" s="388">
        <v>23129.9</v>
      </c>
      <c r="CM10" s="389">
        <v>23324.9</v>
      </c>
      <c r="CN10" s="390">
        <v>23889.9</v>
      </c>
      <c r="CO10" s="391">
        <v>23206.6</v>
      </c>
      <c r="CP10" s="392">
        <v>21934.5</v>
      </c>
      <c r="CQ10" s="393">
        <v>22573.1</v>
      </c>
      <c r="CR10" s="394">
        <v>23162.799999999999</v>
      </c>
      <c r="CS10" s="395">
        <v>23253.4</v>
      </c>
      <c r="CT10" s="396">
        <v>22341</v>
      </c>
      <c r="CU10" s="397">
        <v>22628.2</v>
      </c>
    </row>
    <row r="12" spans="1:99" ht="15" customHeight="1">
      <c r="A12" s="3" t="s">
        <v>106</v>
      </c>
    </row>
    <row r="14" spans="1:99" ht="15" customHeight="1">
      <c r="A14" s="3" t="s">
        <v>107</v>
      </c>
    </row>
    <row r="16" spans="1:99" ht="15" customHeight="1">
      <c r="A16" s="3" t="s">
        <v>108</v>
      </c>
    </row>
    <row r="18" spans="1:1" ht="15" customHeight="1">
      <c r="A18" s="3" t="s">
        <v>109</v>
      </c>
    </row>
    <row r="20" spans="1:1" ht="15" customHeight="1">
      <c r="A20" s="3" t="s">
        <v>110</v>
      </c>
    </row>
    <row r="30" spans="1:1" ht="15" customHeight="1">
      <c r="A30" t="s">
        <v>111</v>
      </c>
    </row>
    <row r="31" spans="1:1">
      <c r="A31" t="s">
        <v>112</v>
      </c>
    </row>
    <row r="32" spans="1:1">
      <c r="A32" t="s">
        <v>113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7D280-906E-4562-A8EC-370890C2C321}">
  <sheetPr codeName="Sheet2"/>
  <dimension ref="A1:E99"/>
  <sheetViews>
    <sheetView workbookViewId="0">
      <selection activeCell="B23" sqref="B23"/>
    </sheetView>
  </sheetViews>
  <sheetFormatPr baseColWidth="10" defaultColWidth="8.83203125" defaultRowHeight="15"/>
  <cols>
    <col min="2" max="2" width="49.1640625" bestFit="1" customWidth="1"/>
    <col min="3" max="3" width="33.1640625" bestFit="1" customWidth="1"/>
    <col min="4" max="4" width="37.1640625" bestFit="1" customWidth="1"/>
    <col min="5" max="5" width="42.33203125" bestFit="1" customWidth="1"/>
  </cols>
  <sheetData>
    <row r="1" spans="1:5" ht="16">
      <c r="A1" s="1" t="s">
        <v>3</v>
      </c>
      <c r="B1" s="2" t="s">
        <v>102</v>
      </c>
      <c r="C1" s="201" t="s">
        <v>103</v>
      </c>
      <c r="D1" s="201" t="s">
        <v>104</v>
      </c>
      <c r="E1" s="2" t="s">
        <v>105</v>
      </c>
    </row>
    <row r="2" spans="1:5" ht="16">
      <c r="A2" s="1" t="s">
        <v>4</v>
      </c>
      <c r="B2" s="397">
        <v>257.39999999999998</v>
      </c>
      <c r="C2" s="397">
        <v>93.8</v>
      </c>
      <c r="D2" s="397">
        <v>163.6</v>
      </c>
      <c r="E2" s="397">
        <v>29226.3</v>
      </c>
    </row>
    <row r="3" spans="1:5" ht="16">
      <c r="A3" s="1" t="s">
        <v>5</v>
      </c>
      <c r="B3" s="397">
        <v>259.7</v>
      </c>
      <c r="C3" s="397">
        <v>96.1</v>
      </c>
      <c r="D3" s="397">
        <v>163.6</v>
      </c>
      <c r="E3" s="397">
        <v>38153.9</v>
      </c>
    </row>
    <row r="4" spans="1:5" ht="16">
      <c r="A4" s="1" t="s">
        <v>6</v>
      </c>
      <c r="B4" s="397">
        <v>263.3</v>
      </c>
      <c r="C4" s="397">
        <v>96.5</v>
      </c>
      <c r="D4" s="397">
        <v>166.8</v>
      </c>
      <c r="E4" s="397">
        <v>39414.699999999997</v>
      </c>
    </row>
    <row r="5" spans="1:5" ht="16">
      <c r="A5" s="1" t="s">
        <v>7</v>
      </c>
      <c r="B5" s="397">
        <v>265.3</v>
      </c>
      <c r="C5" s="396">
        <v>95</v>
      </c>
      <c r="D5" s="397">
        <v>170.3</v>
      </c>
      <c r="E5" s="397">
        <v>37600.300000000003</v>
      </c>
    </row>
    <row r="6" spans="1:5" ht="16">
      <c r="A6" s="1" t="s">
        <v>8</v>
      </c>
      <c r="B6" s="397">
        <v>269.89999999999998</v>
      </c>
      <c r="C6" s="397">
        <v>100.5</v>
      </c>
      <c r="D6" s="397">
        <v>169.4</v>
      </c>
      <c r="E6" s="397">
        <v>34100.6</v>
      </c>
    </row>
    <row r="7" spans="1:5" ht="16">
      <c r="A7" s="1" t="s">
        <v>9</v>
      </c>
      <c r="B7" s="397">
        <v>264.8</v>
      </c>
      <c r="C7" s="397">
        <v>97.1</v>
      </c>
      <c r="D7" s="397">
        <v>167.8</v>
      </c>
      <c r="E7" s="397">
        <v>39855.9</v>
      </c>
    </row>
    <row r="8" spans="1:5" ht="16">
      <c r="A8" s="1" t="s">
        <v>10</v>
      </c>
      <c r="B8" s="397">
        <v>273.10000000000002</v>
      </c>
      <c r="C8" s="397">
        <v>98.3</v>
      </c>
      <c r="D8" s="397">
        <v>174.9</v>
      </c>
      <c r="E8" s="396">
        <v>36850</v>
      </c>
    </row>
    <row r="9" spans="1:5" ht="16">
      <c r="A9" s="1" t="s">
        <v>11</v>
      </c>
      <c r="B9" s="397">
        <v>276.10000000000002</v>
      </c>
      <c r="C9" s="397">
        <v>97.9</v>
      </c>
      <c r="D9" s="397">
        <v>178.1</v>
      </c>
      <c r="E9" s="396">
        <v>31891</v>
      </c>
    </row>
    <row r="10" spans="1:5" ht="16">
      <c r="A10" s="1" t="s">
        <v>12</v>
      </c>
      <c r="B10" s="397">
        <v>284.8</v>
      </c>
      <c r="C10" s="397">
        <v>102.7</v>
      </c>
      <c r="D10" s="397">
        <v>182.1</v>
      </c>
      <c r="E10" s="397">
        <v>29775.4</v>
      </c>
    </row>
    <row r="11" spans="1:5" ht="16">
      <c r="A11" s="1" t="s">
        <v>13</v>
      </c>
      <c r="B11" s="397">
        <v>280.89999999999998</v>
      </c>
      <c r="C11" s="397">
        <v>101.6</v>
      </c>
      <c r="D11" s="397">
        <v>179.3</v>
      </c>
      <c r="E11" s="397">
        <v>31878.400000000001</v>
      </c>
    </row>
    <row r="12" spans="1:5" ht="16">
      <c r="A12" s="1" t="s">
        <v>14</v>
      </c>
      <c r="B12" s="397">
        <v>290.5</v>
      </c>
      <c r="C12" s="397">
        <v>104.2</v>
      </c>
      <c r="D12" s="397">
        <v>186.3</v>
      </c>
      <c r="E12" s="397">
        <v>32743.3</v>
      </c>
    </row>
    <row r="13" spans="1:5" ht="16">
      <c r="A13" s="1" t="s">
        <v>15</v>
      </c>
      <c r="B13" s="397">
        <v>295.10000000000002</v>
      </c>
      <c r="C13" s="397">
        <v>103.8</v>
      </c>
      <c r="D13" s="397">
        <v>191.3</v>
      </c>
      <c r="E13" s="396">
        <v>32667</v>
      </c>
    </row>
    <row r="14" spans="1:5" ht="16">
      <c r="A14" s="1" t="s">
        <v>16</v>
      </c>
      <c r="B14" s="397">
        <v>298.8</v>
      </c>
      <c r="C14" s="396">
        <v>108</v>
      </c>
      <c r="D14" s="397">
        <v>190.8</v>
      </c>
      <c r="E14" s="397">
        <v>29213.599999999999</v>
      </c>
    </row>
    <row r="15" spans="1:5" ht="16">
      <c r="A15" s="1" t="s">
        <v>17</v>
      </c>
      <c r="B15" s="397">
        <v>297.5</v>
      </c>
      <c r="C15" s="397">
        <v>106.5</v>
      </c>
      <c r="D15" s="396">
        <v>191</v>
      </c>
      <c r="E15" s="396">
        <v>32091</v>
      </c>
    </row>
    <row r="16" spans="1:5" ht="16">
      <c r="A16" s="1" t="s">
        <v>18</v>
      </c>
      <c r="B16" s="397">
        <v>308.3</v>
      </c>
      <c r="C16" s="397">
        <v>108.3</v>
      </c>
      <c r="D16" s="396">
        <v>200</v>
      </c>
      <c r="E16" s="397">
        <v>32247.5</v>
      </c>
    </row>
    <row r="17" spans="1:5" ht="16">
      <c r="A17" s="1" t="s">
        <v>19</v>
      </c>
      <c r="B17" s="397">
        <v>313.60000000000002</v>
      </c>
      <c r="C17" s="397">
        <v>108.8</v>
      </c>
      <c r="D17" s="397">
        <v>204.8</v>
      </c>
      <c r="E17" s="397">
        <v>31778.799999999999</v>
      </c>
    </row>
    <row r="18" spans="1:5" ht="16">
      <c r="A18" s="1" t="s">
        <v>20</v>
      </c>
      <c r="B18" s="397">
        <v>312.2</v>
      </c>
      <c r="C18" s="397">
        <v>114.9</v>
      </c>
      <c r="D18" s="397">
        <v>197.3</v>
      </c>
      <c r="E18" s="397">
        <v>29355.8</v>
      </c>
    </row>
    <row r="19" spans="1:5" ht="16">
      <c r="A19" s="1" t="s">
        <v>21</v>
      </c>
      <c r="B19" s="397">
        <v>310.5</v>
      </c>
      <c r="C19" s="397">
        <v>113.9</v>
      </c>
      <c r="D19" s="397">
        <v>196.6</v>
      </c>
      <c r="E19" s="397">
        <v>30408.799999999999</v>
      </c>
    </row>
    <row r="20" spans="1:5" ht="16">
      <c r="A20" s="1" t="s">
        <v>22</v>
      </c>
      <c r="B20" s="397">
        <v>320.5</v>
      </c>
      <c r="C20" s="397">
        <v>117.2</v>
      </c>
      <c r="D20" s="397">
        <v>203.3</v>
      </c>
      <c r="E20" s="396">
        <v>32011</v>
      </c>
    </row>
    <row r="21" spans="1:5" ht="16">
      <c r="A21" s="1" t="s">
        <v>23</v>
      </c>
      <c r="B21" s="397">
        <v>323.10000000000002</v>
      </c>
      <c r="C21" s="397">
        <v>118.6</v>
      </c>
      <c r="D21" s="397">
        <v>204.4</v>
      </c>
      <c r="E21" s="397">
        <v>32922.300000000003</v>
      </c>
    </row>
    <row r="22" spans="1:5" ht="16">
      <c r="A22" s="1" t="s">
        <v>24</v>
      </c>
      <c r="B22" s="397">
        <v>324.89999999999998</v>
      </c>
      <c r="C22" s="396">
        <v>123</v>
      </c>
      <c r="D22" s="397">
        <v>201.9</v>
      </c>
      <c r="E22" s="397">
        <v>29569.8</v>
      </c>
    </row>
    <row r="23" spans="1:5" ht="16">
      <c r="A23" s="1" t="s">
        <v>25</v>
      </c>
      <c r="B23" s="397">
        <v>318.7</v>
      </c>
      <c r="C23" s="397">
        <v>118.6</v>
      </c>
      <c r="D23" s="397">
        <v>200.1</v>
      </c>
      <c r="E23" s="397">
        <v>30128.5</v>
      </c>
    </row>
    <row r="24" spans="1:5" ht="16">
      <c r="A24" s="1" t="s">
        <v>26</v>
      </c>
      <c r="B24" s="397">
        <v>331.9</v>
      </c>
      <c r="C24" s="397">
        <v>122.6</v>
      </c>
      <c r="D24" s="397">
        <v>209.2</v>
      </c>
      <c r="E24" s="396">
        <v>31302</v>
      </c>
    </row>
    <row r="25" spans="1:5" ht="16">
      <c r="A25" s="1" t="s">
        <v>27</v>
      </c>
      <c r="B25" s="397">
        <v>331.3</v>
      </c>
      <c r="C25" s="397">
        <v>122.4</v>
      </c>
      <c r="D25" s="397">
        <v>208.9</v>
      </c>
      <c r="E25" s="397">
        <v>31152.2</v>
      </c>
    </row>
    <row r="26" spans="1:5" ht="16">
      <c r="A26" s="1" t="s">
        <v>28</v>
      </c>
      <c r="B26" s="397">
        <v>339.2</v>
      </c>
      <c r="C26" s="397">
        <v>128.30000000000001</v>
      </c>
      <c r="D26" s="397">
        <v>210.9</v>
      </c>
      <c r="E26" s="397">
        <v>29930.400000000001</v>
      </c>
    </row>
    <row r="27" spans="1:5" ht="16">
      <c r="A27" s="1" t="s">
        <v>29</v>
      </c>
      <c r="B27" s="397">
        <v>335.1</v>
      </c>
      <c r="C27" s="397">
        <v>125.2</v>
      </c>
      <c r="D27" s="396">
        <v>210</v>
      </c>
      <c r="E27" s="397">
        <v>31080.5</v>
      </c>
    </row>
    <row r="28" spans="1:5" ht="16">
      <c r="A28" s="1" t="s">
        <v>30</v>
      </c>
      <c r="B28" s="397">
        <v>343.2</v>
      </c>
      <c r="C28" s="397">
        <v>128.5</v>
      </c>
      <c r="D28" s="397">
        <v>214.7</v>
      </c>
      <c r="E28" s="397">
        <v>32549.200000000001</v>
      </c>
    </row>
    <row r="29" spans="1:5" ht="16">
      <c r="A29" s="1" t="s">
        <v>31</v>
      </c>
      <c r="B29" s="397">
        <v>345.6</v>
      </c>
      <c r="C29" s="397">
        <v>128.4</v>
      </c>
      <c r="D29" s="397">
        <v>217.2</v>
      </c>
      <c r="E29" s="397">
        <v>29440.2</v>
      </c>
    </row>
    <row r="30" spans="1:5" ht="16">
      <c r="A30" s="1" t="s">
        <v>32</v>
      </c>
      <c r="B30" s="397">
        <v>324.10000000000002</v>
      </c>
      <c r="C30" s="397">
        <v>122.7</v>
      </c>
      <c r="D30" s="397">
        <v>201.3</v>
      </c>
      <c r="E30" s="397">
        <v>28134.3</v>
      </c>
    </row>
    <row r="31" spans="1:5" ht="16">
      <c r="A31" s="1" t="s">
        <v>33</v>
      </c>
      <c r="B31" s="397">
        <v>343.9</v>
      </c>
      <c r="C31" s="397">
        <v>130.69999999999999</v>
      </c>
      <c r="D31" s="397">
        <v>213.2</v>
      </c>
      <c r="E31" s="397">
        <v>31911.599999999999</v>
      </c>
    </row>
    <row r="32" spans="1:5" ht="16">
      <c r="A32" s="1" t="s">
        <v>34</v>
      </c>
      <c r="B32" s="396">
        <v>344</v>
      </c>
      <c r="C32" s="397">
        <v>129.4</v>
      </c>
      <c r="D32" s="397">
        <v>214.6</v>
      </c>
      <c r="E32" s="397">
        <v>28129.4</v>
      </c>
    </row>
    <row r="33" spans="1:5" ht="16">
      <c r="A33" s="1" t="s">
        <v>35</v>
      </c>
      <c r="B33" s="396">
        <v>343</v>
      </c>
      <c r="C33" s="396">
        <v>128</v>
      </c>
      <c r="D33" s="396">
        <v>215</v>
      </c>
      <c r="E33" s="397">
        <v>32750.5</v>
      </c>
    </row>
    <row r="34" spans="1:5" ht="16">
      <c r="A34" s="1" t="s">
        <v>36</v>
      </c>
      <c r="B34" s="397">
        <v>345.6</v>
      </c>
      <c r="C34" s="397">
        <v>142.5</v>
      </c>
      <c r="D34" s="397">
        <v>203.1</v>
      </c>
      <c r="E34" s="397">
        <v>37531.800000000003</v>
      </c>
    </row>
    <row r="35" spans="1:5" ht="16">
      <c r="A35" s="1" t="s">
        <v>37</v>
      </c>
      <c r="B35" s="397">
        <v>344.9</v>
      </c>
      <c r="C35" s="397">
        <v>140.5</v>
      </c>
      <c r="D35" s="397">
        <v>204.3</v>
      </c>
      <c r="E35" s="397">
        <v>35977.9</v>
      </c>
    </row>
    <row r="36" spans="1:5" ht="16">
      <c r="A36" s="1" t="s">
        <v>38</v>
      </c>
      <c r="B36" s="396">
        <v>348</v>
      </c>
      <c r="C36" s="397">
        <v>142.69999999999999</v>
      </c>
      <c r="D36" s="397">
        <v>205.3</v>
      </c>
      <c r="E36" s="397">
        <v>36124.800000000003</v>
      </c>
    </row>
    <row r="37" spans="1:5" ht="16">
      <c r="A37" s="1" t="s">
        <v>39</v>
      </c>
      <c r="B37" s="397">
        <v>350.4</v>
      </c>
      <c r="C37" s="397">
        <v>144.80000000000001</v>
      </c>
      <c r="D37" s="397">
        <v>205.5</v>
      </c>
      <c r="E37" s="397">
        <v>35890.400000000001</v>
      </c>
    </row>
    <row r="38" spans="1:5" ht="16">
      <c r="A38" s="1" t="s">
        <v>40</v>
      </c>
      <c r="B38" s="397">
        <v>346.8</v>
      </c>
      <c r="C38" s="397">
        <v>148.5</v>
      </c>
      <c r="D38" s="397">
        <v>198.3</v>
      </c>
      <c r="E38" s="397">
        <v>29915.4</v>
      </c>
    </row>
    <row r="39" spans="1:5" ht="16">
      <c r="A39" s="1" t="s">
        <v>41</v>
      </c>
      <c r="B39" s="397">
        <v>343.8</v>
      </c>
      <c r="C39" s="397">
        <v>155.5</v>
      </c>
      <c r="D39" s="397">
        <v>188.3</v>
      </c>
      <c r="E39" s="397">
        <v>29001.3</v>
      </c>
    </row>
    <row r="40" spans="1:5" ht="16">
      <c r="A40" s="1" t="s">
        <v>42</v>
      </c>
      <c r="B40" s="397">
        <v>342.1</v>
      </c>
      <c r="C40" s="397">
        <v>147.1</v>
      </c>
      <c r="D40" s="397">
        <v>195.1</v>
      </c>
      <c r="E40" s="397">
        <v>28504.400000000001</v>
      </c>
    </row>
    <row r="41" spans="1:5" ht="16">
      <c r="A41" s="1" t="s">
        <v>43</v>
      </c>
      <c r="B41" s="397">
        <v>338.4</v>
      </c>
      <c r="C41" s="397">
        <v>144.19999999999999</v>
      </c>
      <c r="D41" s="397">
        <v>194.3</v>
      </c>
      <c r="E41" s="397">
        <v>31735.1</v>
      </c>
    </row>
    <row r="42" spans="1:5" ht="16">
      <c r="A42" s="1" t="s">
        <v>44</v>
      </c>
      <c r="B42" s="397">
        <v>338.5</v>
      </c>
      <c r="C42" s="396">
        <v>146</v>
      </c>
      <c r="D42" s="397">
        <v>192.5</v>
      </c>
      <c r="E42" s="397">
        <v>30061.5</v>
      </c>
    </row>
    <row r="43" spans="1:5" ht="16">
      <c r="A43" s="1" t="s">
        <v>45</v>
      </c>
      <c r="B43" s="397">
        <v>335.7</v>
      </c>
      <c r="C43" s="397">
        <v>142.80000000000001</v>
      </c>
      <c r="D43" s="397">
        <v>192.9</v>
      </c>
      <c r="E43" s="397">
        <v>30531.200000000001</v>
      </c>
    </row>
    <row r="44" spans="1:5" ht="16">
      <c r="A44" s="1" t="s">
        <v>46</v>
      </c>
      <c r="B44" s="397">
        <v>335.7</v>
      </c>
      <c r="C44" s="397">
        <v>143.19999999999999</v>
      </c>
      <c r="D44" s="397">
        <v>192.6</v>
      </c>
      <c r="E44" s="397">
        <v>31297.200000000001</v>
      </c>
    </row>
    <row r="45" spans="1:5" ht="16">
      <c r="A45" s="1" t="s">
        <v>47</v>
      </c>
      <c r="B45" s="397">
        <v>334.7</v>
      </c>
      <c r="C45" s="397">
        <v>143.80000000000001</v>
      </c>
      <c r="D45" s="397">
        <v>190.9</v>
      </c>
      <c r="E45" s="397">
        <v>28978.2</v>
      </c>
    </row>
    <row r="46" spans="1:5" ht="16">
      <c r="A46" s="1" t="s">
        <v>48</v>
      </c>
      <c r="B46" s="396">
        <v>340</v>
      </c>
      <c r="C46" s="397">
        <v>145.4</v>
      </c>
      <c r="D46" s="397">
        <v>194.6</v>
      </c>
      <c r="E46" s="397">
        <v>27903.9</v>
      </c>
    </row>
    <row r="47" spans="1:5" ht="16">
      <c r="A47" s="1" t="s">
        <v>49</v>
      </c>
      <c r="B47" s="397">
        <v>340.1</v>
      </c>
      <c r="C47" s="397">
        <v>144.19999999999999</v>
      </c>
      <c r="D47" s="396">
        <v>196</v>
      </c>
      <c r="E47" s="397">
        <v>28861.1</v>
      </c>
    </row>
    <row r="48" spans="1:5" ht="16">
      <c r="A48" s="1" t="s">
        <v>50</v>
      </c>
      <c r="B48" s="397">
        <v>347.2</v>
      </c>
      <c r="C48" s="397">
        <v>144.1</v>
      </c>
      <c r="D48" s="397">
        <v>203.1</v>
      </c>
      <c r="E48" s="397">
        <v>27362.3</v>
      </c>
    </row>
    <row r="49" spans="1:5" ht="16">
      <c r="A49" s="1" t="s">
        <v>51</v>
      </c>
      <c r="B49" s="397">
        <v>346.7</v>
      </c>
      <c r="C49" s="397">
        <v>144.19999999999999</v>
      </c>
      <c r="D49" s="397">
        <v>202.5</v>
      </c>
      <c r="E49" s="397">
        <v>27219.599999999999</v>
      </c>
    </row>
    <row r="50" spans="1:5" ht="16">
      <c r="A50" s="1" t="s">
        <v>52</v>
      </c>
      <c r="B50" s="397">
        <v>348.1</v>
      </c>
      <c r="C50" s="397">
        <v>145.1</v>
      </c>
      <c r="D50" s="396">
        <v>203</v>
      </c>
      <c r="E50" s="397">
        <v>23945.599999999999</v>
      </c>
    </row>
    <row r="51" spans="1:5" ht="16">
      <c r="A51" s="1" t="s">
        <v>53</v>
      </c>
      <c r="B51" s="397">
        <v>347.4</v>
      </c>
      <c r="C51" s="397">
        <v>144.30000000000001</v>
      </c>
      <c r="D51" s="397">
        <v>203.1</v>
      </c>
      <c r="E51" s="397">
        <v>24871.3</v>
      </c>
    </row>
    <row r="52" spans="1:5" ht="16">
      <c r="A52" s="1" t="s">
        <v>54</v>
      </c>
      <c r="B52" s="397">
        <v>351.9</v>
      </c>
      <c r="C52" s="397">
        <v>147.80000000000001</v>
      </c>
      <c r="D52" s="397">
        <v>204.2</v>
      </c>
      <c r="E52" s="397">
        <v>25135.8</v>
      </c>
    </row>
    <row r="53" spans="1:5" ht="16">
      <c r="A53" s="1" t="s">
        <v>55</v>
      </c>
      <c r="B53" s="397">
        <v>350.8</v>
      </c>
      <c r="C53" s="397">
        <v>148.6</v>
      </c>
      <c r="D53" s="397">
        <v>202.1</v>
      </c>
      <c r="E53" s="397">
        <v>25755.8</v>
      </c>
    </row>
    <row r="54" spans="1:5" ht="16">
      <c r="A54" s="1" t="s">
        <v>56</v>
      </c>
      <c r="B54" s="397">
        <v>357.6</v>
      </c>
      <c r="C54" s="397">
        <v>149.4</v>
      </c>
      <c r="D54" s="397">
        <v>208.2</v>
      </c>
      <c r="E54" s="397">
        <v>26175.9</v>
      </c>
    </row>
    <row r="55" spans="1:5" ht="16">
      <c r="A55" s="1" t="s">
        <v>57</v>
      </c>
      <c r="B55" s="397">
        <v>352.7</v>
      </c>
      <c r="C55" s="397">
        <v>148.6</v>
      </c>
      <c r="D55" s="397">
        <v>204.2</v>
      </c>
      <c r="E55" s="397">
        <v>28491.9</v>
      </c>
    </row>
    <row r="56" spans="1:5" ht="16">
      <c r="A56" s="1" t="s">
        <v>58</v>
      </c>
      <c r="B56" s="397">
        <v>357.8</v>
      </c>
      <c r="C56" s="397">
        <v>149.19999999999999</v>
      </c>
      <c r="D56" s="397">
        <v>208.5</v>
      </c>
      <c r="E56" s="396">
        <v>29512</v>
      </c>
    </row>
    <row r="57" spans="1:5" ht="16">
      <c r="A57" s="1" t="s">
        <v>59</v>
      </c>
      <c r="B57" s="397">
        <v>357.9</v>
      </c>
      <c r="C57" s="397">
        <v>152.6</v>
      </c>
      <c r="D57" s="397">
        <v>205.3</v>
      </c>
      <c r="E57" s="397">
        <v>27895.8</v>
      </c>
    </row>
    <row r="58" spans="1:5" ht="16">
      <c r="A58" s="1" t="s">
        <v>60</v>
      </c>
      <c r="B58" s="397">
        <v>362.3</v>
      </c>
      <c r="C58" s="397">
        <v>153.1</v>
      </c>
      <c r="D58" s="397">
        <v>209.2</v>
      </c>
      <c r="E58" s="397">
        <v>26771.200000000001</v>
      </c>
    </row>
    <row r="59" spans="1:5" ht="16">
      <c r="A59" s="1" t="s">
        <v>61</v>
      </c>
      <c r="B59" s="397">
        <v>363.8</v>
      </c>
      <c r="C59" s="397">
        <v>154.19999999999999</v>
      </c>
      <c r="D59" s="397">
        <v>209.6</v>
      </c>
      <c r="E59" s="397">
        <v>27559.599999999999</v>
      </c>
    </row>
    <row r="60" spans="1:5" ht="16">
      <c r="A60" s="1" t="s">
        <v>62</v>
      </c>
      <c r="B60" s="396">
        <v>366</v>
      </c>
      <c r="C60" s="397">
        <v>157.19999999999999</v>
      </c>
      <c r="D60" s="397">
        <v>208.8</v>
      </c>
      <c r="E60" s="397">
        <v>28067.599999999999</v>
      </c>
    </row>
    <row r="61" spans="1:5" ht="16">
      <c r="A61" s="1" t="s">
        <v>63</v>
      </c>
      <c r="B61" s="397">
        <v>363.4</v>
      </c>
      <c r="C61" s="397">
        <v>157.9</v>
      </c>
      <c r="D61" s="397">
        <v>205.6</v>
      </c>
      <c r="E61" s="397">
        <v>27697.8</v>
      </c>
    </row>
    <row r="62" spans="1:5" ht="16">
      <c r="A62" s="1" t="s">
        <v>64</v>
      </c>
      <c r="B62" s="397">
        <v>355.8</v>
      </c>
      <c r="C62" s="397">
        <v>156.4</v>
      </c>
      <c r="D62" s="397">
        <v>199.4</v>
      </c>
      <c r="E62" s="397">
        <v>26401.9</v>
      </c>
    </row>
    <row r="63" spans="1:5" ht="16">
      <c r="A63" s="1" t="s">
        <v>65</v>
      </c>
      <c r="B63" s="397">
        <v>363.4</v>
      </c>
      <c r="C63" s="397">
        <v>157.1</v>
      </c>
      <c r="D63" s="397">
        <v>206.4</v>
      </c>
      <c r="E63" s="397">
        <v>28462.7</v>
      </c>
    </row>
    <row r="64" spans="1:5" ht="16">
      <c r="A64" s="1" t="s">
        <v>66</v>
      </c>
      <c r="B64" s="397">
        <v>370.8</v>
      </c>
      <c r="C64" s="397">
        <v>157.69999999999999</v>
      </c>
      <c r="D64" s="397">
        <v>213.1</v>
      </c>
      <c r="E64" s="397">
        <v>28252.2</v>
      </c>
    </row>
    <row r="65" spans="1:5" ht="16">
      <c r="A65" s="1" t="s">
        <v>67</v>
      </c>
      <c r="B65" s="397">
        <v>371.4</v>
      </c>
      <c r="C65" s="397">
        <v>158.30000000000001</v>
      </c>
      <c r="D65" s="397">
        <v>213.1</v>
      </c>
      <c r="E65" s="397">
        <v>28430.400000000001</v>
      </c>
    </row>
    <row r="66" spans="1:5" ht="16">
      <c r="A66" s="1" t="s">
        <v>68</v>
      </c>
      <c r="B66" s="397">
        <v>375.8</v>
      </c>
      <c r="C66" s="397">
        <v>155.5</v>
      </c>
      <c r="D66" s="397">
        <v>220.3</v>
      </c>
      <c r="E66" s="397">
        <v>28234.6</v>
      </c>
    </row>
    <row r="67" spans="1:5" ht="16">
      <c r="A67" s="1" t="s">
        <v>69</v>
      </c>
      <c r="B67" s="396">
        <v>378</v>
      </c>
      <c r="C67" s="397">
        <v>155.9</v>
      </c>
      <c r="D67" s="397">
        <v>222.1</v>
      </c>
      <c r="E67" s="397">
        <v>27960.799999999999</v>
      </c>
    </row>
    <row r="68" spans="1:5" ht="16">
      <c r="A68" s="1" t="s">
        <v>70</v>
      </c>
      <c r="B68" s="397">
        <v>386.7</v>
      </c>
      <c r="C68" s="397">
        <v>158.5</v>
      </c>
      <c r="D68" s="397">
        <v>228.2</v>
      </c>
      <c r="E68" s="397">
        <v>28676.9</v>
      </c>
    </row>
    <row r="69" spans="1:5" ht="16">
      <c r="A69" s="1" t="s">
        <v>71</v>
      </c>
      <c r="B69" s="397">
        <v>394.7</v>
      </c>
      <c r="C69" s="397">
        <v>157.80000000000001</v>
      </c>
      <c r="D69" s="397">
        <v>236.9</v>
      </c>
      <c r="E69" s="397">
        <v>28780.9</v>
      </c>
    </row>
    <row r="70" spans="1:5" ht="16">
      <c r="A70" s="1" t="s">
        <v>72</v>
      </c>
      <c r="B70" s="397">
        <v>395.5</v>
      </c>
      <c r="C70" s="397">
        <v>159.5</v>
      </c>
      <c r="D70" s="396">
        <v>236</v>
      </c>
      <c r="E70" s="397">
        <v>24749.5</v>
      </c>
    </row>
    <row r="71" spans="1:5" ht="16">
      <c r="A71" s="1" t="s">
        <v>73</v>
      </c>
      <c r="B71" s="396">
        <v>397</v>
      </c>
      <c r="C71" s="397">
        <v>160.1</v>
      </c>
      <c r="D71" s="397">
        <v>236.9</v>
      </c>
      <c r="E71" s="397">
        <v>27228.400000000001</v>
      </c>
    </row>
    <row r="72" spans="1:5" ht="16">
      <c r="A72" s="1" t="s">
        <v>74</v>
      </c>
      <c r="B72" s="397">
        <v>401.5</v>
      </c>
      <c r="C72" s="397">
        <v>160.5</v>
      </c>
      <c r="D72" s="396">
        <v>241</v>
      </c>
      <c r="E72" s="397">
        <v>27615.3</v>
      </c>
    </row>
    <row r="73" spans="1:5" ht="16">
      <c r="A73" s="1" t="s">
        <v>75</v>
      </c>
      <c r="B73" s="397">
        <v>405.4</v>
      </c>
      <c r="C73" s="397">
        <v>162.1</v>
      </c>
      <c r="D73" s="397">
        <v>243.3</v>
      </c>
      <c r="E73" s="397">
        <v>24988.7</v>
      </c>
    </row>
    <row r="74" spans="1:5" ht="16">
      <c r="A74" s="1" t="s">
        <v>76</v>
      </c>
      <c r="B74" s="397">
        <v>407.8</v>
      </c>
      <c r="C74" s="397">
        <v>164.9</v>
      </c>
      <c r="D74" s="396">
        <v>243</v>
      </c>
      <c r="E74" s="397">
        <v>25172.1</v>
      </c>
    </row>
    <row r="75" spans="1:5" ht="16">
      <c r="A75" s="1" t="s">
        <v>77</v>
      </c>
      <c r="B75" s="397">
        <v>406.2</v>
      </c>
      <c r="C75" s="396">
        <v>165</v>
      </c>
      <c r="D75" s="397">
        <v>241.2</v>
      </c>
      <c r="E75" s="397">
        <v>26022.799999999999</v>
      </c>
    </row>
    <row r="76" spans="1:5" ht="16">
      <c r="A76" s="1" t="s">
        <v>78</v>
      </c>
      <c r="B76" s="397">
        <v>415.4</v>
      </c>
      <c r="C76" s="396">
        <v>168</v>
      </c>
      <c r="D76" s="397">
        <v>247.4</v>
      </c>
      <c r="E76" s="396">
        <v>25934</v>
      </c>
    </row>
    <row r="77" spans="1:5" ht="16">
      <c r="A77" s="1" t="s">
        <v>79</v>
      </c>
      <c r="B77" s="397">
        <v>411.9</v>
      </c>
      <c r="C77" s="397">
        <v>165.7</v>
      </c>
      <c r="D77" s="397">
        <v>246.2</v>
      </c>
      <c r="E77" s="397">
        <v>26481.599999999999</v>
      </c>
    </row>
    <row r="78" spans="1:5" ht="16">
      <c r="A78" s="1" t="s">
        <v>80</v>
      </c>
      <c r="B78" s="397">
        <v>406.7</v>
      </c>
      <c r="C78" s="397">
        <v>164.7</v>
      </c>
      <c r="D78" s="396">
        <v>242</v>
      </c>
      <c r="E78" s="397">
        <v>25597.599999999999</v>
      </c>
    </row>
    <row r="79" spans="1:5" ht="16">
      <c r="A79" s="1" t="s">
        <v>81</v>
      </c>
      <c r="B79" s="397">
        <v>416.3</v>
      </c>
      <c r="C79" s="397">
        <v>167.3</v>
      </c>
      <c r="D79" s="396">
        <v>249</v>
      </c>
      <c r="E79" s="396">
        <v>27424</v>
      </c>
    </row>
    <row r="80" spans="1:5" ht="16">
      <c r="A80" s="1" t="s">
        <v>82</v>
      </c>
      <c r="B80" s="397">
        <v>418.5</v>
      </c>
      <c r="C80" s="397">
        <v>170.1</v>
      </c>
      <c r="D80" s="397">
        <v>248.4</v>
      </c>
      <c r="E80" s="397">
        <v>26599.4</v>
      </c>
    </row>
    <row r="81" spans="1:5" ht="16">
      <c r="A81" s="1" t="s">
        <v>83</v>
      </c>
      <c r="B81" s="397">
        <v>421.2</v>
      </c>
      <c r="C81" s="397">
        <v>169.1</v>
      </c>
      <c r="D81" s="397">
        <v>252.2</v>
      </c>
      <c r="E81" s="397">
        <v>25980.5</v>
      </c>
    </row>
    <row r="82" spans="1:5" ht="16">
      <c r="A82" s="1" t="s">
        <v>84</v>
      </c>
      <c r="B82" s="397">
        <v>419.1</v>
      </c>
      <c r="C82" s="397">
        <v>173.3</v>
      </c>
      <c r="D82" s="397">
        <v>245.8</v>
      </c>
      <c r="E82" s="397">
        <v>24525.1</v>
      </c>
    </row>
    <row r="83" spans="1:5" ht="16">
      <c r="A83" s="1" t="s">
        <v>85</v>
      </c>
      <c r="B83" s="397">
        <v>413.4</v>
      </c>
      <c r="C83" s="397">
        <v>170.8</v>
      </c>
      <c r="D83" s="397">
        <v>242.6</v>
      </c>
      <c r="E83" s="397">
        <v>23431.7</v>
      </c>
    </row>
    <row r="84" spans="1:5" ht="16">
      <c r="A84" s="1" t="s">
        <v>86</v>
      </c>
      <c r="B84" s="397">
        <v>417.8</v>
      </c>
      <c r="C84" s="396">
        <v>173</v>
      </c>
      <c r="D84" s="397">
        <v>244.8</v>
      </c>
      <c r="E84" s="397">
        <v>23965.3</v>
      </c>
    </row>
    <row r="85" spans="1:5" ht="16">
      <c r="A85" s="1" t="s">
        <v>87</v>
      </c>
      <c r="B85" s="397">
        <v>415.9</v>
      </c>
      <c r="C85" s="397">
        <v>170.8</v>
      </c>
      <c r="D85" s="397">
        <v>245.1</v>
      </c>
      <c r="E85" s="397">
        <v>23474.799999999999</v>
      </c>
    </row>
    <row r="86" spans="1:5" ht="16">
      <c r="A86" s="1" t="s">
        <v>88</v>
      </c>
      <c r="B86" s="397">
        <v>422.6</v>
      </c>
      <c r="C86" s="397">
        <v>177.2</v>
      </c>
      <c r="D86" s="397">
        <v>245.4</v>
      </c>
      <c r="E86" s="397">
        <v>23384.799999999999</v>
      </c>
    </row>
    <row r="87" spans="1:5" ht="16">
      <c r="A87" s="1" t="s">
        <v>89</v>
      </c>
      <c r="B87" s="397">
        <v>419.9</v>
      </c>
      <c r="C87" s="396">
        <v>176</v>
      </c>
      <c r="D87" s="396">
        <v>244</v>
      </c>
      <c r="E87" s="397">
        <v>23808.7</v>
      </c>
    </row>
    <row r="88" spans="1:5" ht="16">
      <c r="A88" s="1" t="s">
        <v>90</v>
      </c>
      <c r="B88" s="397">
        <v>423.6</v>
      </c>
      <c r="C88" s="396">
        <v>179</v>
      </c>
      <c r="D88" s="397">
        <v>244.7</v>
      </c>
      <c r="E88" s="397">
        <v>24311.7</v>
      </c>
    </row>
    <row r="89" spans="1:5" ht="16">
      <c r="A89" s="1" t="s">
        <v>91</v>
      </c>
      <c r="B89" s="397">
        <v>429.3</v>
      </c>
      <c r="C89" s="397">
        <v>179.5</v>
      </c>
      <c r="D89" s="397">
        <v>249.8</v>
      </c>
      <c r="E89" s="397">
        <v>25315.1</v>
      </c>
    </row>
    <row r="90" spans="1:5" ht="16">
      <c r="A90" s="1" t="s">
        <v>92</v>
      </c>
      <c r="B90" s="396">
        <v>422</v>
      </c>
      <c r="C90" s="397">
        <v>178.2</v>
      </c>
      <c r="D90" s="397">
        <v>243.8</v>
      </c>
      <c r="E90" s="397">
        <v>23129.9</v>
      </c>
    </row>
    <row r="91" spans="1:5" ht="16">
      <c r="A91" s="1" t="s">
        <v>93</v>
      </c>
      <c r="B91" s="397">
        <v>435.5</v>
      </c>
      <c r="C91" s="397">
        <v>183.1</v>
      </c>
      <c r="D91" s="397">
        <v>252.4</v>
      </c>
      <c r="E91" s="397">
        <v>23324.9</v>
      </c>
    </row>
    <row r="92" spans="1:5" ht="16">
      <c r="A92" s="1" t="s">
        <v>94</v>
      </c>
      <c r="B92" s="396">
        <v>442</v>
      </c>
      <c r="C92" s="397">
        <v>185.6</v>
      </c>
      <c r="D92" s="397">
        <v>256.39999999999998</v>
      </c>
      <c r="E92" s="397">
        <v>23889.9</v>
      </c>
    </row>
    <row r="93" spans="1:5" ht="16">
      <c r="A93" s="1" t="s">
        <v>95</v>
      </c>
      <c r="B93" s="397">
        <v>441.2</v>
      </c>
      <c r="C93" s="397">
        <v>183.4</v>
      </c>
      <c r="D93" s="397">
        <v>257.8</v>
      </c>
      <c r="E93" s="397">
        <v>23206.6</v>
      </c>
    </row>
    <row r="94" spans="1:5" ht="16">
      <c r="A94" s="1" t="s">
        <v>96</v>
      </c>
      <c r="B94" s="396">
        <v>443</v>
      </c>
      <c r="C94" s="396">
        <v>185</v>
      </c>
      <c r="D94" s="397">
        <v>257.89999999999998</v>
      </c>
      <c r="E94" s="397">
        <v>21934.5</v>
      </c>
    </row>
    <row r="95" spans="1:5" ht="16">
      <c r="A95" s="1" t="s">
        <v>97</v>
      </c>
      <c r="B95" s="397">
        <v>438.4</v>
      </c>
      <c r="C95" s="397">
        <v>186.5</v>
      </c>
      <c r="D95" s="397">
        <v>251.9</v>
      </c>
      <c r="E95" s="397">
        <v>22573.1</v>
      </c>
    </row>
    <row r="96" spans="1:5" ht="16">
      <c r="A96" s="1" t="s">
        <v>98</v>
      </c>
      <c r="B96" s="397">
        <v>440.9</v>
      </c>
      <c r="C96" s="397">
        <v>187.4</v>
      </c>
      <c r="D96" s="397">
        <v>253.5</v>
      </c>
      <c r="E96" s="397">
        <v>23162.799999999999</v>
      </c>
    </row>
    <row r="97" spans="1:5" ht="16">
      <c r="A97" s="1" t="s">
        <v>99</v>
      </c>
      <c r="B97" s="397">
        <v>433.7</v>
      </c>
      <c r="C97" s="397">
        <v>186.4</v>
      </c>
      <c r="D97" s="397">
        <v>247.3</v>
      </c>
      <c r="E97" s="397">
        <v>23253.4</v>
      </c>
    </row>
    <row r="98" spans="1:5" ht="16">
      <c r="A98" s="1" t="s">
        <v>100</v>
      </c>
      <c r="B98" s="397">
        <v>439.7</v>
      </c>
      <c r="C98" s="397">
        <v>189.8</v>
      </c>
      <c r="D98" s="397">
        <v>249.9</v>
      </c>
      <c r="E98" s="396">
        <v>22341</v>
      </c>
    </row>
    <row r="99" spans="1:5" ht="16">
      <c r="A99" s="1" t="s">
        <v>101</v>
      </c>
      <c r="B99" s="397">
        <v>441.3</v>
      </c>
      <c r="C99" s="397">
        <v>191.6</v>
      </c>
      <c r="D99" s="397">
        <v>249.7</v>
      </c>
      <c r="E99" s="397">
        <v>22628.2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0119A-22D8-41FB-B226-962A07FCF1F4}">
  <sheetPr codeName="Sheet392394X765"/>
  <dimension ref="A1:C99"/>
  <sheetViews>
    <sheetView workbookViewId="0">
      <selection activeCell="C25" sqref="C25"/>
    </sheetView>
  </sheetViews>
  <sheetFormatPr baseColWidth="10" defaultColWidth="8.83203125" defaultRowHeight="15"/>
  <cols>
    <col min="3" max="3" width="49.1640625" bestFit="1" customWidth="1"/>
  </cols>
  <sheetData>
    <row r="1" spans="1:3">
      <c r="A1" t="s">
        <v>114</v>
      </c>
      <c r="B1" t="s">
        <v>114</v>
      </c>
      <c r="C1" s="2" t="s">
        <v>102</v>
      </c>
    </row>
    <row r="2" spans="1:3">
      <c r="A2">
        <v>1</v>
      </c>
      <c r="B2">
        <v>1</v>
      </c>
      <c r="C2" s="397">
        <v>257.39999999999998</v>
      </c>
    </row>
    <row r="3" spans="1:3">
      <c r="A3">
        <v>2</v>
      </c>
      <c r="B3">
        <v>2</v>
      </c>
      <c r="C3" s="397">
        <v>259.7</v>
      </c>
    </row>
    <row r="4" spans="1:3">
      <c r="A4">
        <v>3</v>
      </c>
      <c r="B4">
        <v>3</v>
      </c>
      <c r="C4" s="397">
        <v>263.3</v>
      </c>
    </row>
    <row r="5" spans="1:3">
      <c r="A5">
        <v>4</v>
      </c>
      <c r="B5">
        <v>4</v>
      </c>
      <c r="C5" s="397">
        <v>265.3</v>
      </c>
    </row>
    <row r="6" spans="1:3">
      <c r="A6">
        <v>5</v>
      </c>
      <c r="B6">
        <v>1</v>
      </c>
      <c r="C6" s="397">
        <v>269.89999999999998</v>
      </c>
    </row>
    <row r="7" spans="1:3">
      <c r="A7">
        <v>6</v>
      </c>
      <c r="B7">
        <v>2</v>
      </c>
      <c r="C7" s="397">
        <v>264.8</v>
      </c>
    </row>
    <row r="8" spans="1:3">
      <c r="A8">
        <v>7</v>
      </c>
      <c r="B8">
        <v>3</v>
      </c>
      <c r="C8" s="397">
        <v>273.10000000000002</v>
      </c>
    </row>
    <row r="9" spans="1:3">
      <c r="A9">
        <v>8</v>
      </c>
      <c r="B9">
        <v>4</v>
      </c>
      <c r="C9" s="397">
        <v>276.10000000000002</v>
      </c>
    </row>
    <row r="10" spans="1:3">
      <c r="A10">
        <v>9</v>
      </c>
      <c r="B10">
        <v>1</v>
      </c>
      <c r="C10" s="397">
        <v>284.8</v>
      </c>
    </row>
    <row r="11" spans="1:3">
      <c r="A11">
        <v>10</v>
      </c>
      <c r="B11">
        <v>2</v>
      </c>
      <c r="C11" s="397">
        <v>280.89999999999998</v>
      </c>
    </row>
    <row r="12" spans="1:3">
      <c r="A12">
        <v>11</v>
      </c>
      <c r="B12">
        <v>3</v>
      </c>
      <c r="C12" s="397">
        <v>290.5</v>
      </c>
    </row>
    <row r="13" spans="1:3">
      <c r="A13">
        <v>12</v>
      </c>
      <c r="B13">
        <v>4</v>
      </c>
      <c r="C13" s="397">
        <v>295.10000000000002</v>
      </c>
    </row>
    <row r="14" spans="1:3">
      <c r="A14">
        <v>13</v>
      </c>
      <c r="B14">
        <v>1</v>
      </c>
      <c r="C14" s="397">
        <v>298.8</v>
      </c>
    </row>
    <row r="15" spans="1:3">
      <c r="A15">
        <v>14</v>
      </c>
      <c r="B15">
        <v>2</v>
      </c>
      <c r="C15" s="397">
        <v>297.5</v>
      </c>
    </row>
    <row r="16" spans="1:3">
      <c r="A16">
        <v>15</v>
      </c>
      <c r="B16">
        <v>3</v>
      </c>
      <c r="C16" s="397">
        <v>308.3</v>
      </c>
    </row>
    <row r="17" spans="1:3">
      <c r="A17">
        <v>16</v>
      </c>
      <c r="B17">
        <v>4</v>
      </c>
      <c r="C17" s="397">
        <v>313.60000000000002</v>
      </c>
    </row>
    <row r="18" spans="1:3">
      <c r="A18">
        <v>17</v>
      </c>
      <c r="B18">
        <v>1</v>
      </c>
      <c r="C18" s="397">
        <v>312.2</v>
      </c>
    </row>
    <row r="19" spans="1:3">
      <c r="A19">
        <v>18</v>
      </c>
      <c r="B19">
        <v>2</v>
      </c>
      <c r="C19" s="397">
        <v>310.5</v>
      </c>
    </row>
    <row r="20" spans="1:3">
      <c r="A20">
        <v>19</v>
      </c>
      <c r="B20">
        <v>3</v>
      </c>
      <c r="C20" s="397">
        <v>320.5</v>
      </c>
    </row>
    <row r="21" spans="1:3">
      <c r="A21">
        <v>20</v>
      </c>
      <c r="B21">
        <v>4</v>
      </c>
      <c r="C21" s="397">
        <v>323.10000000000002</v>
      </c>
    </row>
    <row r="22" spans="1:3">
      <c r="A22">
        <v>21</v>
      </c>
      <c r="B22">
        <v>1</v>
      </c>
      <c r="C22" s="397">
        <v>324.89999999999998</v>
      </c>
    </row>
    <row r="23" spans="1:3">
      <c r="A23">
        <v>22</v>
      </c>
      <c r="B23">
        <v>2</v>
      </c>
      <c r="C23" s="397">
        <v>318.7</v>
      </c>
    </row>
    <row r="24" spans="1:3">
      <c r="A24">
        <v>23</v>
      </c>
      <c r="B24">
        <v>3</v>
      </c>
      <c r="C24" s="397">
        <v>331.9</v>
      </c>
    </row>
    <row r="25" spans="1:3">
      <c r="A25">
        <v>24</v>
      </c>
      <c r="B25">
        <v>4</v>
      </c>
      <c r="C25" s="397">
        <v>331.3</v>
      </c>
    </row>
    <row r="26" spans="1:3">
      <c r="A26">
        <v>25</v>
      </c>
      <c r="B26">
        <v>1</v>
      </c>
      <c r="C26" s="397">
        <v>339.2</v>
      </c>
    </row>
    <row r="27" spans="1:3">
      <c r="A27">
        <v>26</v>
      </c>
      <c r="B27">
        <v>2</v>
      </c>
      <c r="C27" s="397">
        <v>335.1</v>
      </c>
    </row>
    <row r="28" spans="1:3">
      <c r="A28">
        <v>27</v>
      </c>
      <c r="B28">
        <v>3</v>
      </c>
      <c r="C28" s="397">
        <v>343.2</v>
      </c>
    </row>
    <row r="29" spans="1:3">
      <c r="A29">
        <v>28</v>
      </c>
      <c r="B29">
        <v>4</v>
      </c>
      <c r="C29" s="397">
        <v>345.6</v>
      </c>
    </row>
    <row r="30" spans="1:3">
      <c r="A30">
        <v>29</v>
      </c>
      <c r="B30">
        <v>1</v>
      </c>
      <c r="C30" s="397">
        <v>324.10000000000002</v>
      </c>
    </row>
    <row r="31" spans="1:3">
      <c r="A31">
        <v>30</v>
      </c>
      <c r="B31">
        <v>2</v>
      </c>
      <c r="C31" s="397">
        <v>343.9</v>
      </c>
    </row>
    <row r="32" spans="1:3">
      <c r="A32">
        <v>31</v>
      </c>
      <c r="B32">
        <v>3</v>
      </c>
      <c r="C32" s="396">
        <v>344</v>
      </c>
    </row>
    <row r="33" spans="1:3">
      <c r="A33">
        <v>32</v>
      </c>
      <c r="B33">
        <v>4</v>
      </c>
      <c r="C33" s="396">
        <v>343</v>
      </c>
    </row>
    <row r="34" spans="1:3">
      <c r="A34">
        <v>33</v>
      </c>
      <c r="B34">
        <v>1</v>
      </c>
      <c r="C34" s="397">
        <v>345.6</v>
      </c>
    </row>
    <row r="35" spans="1:3">
      <c r="A35">
        <v>34</v>
      </c>
      <c r="B35">
        <v>2</v>
      </c>
      <c r="C35" s="397">
        <v>344.9</v>
      </c>
    </row>
    <row r="36" spans="1:3">
      <c r="A36">
        <v>35</v>
      </c>
      <c r="B36">
        <v>3</v>
      </c>
      <c r="C36" s="396">
        <v>348</v>
      </c>
    </row>
    <row r="37" spans="1:3">
      <c r="A37">
        <v>36</v>
      </c>
      <c r="B37">
        <v>4</v>
      </c>
      <c r="C37" s="397">
        <v>350.4</v>
      </c>
    </row>
    <row r="38" spans="1:3">
      <c r="A38">
        <v>37</v>
      </c>
      <c r="B38">
        <v>1</v>
      </c>
      <c r="C38" s="397">
        <v>346.8</v>
      </c>
    </row>
    <row r="39" spans="1:3">
      <c r="A39">
        <v>38</v>
      </c>
      <c r="B39">
        <v>2</v>
      </c>
      <c r="C39" s="397">
        <v>343.8</v>
      </c>
    </row>
    <row r="40" spans="1:3">
      <c r="A40">
        <v>39</v>
      </c>
      <c r="B40">
        <v>3</v>
      </c>
      <c r="C40" s="397">
        <v>342.1</v>
      </c>
    </row>
    <row r="41" spans="1:3">
      <c r="A41">
        <v>40</v>
      </c>
      <c r="B41">
        <v>4</v>
      </c>
      <c r="C41" s="397">
        <v>338.4</v>
      </c>
    </row>
    <row r="42" spans="1:3">
      <c r="A42">
        <v>41</v>
      </c>
      <c r="B42">
        <v>1</v>
      </c>
      <c r="C42" s="397">
        <v>338.5</v>
      </c>
    </row>
    <row r="43" spans="1:3">
      <c r="A43">
        <v>42</v>
      </c>
      <c r="B43">
        <v>2</v>
      </c>
      <c r="C43" s="397">
        <v>335.7</v>
      </c>
    </row>
    <row r="44" spans="1:3">
      <c r="A44">
        <v>43</v>
      </c>
      <c r="B44">
        <v>3</v>
      </c>
      <c r="C44" s="397">
        <v>335.7</v>
      </c>
    </row>
    <row r="45" spans="1:3">
      <c r="A45">
        <v>44</v>
      </c>
      <c r="B45">
        <v>4</v>
      </c>
      <c r="C45" s="397">
        <v>334.7</v>
      </c>
    </row>
    <row r="46" spans="1:3">
      <c r="A46">
        <v>45</v>
      </c>
      <c r="B46">
        <v>1</v>
      </c>
      <c r="C46" s="396">
        <v>340</v>
      </c>
    </row>
    <row r="47" spans="1:3">
      <c r="A47">
        <v>46</v>
      </c>
      <c r="B47">
        <v>2</v>
      </c>
      <c r="C47" s="397">
        <v>340.1</v>
      </c>
    </row>
    <row r="48" spans="1:3">
      <c r="A48">
        <v>47</v>
      </c>
      <c r="B48">
        <v>3</v>
      </c>
      <c r="C48" s="397">
        <v>347.2</v>
      </c>
    </row>
    <row r="49" spans="1:3">
      <c r="A49">
        <v>48</v>
      </c>
      <c r="B49">
        <v>4</v>
      </c>
      <c r="C49" s="397">
        <v>346.7</v>
      </c>
    </row>
    <row r="50" spans="1:3">
      <c r="A50">
        <v>49</v>
      </c>
      <c r="B50">
        <v>1</v>
      </c>
      <c r="C50" s="397">
        <v>348.1</v>
      </c>
    </row>
    <row r="51" spans="1:3">
      <c r="A51">
        <v>50</v>
      </c>
      <c r="B51">
        <v>2</v>
      </c>
      <c r="C51" s="397">
        <v>347.4</v>
      </c>
    </row>
    <row r="52" spans="1:3">
      <c r="A52">
        <v>51</v>
      </c>
      <c r="B52">
        <v>3</v>
      </c>
      <c r="C52" s="397">
        <v>351.9</v>
      </c>
    </row>
    <row r="53" spans="1:3">
      <c r="A53">
        <v>52</v>
      </c>
      <c r="B53">
        <v>4</v>
      </c>
      <c r="C53" s="397">
        <v>350.8</v>
      </c>
    </row>
    <row r="54" spans="1:3">
      <c r="A54">
        <v>53</v>
      </c>
      <c r="B54">
        <v>1</v>
      </c>
      <c r="C54" s="397">
        <v>357.6</v>
      </c>
    </row>
    <row r="55" spans="1:3">
      <c r="A55">
        <v>54</v>
      </c>
      <c r="B55">
        <v>2</v>
      </c>
      <c r="C55" s="397">
        <v>352.7</v>
      </c>
    </row>
    <row r="56" spans="1:3">
      <c r="A56">
        <v>55</v>
      </c>
      <c r="B56">
        <v>3</v>
      </c>
      <c r="C56" s="397">
        <v>357.8</v>
      </c>
    </row>
    <row r="57" spans="1:3">
      <c r="A57">
        <v>56</v>
      </c>
      <c r="B57">
        <v>4</v>
      </c>
      <c r="C57" s="397">
        <v>357.9</v>
      </c>
    </row>
    <row r="58" spans="1:3">
      <c r="A58">
        <v>57</v>
      </c>
      <c r="B58">
        <v>1</v>
      </c>
      <c r="C58" s="397">
        <v>362.3</v>
      </c>
    </row>
    <row r="59" spans="1:3">
      <c r="A59">
        <v>58</v>
      </c>
      <c r="B59">
        <v>2</v>
      </c>
      <c r="C59" s="397">
        <v>363.8</v>
      </c>
    </row>
    <row r="60" spans="1:3">
      <c r="A60">
        <v>59</v>
      </c>
      <c r="B60">
        <v>3</v>
      </c>
      <c r="C60" s="396">
        <v>366</v>
      </c>
    </row>
    <row r="61" spans="1:3">
      <c r="A61">
        <v>60</v>
      </c>
      <c r="B61">
        <v>4</v>
      </c>
      <c r="C61" s="397">
        <v>363.4</v>
      </c>
    </row>
    <row r="62" spans="1:3">
      <c r="A62">
        <v>61</v>
      </c>
      <c r="B62">
        <v>1</v>
      </c>
      <c r="C62" s="397">
        <v>355.8</v>
      </c>
    </row>
    <row r="63" spans="1:3">
      <c r="A63">
        <v>62</v>
      </c>
      <c r="B63">
        <v>2</v>
      </c>
      <c r="C63" s="397">
        <v>363.4</v>
      </c>
    </row>
    <row r="64" spans="1:3">
      <c r="A64">
        <v>63</v>
      </c>
      <c r="B64">
        <v>3</v>
      </c>
      <c r="C64" s="397">
        <v>370.8</v>
      </c>
    </row>
    <row r="65" spans="1:3">
      <c r="A65">
        <v>64</v>
      </c>
      <c r="B65">
        <v>4</v>
      </c>
      <c r="C65" s="397">
        <v>371.4</v>
      </c>
    </row>
    <row r="66" spans="1:3">
      <c r="A66">
        <v>65</v>
      </c>
      <c r="B66">
        <v>1</v>
      </c>
      <c r="C66" s="397">
        <v>375.8</v>
      </c>
    </row>
    <row r="67" spans="1:3">
      <c r="A67">
        <v>66</v>
      </c>
      <c r="B67">
        <v>2</v>
      </c>
      <c r="C67" s="396">
        <v>378</v>
      </c>
    </row>
    <row r="68" spans="1:3">
      <c r="A68">
        <v>67</v>
      </c>
      <c r="B68">
        <v>3</v>
      </c>
      <c r="C68" s="397">
        <v>386.7</v>
      </c>
    </row>
    <row r="69" spans="1:3">
      <c r="A69">
        <v>68</v>
      </c>
      <c r="B69">
        <v>4</v>
      </c>
      <c r="C69" s="397">
        <v>394.7</v>
      </c>
    </row>
    <row r="70" spans="1:3">
      <c r="A70">
        <v>69</v>
      </c>
      <c r="B70">
        <v>1</v>
      </c>
      <c r="C70" s="397">
        <v>395.5</v>
      </c>
    </row>
    <row r="71" spans="1:3">
      <c r="A71">
        <v>70</v>
      </c>
      <c r="B71">
        <v>2</v>
      </c>
      <c r="C71" s="396">
        <v>397</v>
      </c>
    </row>
    <row r="72" spans="1:3">
      <c r="A72">
        <v>71</v>
      </c>
      <c r="B72">
        <v>3</v>
      </c>
      <c r="C72" s="397">
        <v>401.5</v>
      </c>
    </row>
    <row r="73" spans="1:3">
      <c r="A73">
        <v>72</v>
      </c>
      <c r="B73">
        <v>4</v>
      </c>
      <c r="C73" s="397">
        <v>405.4</v>
      </c>
    </row>
    <row r="74" spans="1:3">
      <c r="A74">
        <v>73</v>
      </c>
      <c r="B74">
        <v>1</v>
      </c>
      <c r="C74" s="397">
        <v>407.8</v>
      </c>
    </row>
    <row r="75" spans="1:3">
      <c r="A75">
        <v>74</v>
      </c>
      <c r="B75">
        <v>2</v>
      </c>
      <c r="C75" s="397">
        <v>406.2</v>
      </c>
    </row>
    <row r="76" spans="1:3">
      <c r="A76">
        <v>75</v>
      </c>
      <c r="B76">
        <v>3</v>
      </c>
      <c r="C76" s="397">
        <v>415.4</v>
      </c>
    </row>
    <row r="77" spans="1:3">
      <c r="A77">
        <v>76</v>
      </c>
      <c r="B77">
        <v>4</v>
      </c>
      <c r="C77" s="397">
        <v>411.9</v>
      </c>
    </row>
    <row r="78" spans="1:3">
      <c r="A78">
        <v>77</v>
      </c>
      <c r="B78">
        <v>1</v>
      </c>
      <c r="C78" s="397">
        <v>406.7</v>
      </c>
    </row>
    <row r="79" spans="1:3">
      <c r="A79">
        <v>78</v>
      </c>
      <c r="B79">
        <v>2</v>
      </c>
      <c r="C79" s="397">
        <v>416.3</v>
      </c>
    </row>
    <row r="80" spans="1:3">
      <c r="A80">
        <v>79</v>
      </c>
      <c r="B80">
        <v>3</v>
      </c>
      <c r="C80" s="397">
        <v>418.5</v>
      </c>
    </row>
    <row r="81" spans="1:3">
      <c r="A81">
        <v>80</v>
      </c>
      <c r="B81">
        <v>4</v>
      </c>
      <c r="C81" s="397">
        <v>421.2</v>
      </c>
    </row>
    <row r="82" spans="1:3">
      <c r="A82">
        <v>81</v>
      </c>
      <c r="B82">
        <v>1</v>
      </c>
      <c r="C82" s="397">
        <v>419.1</v>
      </c>
    </row>
    <row r="83" spans="1:3">
      <c r="A83">
        <v>82</v>
      </c>
      <c r="B83">
        <v>2</v>
      </c>
      <c r="C83" s="397">
        <v>413.4</v>
      </c>
    </row>
    <row r="84" spans="1:3">
      <c r="A84">
        <v>83</v>
      </c>
      <c r="B84">
        <v>3</v>
      </c>
      <c r="C84" s="397">
        <v>417.8</v>
      </c>
    </row>
    <row r="85" spans="1:3">
      <c r="A85">
        <v>84</v>
      </c>
      <c r="B85">
        <v>4</v>
      </c>
      <c r="C85" s="397">
        <v>415.9</v>
      </c>
    </row>
    <row r="86" spans="1:3">
      <c r="A86">
        <v>85</v>
      </c>
      <c r="B86">
        <v>1</v>
      </c>
      <c r="C86" s="397">
        <v>422.6</v>
      </c>
    </row>
    <row r="87" spans="1:3">
      <c r="A87">
        <v>86</v>
      </c>
      <c r="B87">
        <v>2</v>
      </c>
      <c r="C87" s="397">
        <v>419.9</v>
      </c>
    </row>
    <row r="88" spans="1:3">
      <c r="A88">
        <v>87</v>
      </c>
      <c r="B88">
        <v>3</v>
      </c>
      <c r="C88" s="397">
        <v>423.6</v>
      </c>
    </row>
    <row r="89" spans="1:3">
      <c r="A89">
        <v>88</v>
      </c>
      <c r="B89">
        <v>4</v>
      </c>
      <c r="C89" s="397">
        <v>429.3</v>
      </c>
    </row>
    <row r="90" spans="1:3">
      <c r="A90">
        <v>89</v>
      </c>
      <c r="B90">
        <v>1</v>
      </c>
      <c r="C90" s="396">
        <v>422</v>
      </c>
    </row>
    <row r="91" spans="1:3">
      <c r="A91">
        <v>90</v>
      </c>
      <c r="B91">
        <v>2</v>
      </c>
      <c r="C91" s="397">
        <v>435.5</v>
      </c>
    </row>
    <row r="92" spans="1:3">
      <c r="A92">
        <v>91</v>
      </c>
      <c r="B92">
        <v>3</v>
      </c>
      <c r="C92" s="396">
        <v>442</v>
      </c>
    </row>
    <row r="93" spans="1:3">
      <c r="A93">
        <v>92</v>
      </c>
      <c r="B93">
        <v>4</v>
      </c>
      <c r="C93" s="397">
        <v>441.2</v>
      </c>
    </row>
    <row r="94" spans="1:3">
      <c r="A94">
        <v>93</v>
      </c>
      <c r="B94">
        <v>1</v>
      </c>
      <c r="C94" s="396">
        <v>443</v>
      </c>
    </row>
    <row r="95" spans="1:3">
      <c r="A95">
        <v>94</v>
      </c>
      <c r="B95">
        <v>2</v>
      </c>
      <c r="C95" s="397">
        <v>438.4</v>
      </c>
    </row>
    <row r="96" spans="1:3">
      <c r="A96">
        <v>95</v>
      </c>
      <c r="B96">
        <v>3</v>
      </c>
      <c r="C96" s="397">
        <v>440.9</v>
      </c>
    </row>
    <row r="97" spans="1:3">
      <c r="A97">
        <v>96</v>
      </c>
      <c r="B97">
        <v>4</v>
      </c>
      <c r="C97" s="397">
        <v>433.7</v>
      </c>
    </row>
    <row r="98" spans="1:3">
      <c r="A98">
        <v>97</v>
      </c>
      <c r="B98">
        <v>1</v>
      </c>
      <c r="C98" s="397">
        <v>439.7</v>
      </c>
    </row>
    <row r="99" spans="1:3">
      <c r="A99">
        <v>98</v>
      </c>
      <c r="B99">
        <v>2</v>
      </c>
      <c r="C99" s="397">
        <v>441.3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9FD8F-EF71-4601-8F51-8AF1B9E7A488}">
  <sheetPr codeName="Sheet5"/>
  <dimension ref="A1:C99"/>
  <sheetViews>
    <sheetView workbookViewId="0">
      <selection activeCell="D5" sqref="D5"/>
    </sheetView>
  </sheetViews>
  <sheetFormatPr baseColWidth="10" defaultColWidth="8.83203125" defaultRowHeight="15"/>
  <cols>
    <col min="3" max="3" width="42.33203125" bestFit="1" customWidth="1"/>
  </cols>
  <sheetData>
    <row r="1" spans="1:3">
      <c r="A1" t="s">
        <v>114</v>
      </c>
      <c r="B1" t="s">
        <v>114</v>
      </c>
      <c r="C1" s="2" t="s">
        <v>105</v>
      </c>
    </row>
    <row r="2" spans="1:3">
      <c r="A2">
        <v>1</v>
      </c>
      <c r="B2">
        <v>1</v>
      </c>
      <c r="C2" s="397">
        <v>29226.3</v>
      </c>
    </row>
    <row r="3" spans="1:3">
      <c r="A3">
        <v>2</v>
      </c>
      <c r="B3">
        <v>2</v>
      </c>
      <c r="C3" s="397">
        <v>38153.9</v>
      </c>
    </row>
    <row r="4" spans="1:3">
      <c r="A4">
        <v>3</v>
      </c>
      <c r="B4">
        <v>3</v>
      </c>
      <c r="C4" s="397">
        <v>39414.699999999997</v>
      </c>
    </row>
    <row r="5" spans="1:3">
      <c r="A5">
        <v>4</v>
      </c>
      <c r="B5">
        <v>4</v>
      </c>
      <c r="C5" s="397">
        <v>37600.300000000003</v>
      </c>
    </row>
    <row r="6" spans="1:3">
      <c r="A6">
        <v>5</v>
      </c>
      <c r="B6">
        <v>1</v>
      </c>
      <c r="C6" s="397">
        <v>34100.6</v>
      </c>
    </row>
    <row r="7" spans="1:3">
      <c r="A7">
        <v>6</v>
      </c>
      <c r="B7">
        <v>2</v>
      </c>
      <c r="C7" s="397">
        <v>39855.9</v>
      </c>
    </row>
    <row r="8" spans="1:3">
      <c r="A8">
        <v>7</v>
      </c>
      <c r="B8">
        <v>3</v>
      </c>
      <c r="C8" s="396">
        <v>36850</v>
      </c>
    </row>
    <row r="9" spans="1:3">
      <c r="A9">
        <v>8</v>
      </c>
      <c r="B9">
        <v>4</v>
      </c>
      <c r="C9" s="396">
        <v>31891</v>
      </c>
    </row>
    <row r="10" spans="1:3">
      <c r="A10">
        <v>9</v>
      </c>
      <c r="B10">
        <v>1</v>
      </c>
      <c r="C10" s="397">
        <v>29775.4</v>
      </c>
    </row>
    <row r="11" spans="1:3">
      <c r="A11">
        <v>10</v>
      </c>
      <c r="B11">
        <v>2</v>
      </c>
      <c r="C11" s="397">
        <v>31878.400000000001</v>
      </c>
    </row>
    <row r="12" spans="1:3">
      <c r="A12">
        <v>11</v>
      </c>
      <c r="B12">
        <v>3</v>
      </c>
      <c r="C12" s="397">
        <v>32743.3</v>
      </c>
    </row>
    <row r="13" spans="1:3">
      <c r="A13">
        <v>12</v>
      </c>
      <c r="B13">
        <v>4</v>
      </c>
      <c r="C13" s="396">
        <v>32667</v>
      </c>
    </row>
    <row r="14" spans="1:3">
      <c r="A14">
        <v>13</v>
      </c>
      <c r="B14">
        <v>1</v>
      </c>
      <c r="C14" s="397">
        <v>29213.599999999999</v>
      </c>
    </row>
    <row r="15" spans="1:3">
      <c r="A15">
        <v>14</v>
      </c>
      <c r="B15">
        <v>2</v>
      </c>
      <c r="C15" s="396">
        <v>32091</v>
      </c>
    </row>
    <row r="16" spans="1:3">
      <c r="A16">
        <v>15</v>
      </c>
      <c r="B16">
        <v>3</v>
      </c>
      <c r="C16" s="397">
        <v>32247.5</v>
      </c>
    </row>
    <row r="17" spans="1:3">
      <c r="A17">
        <v>16</v>
      </c>
      <c r="B17">
        <v>4</v>
      </c>
      <c r="C17" s="397">
        <v>31778.799999999999</v>
      </c>
    </row>
    <row r="18" spans="1:3">
      <c r="A18">
        <v>17</v>
      </c>
      <c r="B18">
        <v>1</v>
      </c>
      <c r="C18" s="397">
        <v>29355.8</v>
      </c>
    </row>
    <row r="19" spans="1:3">
      <c r="A19">
        <v>18</v>
      </c>
      <c r="B19">
        <v>2</v>
      </c>
      <c r="C19" s="397">
        <v>30408.799999999999</v>
      </c>
    </row>
    <row r="20" spans="1:3">
      <c r="A20">
        <v>19</v>
      </c>
      <c r="B20">
        <v>3</v>
      </c>
      <c r="C20" s="396">
        <v>32011</v>
      </c>
    </row>
    <row r="21" spans="1:3">
      <c r="A21">
        <v>20</v>
      </c>
      <c r="B21">
        <v>4</v>
      </c>
      <c r="C21" s="397">
        <v>32922.300000000003</v>
      </c>
    </row>
    <row r="22" spans="1:3">
      <c r="A22">
        <v>21</v>
      </c>
      <c r="B22">
        <v>1</v>
      </c>
      <c r="C22" s="397">
        <v>29569.8</v>
      </c>
    </row>
    <row r="23" spans="1:3">
      <c r="A23">
        <v>22</v>
      </c>
      <c r="B23">
        <v>2</v>
      </c>
      <c r="C23" s="397">
        <v>30128.5</v>
      </c>
    </row>
    <row r="24" spans="1:3">
      <c r="A24">
        <v>23</v>
      </c>
      <c r="B24">
        <v>3</v>
      </c>
      <c r="C24" s="396">
        <v>31302</v>
      </c>
    </row>
    <row r="25" spans="1:3">
      <c r="A25">
        <v>24</v>
      </c>
      <c r="B25">
        <v>4</v>
      </c>
      <c r="C25" s="397">
        <v>31152.2</v>
      </c>
    </row>
    <row r="26" spans="1:3">
      <c r="A26">
        <v>25</v>
      </c>
      <c r="B26">
        <v>1</v>
      </c>
      <c r="C26" s="397">
        <v>29930.400000000001</v>
      </c>
    </row>
    <row r="27" spans="1:3">
      <c r="A27">
        <v>26</v>
      </c>
      <c r="B27">
        <v>2</v>
      </c>
      <c r="C27" s="397">
        <v>31080.5</v>
      </c>
    </row>
    <row r="28" spans="1:3">
      <c r="A28">
        <v>27</v>
      </c>
      <c r="B28">
        <v>3</v>
      </c>
      <c r="C28" s="397">
        <v>32549.200000000001</v>
      </c>
    </row>
    <row r="29" spans="1:3">
      <c r="A29">
        <v>28</v>
      </c>
      <c r="B29">
        <v>4</v>
      </c>
      <c r="C29" s="397">
        <v>29440.2</v>
      </c>
    </row>
    <row r="30" spans="1:3">
      <c r="A30">
        <v>29</v>
      </c>
      <c r="B30">
        <v>1</v>
      </c>
      <c r="C30" s="397">
        <v>28134.3</v>
      </c>
    </row>
    <row r="31" spans="1:3">
      <c r="A31">
        <v>30</v>
      </c>
      <c r="B31">
        <v>2</v>
      </c>
      <c r="C31" s="397">
        <v>31911.599999999999</v>
      </c>
    </row>
    <row r="32" spans="1:3">
      <c r="A32">
        <v>31</v>
      </c>
      <c r="B32">
        <v>3</v>
      </c>
      <c r="C32" s="397">
        <v>28129.4</v>
      </c>
    </row>
    <row r="33" spans="1:3">
      <c r="A33">
        <v>32</v>
      </c>
      <c r="B33">
        <v>4</v>
      </c>
      <c r="C33" s="397">
        <v>32750.5</v>
      </c>
    </row>
    <row r="34" spans="1:3">
      <c r="A34">
        <v>33</v>
      </c>
      <c r="B34">
        <v>1</v>
      </c>
      <c r="C34" s="397">
        <v>37531.800000000003</v>
      </c>
    </row>
    <row r="35" spans="1:3">
      <c r="A35">
        <v>34</v>
      </c>
      <c r="B35">
        <v>2</v>
      </c>
      <c r="C35" s="397">
        <v>35977.9</v>
      </c>
    </row>
    <row r="36" spans="1:3">
      <c r="A36">
        <v>35</v>
      </c>
      <c r="B36">
        <v>3</v>
      </c>
      <c r="C36" s="397">
        <v>36124.800000000003</v>
      </c>
    </row>
    <row r="37" spans="1:3">
      <c r="A37">
        <v>36</v>
      </c>
      <c r="B37">
        <v>4</v>
      </c>
      <c r="C37" s="397">
        <v>35890.400000000001</v>
      </c>
    </row>
    <row r="38" spans="1:3">
      <c r="A38">
        <v>37</v>
      </c>
      <c r="B38">
        <v>1</v>
      </c>
      <c r="C38" s="397">
        <v>29915.4</v>
      </c>
    </row>
    <row r="39" spans="1:3">
      <c r="A39">
        <v>38</v>
      </c>
      <c r="B39">
        <v>2</v>
      </c>
      <c r="C39" s="397">
        <v>29001.3</v>
      </c>
    </row>
    <row r="40" spans="1:3">
      <c r="A40">
        <v>39</v>
      </c>
      <c r="B40">
        <v>3</v>
      </c>
      <c r="C40" s="397">
        <v>28504.400000000001</v>
      </c>
    </row>
    <row r="41" spans="1:3">
      <c r="A41">
        <v>40</v>
      </c>
      <c r="B41">
        <v>4</v>
      </c>
      <c r="C41" s="397">
        <v>31735.1</v>
      </c>
    </row>
    <row r="42" spans="1:3">
      <c r="A42">
        <v>41</v>
      </c>
      <c r="B42">
        <v>1</v>
      </c>
      <c r="C42" s="397">
        <v>30061.5</v>
      </c>
    </row>
    <row r="43" spans="1:3">
      <c r="A43">
        <v>42</v>
      </c>
      <c r="B43">
        <v>2</v>
      </c>
      <c r="C43" s="397">
        <v>30531.200000000001</v>
      </c>
    </row>
    <row r="44" spans="1:3">
      <c r="A44">
        <v>43</v>
      </c>
      <c r="B44">
        <v>3</v>
      </c>
      <c r="C44" s="397">
        <v>31297.200000000001</v>
      </c>
    </row>
    <row r="45" spans="1:3">
      <c r="A45">
        <v>44</v>
      </c>
      <c r="B45">
        <v>4</v>
      </c>
      <c r="C45" s="397">
        <v>28978.2</v>
      </c>
    </row>
    <row r="46" spans="1:3">
      <c r="A46">
        <v>45</v>
      </c>
      <c r="B46">
        <v>1</v>
      </c>
      <c r="C46" s="397">
        <v>27903.9</v>
      </c>
    </row>
    <row r="47" spans="1:3">
      <c r="A47">
        <v>46</v>
      </c>
      <c r="B47">
        <v>2</v>
      </c>
      <c r="C47" s="397">
        <v>28861.1</v>
      </c>
    </row>
    <row r="48" spans="1:3">
      <c r="A48">
        <v>47</v>
      </c>
      <c r="B48">
        <v>3</v>
      </c>
      <c r="C48" s="397">
        <v>27362.3</v>
      </c>
    </row>
    <row r="49" spans="1:3">
      <c r="A49">
        <v>48</v>
      </c>
      <c r="B49">
        <v>4</v>
      </c>
      <c r="C49" s="397">
        <v>27219.599999999999</v>
      </c>
    </row>
    <row r="50" spans="1:3">
      <c r="A50">
        <v>49</v>
      </c>
      <c r="B50">
        <v>1</v>
      </c>
      <c r="C50" s="397">
        <v>23945.599999999999</v>
      </c>
    </row>
    <row r="51" spans="1:3">
      <c r="A51">
        <v>50</v>
      </c>
      <c r="B51">
        <v>2</v>
      </c>
      <c r="C51" s="397">
        <v>24871.3</v>
      </c>
    </row>
    <row r="52" spans="1:3">
      <c r="A52">
        <v>51</v>
      </c>
      <c r="B52">
        <v>3</v>
      </c>
      <c r="C52" s="397">
        <v>25135.8</v>
      </c>
    </row>
    <row r="53" spans="1:3">
      <c r="A53">
        <v>52</v>
      </c>
      <c r="B53">
        <v>4</v>
      </c>
      <c r="C53" s="397">
        <v>25755.8</v>
      </c>
    </row>
    <row r="54" spans="1:3">
      <c r="A54">
        <v>53</v>
      </c>
      <c r="B54">
        <v>1</v>
      </c>
      <c r="C54" s="397">
        <v>26175.9</v>
      </c>
    </row>
    <row r="55" spans="1:3">
      <c r="A55">
        <v>54</v>
      </c>
      <c r="B55">
        <v>2</v>
      </c>
      <c r="C55" s="397">
        <v>28491.9</v>
      </c>
    </row>
    <row r="56" spans="1:3">
      <c r="A56">
        <v>55</v>
      </c>
      <c r="B56">
        <v>3</v>
      </c>
      <c r="C56" s="396">
        <v>29512</v>
      </c>
    </row>
    <row r="57" spans="1:3">
      <c r="A57">
        <v>56</v>
      </c>
      <c r="B57">
        <v>4</v>
      </c>
      <c r="C57" s="397">
        <v>27895.8</v>
      </c>
    </row>
    <row r="58" spans="1:3">
      <c r="A58">
        <v>57</v>
      </c>
      <c r="B58">
        <v>1</v>
      </c>
      <c r="C58" s="397">
        <v>26771.200000000001</v>
      </c>
    </row>
    <row r="59" spans="1:3">
      <c r="A59">
        <v>58</v>
      </c>
      <c r="B59">
        <v>2</v>
      </c>
      <c r="C59" s="397">
        <v>27559.599999999999</v>
      </c>
    </row>
    <row r="60" spans="1:3">
      <c r="A60">
        <v>59</v>
      </c>
      <c r="B60">
        <v>3</v>
      </c>
      <c r="C60" s="397">
        <v>28067.599999999999</v>
      </c>
    </row>
    <row r="61" spans="1:3">
      <c r="A61">
        <v>60</v>
      </c>
      <c r="B61">
        <v>4</v>
      </c>
      <c r="C61" s="397">
        <v>27697.8</v>
      </c>
    </row>
    <row r="62" spans="1:3">
      <c r="A62">
        <v>61</v>
      </c>
      <c r="B62">
        <v>1</v>
      </c>
      <c r="C62" s="397">
        <v>26401.9</v>
      </c>
    </row>
    <row r="63" spans="1:3">
      <c r="A63">
        <v>62</v>
      </c>
      <c r="B63">
        <v>2</v>
      </c>
      <c r="C63" s="397">
        <v>28462.7</v>
      </c>
    </row>
    <row r="64" spans="1:3">
      <c r="A64">
        <v>63</v>
      </c>
      <c r="B64">
        <v>3</v>
      </c>
      <c r="C64" s="397">
        <v>28252.2</v>
      </c>
    </row>
    <row r="65" spans="1:3">
      <c r="A65">
        <v>64</v>
      </c>
      <c r="B65">
        <v>4</v>
      </c>
      <c r="C65" s="397">
        <v>28430.400000000001</v>
      </c>
    </row>
    <row r="66" spans="1:3">
      <c r="A66">
        <v>65</v>
      </c>
      <c r="B66">
        <v>1</v>
      </c>
      <c r="C66" s="397">
        <v>28234.6</v>
      </c>
    </row>
    <row r="67" spans="1:3">
      <c r="A67">
        <v>66</v>
      </c>
      <c r="B67">
        <v>2</v>
      </c>
      <c r="C67" s="397">
        <v>27960.799999999999</v>
      </c>
    </row>
    <row r="68" spans="1:3">
      <c r="A68">
        <v>67</v>
      </c>
      <c r="B68">
        <v>3</v>
      </c>
      <c r="C68" s="397">
        <v>28676.9</v>
      </c>
    </row>
    <row r="69" spans="1:3">
      <c r="A69">
        <v>68</v>
      </c>
      <c r="B69">
        <v>4</v>
      </c>
      <c r="C69" s="397">
        <v>28780.9</v>
      </c>
    </row>
    <row r="70" spans="1:3">
      <c r="A70">
        <v>69</v>
      </c>
      <c r="B70">
        <v>1</v>
      </c>
      <c r="C70" s="397">
        <v>24749.5</v>
      </c>
    </row>
    <row r="71" spans="1:3">
      <c r="A71">
        <v>70</v>
      </c>
      <c r="B71">
        <v>2</v>
      </c>
      <c r="C71" s="397">
        <v>27228.400000000001</v>
      </c>
    </row>
    <row r="72" spans="1:3">
      <c r="A72">
        <v>71</v>
      </c>
      <c r="B72">
        <v>3</v>
      </c>
      <c r="C72" s="397">
        <v>27615.3</v>
      </c>
    </row>
    <row r="73" spans="1:3">
      <c r="A73">
        <v>72</v>
      </c>
      <c r="B73">
        <v>4</v>
      </c>
      <c r="C73" s="397">
        <v>24988.7</v>
      </c>
    </row>
    <row r="74" spans="1:3">
      <c r="A74">
        <v>73</v>
      </c>
      <c r="B74">
        <v>1</v>
      </c>
      <c r="C74" s="397">
        <v>25172.1</v>
      </c>
    </row>
    <row r="75" spans="1:3">
      <c r="A75">
        <v>74</v>
      </c>
      <c r="B75">
        <v>2</v>
      </c>
      <c r="C75" s="397">
        <v>26022.799999999999</v>
      </c>
    </row>
    <row r="76" spans="1:3">
      <c r="A76">
        <v>75</v>
      </c>
      <c r="B76">
        <v>3</v>
      </c>
      <c r="C76" s="396">
        <v>25934</v>
      </c>
    </row>
    <row r="77" spans="1:3">
      <c r="A77">
        <v>76</v>
      </c>
      <c r="B77">
        <v>4</v>
      </c>
      <c r="C77" s="397">
        <v>26481.599999999999</v>
      </c>
    </row>
    <row r="78" spans="1:3">
      <c r="A78">
        <v>77</v>
      </c>
      <c r="B78">
        <v>1</v>
      </c>
      <c r="C78" s="397">
        <v>25597.599999999999</v>
      </c>
    </row>
    <row r="79" spans="1:3">
      <c r="A79">
        <v>78</v>
      </c>
      <c r="B79">
        <v>2</v>
      </c>
      <c r="C79" s="396">
        <v>27424</v>
      </c>
    </row>
    <row r="80" spans="1:3">
      <c r="A80">
        <v>79</v>
      </c>
      <c r="B80">
        <v>3</v>
      </c>
      <c r="C80" s="397">
        <v>26599.4</v>
      </c>
    </row>
    <row r="81" spans="1:3">
      <c r="A81">
        <v>80</v>
      </c>
      <c r="B81">
        <v>4</v>
      </c>
      <c r="C81" s="397">
        <v>25980.5</v>
      </c>
    </row>
    <row r="82" spans="1:3">
      <c r="A82">
        <v>81</v>
      </c>
      <c r="B82">
        <v>1</v>
      </c>
      <c r="C82" s="397">
        <v>24525.1</v>
      </c>
    </row>
    <row r="83" spans="1:3">
      <c r="A83">
        <v>82</v>
      </c>
      <c r="B83">
        <v>2</v>
      </c>
      <c r="C83" s="397">
        <v>23431.7</v>
      </c>
    </row>
    <row r="84" spans="1:3">
      <c r="A84">
        <v>83</v>
      </c>
      <c r="B84">
        <v>3</v>
      </c>
      <c r="C84" s="397">
        <v>23965.3</v>
      </c>
    </row>
    <row r="85" spans="1:3">
      <c r="A85">
        <v>84</v>
      </c>
      <c r="B85">
        <v>4</v>
      </c>
      <c r="C85" s="397">
        <v>23474.799999999999</v>
      </c>
    </row>
    <row r="86" spans="1:3">
      <c r="A86">
        <v>85</v>
      </c>
      <c r="B86">
        <v>1</v>
      </c>
      <c r="C86" s="397">
        <v>23384.799999999999</v>
      </c>
    </row>
    <row r="87" spans="1:3">
      <c r="A87">
        <v>86</v>
      </c>
      <c r="B87">
        <v>2</v>
      </c>
      <c r="C87" s="397">
        <v>23808.7</v>
      </c>
    </row>
    <row r="88" spans="1:3">
      <c r="A88">
        <v>87</v>
      </c>
      <c r="B88">
        <v>3</v>
      </c>
      <c r="C88" s="397">
        <v>24311.7</v>
      </c>
    </row>
    <row r="89" spans="1:3">
      <c r="A89">
        <v>88</v>
      </c>
      <c r="B89">
        <v>4</v>
      </c>
      <c r="C89" s="397">
        <v>25315.1</v>
      </c>
    </row>
    <row r="90" spans="1:3">
      <c r="A90">
        <v>89</v>
      </c>
      <c r="B90">
        <v>1</v>
      </c>
      <c r="C90" s="397">
        <v>23129.9</v>
      </c>
    </row>
    <row r="91" spans="1:3">
      <c r="A91">
        <v>90</v>
      </c>
      <c r="B91">
        <v>2</v>
      </c>
      <c r="C91" s="397">
        <v>23324.9</v>
      </c>
    </row>
    <row r="92" spans="1:3">
      <c r="A92">
        <v>91</v>
      </c>
      <c r="B92">
        <v>3</v>
      </c>
      <c r="C92" s="397">
        <v>23889.9</v>
      </c>
    </row>
    <row r="93" spans="1:3">
      <c r="A93">
        <v>92</v>
      </c>
      <c r="B93">
        <v>4</v>
      </c>
      <c r="C93" s="397">
        <v>23206.6</v>
      </c>
    </row>
    <row r="94" spans="1:3">
      <c r="A94">
        <v>93</v>
      </c>
      <c r="B94">
        <v>1</v>
      </c>
      <c r="C94" s="397">
        <v>21934.5</v>
      </c>
    </row>
    <row r="95" spans="1:3">
      <c r="A95">
        <v>94</v>
      </c>
      <c r="B95">
        <v>2</v>
      </c>
      <c r="C95" s="397">
        <v>22573.1</v>
      </c>
    </row>
    <row r="96" spans="1:3">
      <c r="A96">
        <v>95</v>
      </c>
      <c r="B96">
        <v>3</v>
      </c>
      <c r="C96" s="397">
        <v>23162.799999999999</v>
      </c>
    </row>
    <row r="97" spans="1:3">
      <c r="A97">
        <v>96</v>
      </c>
      <c r="B97">
        <v>4</v>
      </c>
      <c r="C97" s="397">
        <v>23253.4</v>
      </c>
    </row>
    <row r="98" spans="1:3">
      <c r="A98">
        <v>97</v>
      </c>
      <c r="B98">
        <v>1</v>
      </c>
      <c r="C98" s="396">
        <v>22341</v>
      </c>
    </row>
    <row r="99" spans="1:3">
      <c r="A99">
        <v>98</v>
      </c>
      <c r="B99">
        <v>2</v>
      </c>
      <c r="C99" s="397">
        <v>22628.2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9E702-4815-4B43-B96B-A671BDC7B512}">
  <sheetPr>
    <tabColor rgb="FF007800"/>
  </sheetPr>
  <dimension ref="B1:J263"/>
  <sheetViews>
    <sheetView topLeftCell="A9" zoomScaleNormal="100" workbookViewId="0">
      <selection activeCell="H30" sqref="H30"/>
    </sheetView>
  </sheetViews>
  <sheetFormatPr baseColWidth="10" defaultColWidth="8.83203125" defaultRowHeight="15"/>
  <cols>
    <col min="1" max="1" width="5" customWidth="1"/>
    <col min="3" max="4" width="9.5" bestFit="1" customWidth="1"/>
    <col min="5" max="5" width="9.33203125" bestFit="1" customWidth="1"/>
    <col min="6" max="6" width="9.6640625" bestFit="1" customWidth="1"/>
    <col min="7" max="8" width="9.5" bestFit="1" customWidth="1"/>
  </cols>
  <sheetData>
    <row r="1" spans="2:9">
      <c r="B1" t="s">
        <v>169</v>
      </c>
    </row>
    <row r="2" spans="2:9">
      <c r="B2" t="s">
        <v>160</v>
      </c>
    </row>
    <row r="3" spans="2:9">
      <c r="B3" t="s">
        <v>115</v>
      </c>
    </row>
    <row r="4" spans="2:9">
      <c r="B4" t="s">
        <v>138</v>
      </c>
    </row>
    <row r="5" spans="2:9">
      <c r="B5" t="s">
        <v>161</v>
      </c>
    </row>
    <row r="6" spans="2:9">
      <c r="B6" t="s">
        <v>162</v>
      </c>
    </row>
    <row r="7" spans="2:9">
      <c r="B7" t="s">
        <v>115</v>
      </c>
    </row>
    <row r="8" spans="2:9">
      <c r="B8" t="s">
        <v>159</v>
      </c>
    </row>
    <row r="9" spans="2:9" ht="34.25" customHeight="1"/>
    <row r="13" spans="2:9">
      <c r="B13" t="s">
        <v>116</v>
      </c>
    </row>
    <row r="14" spans="2:9" ht="16" thickBot="1"/>
    <row r="15" spans="2:9">
      <c r="B15" s="398" t="s">
        <v>117</v>
      </c>
      <c r="C15" s="399" t="s">
        <v>118</v>
      </c>
      <c r="D15" s="399" t="s">
        <v>119</v>
      </c>
      <c r="E15" s="399" t="s">
        <v>120</v>
      </c>
      <c r="F15" s="399" t="s">
        <v>121</v>
      </c>
      <c r="G15" s="399" t="s">
        <v>122</v>
      </c>
      <c r="H15" s="399" t="s">
        <v>123</v>
      </c>
      <c r="I15" s="399" t="s">
        <v>124</v>
      </c>
    </row>
    <row r="16" spans="2:9" ht="16" thickBot="1">
      <c r="B16" s="409" t="s">
        <v>105</v>
      </c>
      <c r="C16" s="410">
        <v>98</v>
      </c>
      <c r="D16" s="410">
        <v>0</v>
      </c>
      <c r="E16" s="410">
        <v>98</v>
      </c>
      <c r="F16" s="411">
        <v>21934.5</v>
      </c>
      <c r="G16" s="411">
        <v>39855.9</v>
      </c>
      <c r="H16" s="411">
        <v>28670.37142857143</v>
      </c>
      <c r="I16" s="411">
        <v>4103.0567423229331</v>
      </c>
    </row>
    <row r="19" spans="2:3">
      <c r="B19" s="412" t="s">
        <v>163</v>
      </c>
    </row>
    <row r="21" spans="2:3">
      <c r="B21" t="s">
        <v>164</v>
      </c>
    </row>
    <row r="23" spans="2:3">
      <c r="B23" t="s">
        <v>139</v>
      </c>
    </row>
    <row r="24" spans="2:3" ht="16" thickBot="1"/>
    <row r="25" spans="2:3">
      <c r="B25" s="413" t="s">
        <v>118</v>
      </c>
      <c r="C25" s="413">
        <v>93</v>
      </c>
    </row>
    <row r="26" spans="2:3">
      <c r="B26" s="407" t="s">
        <v>126</v>
      </c>
      <c r="C26" s="407">
        <v>87</v>
      </c>
    </row>
    <row r="27" spans="2:3">
      <c r="B27" s="407" t="s">
        <v>127</v>
      </c>
      <c r="C27" s="407">
        <v>294189667.71950972</v>
      </c>
    </row>
    <row r="28" spans="2:3">
      <c r="B28" s="407" t="s">
        <v>128</v>
      </c>
      <c r="C28" s="407">
        <v>3163329.7604248356</v>
      </c>
    </row>
    <row r="29" spans="2:3">
      <c r="B29" s="440" t="s">
        <v>129</v>
      </c>
      <c r="C29" s="440">
        <v>1778.5752051641887</v>
      </c>
    </row>
    <row r="30" spans="2:3">
      <c r="B30" s="407" t="s">
        <v>140</v>
      </c>
      <c r="C30" s="407">
        <v>3163329.7604248356</v>
      </c>
    </row>
    <row r="31" spans="2:3">
      <c r="B31" s="407" t="s">
        <v>141</v>
      </c>
      <c r="C31" s="407">
        <v>156.63591726542248</v>
      </c>
    </row>
    <row r="32" spans="2:3">
      <c r="B32" s="440" t="s">
        <v>130</v>
      </c>
      <c r="C32" s="440">
        <v>4.0627044776941732</v>
      </c>
    </row>
    <row r="33" spans="2:9">
      <c r="B33" s="407" t="s">
        <v>142</v>
      </c>
      <c r="C33" s="407">
        <v>1660.3076673526339</v>
      </c>
    </row>
    <row r="34" spans="2:9">
      <c r="B34" s="407" t="s">
        <v>143</v>
      </c>
      <c r="C34" s="407">
        <v>3925577.8954669647</v>
      </c>
    </row>
    <row r="35" spans="2:9">
      <c r="B35" s="407" t="s">
        <v>144</v>
      </c>
      <c r="C35" s="407">
        <v>1672.3076673526339</v>
      </c>
    </row>
    <row r="36" spans="2:9">
      <c r="B36" s="407" t="s">
        <v>145</v>
      </c>
      <c r="C36" s="407">
        <v>1673.2844115386804</v>
      </c>
    </row>
    <row r="37" spans="2:9">
      <c r="B37" s="407" t="s">
        <v>146</v>
      </c>
      <c r="C37" s="407">
        <v>1687.5032643115535</v>
      </c>
    </row>
    <row r="38" spans="2:9" ht="16" thickBot="1">
      <c r="B38" s="414" t="s">
        <v>131</v>
      </c>
      <c r="C38" s="414">
        <v>10</v>
      </c>
    </row>
    <row r="41" spans="2:9">
      <c r="B41" t="s">
        <v>147</v>
      </c>
    </row>
    <row r="42" spans="2:9" ht="16" thickBot="1"/>
    <row r="43" spans="2:9">
      <c r="B43" s="398" t="s">
        <v>132</v>
      </c>
      <c r="C43" s="399" t="s">
        <v>125</v>
      </c>
      <c r="D43" s="399" t="s">
        <v>148</v>
      </c>
      <c r="E43" s="399" t="s">
        <v>135</v>
      </c>
      <c r="F43" s="399" t="s">
        <v>136</v>
      </c>
    </row>
    <row r="44" spans="2:9" ht="16" thickBot="1">
      <c r="B44" s="409" t="s">
        <v>149</v>
      </c>
      <c r="C44" s="411">
        <v>8.2560852492011172</v>
      </c>
      <c r="D44" s="411">
        <v>45.341331125720998</v>
      </c>
      <c r="E44" s="411">
        <v>-80.611290768316962</v>
      </c>
      <c r="F44" s="411">
        <v>97.123461266719204</v>
      </c>
    </row>
    <row r="46" spans="2:9" ht="16" thickBot="1"/>
    <row r="47" spans="2:9">
      <c r="B47" s="398" t="s">
        <v>132</v>
      </c>
      <c r="C47" s="399" t="s">
        <v>125</v>
      </c>
      <c r="D47" s="399" t="s">
        <v>148</v>
      </c>
      <c r="E47" s="399" t="s">
        <v>135</v>
      </c>
      <c r="F47" s="399" t="s">
        <v>136</v>
      </c>
      <c r="G47" s="399" t="s">
        <v>150</v>
      </c>
      <c r="H47" s="399" t="s">
        <v>135</v>
      </c>
      <c r="I47" s="399" t="s">
        <v>136</v>
      </c>
    </row>
    <row r="48" spans="2:9">
      <c r="B48" s="408" t="s">
        <v>151</v>
      </c>
      <c r="C48" s="405">
        <v>-0.20044717366411499</v>
      </c>
      <c r="D48" s="405">
        <v>9.6901143323830874E-2</v>
      </c>
      <c r="E48" s="405">
        <v>-0.39036992463957737</v>
      </c>
      <c r="F48" s="405">
        <v>-1.0524422688652613E-2</v>
      </c>
      <c r="G48" s="405">
        <v>0.10111454082311711</v>
      </c>
      <c r="H48" s="405">
        <v>-0.39862803199072949</v>
      </c>
      <c r="I48" s="405">
        <v>-2.2663153375004907E-3</v>
      </c>
    </row>
    <row r="49" spans="2:9">
      <c r="B49" s="407" t="s">
        <v>152</v>
      </c>
      <c r="C49" s="402">
        <v>-0.50826138155249456</v>
      </c>
      <c r="D49" s="402">
        <v>0.10810937314643512</v>
      </c>
      <c r="E49" s="402">
        <v>-0.72015185931070902</v>
      </c>
      <c r="F49" s="402">
        <v>-0.29637090379428011</v>
      </c>
      <c r="G49" s="402">
        <v>0.10282984835707662</v>
      </c>
      <c r="H49" s="402">
        <v>-0.70980418086807995</v>
      </c>
      <c r="I49" s="402">
        <v>-0.30671858223690918</v>
      </c>
    </row>
    <row r="50" spans="2:9">
      <c r="B50" s="407" t="s">
        <v>165</v>
      </c>
      <c r="C50" s="402">
        <v>-1.0478009584269257</v>
      </c>
      <c r="D50" s="402">
        <v>0.10700836629983936</v>
      </c>
      <c r="E50" s="402">
        <v>-1.2575335024190804</v>
      </c>
      <c r="F50" s="402">
        <v>-0.83806841443477098</v>
      </c>
      <c r="G50" s="402">
        <v>0.10632842319353365</v>
      </c>
      <c r="H50" s="402">
        <v>-1.256200838419185</v>
      </c>
      <c r="I50" s="402">
        <v>-0.83940107843466638</v>
      </c>
    </row>
    <row r="51" spans="2:9" ht="16" thickBot="1">
      <c r="B51" s="414" t="s">
        <v>166</v>
      </c>
      <c r="C51" s="403">
        <v>-0.43620675885301829</v>
      </c>
      <c r="D51" s="403">
        <v>0.1021583517718456</v>
      </c>
      <c r="E51" s="403">
        <v>-0.63643344904580923</v>
      </c>
      <c r="F51" s="403">
        <v>-0.23598006866022736</v>
      </c>
      <c r="G51" s="403">
        <v>0.10632842319353365</v>
      </c>
      <c r="H51" s="403">
        <v>-0.64460663884527758</v>
      </c>
      <c r="I51" s="403">
        <v>-0.22780687886075904</v>
      </c>
    </row>
    <row r="54" spans="2:9">
      <c r="B54" t="s">
        <v>153</v>
      </c>
    </row>
    <row r="55" spans="2:9" ht="16" thickBot="1"/>
    <row r="56" spans="2:9">
      <c r="B56" s="406" t="s">
        <v>118</v>
      </c>
      <c r="C56" s="399" t="s">
        <v>105</v>
      </c>
      <c r="D56" s="399" t="s">
        <v>167</v>
      </c>
      <c r="E56" s="399" t="s">
        <v>134</v>
      </c>
      <c r="F56" s="399" t="s">
        <v>154</v>
      </c>
    </row>
    <row r="57" spans="2:9">
      <c r="B57" s="400">
        <v>1</v>
      </c>
      <c r="C57" s="405">
        <v>29226.3</v>
      </c>
      <c r="D57" s="405">
        <v>29226.3</v>
      </c>
      <c r="E57" s="405">
        <v>0</v>
      </c>
      <c r="F57" s="405">
        <v>0</v>
      </c>
    </row>
    <row r="58" spans="2:9">
      <c r="B58" s="401">
        <v>2</v>
      </c>
      <c r="C58" s="402">
        <v>38153.9</v>
      </c>
      <c r="D58" s="402">
        <v>38153.9</v>
      </c>
      <c r="E58" s="402">
        <v>0</v>
      </c>
      <c r="F58" s="402">
        <v>0</v>
      </c>
    </row>
    <row r="59" spans="2:9">
      <c r="B59" s="401">
        <v>3</v>
      </c>
      <c r="C59" s="402">
        <v>39414.699999999997</v>
      </c>
      <c r="D59" s="402">
        <v>39414.699999999997</v>
      </c>
      <c r="E59" s="402">
        <v>0</v>
      </c>
      <c r="F59" s="402">
        <v>0</v>
      </c>
    </row>
    <row r="60" spans="2:9">
      <c r="B60" s="401">
        <v>4</v>
      </c>
      <c r="C60" s="402">
        <v>37600.300000000003</v>
      </c>
      <c r="D60" s="402">
        <v>37600.300000000003</v>
      </c>
      <c r="E60" s="402">
        <v>0</v>
      </c>
      <c r="F60" s="402">
        <v>0</v>
      </c>
    </row>
    <row r="61" spans="2:9">
      <c r="B61" s="401">
        <v>5</v>
      </c>
      <c r="C61" s="402">
        <v>34100.6</v>
      </c>
      <c r="D61" s="402">
        <v>34100.6</v>
      </c>
      <c r="E61" s="402">
        <v>0</v>
      </c>
      <c r="F61" s="402">
        <v>0</v>
      </c>
    </row>
    <row r="62" spans="2:9">
      <c r="B62" s="401">
        <v>6</v>
      </c>
      <c r="C62" s="402">
        <v>39855.9</v>
      </c>
      <c r="D62" s="402">
        <v>41841.044804696809</v>
      </c>
      <c r="E62" s="402">
        <v>-1985.1448046968071</v>
      </c>
      <c r="F62" s="402">
        <v>-1.1161433033210137</v>
      </c>
    </row>
    <row r="63" spans="2:9">
      <c r="B63" s="401">
        <v>7</v>
      </c>
      <c r="C63" s="402">
        <v>36850</v>
      </c>
      <c r="D63" s="402">
        <v>40010.653782819216</v>
      </c>
      <c r="E63" s="402">
        <v>-3160.6537828192158</v>
      </c>
      <c r="F63" s="402">
        <v>-1.7770706426369196</v>
      </c>
    </row>
    <row r="64" spans="2:9">
      <c r="B64" s="401">
        <v>8</v>
      </c>
      <c r="C64" s="402">
        <v>31891</v>
      </c>
      <c r="D64" s="402">
        <v>35046.3803214648</v>
      </c>
      <c r="E64" s="402">
        <v>-3155.3803214647996</v>
      </c>
      <c r="F64" s="402">
        <v>-1.7741056505808601</v>
      </c>
    </row>
    <row r="65" spans="2:6">
      <c r="B65" s="401">
        <v>9</v>
      </c>
      <c r="C65" s="402">
        <v>29775.4</v>
      </c>
      <c r="D65" s="402">
        <v>29359.455966655463</v>
      </c>
      <c r="E65" s="402">
        <v>415.94403334453818</v>
      </c>
      <c r="F65" s="402">
        <v>0.23386361855086157</v>
      </c>
    </row>
    <row r="66" spans="2:6">
      <c r="B66" s="401">
        <v>10</v>
      </c>
      <c r="C66" s="402">
        <v>31878.400000000001</v>
      </c>
      <c r="D66" s="402">
        <v>37422.065355281251</v>
      </c>
      <c r="E66" s="402">
        <v>-5543.6653552812495</v>
      </c>
      <c r="F66" s="402">
        <v>-3.1169136616685758</v>
      </c>
    </row>
    <row r="67" spans="2:6">
      <c r="B67" s="401">
        <v>11</v>
      </c>
      <c r="C67" s="402">
        <v>32743.3</v>
      </c>
      <c r="D67" s="402">
        <v>32620.658887310088</v>
      </c>
      <c r="E67" s="402">
        <v>122.6411126899111</v>
      </c>
      <c r="F67" s="402">
        <v>6.895469605885432E-2</v>
      </c>
    </row>
    <row r="68" spans="2:6">
      <c r="B68" s="401">
        <v>12</v>
      </c>
      <c r="C68" s="402">
        <v>32667</v>
      </c>
      <c r="D68" s="402">
        <v>32149.58034227552</v>
      </c>
      <c r="E68" s="402">
        <v>517.4196577244802</v>
      </c>
      <c r="F68" s="402">
        <v>0.29091806532674269</v>
      </c>
    </row>
    <row r="69" spans="2:6">
      <c r="B69" s="401">
        <v>13</v>
      </c>
      <c r="C69" s="402">
        <v>29213.599999999999</v>
      </c>
      <c r="D69" s="402">
        <v>28023.658433841676</v>
      </c>
      <c r="E69" s="402">
        <v>1189.9415661583225</v>
      </c>
      <c r="F69" s="402">
        <v>0.66904203021793129</v>
      </c>
    </row>
    <row r="70" spans="2:6">
      <c r="B70" s="401">
        <v>14</v>
      </c>
      <c r="C70" s="402">
        <v>32091</v>
      </c>
      <c r="D70" s="402">
        <v>34783.322572972713</v>
      </c>
      <c r="E70" s="402">
        <v>-2692.3225729727128</v>
      </c>
      <c r="F70" s="402">
        <v>-1.5137524492388119</v>
      </c>
    </row>
    <row r="71" spans="2:6">
      <c r="B71" s="401">
        <v>15</v>
      </c>
      <c r="C71" s="402">
        <v>32247.5</v>
      </c>
      <c r="D71" s="402">
        <v>31437.974727553956</v>
      </c>
      <c r="E71" s="402">
        <v>809.52527244604426</v>
      </c>
      <c r="F71" s="402">
        <v>0.45515380518942583</v>
      </c>
    </row>
    <row r="72" spans="2:6">
      <c r="B72" s="401">
        <v>16</v>
      </c>
      <c r="C72" s="402">
        <v>31778.799999999999</v>
      </c>
      <c r="D72" s="402">
        <v>30418.703728150253</v>
      </c>
      <c r="E72" s="402">
        <v>1360.0962718497467</v>
      </c>
      <c r="F72" s="402">
        <v>0.76471113951247838</v>
      </c>
    </row>
    <row r="73" spans="2:6">
      <c r="B73" s="401">
        <v>17</v>
      </c>
      <c r="C73" s="402">
        <v>29355.8</v>
      </c>
      <c r="D73" s="402">
        <v>27731.126644151213</v>
      </c>
      <c r="E73" s="402">
        <v>1624.6733558487867</v>
      </c>
      <c r="F73" s="402">
        <v>0.91346902348096404</v>
      </c>
    </row>
    <row r="74" spans="2:6">
      <c r="B74" s="401">
        <v>18</v>
      </c>
      <c r="C74" s="402">
        <v>30408.799999999999</v>
      </c>
      <c r="D74" s="402">
        <v>31299.705178519795</v>
      </c>
      <c r="E74" s="402">
        <v>-890.9051785197953</v>
      </c>
      <c r="F74" s="402">
        <v>-0.50090947851572665</v>
      </c>
    </row>
    <row r="75" spans="2:6">
      <c r="B75" s="401">
        <v>19</v>
      </c>
      <c r="C75" s="402">
        <v>32011</v>
      </c>
      <c r="D75" s="402">
        <v>30058.406334553511</v>
      </c>
      <c r="E75" s="402">
        <v>1952.5936654464895</v>
      </c>
      <c r="F75" s="402">
        <v>1.0978414968211796</v>
      </c>
    </row>
    <row r="76" spans="2:6">
      <c r="B76" s="401">
        <v>20</v>
      </c>
      <c r="C76" s="402">
        <v>32922.300000000003</v>
      </c>
      <c r="D76" s="402">
        <v>30703.782639718454</v>
      </c>
      <c r="E76" s="402">
        <v>2218.5173602815485</v>
      </c>
      <c r="F76" s="402">
        <v>1.2473565097725214</v>
      </c>
    </row>
    <row r="77" spans="2:6">
      <c r="B77" s="401">
        <v>21</v>
      </c>
      <c r="C77" s="402">
        <v>29569.8</v>
      </c>
      <c r="D77" s="402">
        <v>28201.404288389611</v>
      </c>
      <c r="E77" s="402">
        <v>1368.3957116103884</v>
      </c>
      <c r="F77" s="402">
        <v>0.76937748127668593</v>
      </c>
    </row>
    <row r="78" spans="2:6">
      <c r="B78" s="401">
        <v>22</v>
      </c>
      <c r="C78" s="402">
        <v>30128.5</v>
      </c>
      <c r="D78" s="402">
        <v>30743.572076258748</v>
      </c>
      <c r="E78" s="402">
        <v>-615.07207625874798</v>
      </c>
      <c r="F78" s="402">
        <v>-0.34582292301885981</v>
      </c>
    </row>
    <row r="79" spans="2:6">
      <c r="B79" s="401">
        <v>23</v>
      </c>
      <c r="C79" s="402">
        <v>31302</v>
      </c>
      <c r="D79" s="402">
        <v>31194.774396315588</v>
      </c>
      <c r="E79" s="402">
        <v>107.22560368441191</v>
      </c>
      <c r="F79" s="402">
        <v>6.0287360002026683E-2</v>
      </c>
    </row>
    <row r="80" spans="2:6">
      <c r="B80" s="401">
        <v>24</v>
      </c>
      <c r="C80" s="402">
        <v>31152.2</v>
      </c>
      <c r="D80" s="402">
        <v>31868.918037806219</v>
      </c>
      <c r="E80" s="402">
        <v>-716.71803780621849</v>
      </c>
      <c r="F80" s="402">
        <v>-0.40297314149280228</v>
      </c>
    </row>
    <row r="81" spans="2:6">
      <c r="B81" s="401">
        <v>25</v>
      </c>
      <c r="C81" s="402">
        <v>29930.400000000001</v>
      </c>
      <c r="D81" s="402">
        <v>27921.402546690384</v>
      </c>
      <c r="E81" s="402">
        <v>2008.9974533096174</v>
      </c>
      <c r="F81" s="402">
        <v>1.1295544025781903</v>
      </c>
    </row>
    <row r="82" spans="2:6">
      <c r="B82" s="401">
        <v>26</v>
      </c>
      <c r="C82" s="402">
        <v>31080.5</v>
      </c>
      <c r="D82" s="402">
        <v>31407.30623477554</v>
      </c>
      <c r="E82" s="402">
        <v>-326.80623477554036</v>
      </c>
      <c r="F82" s="402">
        <v>-0.18374608722006294</v>
      </c>
    </row>
    <row r="83" spans="2:6">
      <c r="B83" s="401">
        <v>27</v>
      </c>
      <c r="C83" s="402">
        <v>32549.200000000001</v>
      </c>
      <c r="D83" s="402">
        <v>31436.014440350147</v>
      </c>
      <c r="E83" s="402">
        <v>1113.1855596498535</v>
      </c>
      <c r="F83" s="402">
        <v>0.62588613425941142</v>
      </c>
    </row>
    <row r="84" spans="2:6">
      <c r="B84" s="401">
        <v>28</v>
      </c>
      <c r="C84" s="402">
        <v>29440.2</v>
      </c>
      <c r="D84" s="402">
        <v>33215.898634798046</v>
      </c>
      <c r="E84" s="402">
        <v>-3775.6986347980455</v>
      </c>
      <c r="F84" s="402">
        <v>-2.122878258864231</v>
      </c>
    </row>
    <row r="85" spans="2:6">
      <c r="B85" s="401">
        <v>29</v>
      </c>
      <c r="C85" s="402">
        <v>28134.3</v>
      </c>
      <c r="D85" s="402">
        <v>26879.456148817408</v>
      </c>
      <c r="E85" s="402">
        <v>1254.8438511825916</v>
      </c>
      <c r="F85" s="402">
        <v>0.70553319732507513</v>
      </c>
    </row>
    <row r="86" spans="2:6">
      <c r="B86" s="401">
        <v>30</v>
      </c>
      <c r="C86" s="402">
        <v>31911.599999999999</v>
      </c>
      <c r="D86" s="402">
        <v>30329.198862605226</v>
      </c>
      <c r="E86" s="402">
        <v>1582.4011373947724</v>
      </c>
      <c r="F86" s="402">
        <v>0.88970156156466462</v>
      </c>
    </row>
    <row r="87" spans="2:6">
      <c r="B87" s="401">
        <v>31</v>
      </c>
      <c r="C87" s="402">
        <v>28129.4</v>
      </c>
      <c r="D87" s="402">
        <v>31799.530293583506</v>
      </c>
      <c r="E87" s="402">
        <v>-3670.1302935835047</v>
      </c>
      <c r="F87" s="402">
        <v>-2.0635226910434175</v>
      </c>
    </row>
    <row r="88" spans="2:6">
      <c r="B88" s="401">
        <v>32</v>
      </c>
      <c r="C88" s="402">
        <v>32750.5</v>
      </c>
      <c r="D88" s="402">
        <v>28106.297083135189</v>
      </c>
      <c r="E88" s="402">
        <v>4644.2029168648114</v>
      </c>
      <c r="F88" s="402">
        <v>2.611192882583834</v>
      </c>
    </row>
    <row r="89" spans="2:6">
      <c r="B89" s="401">
        <v>33</v>
      </c>
      <c r="C89" s="402">
        <v>37531.800000000003</v>
      </c>
      <c r="D89" s="402">
        <v>32409.820694555397</v>
      </c>
      <c r="E89" s="402">
        <v>5121.9793054446054</v>
      </c>
      <c r="F89" s="402">
        <v>2.8798216069653186</v>
      </c>
    </row>
    <row r="90" spans="2:6">
      <c r="B90" s="401">
        <v>34</v>
      </c>
      <c r="C90" s="402">
        <v>35977.9</v>
      </c>
      <c r="D90" s="402">
        <v>34826.871782538772</v>
      </c>
      <c r="E90" s="402">
        <v>1151.0282174612294</v>
      </c>
      <c r="F90" s="402">
        <v>0.64716308544005174</v>
      </c>
    </row>
    <row r="91" spans="2:6">
      <c r="B91" s="401">
        <v>35</v>
      </c>
      <c r="C91" s="402">
        <v>36124.800000000003</v>
      </c>
      <c r="D91" s="402">
        <v>34547.507020552788</v>
      </c>
      <c r="E91" s="402">
        <v>1577.2929794472147</v>
      </c>
      <c r="F91" s="402">
        <v>0.88682951098579343</v>
      </c>
    </row>
    <row r="92" spans="2:6">
      <c r="B92" s="401">
        <v>36</v>
      </c>
      <c r="C92" s="402">
        <v>35890.400000000001</v>
      </c>
      <c r="D92" s="402">
        <v>35441.003450362841</v>
      </c>
      <c r="E92" s="402">
        <v>449.39654963716021</v>
      </c>
      <c r="F92" s="402">
        <v>0.2526722223116083</v>
      </c>
    </row>
    <row r="93" spans="2:6">
      <c r="B93" s="401">
        <v>37</v>
      </c>
      <c r="C93" s="402">
        <v>29915.4</v>
      </c>
      <c r="D93" s="402">
        <v>34707.667999621473</v>
      </c>
      <c r="E93" s="402">
        <v>-4792.267999621472</v>
      </c>
      <c r="F93" s="402">
        <v>-2.6944421499337583</v>
      </c>
    </row>
    <row r="94" spans="2:6">
      <c r="B94" s="401">
        <v>38</v>
      </c>
      <c r="C94" s="402">
        <v>29001.3</v>
      </c>
      <c r="D94" s="402">
        <v>32728.734569156404</v>
      </c>
      <c r="E94" s="402">
        <v>-3727.4345691564049</v>
      </c>
      <c r="F94" s="402">
        <v>-2.0957418940360792</v>
      </c>
    </row>
    <row r="95" spans="2:6">
      <c r="B95" s="401">
        <v>39</v>
      </c>
      <c r="C95" s="402">
        <v>28504.400000000001</v>
      </c>
      <c r="D95" s="402">
        <v>30362.429940408107</v>
      </c>
      <c r="E95" s="402">
        <v>-1858.0299404081052</v>
      </c>
      <c r="F95" s="402">
        <v>-1.0446732502585303</v>
      </c>
    </row>
    <row r="96" spans="2:6">
      <c r="B96" s="401">
        <v>40</v>
      </c>
      <c r="C96" s="402">
        <v>31735.1</v>
      </c>
      <c r="D96" s="402">
        <v>31715.174229653108</v>
      </c>
      <c r="E96" s="402">
        <v>19.925770346890204</v>
      </c>
      <c r="F96" s="402">
        <v>1.1203220582989495E-2</v>
      </c>
    </row>
    <row r="97" spans="2:6">
      <c r="B97" s="401">
        <v>41</v>
      </c>
      <c r="C97" s="402">
        <v>30061.5</v>
      </c>
      <c r="D97" s="402">
        <v>33458.570458619273</v>
      </c>
      <c r="E97" s="402">
        <v>-3397.0704586192733</v>
      </c>
      <c r="F97" s="402">
        <v>-1.9099953989888629</v>
      </c>
    </row>
    <row r="98" spans="2:6">
      <c r="B98" s="401">
        <v>42</v>
      </c>
      <c r="C98" s="402">
        <v>30531.200000000001</v>
      </c>
      <c r="D98" s="402">
        <v>30813.085846859383</v>
      </c>
      <c r="E98" s="402">
        <v>-281.88584685938258</v>
      </c>
      <c r="F98" s="402">
        <v>-0.15848969784404499</v>
      </c>
    </row>
    <row r="99" spans="2:6">
      <c r="B99" s="401">
        <v>43</v>
      </c>
      <c r="C99" s="402">
        <v>31297.200000000001</v>
      </c>
      <c r="D99" s="402">
        <v>31276.932240827602</v>
      </c>
      <c r="E99" s="402">
        <v>20.267759172398655</v>
      </c>
      <c r="F99" s="402">
        <v>1.1395503048479552E-2</v>
      </c>
    </row>
    <row r="100" spans="2:6">
      <c r="B100" s="401">
        <v>44</v>
      </c>
      <c r="C100" s="402">
        <v>28978.2</v>
      </c>
      <c r="D100" s="402">
        <v>32726.637387568604</v>
      </c>
      <c r="E100" s="402">
        <v>-3748.4373875686033</v>
      </c>
      <c r="F100" s="402">
        <v>-2.1075506825265604</v>
      </c>
    </row>
    <row r="101" spans="2:6">
      <c r="B101" s="401">
        <v>45</v>
      </c>
      <c r="C101" s="402">
        <v>27903.9</v>
      </c>
      <c r="D101" s="402">
        <v>27163.668383274773</v>
      </c>
      <c r="E101" s="402">
        <v>740.23161672522838</v>
      </c>
      <c r="F101" s="402">
        <v>0.41619359955987584</v>
      </c>
    </row>
    <row r="102" spans="2:6">
      <c r="B102" s="401">
        <v>46</v>
      </c>
      <c r="C102" s="402">
        <v>28861.1</v>
      </c>
      <c r="D102" s="402">
        <v>28648.391444074648</v>
      </c>
      <c r="E102" s="402">
        <v>212.70855592535008</v>
      </c>
      <c r="F102" s="402">
        <v>0.11959491806010752</v>
      </c>
    </row>
    <row r="103" spans="2:6">
      <c r="B103" s="401">
        <v>47</v>
      </c>
      <c r="C103" s="402">
        <v>27362.3</v>
      </c>
      <c r="D103" s="402">
        <v>27964.813833466502</v>
      </c>
      <c r="E103" s="402">
        <v>-602.51383346650255</v>
      </c>
      <c r="F103" s="402">
        <v>-0.33876207861049185</v>
      </c>
    </row>
    <row r="104" spans="2:6">
      <c r="B104" s="401">
        <v>48</v>
      </c>
      <c r="C104" s="402">
        <v>27219.599999999999</v>
      </c>
      <c r="D104" s="402">
        <v>28500.264822633828</v>
      </c>
      <c r="E104" s="402">
        <v>-1280.6648226338293</v>
      </c>
      <c r="F104" s="402">
        <v>-0.72005098177201066</v>
      </c>
    </row>
    <row r="105" spans="2:6">
      <c r="B105" s="401">
        <v>49</v>
      </c>
      <c r="C105" s="402">
        <v>23945.599999999999</v>
      </c>
      <c r="D105" s="402">
        <v>24723.76248189561</v>
      </c>
      <c r="E105" s="402">
        <v>-778.16248189561156</v>
      </c>
      <c r="F105" s="402">
        <v>-0.43752014513424847</v>
      </c>
    </row>
    <row r="106" spans="2:6">
      <c r="B106" s="401">
        <v>50</v>
      </c>
      <c r="C106" s="402">
        <v>24871.3</v>
      </c>
      <c r="D106" s="402">
        <v>24843.534985670358</v>
      </c>
      <c r="E106" s="402">
        <v>27.765014329641417</v>
      </c>
      <c r="F106" s="402">
        <v>1.5610818282535485E-2</v>
      </c>
    </row>
    <row r="107" spans="2:6">
      <c r="B107" s="401">
        <v>51</v>
      </c>
      <c r="C107" s="402">
        <v>25135.8</v>
      </c>
      <c r="D107" s="402">
        <v>24857.857753321583</v>
      </c>
      <c r="E107" s="402">
        <v>277.94224667841627</v>
      </c>
      <c r="F107" s="402">
        <v>0.15627241730987593</v>
      </c>
    </row>
    <row r="108" spans="2:6">
      <c r="B108" s="401">
        <v>52</v>
      </c>
      <c r="C108" s="402">
        <v>25755.8</v>
      </c>
      <c r="D108" s="402">
        <v>24630.021667467299</v>
      </c>
      <c r="E108" s="402">
        <v>1125.7783325327</v>
      </c>
      <c r="F108" s="402">
        <v>0.63296639313532654</v>
      </c>
    </row>
    <row r="109" spans="2:6">
      <c r="B109" s="401">
        <v>53</v>
      </c>
      <c r="C109" s="402">
        <v>26175.9</v>
      </c>
      <c r="D109" s="402">
        <v>24465.474235874648</v>
      </c>
      <c r="E109" s="402">
        <v>1710.4257641253535</v>
      </c>
      <c r="F109" s="402">
        <v>0.96168312656054145</v>
      </c>
    </row>
    <row r="110" spans="2:6">
      <c r="B110" s="401">
        <v>54</v>
      </c>
      <c r="C110" s="402">
        <v>28491.9</v>
      </c>
      <c r="D110" s="402">
        <v>26309.878488320781</v>
      </c>
      <c r="E110" s="402">
        <v>2182.0215116792206</v>
      </c>
      <c r="F110" s="402">
        <v>1.2268367991095366</v>
      </c>
    </row>
    <row r="111" spans="2:6">
      <c r="B111" s="401">
        <v>55</v>
      </c>
      <c r="C111" s="402">
        <v>29512</v>
      </c>
      <c r="D111" s="402">
        <v>26778.112794500677</v>
      </c>
      <c r="E111" s="402">
        <v>2733.8872054993226</v>
      </c>
      <c r="F111" s="402">
        <v>1.5371220725226205</v>
      </c>
    </row>
    <row r="112" spans="2:6">
      <c r="B112" s="401">
        <v>56</v>
      </c>
      <c r="C112" s="402">
        <v>27895.8</v>
      </c>
      <c r="D112" s="402">
        <v>27296.849916776115</v>
      </c>
      <c r="E112" s="402">
        <v>598.95008322388458</v>
      </c>
      <c r="F112" s="402">
        <v>0.3367583678692927</v>
      </c>
    </row>
    <row r="113" spans="2:6">
      <c r="B113" s="401">
        <v>57</v>
      </c>
      <c r="C113" s="402">
        <v>26771.200000000001</v>
      </c>
      <c r="D113" s="402">
        <v>24716.570661555754</v>
      </c>
      <c r="E113" s="402">
        <v>2054.629338444247</v>
      </c>
      <c r="F113" s="402">
        <v>1.1552108297015051</v>
      </c>
    </row>
    <row r="114" spans="2:6">
      <c r="B114" s="401">
        <v>58</v>
      </c>
      <c r="C114" s="402">
        <v>27559.599999999999</v>
      </c>
      <c r="D114" s="402">
        <v>27653.214801501432</v>
      </c>
      <c r="E114" s="402">
        <v>-93.614801501433249</v>
      </c>
      <c r="F114" s="402">
        <v>-5.2634716389623359E-2</v>
      </c>
    </row>
    <row r="115" spans="2:6">
      <c r="B115" s="401">
        <v>59</v>
      </c>
      <c r="C115" s="402">
        <v>28067.599999999999</v>
      </c>
      <c r="D115" s="402">
        <v>26376.29752751593</v>
      </c>
      <c r="E115" s="402">
        <v>1691.3024724840689</v>
      </c>
      <c r="F115" s="402">
        <v>0.95093109786602292</v>
      </c>
    </row>
    <row r="116" spans="2:6">
      <c r="B116" s="401">
        <v>60</v>
      </c>
      <c r="C116" s="402">
        <v>27697.8</v>
      </c>
      <c r="D116" s="402">
        <v>28329.604957287334</v>
      </c>
      <c r="E116" s="402">
        <v>-631.80495728733513</v>
      </c>
      <c r="F116" s="402">
        <v>-0.35523094860023657</v>
      </c>
    </row>
    <row r="117" spans="2:6">
      <c r="B117" s="401">
        <v>61</v>
      </c>
      <c r="C117" s="402">
        <v>26401.9</v>
      </c>
      <c r="D117" s="402">
        <v>26235.475138079299</v>
      </c>
      <c r="E117" s="402">
        <v>166.42486192070282</v>
      </c>
      <c r="F117" s="402">
        <v>9.3572012832226215E-2</v>
      </c>
    </row>
    <row r="118" spans="2:6">
      <c r="B118" s="401">
        <v>62</v>
      </c>
      <c r="C118" s="402">
        <v>28462.7</v>
      </c>
      <c r="D118" s="402">
        <v>28643.584616062362</v>
      </c>
      <c r="E118" s="402">
        <v>-180.8846160623616</v>
      </c>
      <c r="F118" s="402">
        <v>-0.10170197781749875</v>
      </c>
    </row>
    <row r="119" spans="2:6">
      <c r="B119" s="401">
        <v>63</v>
      </c>
      <c r="C119" s="402">
        <v>28252.2</v>
      </c>
      <c r="D119" s="402">
        <v>29247.649215514921</v>
      </c>
      <c r="E119" s="402">
        <v>-995.44921551492007</v>
      </c>
      <c r="F119" s="402">
        <v>-0.55968913354047656</v>
      </c>
    </row>
    <row r="120" spans="2:6">
      <c r="B120" s="401">
        <v>64</v>
      </c>
      <c r="C120" s="402">
        <v>28430.400000000001</v>
      </c>
      <c r="D120" s="402">
        <v>27631.001618170645</v>
      </c>
      <c r="E120" s="402">
        <v>799.39838182935637</v>
      </c>
      <c r="F120" s="402">
        <v>0.44945998319793296</v>
      </c>
    </row>
    <row r="121" spans="2:6">
      <c r="B121" s="401">
        <v>65</v>
      </c>
      <c r="C121" s="402">
        <v>28234.6</v>
      </c>
      <c r="D121" s="402">
        <v>28317.126091071783</v>
      </c>
      <c r="E121" s="402">
        <v>-82.526091071784322</v>
      </c>
      <c r="F121" s="402">
        <v>-4.6400113322262328E-2</v>
      </c>
    </row>
    <row r="122" spans="2:6">
      <c r="B122" s="401">
        <v>66</v>
      </c>
      <c r="C122" s="402">
        <v>27960.799999999999</v>
      </c>
      <c r="D122" s="402">
        <v>29167.574338934581</v>
      </c>
      <c r="E122" s="402">
        <v>-1206.7743389345815</v>
      </c>
      <c r="F122" s="402">
        <v>-0.67850621971488601</v>
      </c>
    </row>
    <row r="123" spans="2:6">
      <c r="B123" s="401">
        <v>67</v>
      </c>
      <c r="C123" s="402">
        <v>28676.9</v>
      </c>
      <c r="D123" s="402">
        <v>28970.419744024872</v>
      </c>
      <c r="E123" s="402">
        <v>-293.51974402487031</v>
      </c>
      <c r="F123" s="402">
        <v>-0.16503083095537369</v>
      </c>
    </row>
    <row r="124" spans="2:6">
      <c r="B124" s="401">
        <v>68</v>
      </c>
      <c r="C124" s="402">
        <v>28780.9</v>
      </c>
      <c r="D124" s="402">
        <v>28629.848443791798</v>
      </c>
      <c r="E124" s="402">
        <v>151.05155620820369</v>
      </c>
      <c r="F124" s="402">
        <v>8.4928405484129874E-2</v>
      </c>
    </row>
    <row r="125" spans="2:6">
      <c r="B125" s="401">
        <v>69</v>
      </c>
      <c r="C125" s="402">
        <v>24749.5</v>
      </c>
      <c r="D125" s="402">
        <v>27358.198789811115</v>
      </c>
      <c r="E125" s="402">
        <v>-2608.6987898111147</v>
      </c>
      <c r="F125" s="402">
        <v>-1.4667351609516526</v>
      </c>
    </row>
    <row r="126" spans="2:6">
      <c r="B126" s="401">
        <v>70</v>
      </c>
      <c r="C126" s="402">
        <v>27228.400000000001</v>
      </c>
      <c r="D126" s="402">
        <v>26424.205779896009</v>
      </c>
      <c r="E126" s="402">
        <v>804.19422010399285</v>
      </c>
      <c r="F126" s="402">
        <v>0.45215643272714684</v>
      </c>
    </row>
    <row r="127" spans="2:6">
      <c r="B127" s="401">
        <v>71</v>
      </c>
      <c r="C127" s="402">
        <v>27615.3</v>
      </c>
      <c r="D127" s="402">
        <v>28550.972840420764</v>
      </c>
      <c r="E127" s="402">
        <v>-935.67284042076426</v>
      </c>
      <c r="F127" s="402">
        <v>-0.52607999802537886</v>
      </c>
    </row>
    <row r="128" spans="2:6">
      <c r="B128" s="401">
        <v>72</v>
      </c>
      <c r="C128" s="402">
        <v>24988.7</v>
      </c>
      <c r="D128" s="402">
        <v>27089.361532383999</v>
      </c>
      <c r="E128" s="402">
        <v>-2100.6615323839978</v>
      </c>
      <c r="F128" s="402">
        <v>-1.1810923295706666</v>
      </c>
    </row>
    <row r="129" spans="2:6">
      <c r="B129" s="401">
        <v>73</v>
      </c>
      <c r="C129" s="402">
        <v>25172.1</v>
      </c>
      <c r="D129" s="402">
        <v>24879.575899485986</v>
      </c>
      <c r="E129" s="402">
        <v>292.52410051401239</v>
      </c>
      <c r="F129" s="402">
        <v>0.16447103257970366</v>
      </c>
    </row>
    <row r="130" spans="2:6">
      <c r="B130" s="401">
        <v>74</v>
      </c>
      <c r="C130" s="402">
        <v>26022.799999999999</v>
      </c>
      <c r="D130" s="402">
        <v>26990.560573001119</v>
      </c>
      <c r="E130" s="402">
        <v>-967.76057300112006</v>
      </c>
      <c r="F130" s="402">
        <v>-0.54412125514354148</v>
      </c>
    </row>
    <row r="131" spans="2:6">
      <c r="B131" s="401">
        <v>75</v>
      </c>
      <c r="C131" s="402">
        <v>25934</v>
      </c>
      <c r="D131" s="402">
        <v>25994.395138036463</v>
      </c>
      <c r="E131" s="402">
        <v>-60.395138036463322</v>
      </c>
      <c r="F131" s="402">
        <v>-3.3957033619440323E-2</v>
      </c>
    </row>
    <row r="132" spans="2:6">
      <c r="B132" s="401">
        <v>76</v>
      </c>
      <c r="C132" s="402">
        <v>26481.599999999999</v>
      </c>
      <c r="D132" s="402">
        <v>26198.58940232953</v>
      </c>
      <c r="E132" s="402">
        <v>283.010597670469</v>
      </c>
      <c r="F132" s="402">
        <v>0.15912208651550552</v>
      </c>
    </row>
    <row r="133" spans="2:6">
      <c r="B133" s="401">
        <v>77</v>
      </c>
      <c r="C133" s="402">
        <v>25597.599999999999</v>
      </c>
      <c r="D133" s="402">
        <v>24112.282381875502</v>
      </c>
      <c r="E133" s="402">
        <v>1485.3176181244962</v>
      </c>
      <c r="F133" s="402">
        <v>0.83511656623335173</v>
      </c>
    </row>
    <row r="134" spans="2:6">
      <c r="B134" s="401">
        <v>78</v>
      </c>
      <c r="C134" s="402">
        <v>27424</v>
      </c>
      <c r="D134" s="402">
        <v>26510.051837813317</v>
      </c>
      <c r="E134" s="402">
        <v>913.94816218668348</v>
      </c>
      <c r="F134" s="402">
        <v>0.513865345436609</v>
      </c>
    </row>
    <row r="135" spans="2:6">
      <c r="B135" s="401">
        <v>79</v>
      </c>
      <c r="C135" s="402">
        <v>26599.4</v>
      </c>
      <c r="D135" s="402">
        <v>27066.264475458171</v>
      </c>
      <c r="E135" s="402">
        <v>-466.86447545816918</v>
      </c>
      <c r="F135" s="402">
        <v>-0.26249352521198038</v>
      </c>
    </row>
    <row r="136" spans="2:6">
      <c r="B136" s="401">
        <v>80</v>
      </c>
      <c r="C136" s="402">
        <v>25980.5</v>
      </c>
      <c r="D136" s="402">
        <v>25084.307939170612</v>
      </c>
      <c r="E136" s="402">
        <v>896.19206082938763</v>
      </c>
      <c r="F136" s="402">
        <v>0.50388201647433617</v>
      </c>
    </row>
    <row r="137" spans="2:6">
      <c r="B137" s="401">
        <v>81</v>
      </c>
      <c r="C137" s="402">
        <v>24525.1</v>
      </c>
      <c r="D137" s="402">
        <v>24917.645200801864</v>
      </c>
      <c r="E137" s="402">
        <v>-392.54520080186558</v>
      </c>
      <c r="F137" s="402">
        <v>-0.22070767638168434</v>
      </c>
    </row>
    <row r="138" spans="2:6">
      <c r="B138" s="401">
        <v>82</v>
      </c>
      <c r="C138" s="402">
        <v>23431.7</v>
      </c>
      <c r="D138" s="402">
        <v>25552.466650909155</v>
      </c>
      <c r="E138" s="402">
        <v>-2120.7666509091541</v>
      </c>
      <c r="F138" s="402">
        <v>-1.1923963882726996</v>
      </c>
    </row>
    <row r="139" spans="2:6">
      <c r="B139" s="401">
        <v>83</v>
      </c>
      <c r="C139" s="402">
        <v>23965.3</v>
      </c>
      <c r="D139" s="402">
        <v>24067.743351470381</v>
      </c>
      <c r="E139" s="402">
        <v>-102.44335147038146</v>
      </c>
      <c r="F139" s="402">
        <v>-5.7598549205527934E-2</v>
      </c>
    </row>
    <row r="140" spans="2:6">
      <c r="B140" s="401">
        <v>84</v>
      </c>
      <c r="C140" s="402">
        <v>23474.799999999999</v>
      </c>
      <c r="D140" s="402">
        <v>24468.369490167242</v>
      </c>
      <c r="E140" s="402">
        <v>-993.5694901672432</v>
      </c>
      <c r="F140" s="402">
        <v>-0.55863226209516514</v>
      </c>
    </row>
    <row r="141" spans="2:6">
      <c r="B141" s="401">
        <v>85</v>
      </c>
      <c r="C141" s="402">
        <v>23384.799999999999</v>
      </c>
      <c r="D141" s="402">
        <v>22867.484215092776</v>
      </c>
      <c r="E141" s="402">
        <v>517.31578490722313</v>
      </c>
      <c r="F141" s="402">
        <v>0.29085966306354039</v>
      </c>
    </row>
    <row r="142" spans="2:6">
      <c r="B142" s="401">
        <v>86</v>
      </c>
      <c r="C142" s="402">
        <v>23808.7</v>
      </c>
      <c r="D142" s="402">
        <v>24752.078467674295</v>
      </c>
      <c r="E142" s="402">
        <v>-943.37846767429437</v>
      </c>
      <c r="F142" s="402">
        <v>-0.53041247001259451</v>
      </c>
    </row>
    <row r="143" spans="2:6">
      <c r="B143" s="401">
        <v>87</v>
      </c>
      <c r="C143" s="402">
        <v>24311.7</v>
      </c>
      <c r="D143" s="402">
        <v>23345.944835354469</v>
      </c>
      <c r="E143" s="402">
        <v>965.7551646455322</v>
      </c>
      <c r="F143" s="402">
        <v>0.54299371870326885</v>
      </c>
    </row>
    <row r="144" spans="2:6">
      <c r="B144" s="401">
        <v>88</v>
      </c>
      <c r="C144" s="402">
        <v>25315.1</v>
      </c>
      <c r="D144" s="402">
        <v>24583.203075673013</v>
      </c>
      <c r="E144" s="402">
        <v>731.89692432698575</v>
      </c>
      <c r="F144" s="402">
        <v>0.41150743707765841</v>
      </c>
    </row>
    <row r="145" spans="2:6">
      <c r="B145" s="401">
        <v>89</v>
      </c>
      <c r="C145" s="402">
        <v>23129.9</v>
      </c>
      <c r="D145" s="402">
        <v>23309.668717045657</v>
      </c>
      <c r="E145" s="402">
        <v>-179.76871704565565</v>
      </c>
      <c r="F145" s="402">
        <v>-0.10107456604797341</v>
      </c>
    </row>
    <row r="146" spans="2:6">
      <c r="B146" s="401">
        <v>90</v>
      </c>
      <c r="C146" s="402">
        <v>23324.9</v>
      </c>
      <c r="D146" s="402">
        <v>22886.764750989645</v>
      </c>
      <c r="E146" s="402">
        <v>438.13524901035635</v>
      </c>
      <c r="F146" s="402">
        <v>0.24634058078523027</v>
      </c>
    </row>
    <row r="147" spans="2:6">
      <c r="B147" s="401">
        <v>91</v>
      </c>
      <c r="C147" s="402">
        <v>23889.9</v>
      </c>
      <c r="D147" s="402">
        <v>23749.49142770825</v>
      </c>
      <c r="E147" s="402">
        <v>140.40857229175163</v>
      </c>
      <c r="F147" s="402">
        <v>7.8944411169158207E-2</v>
      </c>
    </row>
    <row r="148" spans="2:6">
      <c r="B148" s="401">
        <v>92</v>
      </c>
      <c r="C148" s="402">
        <v>23206.6</v>
      </c>
      <c r="D148" s="402">
        <v>23137.899620530068</v>
      </c>
      <c r="E148" s="402">
        <v>68.70037946993034</v>
      </c>
      <c r="F148" s="402">
        <v>3.862663736144252E-2</v>
      </c>
    </row>
    <row r="149" spans="2:6">
      <c r="B149" s="401">
        <v>93</v>
      </c>
      <c r="C149" s="402">
        <v>21934.5</v>
      </c>
      <c r="D149" s="402">
        <v>22352.965354214026</v>
      </c>
      <c r="E149" s="402">
        <v>-418.46535421402587</v>
      </c>
      <c r="F149" s="402">
        <v>-0.23528122566815798</v>
      </c>
    </row>
    <row r="150" spans="2:6">
      <c r="B150" s="401">
        <v>94</v>
      </c>
      <c r="C150" s="402">
        <v>22573.1</v>
      </c>
      <c r="D150" s="402">
        <v>21913.396591450186</v>
      </c>
      <c r="E150" s="402">
        <v>659.70340854981259</v>
      </c>
      <c r="F150" s="402">
        <v>0.37091679150498014</v>
      </c>
    </row>
    <row r="151" spans="2:6">
      <c r="B151" s="401">
        <v>95</v>
      </c>
      <c r="C151" s="402">
        <v>23162.799999999999</v>
      </c>
      <c r="D151" s="402">
        <v>23297.017369606452</v>
      </c>
      <c r="E151" s="402">
        <v>-134.21736960645285</v>
      </c>
      <c r="F151" s="402">
        <v>-7.5463421066899794E-2</v>
      </c>
    </row>
    <row r="152" spans="2:6">
      <c r="B152" s="401">
        <v>96</v>
      </c>
      <c r="C152" s="402">
        <v>23253.4</v>
      </c>
      <c r="D152" s="402">
        <v>23174.963215661854</v>
      </c>
      <c r="E152" s="402">
        <v>78.436784338147845</v>
      </c>
      <c r="F152" s="402">
        <v>4.4100909599100686E-2</v>
      </c>
    </row>
    <row r="153" spans="2:6">
      <c r="B153" s="401">
        <v>97</v>
      </c>
      <c r="C153" s="402">
        <v>22341</v>
      </c>
      <c r="D153" s="402">
        <v>22003.255661441261</v>
      </c>
      <c r="E153" s="402">
        <v>337.7443385587394</v>
      </c>
      <c r="F153" s="402">
        <v>0.1898960120314736</v>
      </c>
    </row>
    <row r="154" spans="2:6" ht="16" thickBot="1">
      <c r="B154" s="404">
        <v>98</v>
      </c>
      <c r="C154" s="403">
        <v>22628.2</v>
      </c>
      <c r="D154" s="403">
        <v>22742.71624914667</v>
      </c>
      <c r="E154" s="403">
        <v>-114.516249146669</v>
      </c>
      <c r="F154" s="403">
        <v>-6.4386509389181251E-2</v>
      </c>
    </row>
    <row r="173" spans="2:7">
      <c r="G173" t="s">
        <v>137</v>
      </c>
    </row>
    <row r="176" spans="2:7">
      <c r="B176" t="s">
        <v>168</v>
      </c>
    </row>
    <row r="177" spans="2:10" ht="16" thickBot="1"/>
    <row r="178" spans="2:10">
      <c r="B178" s="399" t="s">
        <v>155</v>
      </c>
      <c r="C178" s="399" t="s">
        <v>156</v>
      </c>
      <c r="D178" s="399" t="s">
        <v>133</v>
      </c>
      <c r="E178" s="399" t="s">
        <v>135</v>
      </c>
      <c r="F178" s="399" t="s">
        <v>136</v>
      </c>
      <c r="G178" s="399" t="s">
        <v>157</v>
      </c>
      <c r="H178" s="399" t="s">
        <v>133</v>
      </c>
      <c r="I178" s="399" t="s">
        <v>135</v>
      </c>
      <c r="J178" s="399" t="s">
        <v>136</v>
      </c>
    </row>
    <row r="179" spans="2:10">
      <c r="B179" s="400">
        <v>0</v>
      </c>
      <c r="C179" s="405">
        <v>1</v>
      </c>
      <c r="D179" s="405">
        <v>0</v>
      </c>
      <c r="E179" s="405"/>
      <c r="F179" s="405"/>
      <c r="G179" s="405">
        <v>1</v>
      </c>
      <c r="H179" s="405">
        <v>0</v>
      </c>
      <c r="I179" s="405"/>
      <c r="J179" s="405"/>
    </row>
    <row r="180" spans="2:10">
      <c r="B180" s="401">
        <v>1</v>
      </c>
      <c r="C180" s="402">
        <v>0.85119004479662441</v>
      </c>
      <c r="D180" s="402">
        <v>0.10101525445522107</v>
      </c>
      <c r="E180" s="402">
        <v>-0.19798626062138247</v>
      </c>
      <c r="F180" s="402">
        <v>0.19798626062138247</v>
      </c>
      <c r="G180" s="402">
        <v>0.85119004479662441</v>
      </c>
      <c r="H180" s="402">
        <v>0.10101525445522107</v>
      </c>
      <c r="I180" s="402">
        <v>-0.19798626062138247</v>
      </c>
      <c r="J180" s="402">
        <v>0.19798626062138247</v>
      </c>
    </row>
    <row r="181" spans="2:10">
      <c r="B181" s="401">
        <v>2</v>
      </c>
      <c r="C181" s="402">
        <v>0.7299073693010838</v>
      </c>
      <c r="D181" s="402">
        <v>0.15808319253629377</v>
      </c>
      <c r="E181" s="402">
        <v>-0.30983736393224681</v>
      </c>
      <c r="F181" s="402">
        <v>0.30983736393224681</v>
      </c>
      <c r="G181" s="402">
        <v>1.9540310448419237E-2</v>
      </c>
      <c r="H181" s="402">
        <v>0.10101525445522107</v>
      </c>
      <c r="I181" s="402">
        <v>-0.19798626062138247</v>
      </c>
      <c r="J181" s="402">
        <v>0.19798626062138247</v>
      </c>
    </row>
    <row r="182" spans="2:10">
      <c r="B182" s="401">
        <v>3</v>
      </c>
      <c r="C182" s="402">
        <v>0.68120808323071003</v>
      </c>
      <c r="D182" s="402">
        <v>0.18937541056039059</v>
      </c>
      <c r="E182" s="402">
        <v>-0.37116898425585165</v>
      </c>
      <c r="F182" s="402">
        <v>0.37116898425585165</v>
      </c>
      <c r="G182" s="402">
        <v>0.20127759401904458</v>
      </c>
      <c r="H182" s="402">
        <v>0.10101525445522107</v>
      </c>
      <c r="I182" s="402">
        <v>-0.19798626062138247</v>
      </c>
      <c r="J182" s="402">
        <v>0.19798626062138247</v>
      </c>
    </row>
    <row r="183" spans="2:10">
      <c r="B183" s="401">
        <v>4</v>
      </c>
      <c r="C183" s="402">
        <v>0.6292317708384888</v>
      </c>
      <c r="D183" s="402">
        <v>0.21291627715404496</v>
      </c>
      <c r="E183" s="402">
        <v>-0.41730823494427632</v>
      </c>
      <c r="F183" s="402">
        <v>0.41730823494427632</v>
      </c>
      <c r="G183" s="402">
        <v>1.6037358172307191E-3</v>
      </c>
      <c r="H183" s="402">
        <v>0.10101525445522107</v>
      </c>
      <c r="I183" s="402">
        <v>-0.19798626062138247</v>
      </c>
      <c r="J183" s="402">
        <v>0.19798626062138247</v>
      </c>
    </row>
    <row r="184" spans="2:10">
      <c r="B184" s="401">
        <v>5</v>
      </c>
      <c r="C184" s="402">
        <v>0.52945234580681499</v>
      </c>
      <c r="D184" s="402">
        <v>0.23111382186575086</v>
      </c>
      <c r="E184" s="402">
        <v>-0.45297476718627722</v>
      </c>
      <c r="F184" s="402">
        <v>0.45297476718627722</v>
      </c>
      <c r="G184" s="402">
        <v>-0.14894018673198703</v>
      </c>
      <c r="H184" s="402">
        <v>0.10101525445522107</v>
      </c>
      <c r="I184" s="402">
        <v>-0.19798626062138247</v>
      </c>
      <c r="J184" s="402">
        <v>0.19798626062138247</v>
      </c>
    </row>
    <row r="185" spans="2:10">
      <c r="B185" s="401">
        <v>6</v>
      </c>
      <c r="C185" s="402">
        <v>0.47543907550258335</v>
      </c>
      <c r="D185" s="402">
        <v>0.24317567852558883</v>
      </c>
      <c r="E185" s="402">
        <v>-0.4766155718262442</v>
      </c>
      <c r="F185" s="402">
        <v>0.4766155718262442</v>
      </c>
      <c r="G185" s="402">
        <v>9.4421494911365172E-2</v>
      </c>
      <c r="H185" s="402">
        <v>0.10101525445522107</v>
      </c>
      <c r="I185" s="402">
        <v>-0.19798626062138247</v>
      </c>
      <c r="J185" s="402">
        <v>0.19798626062138247</v>
      </c>
    </row>
    <row r="186" spans="2:10">
      <c r="B186" s="401">
        <v>7</v>
      </c>
      <c r="C186" s="402">
        <v>0.4687914794156649</v>
      </c>
      <c r="D186" s="402">
        <v>0.25248271046918291</v>
      </c>
      <c r="E186" s="402">
        <v>-0.49485701923865244</v>
      </c>
      <c r="F186" s="402">
        <v>0.49485701923865244</v>
      </c>
      <c r="G186" s="402">
        <v>0.10728149928668892</v>
      </c>
      <c r="H186" s="402">
        <v>0.10101525445522107</v>
      </c>
      <c r="I186" s="402">
        <v>-0.19798626062138247</v>
      </c>
      <c r="J186" s="402">
        <v>0.19798626062138247</v>
      </c>
    </row>
    <row r="187" spans="2:10">
      <c r="B187" s="401">
        <v>8</v>
      </c>
      <c r="C187" s="402">
        <v>0.49973972868024197</v>
      </c>
      <c r="D187" s="402">
        <v>0.26121356835637755</v>
      </c>
      <c r="E187" s="402">
        <v>-0.51196918625169141</v>
      </c>
      <c r="F187" s="402">
        <v>0.51196918625169141</v>
      </c>
      <c r="G187" s="402">
        <v>0.22764875499337509</v>
      </c>
      <c r="H187" s="402">
        <v>0.10101525445522107</v>
      </c>
      <c r="I187" s="402">
        <v>-0.19798626062138247</v>
      </c>
      <c r="J187" s="402">
        <v>0.19798626062138247</v>
      </c>
    </row>
    <row r="188" spans="2:10">
      <c r="B188" s="401">
        <v>9</v>
      </c>
      <c r="C188" s="402">
        <v>0.45152841261174304</v>
      </c>
      <c r="D188" s="402">
        <v>0.27079375700463298</v>
      </c>
      <c r="E188" s="402">
        <v>-0.53074601096737151</v>
      </c>
      <c r="F188" s="402">
        <v>0.53074601096737151</v>
      </c>
      <c r="G188" s="402">
        <v>-0.17455126223019582</v>
      </c>
      <c r="H188" s="402">
        <v>0.10101525445522107</v>
      </c>
      <c r="I188" s="402">
        <v>-0.19798626062138247</v>
      </c>
      <c r="J188" s="402">
        <v>0.19798626062138247</v>
      </c>
    </row>
    <row r="189" spans="2:10">
      <c r="B189" s="401">
        <v>10</v>
      </c>
      <c r="C189" s="402">
        <v>0.41294961995216056</v>
      </c>
      <c r="D189" s="402">
        <v>0.27837031532296008</v>
      </c>
      <c r="E189" s="402">
        <v>-0.54559579239806</v>
      </c>
      <c r="F189" s="402">
        <v>0.54559579239806</v>
      </c>
      <c r="G189" s="402">
        <v>1.7917523550699154E-2</v>
      </c>
      <c r="H189" s="402">
        <v>0.10101525445522107</v>
      </c>
      <c r="I189" s="402">
        <v>-0.19798626062138247</v>
      </c>
      <c r="J189" s="402">
        <v>0.19798626062138247</v>
      </c>
    </row>
    <row r="190" spans="2:10">
      <c r="B190" s="401">
        <v>11</v>
      </c>
      <c r="C190" s="402">
        <v>0.37046034127945354</v>
      </c>
      <c r="D190" s="402">
        <v>0.2845526018878401</v>
      </c>
      <c r="E190" s="402">
        <v>-0.55771285140733062</v>
      </c>
      <c r="F190" s="402">
        <v>0.55771285140733062</v>
      </c>
      <c r="G190" s="402">
        <v>-0.15277443982240993</v>
      </c>
      <c r="H190" s="402">
        <v>0.10101525445522107</v>
      </c>
      <c r="I190" s="402">
        <v>-0.19798626062138247</v>
      </c>
      <c r="J190" s="402">
        <v>0.19798626062138247</v>
      </c>
    </row>
    <row r="191" spans="2:10">
      <c r="B191" s="401">
        <v>12</v>
      </c>
      <c r="C191" s="402">
        <v>0.3827428891129272</v>
      </c>
      <c r="D191" s="402">
        <v>0.28943223249964611</v>
      </c>
      <c r="E191" s="402">
        <v>-0.56727675166432956</v>
      </c>
      <c r="F191" s="402">
        <v>0.56727675166432956</v>
      </c>
      <c r="G191" s="402">
        <v>0.22123808661608538</v>
      </c>
      <c r="H191" s="402">
        <v>0.10101525445522107</v>
      </c>
      <c r="I191" s="402">
        <v>-0.19798626062138247</v>
      </c>
      <c r="J191" s="402">
        <v>0.19798626062138247</v>
      </c>
    </row>
    <row r="192" spans="2:10">
      <c r="B192" s="401">
        <v>13</v>
      </c>
      <c r="C192" s="402">
        <v>0.35236221694066233</v>
      </c>
      <c r="D192" s="402">
        <v>0.29455161227662635</v>
      </c>
      <c r="E192" s="402">
        <v>-0.57731055165039358</v>
      </c>
      <c r="F192" s="402">
        <v>0.57731055165039358</v>
      </c>
      <c r="G192" s="402">
        <v>-5.0628877089215256E-2</v>
      </c>
      <c r="H192" s="402">
        <v>0.10101525445522107</v>
      </c>
      <c r="I192" s="402">
        <v>-0.19798626062138247</v>
      </c>
      <c r="J192" s="402">
        <v>0.19798626062138247</v>
      </c>
    </row>
    <row r="193" spans="2:10">
      <c r="B193" s="401">
        <v>14</v>
      </c>
      <c r="C193" s="402">
        <v>0.2889780536053585</v>
      </c>
      <c r="D193" s="402">
        <v>0.29882187358025153</v>
      </c>
      <c r="E193" s="402">
        <v>-0.58568011001007392</v>
      </c>
      <c r="F193" s="402">
        <v>0.58568011001007392</v>
      </c>
      <c r="G193" s="402">
        <v>-9.4420225434499364E-2</v>
      </c>
      <c r="H193" s="402">
        <v>0.10101525445522107</v>
      </c>
      <c r="I193" s="402">
        <v>-0.19798626062138247</v>
      </c>
      <c r="J193" s="402">
        <v>0.19798626062138247</v>
      </c>
    </row>
    <row r="194" spans="2:10">
      <c r="B194" s="401">
        <v>15</v>
      </c>
      <c r="C194" s="402">
        <v>0.24537474332226059</v>
      </c>
      <c r="D194" s="402">
        <v>0.30166001303792866</v>
      </c>
      <c r="E194" s="402">
        <v>-0.59124276113022312</v>
      </c>
      <c r="F194" s="402">
        <v>0.59124276113022312</v>
      </c>
      <c r="G194" s="402">
        <v>-4.6021516348413498E-2</v>
      </c>
      <c r="H194" s="402">
        <v>0.10101525445522107</v>
      </c>
      <c r="I194" s="402">
        <v>-0.19798626062138247</v>
      </c>
      <c r="J194" s="402">
        <v>0.19798626062138247</v>
      </c>
    </row>
    <row r="195" spans="2:10">
      <c r="B195" s="401">
        <v>16</v>
      </c>
      <c r="C195" s="402">
        <v>0.25644658466172049</v>
      </c>
      <c r="D195" s="402">
        <v>0.30368983151438644</v>
      </c>
      <c r="E195" s="402">
        <v>-0.59522113223923434</v>
      </c>
      <c r="F195" s="402">
        <v>0.59522113223923434</v>
      </c>
      <c r="G195" s="402">
        <v>2.4002909316384061E-2</v>
      </c>
      <c r="H195" s="402">
        <v>0.10101525445522107</v>
      </c>
      <c r="I195" s="402">
        <v>-0.19798626062138247</v>
      </c>
      <c r="J195" s="402">
        <v>0.19798626062138247</v>
      </c>
    </row>
    <row r="196" spans="2:10">
      <c r="B196" s="401">
        <v>17</v>
      </c>
      <c r="C196" s="402">
        <v>0.22756093497625721</v>
      </c>
      <c r="D196" s="402">
        <v>0.30589157160204383</v>
      </c>
      <c r="E196" s="402">
        <v>-0.59953646351436096</v>
      </c>
      <c r="F196" s="402">
        <v>0.59953646351436096</v>
      </c>
      <c r="G196" s="402">
        <v>1.5331306569153678E-2</v>
      </c>
      <c r="H196" s="402">
        <v>0.10101525445522107</v>
      </c>
      <c r="I196" s="402">
        <v>-0.19798626062138247</v>
      </c>
      <c r="J196" s="402">
        <v>0.19798626062138247</v>
      </c>
    </row>
    <row r="197" spans="2:10">
      <c r="B197" s="401">
        <v>18</v>
      </c>
      <c r="C197" s="402">
        <v>0.21840891153521799</v>
      </c>
      <c r="D197" s="402">
        <v>0.30761415682267418</v>
      </c>
      <c r="E197" s="402">
        <v>-0.60291266850709735</v>
      </c>
      <c r="F197" s="402">
        <v>0.60291266850709735</v>
      </c>
      <c r="G197" s="402">
        <v>0.12206071117284811</v>
      </c>
      <c r="H197" s="402">
        <v>0.10101525445522107</v>
      </c>
      <c r="I197" s="402">
        <v>-0.19798626062138247</v>
      </c>
      <c r="J197" s="402">
        <v>0.19798626062138247</v>
      </c>
    </row>
    <row r="198" spans="2:10">
      <c r="B198" s="401">
        <v>19</v>
      </c>
      <c r="C198" s="402">
        <v>0.21715851733289881</v>
      </c>
      <c r="D198" s="402">
        <v>0.30919247875605999</v>
      </c>
      <c r="E198" s="402">
        <v>-0.60600612265254317</v>
      </c>
      <c r="F198" s="402">
        <v>0.60600612265254317</v>
      </c>
      <c r="G198" s="402">
        <v>3.867794708003159E-2</v>
      </c>
      <c r="H198" s="402">
        <v>0.10101525445522107</v>
      </c>
      <c r="I198" s="402">
        <v>-0.19798626062138247</v>
      </c>
      <c r="J198" s="402">
        <v>0.19798626062138247</v>
      </c>
    </row>
    <row r="199" spans="2:10" ht="16" thickBot="1">
      <c r="B199" s="404">
        <v>20</v>
      </c>
      <c r="C199" s="403">
        <v>0.26152340324642598</v>
      </c>
      <c r="D199" s="403">
        <v>0.31074490091197077</v>
      </c>
      <c r="E199" s="403">
        <v>-0.60904881416693035</v>
      </c>
      <c r="F199" s="403">
        <v>0.60904881416693035</v>
      </c>
      <c r="G199" s="403">
        <v>6.3464968314408954E-2</v>
      </c>
      <c r="H199" s="403">
        <v>0.10101525445522107</v>
      </c>
      <c r="I199" s="403">
        <v>-0.19798626062138247</v>
      </c>
      <c r="J199" s="403">
        <v>0.19798626062138247</v>
      </c>
    </row>
    <row r="218" spans="2:10">
      <c r="G218" t="s">
        <v>137</v>
      </c>
    </row>
    <row r="221" spans="2:10">
      <c r="B221" t="s">
        <v>158</v>
      </c>
    </row>
    <row r="222" spans="2:10" ht="16" thickBot="1"/>
    <row r="223" spans="2:10">
      <c r="B223" s="399" t="s">
        <v>155</v>
      </c>
      <c r="C223" s="399" t="s">
        <v>156</v>
      </c>
      <c r="D223" s="399" t="s">
        <v>133</v>
      </c>
      <c r="E223" s="399" t="s">
        <v>135</v>
      </c>
      <c r="F223" s="399" t="s">
        <v>136</v>
      </c>
      <c r="G223" s="399" t="s">
        <v>157</v>
      </c>
      <c r="H223" s="399" t="s">
        <v>133</v>
      </c>
      <c r="I223" s="399" t="s">
        <v>135</v>
      </c>
      <c r="J223" s="399" t="s">
        <v>136</v>
      </c>
    </row>
    <row r="224" spans="2:10">
      <c r="B224" s="400">
        <v>0</v>
      </c>
      <c r="C224" s="405">
        <v>1</v>
      </c>
      <c r="D224" s="405">
        <v>0</v>
      </c>
      <c r="E224" s="405"/>
      <c r="F224" s="405"/>
      <c r="G224" s="405">
        <v>1</v>
      </c>
      <c r="H224" s="405">
        <v>0</v>
      </c>
      <c r="I224" s="405"/>
      <c r="J224" s="405"/>
    </row>
    <row r="225" spans="2:10">
      <c r="B225" s="401">
        <v>1</v>
      </c>
      <c r="C225" s="402">
        <v>0.15696191160896455</v>
      </c>
      <c r="D225" s="402">
        <v>0.10101525445522107</v>
      </c>
      <c r="E225" s="402">
        <v>-0.19798626062138247</v>
      </c>
      <c r="F225" s="402">
        <v>0.19798626062138247</v>
      </c>
      <c r="G225" s="402">
        <v>0.15696191160896455</v>
      </c>
      <c r="H225" s="402">
        <v>0.10101525445522107</v>
      </c>
      <c r="I225" s="402">
        <v>-0.19798626062138247</v>
      </c>
      <c r="J225" s="402">
        <v>0.19798626062138247</v>
      </c>
    </row>
    <row r="226" spans="2:10">
      <c r="B226" s="401">
        <v>2</v>
      </c>
      <c r="C226" s="402">
        <v>0.14519967468692227</v>
      </c>
      <c r="D226" s="402">
        <v>0.10347404699709956</v>
      </c>
      <c r="E226" s="402">
        <v>-0.20280540544892001</v>
      </c>
      <c r="F226" s="402">
        <v>0.20280540544892001</v>
      </c>
      <c r="G226" s="402">
        <v>0.12360796764377194</v>
      </c>
      <c r="H226" s="402">
        <v>0.10101525445522107</v>
      </c>
      <c r="I226" s="402">
        <v>-0.19798626062138247</v>
      </c>
      <c r="J226" s="402">
        <v>0.19798626062138247</v>
      </c>
    </row>
    <row r="227" spans="2:10">
      <c r="B227" s="401">
        <v>3</v>
      </c>
      <c r="C227" s="402">
        <v>0.22647189308482388</v>
      </c>
      <c r="D227" s="402">
        <v>0.10553266127806686</v>
      </c>
      <c r="E227" s="402">
        <v>-0.20684021529767574</v>
      </c>
      <c r="F227" s="402">
        <v>0.20684021529767574</v>
      </c>
      <c r="G227" s="402">
        <v>0.19479871058203338</v>
      </c>
      <c r="H227" s="402">
        <v>0.10101525445522107</v>
      </c>
      <c r="I227" s="402">
        <v>-0.19798626062138247</v>
      </c>
      <c r="J227" s="402">
        <v>0.19798626062138247</v>
      </c>
    </row>
    <row r="228" spans="2:10">
      <c r="B228" s="401">
        <v>4</v>
      </c>
      <c r="C228" s="402">
        <v>3.980551417200958E-2</v>
      </c>
      <c r="D228" s="402">
        <v>0.11038055744046782</v>
      </c>
      <c r="E228" s="402">
        <v>-0.21634191717677156</v>
      </c>
      <c r="F228" s="402">
        <v>0.21634191717677156</v>
      </c>
      <c r="G228" s="402">
        <v>-3.3038255033115652E-2</v>
      </c>
      <c r="H228" s="402">
        <v>0.10101525445522107</v>
      </c>
      <c r="I228" s="402">
        <v>-0.19798626062138247</v>
      </c>
      <c r="J228" s="402">
        <v>0.19798626062138247</v>
      </c>
    </row>
    <row r="229" spans="2:10">
      <c r="B229" s="401">
        <v>5</v>
      </c>
      <c r="C229" s="402">
        <v>-0.20563155612595094</v>
      </c>
      <c r="D229" s="402">
        <v>0.1105269368350715</v>
      </c>
      <c r="E229" s="402">
        <v>-0.21662881551827357</v>
      </c>
      <c r="F229" s="402">
        <v>0.21662881551827357</v>
      </c>
      <c r="G229" s="402">
        <v>-0.27811063506303196</v>
      </c>
      <c r="H229" s="402">
        <v>0.10101525445522107</v>
      </c>
      <c r="I229" s="402">
        <v>-0.19798626062138247</v>
      </c>
      <c r="J229" s="402">
        <v>0.19798626062138247</v>
      </c>
    </row>
    <row r="230" spans="2:10">
      <c r="B230" s="401">
        <v>6</v>
      </c>
      <c r="C230" s="402">
        <v>-4.6898633967768159E-2</v>
      </c>
      <c r="D230" s="402">
        <v>0.11436410895315716</v>
      </c>
      <c r="E230" s="402">
        <v>-0.22414953467220272</v>
      </c>
      <c r="F230" s="402">
        <v>0.22414953467220272</v>
      </c>
      <c r="G230" s="402">
        <v>-4.4580334235098239E-2</v>
      </c>
      <c r="H230" s="402">
        <v>0.10101525445522107</v>
      </c>
      <c r="I230" s="402">
        <v>-0.19798626062138247</v>
      </c>
      <c r="J230" s="402">
        <v>0.19798626062138247</v>
      </c>
    </row>
    <row r="231" spans="2:10">
      <c r="B231" s="401">
        <v>7</v>
      </c>
      <c r="C231" s="402">
        <v>8.4923633193506095E-3</v>
      </c>
      <c r="D231" s="402">
        <v>0.11456018855480161</v>
      </c>
      <c r="E231" s="402">
        <v>-0.2245338436295288</v>
      </c>
      <c r="F231" s="402">
        <v>0.2245338436295288</v>
      </c>
      <c r="G231" s="402">
        <v>9.4877832586817229E-2</v>
      </c>
      <c r="H231" s="402">
        <v>0.10101525445522107</v>
      </c>
      <c r="I231" s="402">
        <v>-0.19798626062138247</v>
      </c>
      <c r="J231" s="402">
        <v>0.19798626062138247</v>
      </c>
    </row>
    <row r="232" spans="2:10">
      <c r="B232" s="401">
        <v>8</v>
      </c>
      <c r="C232" s="402">
        <v>-9.4149019300143438E-2</v>
      </c>
      <c r="D232" s="402">
        <v>0.11456661225347096</v>
      </c>
      <c r="E232" s="402">
        <v>-0.22454643384756828</v>
      </c>
      <c r="F232" s="402">
        <v>0.22454643384756828</v>
      </c>
      <c r="G232" s="402">
        <v>2.457624914901646E-2</v>
      </c>
      <c r="H232" s="402">
        <v>0.10101525445522107</v>
      </c>
      <c r="I232" s="402">
        <v>-0.19798626062138247</v>
      </c>
      <c r="J232" s="402">
        <v>0.19798626062138247</v>
      </c>
    </row>
    <row r="233" spans="2:10">
      <c r="B233" s="401">
        <v>9</v>
      </c>
      <c r="C233" s="402">
        <v>-0.13752039378188971</v>
      </c>
      <c r="D233" s="402">
        <v>0.11535340209359819</v>
      </c>
      <c r="E233" s="402">
        <v>-0.22608851359761967</v>
      </c>
      <c r="F233" s="402">
        <v>0.22608851359761967</v>
      </c>
      <c r="G233" s="402">
        <v>-0.13501841752685131</v>
      </c>
      <c r="H233" s="402">
        <v>0.10101525445522107</v>
      </c>
      <c r="I233" s="402">
        <v>-0.19798626062138247</v>
      </c>
      <c r="J233" s="402">
        <v>0.19798626062138247</v>
      </c>
    </row>
    <row r="234" spans="2:10">
      <c r="B234" s="401">
        <v>10</v>
      </c>
      <c r="C234" s="402">
        <v>2.7380193855341253E-2</v>
      </c>
      <c r="D234" s="402">
        <v>0.11701437379522348</v>
      </c>
      <c r="E234" s="402">
        <v>-0.22934395831214544</v>
      </c>
      <c r="F234" s="402">
        <v>0.22934395831214544</v>
      </c>
      <c r="G234" s="402">
        <v>-1.8392548650816999E-2</v>
      </c>
      <c r="H234" s="402">
        <v>0.10101525445522107</v>
      </c>
      <c r="I234" s="402">
        <v>-0.19798626062138247</v>
      </c>
      <c r="J234" s="402">
        <v>0.19798626062138247</v>
      </c>
    </row>
    <row r="235" spans="2:10">
      <c r="B235" s="401">
        <v>11</v>
      </c>
      <c r="C235" s="402">
        <v>-0.18340533784308552</v>
      </c>
      <c r="D235" s="402">
        <v>0.11707972994844869</v>
      </c>
      <c r="E235" s="402">
        <v>-0.22947205401863494</v>
      </c>
      <c r="F235" s="402">
        <v>0.22947205401863494</v>
      </c>
      <c r="G235" s="402">
        <v>-0.17929149321147214</v>
      </c>
      <c r="H235" s="402">
        <v>0.10101525445522107</v>
      </c>
      <c r="I235" s="402">
        <v>-0.19798626062138247</v>
      </c>
      <c r="J235" s="402">
        <v>0.19798626062138247</v>
      </c>
    </row>
    <row r="236" spans="2:10">
      <c r="B236" s="401">
        <v>12</v>
      </c>
      <c r="C236" s="402">
        <v>-0.13836712538566234</v>
      </c>
      <c r="D236" s="402">
        <v>0.11997559386371627</v>
      </c>
      <c r="E236" s="402">
        <v>-0.23514784299668853</v>
      </c>
      <c r="F236" s="402">
        <v>0.23514784299668853</v>
      </c>
      <c r="G236" s="402">
        <v>-3.2339500943979443E-2</v>
      </c>
      <c r="H236" s="402">
        <v>0.10101525445522107</v>
      </c>
      <c r="I236" s="402">
        <v>-0.19798626062138247</v>
      </c>
      <c r="J236" s="402">
        <v>0.19798626062138247</v>
      </c>
    </row>
    <row r="237" spans="2:10">
      <c r="B237" s="401">
        <v>13</v>
      </c>
      <c r="C237" s="402">
        <v>4.0860308017284359E-2</v>
      </c>
      <c r="D237" s="402">
        <v>0.12159303773134766</v>
      </c>
      <c r="E237" s="402">
        <v>-0.23831797472426125</v>
      </c>
      <c r="F237" s="402">
        <v>0.23831797472426125</v>
      </c>
      <c r="G237" s="402">
        <v>0.12699212285032502</v>
      </c>
      <c r="H237" s="402">
        <v>0.10101525445522107</v>
      </c>
      <c r="I237" s="402">
        <v>-0.19798626062138247</v>
      </c>
      <c r="J237" s="402">
        <v>0.19798626062138247</v>
      </c>
    </row>
    <row r="238" spans="2:10">
      <c r="B238" s="401">
        <v>14</v>
      </c>
      <c r="C238" s="402">
        <v>-8.9080188921322759E-2</v>
      </c>
      <c r="D238" s="402">
        <v>0.1217330668929809</v>
      </c>
      <c r="E238" s="402">
        <v>-0.2385924268378477</v>
      </c>
      <c r="F238" s="402">
        <v>0.2385924268378477</v>
      </c>
      <c r="G238" s="402">
        <v>-6.9003659304273379E-2</v>
      </c>
      <c r="H238" s="402">
        <v>0.10101525445522107</v>
      </c>
      <c r="I238" s="402">
        <v>-0.19798626062138247</v>
      </c>
      <c r="J238" s="402">
        <v>0.19798626062138247</v>
      </c>
    </row>
    <row r="239" spans="2:10">
      <c r="B239" s="401">
        <v>15</v>
      </c>
      <c r="C239" s="402">
        <v>-0.19889121749595909</v>
      </c>
      <c r="D239" s="402">
        <v>0.12239642178656952</v>
      </c>
      <c r="E239" s="402">
        <v>-0.23989257853824983</v>
      </c>
      <c r="F239" s="402">
        <v>0.23989257853824983</v>
      </c>
      <c r="G239" s="402">
        <v>-0.21446071309946707</v>
      </c>
      <c r="H239" s="402">
        <v>0.10101525445522107</v>
      </c>
      <c r="I239" s="402">
        <v>-0.19798626062138247</v>
      </c>
      <c r="J239" s="402">
        <v>0.19798626062138247</v>
      </c>
    </row>
    <row r="240" spans="2:10">
      <c r="B240" s="401">
        <v>16</v>
      </c>
      <c r="C240" s="402">
        <v>-6.7863847739207436E-2</v>
      </c>
      <c r="D240" s="402">
        <v>0.12565104217947815</v>
      </c>
      <c r="E240" s="402">
        <v>-0.24627151729170033</v>
      </c>
      <c r="F240" s="402">
        <v>0.24627151729170033</v>
      </c>
      <c r="G240" s="402">
        <v>-0.15071440677250847</v>
      </c>
      <c r="H240" s="402">
        <v>0.10101525445522107</v>
      </c>
      <c r="I240" s="402">
        <v>-0.19798626062138247</v>
      </c>
      <c r="J240" s="402">
        <v>0.19798626062138247</v>
      </c>
    </row>
    <row r="241" spans="2:10">
      <c r="B241" s="401">
        <v>17</v>
      </c>
      <c r="C241" s="402">
        <v>-0.112544120392765</v>
      </c>
      <c r="D241" s="402">
        <v>0.12602449854712255</v>
      </c>
      <c r="E241" s="402">
        <v>-0.2470034783220805</v>
      </c>
      <c r="F241" s="402">
        <v>0.2470034783220805</v>
      </c>
      <c r="G241" s="402">
        <v>-8.9670161644786001E-2</v>
      </c>
      <c r="H241" s="402">
        <v>0.10101525445522107</v>
      </c>
      <c r="I241" s="402">
        <v>-0.19798626062138247</v>
      </c>
      <c r="J241" s="402">
        <v>0.19798626062138247</v>
      </c>
    </row>
    <row r="242" spans="2:10">
      <c r="B242" s="401">
        <v>18</v>
      </c>
      <c r="C242" s="402">
        <v>-0.11285930581563995</v>
      </c>
      <c r="D242" s="402">
        <v>0.12704592745832977</v>
      </c>
      <c r="E242" s="402">
        <v>-0.24900544220081461</v>
      </c>
      <c r="F242" s="402">
        <v>0.24900544220081461</v>
      </c>
      <c r="G242" s="402">
        <v>8.1257701404928107E-2</v>
      </c>
      <c r="H242" s="402">
        <v>0.10101525445522107</v>
      </c>
      <c r="I242" s="402">
        <v>-0.19798626062138247</v>
      </c>
      <c r="J242" s="402">
        <v>0.19798626062138247</v>
      </c>
    </row>
    <row r="243" spans="2:10">
      <c r="B243" s="401">
        <v>19</v>
      </c>
      <c r="C243" s="402">
        <v>-9.4845380623848272E-2</v>
      </c>
      <c r="D243" s="402">
        <v>0.12806487031354263</v>
      </c>
      <c r="E243" s="402">
        <v>-0.25100253349933621</v>
      </c>
      <c r="F243" s="402">
        <v>0.25100253349933621</v>
      </c>
      <c r="G243" s="402">
        <v>-1.8294171491424076E-2</v>
      </c>
      <c r="H243" s="402">
        <v>0.10101525445522107</v>
      </c>
      <c r="I243" s="402">
        <v>-0.19798626062138247</v>
      </c>
      <c r="J243" s="402">
        <v>0.19798626062138247</v>
      </c>
    </row>
    <row r="244" spans="2:10" ht="16" thickBot="1">
      <c r="B244" s="404">
        <v>20</v>
      </c>
      <c r="C244" s="403">
        <v>2.0115741832200155E-2</v>
      </c>
      <c r="D244" s="403">
        <v>0.12877963979323426</v>
      </c>
      <c r="E244" s="403">
        <v>-0.25240345593678026</v>
      </c>
      <c r="F244" s="403">
        <v>0.25240345593678026</v>
      </c>
      <c r="G244" s="403">
        <v>-9.6247930900630108E-2</v>
      </c>
      <c r="H244" s="403">
        <v>0.10101525445522107</v>
      </c>
      <c r="I244" s="403">
        <v>-0.19798626062138247</v>
      </c>
      <c r="J244" s="403">
        <v>0.19798626062138247</v>
      </c>
    </row>
    <row r="263" spans="7:7">
      <c r="G263" t="s">
        <v>137</v>
      </c>
    </row>
  </sheetData>
  <pageMargins left="0.7" right="0.7" top="0.75" bottom="0.75" header="0.3" footer="0.3"/>
  <ignoredErrors>
    <ignoredError sqref="A1"/>
  </ignoredErrors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0325D-4BF0-1C4A-838E-E77CE673DA95}">
  <dimension ref="B1:I158"/>
  <sheetViews>
    <sheetView workbookViewId="0">
      <selection activeCell="N136" sqref="N136"/>
    </sheetView>
  </sheetViews>
  <sheetFormatPr baseColWidth="10" defaultColWidth="8.83203125" defaultRowHeight="15"/>
  <cols>
    <col min="1" max="1" width="5" customWidth="1"/>
    <col min="3" max="3" width="13.6640625" bestFit="1" customWidth="1"/>
    <col min="4" max="4" width="9.5" bestFit="1" customWidth="1"/>
    <col min="6" max="8" width="9.5" bestFit="1" customWidth="1"/>
  </cols>
  <sheetData>
    <row r="1" spans="2:9">
      <c r="B1" t="s">
        <v>170</v>
      </c>
    </row>
    <row r="2" spans="2:9">
      <c r="B2" t="s">
        <v>171</v>
      </c>
    </row>
    <row r="3" spans="2:9">
      <c r="B3" t="s">
        <v>172</v>
      </c>
    </row>
    <row r="4" spans="2:9">
      <c r="B4" t="s">
        <v>173</v>
      </c>
    </row>
    <row r="5" spans="2:9">
      <c r="B5" t="s">
        <v>174</v>
      </c>
    </row>
    <row r="6" spans="2:9">
      <c r="B6" t="s">
        <v>175</v>
      </c>
    </row>
    <row r="7" spans="2:9">
      <c r="B7" t="s">
        <v>115</v>
      </c>
    </row>
    <row r="8" spans="2:9" ht="34.25" customHeight="1"/>
    <row r="9" spans="2:9" ht="16.25" customHeight="1"/>
    <row r="12" spans="2:9">
      <c r="B12" s="415" t="s">
        <v>116</v>
      </c>
    </row>
    <row r="13" spans="2:9" ht="16" thickBot="1"/>
    <row r="14" spans="2:9">
      <c r="B14" s="398" t="s">
        <v>117</v>
      </c>
      <c r="C14" s="399" t="s">
        <v>118</v>
      </c>
      <c r="D14" s="399" t="s">
        <v>119</v>
      </c>
      <c r="E14" s="399" t="s">
        <v>120</v>
      </c>
      <c r="F14" s="399" t="s">
        <v>121</v>
      </c>
      <c r="G14" s="399" t="s">
        <v>122</v>
      </c>
      <c r="H14" s="399" t="s">
        <v>123</v>
      </c>
      <c r="I14" s="399" t="s">
        <v>124</v>
      </c>
    </row>
    <row r="15" spans="2:9" ht="16" thickBot="1">
      <c r="B15" s="416" t="s">
        <v>176</v>
      </c>
      <c r="C15" s="417">
        <v>98</v>
      </c>
      <c r="D15" s="417">
        <v>0</v>
      </c>
      <c r="E15" s="417">
        <v>98</v>
      </c>
      <c r="F15" s="418">
        <v>21934.5</v>
      </c>
      <c r="G15" s="418">
        <v>39855.9</v>
      </c>
      <c r="H15" s="418">
        <v>28670.37142857143</v>
      </c>
      <c r="I15" s="418">
        <v>4103.0567423229322</v>
      </c>
    </row>
    <row r="18" spans="2:3">
      <c r="B18" s="415" t="s">
        <v>177</v>
      </c>
    </row>
    <row r="19" spans="2:3" ht="16" thickBot="1"/>
    <row r="20" spans="2:3">
      <c r="B20" s="398" t="s">
        <v>178</v>
      </c>
      <c r="C20" s="399" t="s">
        <v>125</v>
      </c>
    </row>
    <row r="21" spans="2:3">
      <c r="B21" s="419" t="s">
        <v>118</v>
      </c>
      <c r="C21" s="400">
        <v>98</v>
      </c>
    </row>
    <row r="22" spans="2:3">
      <c r="B22" s="420" t="s">
        <v>126</v>
      </c>
      <c r="C22" s="401">
        <v>97</v>
      </c>
    </row>
    <row r="23" spans="2:3">
      <c r="B23" s="420" t="s">
        <v>127</v>
      </c>
      <c r="C23" s="402">
        <v>586365270.75753868</v>
      </c>
    </row>
    <row r="24" spans="2:3">
      <c r="B24" s="420" t="s">
        <v>128</v>
      </c>
      <c r="C24" s="402">
        <v>6045002.7913148319</v>
      </c>
    </row>
    <row r="25" spans="2:3">
      <c r="B25" s="421" t="s">
        <v>129</v>
      </c>
      <c r="C25" s="422">
        <v>2458.6587382788266</v>
      </c>
    </row>
    <row r="26" spans="2:3">
      <c r="B26" s="421" t="s">
        <v>130</v>
      </c>
      <c r="C26" s="422">
        <v>5.8293902256075683</v>
      </c>
    </row>
    <row r="27" spans="2:3">
      <c r="B27" s="420" t="s">
        <v>179</v>
      </c>
      <c r="C27" s="402">
        <v>-1.7922041373245781</v>
      </c>
    </row>
    <row r="28" spans="2:3">
      <c r="B28" s="420" t="s">
        <v>180</v>
      </c>
      <c r="C28" s="402">
        <v>1730.9564624012346</v>
      </c>
    </row>
    <row r="29" spans="2:3" ht="16" thickBot="1">
      <c r="B29" s="423" t="s">
        <v>181</v>
      </c>
      <c r="C29" s="403">
        <v>0.64085939643696044</v>
      </c>
    </row>
    <row r="32" spans="2:3">
      <c r="B32" s="415" t="s">
        <v>182</v>
      </c>
    </row>
    <row r="33" spans="2:5" ht="16" thickBot="1"/>
    <row r="34" spans="2:5">
      <c r="B34" s="398" t="s">
        <v>178</v>
      </c>
      <c r="C34" s="399" t="s">
        <v>132</v>
      </c>
    </row>
    <row r="35" spans="2:5">
      <c r="B35" s="419" t="s">
        <v>183</v>
      </c>
      <c r="C35" s="400">
        <v>0.2</v>
      </c>
    </row>
    <row r="36" spans="2:5" ht="16" thickBot="1">
      <c r="B36" s="423" t="s">
        <v>184</v>
      </c>
      <c r="C36" s="404">
        <v>29226.3</v>
      </c>
    </row>
    <row r="39" spans="2:5">
      <c r="B39" s="415" t="s">
        <v>185</v>
      </c>
    </row>
    <row r="40" spans="2:5" ht="16" thickBot="1"/>
    <row r="41" spans="2:5">
      <c r="B41" s="406"/>
      <c r="C41" s="399" t="s">
        <v>176</v>
      </c>
      <c r="D41" s="399" t="s">
        <v>186</v>
      </c>
      <c r="E41" s="399" t="s">
        <v>134</v>
      </c>
    </row>
    <row r="42" spans="2:5">
      <c r="B42" s="400">
        <v>1</v>
      </c>
      <c r="C42" s="405">
        <v>29226.3</v>
      </c>
      <c r="D42" s="405"/>
      <c r="E42" s="405"/>
    </row>
    <row r="43" spans="2:5">
      <c r="B43" s="401">
        <v>2</v>
      </c>
      <c r="C43" s="402">
        <v>38153.9</v>
      </c>
      <c r="D43" s="402">
        <v>29226.3</v>
      </c>
      <c r="E43" s="402">
        <v>8927.6000000000022</v>
      </c>
    </row>
    <row r="44" spans="2:5">
      <c r="B44" s="401">
        <v>3</v>
      </c>
      <c r="C44" s="402">
        <v>39414.699999999997</v>
      </c>
      <c r="D44" s="402">
        <v>31011.82</v>
      </c>
      <c r="E44" s="402">
        <v>8402.8799999999974</v>
      </c>
    </row>
    <row r="45" spans="2:5">
      <c r="B45" s="401">
        <v>4</v>
      </c>
      <c r="C45" s="402">
        <v>37600.300000000003</v>
      </c>
      <c r="D45" s="402">
        <v>32692.396000000001</v>
      </c>
      <c r="E45" s="402">
        <v>4907.9040000000023</v>
      </c>
    </row>
    <row r="46" spans="2:5">
      <c r="B46" s="401">
        <v>5</v>
      </c>
      <c r="C46" s="402">
        <v>34100.6</v>
      </c>
      <c r="D46" s="402">
        <v>33673.976800000004</v>
      </c>
      <c r="E46" s="402">
        <v>426.62319999999454</v>
      </c>
    </row>
    <row r="47" spans="2:5">
      <c r="B47" s="401">
        <v>6</v>
      </c>
      <c r="C47" s="402">
        <v>39855.9</v>
      </c>
      <c r="D47" s="402">
        <v>33759.301440000003</v>
      </c>
      <c r="E47" s="402">
        <v>6096.5985599999985</v>
      </c>
    </row>
    <row r="48" spans="2:5">
      <c r="B48" s="401">
        <v>7</v>
      </c>
      <c r="C48" s="402">
        <v>36850</v>
      </c>
      <c r="D48" s="402">
        <v>34978.621152</v>
      </c>
      <c r="E48" s="402">
        <v>1871.3788480000003</v>
      </c>
    </row>
    <row r="49" spans="2:5">
      <c r="B49" s="401">
        <v>8</v>
      </c>
      <c r="C49" s="402">
        <v>31891</v>
      </c>
      <c r="D49" s="402">
        <v>35352.896921599997</v>
      </c>
      <c r="E49" s="402">
        <v>-3461.8969215999969</v>
      </c>
    </row>
    <row r="50" spans="2:5">
      <c r="B50" s="401">
        <v>9</v>
      </c>
      <c r="C50" s="402">
        <v>29775.4</v>
      </c>
      <c r="D50" s="402">
        <v>34660.51753728</v>
      </c>
      <c r="E50" s="402">
        <v>-4885.1175372799989</v>
      </c>
    </row>
    <row r="51" spans="2:5">
      <c r="B51" s="401">
        <v>10</v>
      </c>
      <c r="C51" s="402">
        <v>31878.400000000001</v>
      </c>
      <c r="D51" s="402">
        <v>33683.494029824004</v>
      </c>
      <c r="E51" s="402">
        <v>-1805.0940298240021</v>
      </c>
    </row>
    <row r="52" spans="2:5">
      <c r="B52" s="401">
        <v>11</v>
      </c>
      <c r="C52" s="402">
        <v>32743.3</v>
      </c>
      <c r="D52" s="402">
        <v>33322.475223859205</v>
      </c>
      <c r="E52" s="402">
        <v>-579.17522385920529</v>
      </c>
    </row>
    <row r="53" spans="2:5">
      <c r="B53" s="401">
        <v>12</v>
      </c>
      <c r="C53" s="402">
        <v>32667</v>
      </c>
      <c r="D53" s="402">
        <v>33206.640179087364</v>
      </c>
      <c r="E53" s="402">
        <v>-539.64017908736423</v>
      </c>
    </row>
    <row r="54" spans="2:5">
      <c r="B54" s="401">
        <v>13</v>
      </c>
      <c r="C54" s="402">
        <v>29213.599999999999</v>
      </c>
      <c r="D54" s="402">
        <v>33098.712143269891</v>
      </c>
      <c r="E54" s="402">
        <v>-3885.1121432698928</v>
      </c>
    </row>
    <row r="55" spans="2:5">
      <c r="B55" s="401">
        <v>14</v>
      </c>
      <c r="C55" s="402">
        <v>32091</v>
      </c>
      <c r="D55" s="402">
        <v>32321.689714615914</v>
      </c>
      <c r="E55" s="402">
        <v>-230.68971461591354</v>
      </c>
    </row>
    <row r="56" spans="2:5">
      <c r="B56" s="401">
        <v>15</v>
      </c>
      <c r="C56" s="402">
        <v>32247.5</v>
      </c>
      <c r="D56" s="402">
        <v>32275.551771692732</v>
      </c>
      <c r="E56" s="402">
        <v>-28.051771692731563</v>
      </c>
    </row>
    <row r="57" spans="2:5">
      <c r="B57" s="401">
        <v>16</v>
      </c>
      <c r="C57" s="402">
        <v>31778.799999999999</v>
      </c>
      <c r="D57" s="402">
        <v>32269.941417354185</v>
      </c>
      <c r="E57" s="402">
        <v>-491.14141735418525</v>
      </c>
    </row>
    <row r="58" spans="2:5">
      <c r="B58" s="401">
        <v>17</v>
      </c>
      <c r="C58" s="402">
        <v>29355.8</v>
      </c>
      <c r="D58" s="402">
        <v>32171.713133883346</v>
      </c>
      <c r="E58" s="402">
        <v>-2815.9131338833467</v>
      </c>
    </row>
    <row r="59" spans="2:5">
      <c r="B59" s="401">
        <v>18</v>
      </c>
      <c r="C59" s="402">
        <v>30408.799999999999</v>
      </c>
      <c r="D59" s="402">
        <v>31608.530507106676</v>
      </c>
      <c r="E59" s="402">
        <v>-1199.7305071066767</v>
      </c>
    </row>
    <row r="60" spans="2:5">
      <c r="B60" s="401">
        <v>19</v>
      </c>
      <c r="C60" s="402">
        <v>32011</v>
      </c>
      <c r="D60" s="402">
        <v>31368.584405685342</v>
      </c>
      <c r="E60" s="402">
        <v>642.41559431465794</v>
      </c>
    </row>
    <row r="61" spans="2:5">
      <c r="B61" s="401">
        <v>20</v>
      </c>
      <c r="C61" s="402">
        <v>32922.300000000003</v>
      </c>
      <c r="D61" s="402">
        <v>31497.067524548274</v>
      </c>
      <c r="E61" s="402">
        <v>1425.2324754517285</v>
      </c>
    </row>
    <row r="62" spans="2:5">
      <c r="B62" s="401">
        <v>21</v>
      </c>
      <c r="C62" s="402">
        <v>29569.8</v>
      </c>
      <c r="D62" s="402">
        <v>31782.114019638619</v>
      </c>
      <c r="E62" s="402">
        <v>-2212.3140196386194</v>
      </c>
    </row>
    <row r="63" spans="2:5">
      <c r="B63" s="401">
        <v>22</v>
      </c>
      <c r="C63" s="402">
        <v>30128.5</v>
      </c>
      <c r="D63" s="402">
        <v>31339.651215710895</v>
      </c>
      <c r="E63" s="402">
        <v>-1211.1512157108955</v>
      </c>
    </row>
    <row r="64" spans="2:5">
      <c r="B64" s="401">
        <v>23</v>
      </c>
      <c r="C64" s="402">
        <v>31302</v>
      </c>
      <c r="D64" s="402">
        <v>31097.420972568718</v>
      </c>
      <c r="E64" s="402">
        <v>204.57902743128216</v>
      </c>
    </row>
    <row r="65" spans="2:5">
      <c r="B65" s="401">
        <v>24</v>
      </c>
      <c r="C65" s="402">
        <v>31152.2</v>
      </c>
      <c r="D65" s="402">
        <v>31138.336778054974</v>
      </c>
      <c r="E65" s="402">
        <v>13.863221945026453</v>
      </c>
    </row>
    <row r="66" spans="2:5">
      <c r="B66" s="401">
        <v>25</v>
      </c>
      <c r="C66" s="402">
        <v>29930.400000000001</v>
      </c>
      <c r="D66" s="402">
        <v>31141.10942244398</v>
      </c>
      <c r="E66" s="402">
        <v>-1210.7094224439788</v>
      </c>
    </row>
    <row r="67" spans="2:5">
      <c r="B67" s="401">
        <v>26</v>
      </c>
      <c r="C67" s="402">
        <v>31080.5</v>
      </c>
      <c r="D67" s="402">
        <v>30898.967537955185</v>
      </c>
      <c r="E67" s="402">
        <v>181.53246204481547</v>
      </c>
    </row>
    <row r="68" spans="2:5">
      <c r="B68" s="401">
        <v>27</v>
      </c>
      <c r="C68" s="402">
        <v>32549.200000000001</v>
      </c>
      <c r="D68" s="402">
        <v>30935.274030364148</v>
      </c>
      <c r="E68" s="402">
        <v>1613.9259696358531</v>
      </c>
    </row>
    <row r="69" spans="2:5">
      <c r="B69" s="401">
        <v>28</v>
      </c>
      <c r="C69" s="402">
        <v>29440.2</v>
      </c>
      <c r="D69" s="402">
        <v>31258.059224291319</v>
      </c>
      <c r="E69" s="402">
        <v>-1817.8592242913182</v>
      </c>
    </row>
    <row r="70" spans="2:5">
      <c r="B70" s="401">
        <v>29</v>
      </c>
      <c r="C70" s="402">
        <v>28134.3</v>
      </c>
      <c r="D70" s="402">
        <v>30894.487379433056</v>
      </c>
      <c r="E70" s="402">
        <v>-2760.1873794330568</v>
      </c>
    </row>
    <row r="71" spans="2:5">
      <c r="B71" s="401">
        <v>30</v>
      </c>
      <c r="C71" s="402">
        <v>31911.599999999999</v>
      </c>
      <c r="D71" s="402">
        <v>30342.449903546443</v>
      </c>
      <c r="E71" s="402">
        <v>1569.1500964535553</v>
      </c>
    </row>
    <row r="72" spans="2:5">
      <c r="B72" s="401">
        <v>31</v>
      </c>
      <c r="C72" s="402">
        <v>28129.4</v>
      </c>
      <c r="D72" s="402">
        <v>30656.279922837155</v>
      </c>
      <c r="E72" s="402">
        <v>-2526.8799228371536</v>
      </c>
    </row>
    <row r="73" spans="2:5">
      <c r="B73" s="401">
        <v>32</v>
      </c>
      <c r="C73" s="402">
        <v>32750.5</v>
      </c>
      <c r="D73" s="402">
        <v>30150.903938269723</v>
      </c>
      <c r="E73" s="402">
        <v>2599.5960617302771</v>
      </c>
    </row>
    <row r="74" spans="2:5">
      <c r="B74" s="401">
        <v>33</v>
      </c>
      <c r="C74" s="402">
        <v>37531.800000000003</v>
      </c>
      <c r="D74" s="402">
        <v>30670.823150615779</v>
      </c>
      <c r="E74" s="402">
        <v>6860.9768493842239</v>
      </c>
    </row>
    <row r="75" spans="2:5">
      <c r="B75" s="401">
        <v>34</v>
      </c>
      <c r="C75" s="402">
        <v>35977.9</v>
      </c>
      <c r="D75" s="402">
        <v>32043.018520492624</v>
      </c>
      <c r="E75" s="402">
        <v>3934.8814795073777</v>
      </c>
    </row>
    <row r="76" spans="2:5">
      <c r="B76" s="401">
        <v>35</v>
      </c>
      <c r="C76" s="402">
        <v>36124.800000000003</v>
      </c>
      <c r="D76" s="402">
        <v>32829.994816394101</v>
      </c>
      <c r="E76" s="402">
        <v>3294.8051836059021</v>
      </c>
    </row>
    <row r="77" spans="2:5">
      <c r="B77" s="401">
        <v>36</v>
      </c>
      <c r="C77" s="402">
        <v>35890.400000000001</v>
      </c>
      <c r="D77" s="402">
        <v>33488.95585311528</v>
      </c>
      <c r="E77" s="402">
        <v>2401.4441468847217</v>
      </c>
    </row>
    <row r="78" spans="2:5">
      <c r="B78" s="401">
        <v>37</v>
      </c>
      <c r="C78" s="402">
        <v>29915.4</v>
      </c>
      <c r="D78" s="402">
        <v>33969.244682492223</v>
      </c>
      <c r="E78" s="402">
        <v>-4053.8446824922212</v>
      </c>
    </row>
    <row r="79" spans="2:5">
      <c r="B79" s="401">
        <v>38</v>
      </c>
      <c r="C79" s="402">
        <v>29001.3</v>
      </c>
      <c r="D79" s="402">
        <v>33158.475745993775</v>
      </c>
      <c r="E79" s="402">
        <v>-4157.1757459937762</v>
      </c>
    </row>
    <row r="80" spans="2:5">
      <c r="B80" s="401">
        <v>39</v>
      </c>
      <c r="C80" s="402">
        <v>28504.400000000001</v>
      </c>
      <c r="D80" s="402">
        <v>32327.040596795021</v>
      </c>
      <c r="E80" s="402">
        <v>-3822.6405967950195</v>
      </c>
    </row>
    <row r="81" spans="2:5">
      <c r="B81" s="401">
        <v>40</v>
      </c>
      <c r="C81" s="402">
        <v>31735.1</v>
      </c>
      <c r="D81" s="402">
        <v>31562.512477436016</v>
      </c>
      <c r="E81" s="402">
        <v>172.58752256398293</v>
      </c>
    </row>
    <row r="82" spans="2:5">
      <c r="B82" s="401">
        <v>41</v>
      </c>
      <c r="C82" s="402">
        <v>30061.5</v>
      </c>
      <c r="D82" s="402">
        <v>31597.029981948814</v>
      </c>
      <c r="E82" s="402">
        <v>-1535.5299819488137</v>
      </c>
    </row>
    <row r="83" spans="2:5">
      <c r="B83" s="401">
        <v>42</v>
      </c>
      <c r="C83" s="402">
        <v>30531.200000000001</v>
      </c>
      <c r="D83" s="402">
        <v>31289.923985559049</v>
      </c>
      <c r="E83" s="402">
        <v>-758.72398555904874</v>
      </c>
    </row>
    <row r="84" spans="2:5">
      <c r="B84" s="401">
        <v>43</v>
      </c>
      <c r="C84" s="402">
        <v>31297.200000000001</v>
      </c>
      <c r="D84" s="402">
        <v>31138.17918844724</v>
      </c>
      <c r="E84" s="402">
        <v>159.02081155276028</v>
      </c>
    </row>
    <row r="85" spans="2:5">
      <c r="B85" s="401">
        <v>44</v>
      </c>
      <c r="C85" s="402">
        <v>28978.2</v>
      </c>
      <c r="D85" s="402">
        <v>31169.983350757793</v>
      </c>
      <c r="E85" s="402">
        <v>-2191.7833507577925</v>
      </c>
    </row>
    <row r="86" spans="2:5">
      <c r="B86" s="401">
        <v>45</v>
      </c>
      <c r="C86" s="402">
        <v>27903.9</v>
      </c>
      <c r="D86" s="402">
        <v>30731.626680606234</v>
      </c>
      <c r="E86" s="402">
        <v>-2827.7266806062325</v>
      </c>
    </row>
    <row r="87" spans="2:5">
      <c r="B87" s="401">
        <v>46</v>
      </c>
      <c r="C87" s="402">
        <v>28861.1</v>
      </c>
      <c r="D87" s="402">
        <v>30166.081344484988</v>
      </c>
      <c r="E87" s="402">
        <v>-1304.9813444849897</v>
      </c>
    </row>
    <row r="88" spans="2:5">
      <c r="B88" s="401">
        <v>47</v>
      </c>
      <c r="C88" s="402">
        <v>27362.3</v>
      </c>
      <c r="D88" s="402">
        <v>29905.085075587991</v>
      </c>
      <c r="E88" s="402">
        <v>-2542.7850755879917</v>
      </c>
    </row>
    <row r="89" spans="2:5">
      <c r="B89" s="401">
        <v>48</v>
      </c>
      <c r="C89" s="402">
        <v>27219.599999999999</v>
      </c>
      <c r="D89" s="402">
        <v>29396.528060470391</v>
      </c>
      <c r="E89" s="402">
        <v>-2176.9280604703927</v>
      </c>
    </row>
    <row r="90" spans="2:5">
      <c r="B90" s="401">
        <v>49</v>
      </c>
      <c r="C90" s="402">
        <v>23945.599999999999</v>
      </c>
      <c r="D90" s="402">
        <v>28961.142448376311</v>
      </c>
      <c r="E90" s="402">
        <v>-5015.5424483763127</v>
      </c>
    </row>
    <row r="91" spans="2:5">
      <c r="B91" s="401">
        <v>50</v>
      </c>
      <c r="C91" s="402">
        <v>24871.3</v>
      </c>
      <c r="D91" s="402">
        <v>27958.033958701049</v>
      </c>
      <c r="E91" s="402">
        <v>-3086.7339587010501</v>
      </c>
    </row>
    <row r="92" spans="2:5">
      <c r="B92" s="401">
        <v>51</v>
      </c>
      <c r="C92" s="402">
        <v>25135.8</v>
      </c>
      <c r="D92" s="402">
        <v>27340.687166960841</v>
      </c>
      <c r="E92" s="402">
        <v>-2204.8871669608416</v>
      </c>
    </row>
    <row r="93" spans="2:5">
      <c r="B93" s="401">
        <v>52</v>
      </c>
      <c r="C93" s="402">
        <v>25755.8</v>
      </c>
      <c r="D93" s="402">
        <v>26899.709733568674</v>
      </c>
      <c r="E93" s="402">
        <v>-1143.9097335686747</v>
      </c>
    </row>
    <row r="94" spans="2:5">
      <c r="B94" s="401">
        <v>53</v>
      </c>
      <c r="C94" s="402">
        <v>26175.9</v>
      </c>
      <c r="D94" s="402">
        <v>26670.92778685494</v>
      </c>
      <c r="E94" s="402">
        <v>-495.02778685493831</v>
      </c>
    </row>
    <row r="95" spans="2:5">
      <c r="B95" s="401">
        <v>54</v>
      </c>
      <c r="C95" s="402">
        <v>28491.9</v>
      </c>
      <c r="D95" s="402">
        <v>26571.922229483953</v>
      </c>
      <c r="E95" s="402">
        <v>1919.9777705160486</v>
      </c>
    </row>
    <row r="96" spans="2:5">
      <c r="B96" s="401">
        <v>55</v>
      </c>
      <c r="C96" s="402">
        <v>29512</v>
      </c>
      <c r="D96" s="402">
        <v>26955.917783587163</v>
      </c>
      <c r="E96" s="402">
        <v>2556.0822164128367</v>
      </c>
    </row>
    <row r="97" spans="2:5">
      <c r="B97" s="401">
        <v>56</v>
      </c>
      <c r="C97" s="402">
        <v>27895.8</v>
      </c>
      <c r="D97" s="402">
        <v>27467.13422686973</v>
      </c>
      <c r="E97" s="402">
        <v>428.66577313026937</v>
      </c>
    </row>
    <row r="98" spans="2:5">
      <c r="B98" s="401">
        <v>57</v>
      </c>
      <c r="C98" s="402">
        <v>26771.200000000001</v>
      </c>
      <c r="D98" s="402">
        <v>27552.867381495784</v>
      </c>
      <c r="E98" s="402">
        <v>-781.66738149578305</v>
      </c>
    </row>
    <row r="99" spans="2:5">
      <c r="B99" s="401">
        <v>58</v>
      </c>
      <c r="C99" s="402">
        <v>27559.599999999999</v>
      </c>
      <c r="D99" s="402">
        <v>27396.533905196626</v>
      </c>
      <c r="E99" s="402">
        <v>163.06609480337283</v>
      </c>
    </row>
    <row r="100" spans="2:5">
      <c r="B100" s="401">
        <v>59</v>
      </c>
      <c r="C100" s="402">
        <v>28067.599999999999</v>
      </c>
      <c r="D100" s="402">
        <v>27429.147124157302</v>
      </c>
      <c r="E100" s="402">
        <v>638.45287584269681</v>
      </c>
    </row>
    <row r="101" spans="2:5">
      <c r="B101" s="401">
        <v>60</v>
      </c>
      <c r="C101" s="402">
        <v>27697.8</v>
      </c>
      <c r="D101" s="402">
        <v>27556.837699325843</v>
      </c>
      <c r="E101" s="402">
        <v>140.96230067415672</v>
      </c>
    </row>
    <row r="102" spans="2:5">
      <c r="B102" s="401">
        <v>61</v>
      </c>
      <c r="C102" s="402">
        <v>26401.9</v>
      </c>
      <c r="D102" s="402">
        <v>27585.030159460675</v>
      </c>
      <c r="E102" s="402">
        <v>-1183.1301594606739</v>
      </c>
    </row>
    <row r="103" spans="2:5">
      <c r="B103" s="401">
        <v>62</v>
      </c>
      <c r="C103" s="402">
        <v>28462.7</v>
      </c>
      <c r="D103" s="402">
        <v>27348.404127568541</v>
      </c>
      <c r="E103" s="402">
        <v>1114.2958724314594</v>
      </c>
    </row>
    <row r="104" spans="2:5">
      <c r="B104" s="401">
        <v>63</v>
      </c>
      <c r="C104" s="402">
        <v>28252.2</v>
      </c>
      <c r="D104" s="402">
        <v>27571.263302054835</v>
      </c>
      <c r="E104" s="402">
        <v>680.93669794516609</v>
      </c>
    </row>
    <row r="105" spans="2:5">
      <c r="B105" s="401">
        <v>64</v>
      </c>
      <c r="C105" s="402">
        <v>28430.400000000001</v>
      </c>
      <c r="D105" s="402">
        <v>27707.450641643867</v>
      </c>
      <c r="E105" s="402">
        <v>722.94935835613433</v>
      </c>
    </row>
    <row r="106" spans="2:5">
      <c r="B106" s="401">
        <v>65</v>
      </c>
      <c r="C106" s="402">
        <v>28234.6</v>
      </c>
      <c r="D106" s="402">
        <v>27852.040513315093</v>
      </c>
      <c r="E106" s="402">
        <v>382.55948668490601</v>
      </c>
    </row>
    <row r="107" spans="2:5">
      <c r="B107" s="401">
        <v>66</v>
      </c>
      <c r="C107" s="402">
        <v>27960.799999999999</v>
      </c>
      <c r="D107" s="402">
        <v>27928.552410652075</v>
      </c>
      <c r="E107" s="402">
        <v>32.247589347924077</v>
      </c>
    </row>
    <row r="108" spans="2:5">
      <c r="B108" s="401">
        <v>67</v>
      </c>
      <c r="C108" s="402">
        <v>28676.9</v>
      </c>
      <c r="D108" s="402">
        <v>27935.001928521659</v>
      </c>
      <c r="E108" s="402">
        <v>741.8980714783429</v>
      </c>
    </row>
    <row r="109" spans="2:5">
      <c r="B109" s="401">
        <v>68</v>
      </c>
      <c r="C109" s="402">
        <v>28780.9</v>
      </c>
      <c r="D109" s="402">
        <v>28083.381542817326</v>
      </c>
      <c r="E109" s="402">
        <v>697.51845718267577</v>
      </c>
    </row>
    <row r="110" spans="2:5">
      <c r="B110" s="401">
        <v>69</v>
      </c>
      <c r="C110" s="402">
        <v>24749.5</v>
      </c>
      <c r="D110" s="402">
        <v>28222.885234253859</v>
      </c>
      <c r="E110" s="402">
        <v>-3473.3852342538594</v>
      </c>
    </row>
    <row r="111" spans="2:5">
      <c r="B111" s="401">
        <v>70</v>
      </c>
      <c r="C111" s="402">
        <v>27228.400000000001</v>
      </c>
      <c r="D111" s="402">
        <v>27528.208187403088</v>
      </c>
      <c r="E111" s="402">
        <v>-299.80818740308678</v>
      </c>
    </row>
    <row r="112" spans="2:5">
      <c r="B112" s="401">
        <v>71</v>
      </c>
      <c r="C112" s="402">
        <v>27615.3</v>
      </c>
      <c r="D112" s="402">
        <v>27468.246549922471</v>
      </c>
      <c r="E112" s="402">
        <v>147.0534500775284</v>
      </c>
    </row>
    <row r="113" spans="2:5">
      <c r="B113" s="401">
        <v>72</v>
      </c>
      <c r="C113" s="402">
        <v>24988.7</v>
      </c>
      <c r="D113" s="402">
        <v>27497.657239937977</v>
      </c>
      <c r="E113" s="402">
        <v>-2508.9572399379758</v>
      </c>
    </row>
    <row r="114" spans="2:5">
      <c r="B114" s="401">
        <v>73</v>
      </c>
      <c r="C114" s="402">
        <v>25172.1</v>
      </c>
      <c r="D114" s="402">
        <v>26995.865791950382</v>
      </c>
      <c r="E114" s="402">
        <v>-1823.7657919503836</v>
      </c>
    </row>
    <row r="115" spans="2:5">
      <c r="B115" s="401">
        <v>74</v>
      </c>
      <c r="C115" s="402">
        <v>26022.799999999999</v>
      </c>
      <c r="D115" s="402">
        <v>26631.112633560304</v>
      </c>
      <c r="E115" s="402">
        <v>-608.31263356030468</v>
      </c>
    </row>
    <row r="116" spans="2:5">
      <c r="B116" s="401">
        <v>75</v>
      </c>
      <c r="C116" s="402">
        <v>25934</v>
      </c>
      <c r="D116" s="402">
        <v>26509.450106848242</v>
      </c>
      <c r="E116" s="402">
        <v>-575.45010684824229</v>
      </c>
    </row>
    <row r="117" spans="2:5">
      <c r="B117" s="401">
        <v>76</v>
      </c>
      <c r="C117" s="402">
        <v>26481.599999999999</v>
      </c>
      <c r="D117" s="402">
        <v>26394.360085478595</v>
      </c>
      <c r="E117" s="402">
        <v>87.239914521403989</v>
      </c>
    </row>
    <row r="118" spans="2:5">
      <c r="B118" s="401">
        <v>77</v>
      </c>
      <c r="C118" s="402">
        <v>25597.599999999999</v>
      </c>
      <c r="D118" s="402">
        <v>26411.808068382874</v>
      </c>
      <c r="E118" s="402">
        <v>-814.20806838287535</v>
      </c>
    </row>
    <row r="119" spans="2:5">
      <c r="B119" s="401">
        <v>78</v>
      </c>
      <c r="C119" s="402">
        <v>27424</v>
      </c>
      <c r="D119" s="402">
        <v>26248.9664547063</v>
      </c>
      <c r="E119" s="402">
        <v>1175.0335452936997</v>
      </c>
    </row>
    <row r="120" spans="2:5">
      <c r="B120" s="401">
        <v>79</v>
      </c>
      <c r="C120" s="402">
        <v>26599.4</v>
      </c>
      <c r="D120" s="402">
        <v>26483.97316376504</v>
      </c>
      <c r="E120" s="402">
        <v>115.42683623496123</v>
      </c>
    </row>
    <row r="121" spans="2:5">
      <c r="B121" s="401">
        <v>80</v>
      </c>
      <c r="C121" s="402">
        <v>25980.5</v>
      </c>
      <c r="D121" s="402">
        <v>26507.058531012033</v>
      </c>
      <c r="E121" s="402">
        <v>-526.5585310120332</v>
      </c>
    </row>
    <row r="122" spans="2:5">
      <c r="B122" s="401">
        <v>81</v>
      </c>
      <c r="C122" s="402">
        <v>24525.1</v>
      </c>
      <c r="D122" s="402">
        <v>26401.746824809627</v>
      </c>
      <c r="E122" s="402">
        <v>-1876.646824809628</v>
      </c>
    </row>
    <row r="123" spans="2:5">
      <c r="B123" s="401">
        <v>82</v>
      </c>
      <c r="C123" s="402">
        <v>23431.7</v>
      </c>
      <c r="D123" s="402">
        <v>26026.4174598477</v>
      </c>
      <c r="E123" s="402">
        <v>-2594.7174598476995</v>
      </c>
    </row>
    <row r="124" spans="2:5">
      <c r="B124" s="401">
        <v>83</v>
      </c>
      <c r="C124" s="402">
        <v>23965.3</v>
      </c>
      <c r="D124" s="402">
        <v>25507.473967878159</v>
      </c>
      <c r="E124" s="402">
        <v>-1542.1739678781596</v>
      </c>
    </row>
    <row r="125" spans="2:5">
      <c r="B125" s="401">
        <v>84</v>
      </c>
      <c r="C125" s="402">
        <v>23474.799999999999</v>
      </c>
      <c r="D125" s="402">
        <v>25199.039174302528</v>
      </c>
      <c r="E125" s="402">
        <v>-1724.2391743025291</v>
      </c>
    </row>
    <row r="126" spans="2:5">
      <c r="B126" s="401">
        <v>85</v>
      </c>
      <c r="C126" s="402">
        <v>23384.799999999999</v>
      </c>
      <c r="D126" s="402">
        <v>24854.191339442023</v>
      </c>
      <c r="E126" s="402">
        <v>-1469.3913394420233</v>
      </c>
    </row>
    <row r="127" spans="2:5">
      <c r="B127" s="401">
        <v>86</v>
      </c>
      <c r="C127" s="402">
        <v>23808.7</v>
      </c>
      <c r="D127" s="402">
        <v>24560.313071553617</v>
      </c>
      <c r="E127" s="402">
        <v>-751.61307155361646</v>
      </c>
    </row>
    <row r="128" spans="2:5">
      <c r="B128" s="401">
        <v>87</v>
      </c>
      <c r="C128" s="402">
        <v>24311.7</v>
      </c>
      <c r="D128" s="402">
        <v>24409.990457242893</v>
      </c>
      <c r="E128" s="402">
        <v>-98.290457242892444</v>
      </c>
    </row>
    <row r="129" spans="2:8">
      <c r="B129" s="401">
        <v>88</v>
      </c>
      <c r="C129" s="402">
        <v>25315.1</v>
      </c>
      <c r="D129" s="402">
        <v>24390.332365794315</v>
      </c>
      <c r="E129" s="402">
        <v>924.76763420568386</v>
      </c>
    </row>
    <row r="130" spans="2:8">
      <c r="B130" s="401">
        <v>89</v>
      </c>
      <c r="C130" s="402">
        <v>23129.9</v>
      </c>
      <c r="D130" s="402">
        <v>24575.285892635453</v>
      </c>
      <c r="E130" s="402">
        <v>-1445.3858926354515</v>
      </c>
    </row>
    <row r="131" spans="2:8">
      <c r="B131" s="401">
        <v>90</v>
      </c>
      <c r="C131" s="402">
        <v>23324.9</v>
      </c>
      <c r="D131" s="402">
        <v>24286.208714108361</v>
      </c>
      <c r="E131" s="402">
        <v>-961.30871410835971</v>
      </c>
    </row>
    <row r="132" spans="2:8">
      <c r="B132" s="401">
        <v>91</v>
      </c>
      <c r="C132" s="402">
        <v>23889.9</v>
      </c>
      <c r="D132" s="402">
        <v>24093.946971286688</v>
      </c>
      <c r="E132" s="402">
        <v>-204.04697128668704</v>
      </c>
    </row>
    <row r="133" spans="2:8">
      <c r="B133" s="401">
        <v>92</v>
      </c>
      <c r="C133" s="402">
        <v>23206.6</v>
      </c>
      <c r="D133" s="402">
        <v>24053.137577029353</v>
      </c>
      <c r="E133" s="402">
        <v>-846.537577029354</v>
      </c>
    </row>
    <row r="134" spans="2:8">
      <c r="B134" s="401">
        <v>93</v>
      </c>
      <c r="C134" s="402">
        <v>21934.5</v>
      </c>
      <c r="D134" s="402">
        <v>23883.830061623481</v>
      </c>
      <c r="E134" s="402">
        <v>-1949.330061623481</v>
      </c>
    </row>
    <row r="135" spans="2:8">
      <c r="B135" s="401">
        <v>94</v>
      </c>
      <c r="C135" s="402">
        <v>22573.1</v>
      </c>
      <c r="D135" s="402">
        <v>23493.964049298786</v>
      </c>
      <c r="E135" s="402">
        <v>-920.86404929878699</v>
      </c>
    </row>
    <row r="136" spans="2:8">
      <c r="B136" s="401">
        <v>95</v>
      </c>
      <c r="C136" s="402">
        <v>23162.799999999999</v>
      </c>
      <c r="D136" s="402">
        <v>23309.79123943903</v>
      </c>
      <c r="E136" s="402">
        <v>-146.99123943903032</v>
      </c>
    </row>
    <row r="137" spans="2:8">
      <c r="B137" s="401">
        <v>96</v>
      </c>
      <c r="C137" s="402">
        <v>23253.4</v>
      </c>
      <c r="D137" s="402">
        <v>23280.392991551224</v>
      </c>
      <c r="E137" s="402">
        <v>-26.992991551222076</v>
      </c>
    </row>
    <row r="138" spans="2:8">
      <c r="B138" s="401">
        <v>97</v>
      </c>
      <c r="C138" s="402">
        <v>22341</v>
      </c>
      <c r="D138" s="402">
        <v>23274.994393240981</v>
      </c>
      <c r="E138" s="402">
        <v>-933.99439324098057</v>
      </c>
    </row>
    <row r="139" spans="2:8" ht="16" thickBot="1">
      <c r="B139" s="404">
        <v>98</v>
      </c>
      <c r="C139" s="403">
        <v>22628.2</v>
      </c>
      <c r="D139" s="403">
        <v>23088.195514592786</v>
      </c>
      <c r="E139" s="403">
        <v>-459.99551459278518</v>
      </c>
      <c r="H139" s="424">
        <v>0</v>
      </c>
    </row>
    <row r="158" spans="7:7">
      <c r="G158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DD114218">
              <controlPr defaultSize="0" autoFill="0" autoPict="0" macro="[2]!GoToResultsNew101420184095748">
                <anchor moveWithCells="1">
                  <from>
                    <xdr:col>0</xdr:col>
                    <xdr:colOff>330200</xdr:colOff>
                    <xdr:row>8</xdr:row>
                    <xdr:rowOff>0</xdr:rowOff>
                  </from>
                  <to>
                    <xdr:col>3</xdr:col>
                    <xdr:colOff>177800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C51DE7-4A64-B243-BB44-3A66BE0137D9}">
  <dimension ref="B1:I160"/>
  <sheetViews>
    <sheetView topLeftCell="A10" workbookViewId="0">
      <selection activeCell="R151" sqref="R151"/>
    </sheetView>
  </sheetViews>
  <sheetFormatPr baseColWidth="10" defaultColWidth="8.83203125" defaultRowHeight="15"/>
  <cols>
    <col min="1" max="1" width="5" customWidth="1"/>
    <col min="3" max="3" width="13.6640625" bestFit="1" customWidth="1"/>
    <col min="4" max="4" width="21.1640625" bestFit="1" customWidth="1"/>
    <col min="6" max="8" width="9.5" bestFit="1" customWidth="1"/>
  </cols>
  <sheetData>
    <row r="1" spans="2:9">
      <c r="B1" t="s">
        <v>187</v>
      </c>
    </row>
    <row r="2" spans="2:9">
      <c r="B2" t="s">
        <v>188</v>
      </c>
    </row>
    <row r="3" spans="2:9">
      <c r="B3" t="s">
        <v>189</v>
      </c>
    </row>
    <row r="4" spans="2:9">
      <c r="B4" t="s">
        <v>190</v>
      </c>
    </row>
    <row r="5" spans="2:9">
      <c r="B5" t="s">
        <v>191</v>
      </c>
    </row>
    <row r="6" spans="2:9">
      <c r="B6" t="s">
        <v>192</v>
      </c>
    </row>
    <row r="7" spans="2:9">
      <c r="B7" t="s">
        <v>115</v>
      </c>
    </row>
    <row r="8" spans="2:9" ht="34.25" customHeight="1"/>
    <row r="9" spans="2:9" ht="16.25" customHeight="1"/>
    <row r="12" spans="2:9">
      <c r="B12" s="415" t="s">
        <v>116</v>
      </c>
    </row>
    <row r="13" spans="2:9" ht="16" thickBot="1"/>
    <row r="14" spans="2:9">
      <c r="B14" s="398" t="s">
        <v>117</v>
      </c>
      <c r="C14" s="399" t="s">
        <v>118</v>
      </c>
      <c r="D14" s="399" t="s">
        <v>119</v>
      </c>
      <c r="E14" s="399" t="s">
        <v>120</v>
      </c>
      <c r="F14" s="399" t="s">
        <v>121</v>
      </c>
      <c r="G14" s="399" t="s">
        <v>122</v>
      </c>
      <c r="H14" s="399" t="s">
        <v>123</v>
      </c>
      <c r="I14" s="399" t="s">
        <v>124</v>
      </c>
    </row>
    <row r="15" spans="2:9" ht="16" thickBot="1">
      <c r="B15" s="416" t="s">
        <v>176</v>
      </c>
      <c r="C15" s="417">
        <v>98</v>
      </c>
      <c r="D15" s="417">
        <v>0</v>
      </c>
      <c r="E15" s="417">
        <v>98</v>
      </c>
      <c r="F15" s="418">
        <v>21934.5</v>
      </c>
      <c r="G15" s="418">
        <v>39855.9</v>
      </c>
      <c r="H15" s="418">
        <v>28670.37142857143</v>
      </c>
      <c r="I15" s="418">
        <v>4103.0567423229322</v>
      </c>
    </row>
    <row r="18" spans="2:3">
      <c r="B18" s="415" t="s">
        <v>177</v>
      </c>
    </row>
    <row r="19" spans="2:3" ht="16" thickBot="1"/>
    <row r="20" spans="2:3">
      <c r="B20" s="398" t="s">
        <v>178</v>
      </c>
      <c r="C20" s="399" t="s">
        <v>125</v>
      </c>
    </row>
    <row r="21" spans="2:3">
      <c r="B21" s="419" t="s">
        <v>118</v>
      </c>
      <c r="C21" s="400">
        <v>98</v>
      </c>
    </row>
    <row r="22" spans="2:3">
      <c r="B22" s="420" t="s">
        <v>126</v>
      </c>
      <c r="C22" s="401">
        <v>94</v>
      </c>
    </row>
    <row r="23" spans="2:3">
      <c r="B23" s="420" t="s">
        <v>127</v>
      </c>
      <c r="C23" s="402">
        <v>659681460.50049901</v>
      </c>
    </row>
    <row r="24" spans="2:3">
      <c r="B24" s="420" t="s">
        <v>128</v>
      </c>
      <c r="C24" s="402">
        <v>7017887.8776648827</v>
      </c>
    </row>
    <row r="25" spans="2:3">
      <c r="B25" s="421" t="s">
        <v>129</v>
      </c>
      <c r="C25" s="422">
        <v>2649.1296453108675</v>
      </c>
    </row>
    <row r="26" spans="2:3">
      <c r="B26" s="421" t="s">
        <v>130</v>
      </c>
      <c r="C26" s="422">
        <v>6.2747505250322959</v>
      </c>
    </row>
    <row r="27" spans="2:3">
      <c r="B27" s="420" t="s">
        <v>179</v>
      </c>
      <c r="C27" s="402">
        <v>-0.72389207003296718</v>
      </c>
    </row>
    <row r="28" spans="2:3">
      <c r="B28" s="420" t="s">
        <v>180</v>
      </c>
      <c r="C28" s="402">
        <v>1869.667102746522</v>
      </c>
    </row>
    <row r="29" spans="2:3" ht="16" thickBot="1">
      <c r="B29" s="423" t="s">
        <v>181</v>
      </c>
      <c r="C29" s="403">
        <v>0.57210941947339655</v>
      </c>
    </row>
    <row r="32" spans="2:3">
      <c r="B32" s="415" t="s">
        <v>182</v>
      </c>
    </row>
    <row r="33" spans="2:5" ht="16" thickBot="1"/>
    <row r="34" spans="2:5">
      <c r="B34" s="398" t="s">
        <v>178</v>
      </c>
      <c r="C34" s="399" t="s">
        <v>132</v>
      </c>
    </row>
    <row r="35" spans="2:5">
      <c r="B35" s="419" t="s">
        <v>183</v>
      </c>
      <c r="C35" s="400">
        <v>0.2</v>
      </c>
    </row>
    <row r="36" spans="2:5">
      <c r="B36" s="420" t="s">
        <v>193</v>
      </c>
      <c r="C36" s="401">
        <v>0.2</v>
      </c>
    </row>
    <row r="37" spans="2:5">
      <c r="B37" s="420" t="s">
        <v>184</v>
      </c>
      <c r="C37" s="402">
        <v>29226.3</v>
      </c>
    </row>
    <row r="38" spans="2:5" ht="16" thickBot="1">
      <c r="B38" s="423" t="s">
        <v>194</v>
      </c>
      <c r="C38" s="403">
        <v>0</v>
      </c>
    </row>
    <row r="41" spans="2:5">
      <c r="B41" s="415" t="s">
        <v>185</v>
      </c>
    </row>
    <row r="42" spans="2:5" ht="16" thickBot="1"/>
    <row r="43" spans="2:5">
      <c r="B43" s="406"/>
      <c r="C43" s="399" t="s">
        <v>176</v>
      </c>
      <c r="D43" s="399" t="s">
        <v>195</v>
      </c>
      <c r="E43" s="399" t="s">
        <v>134</v>
      </c>
    </row>
    <row r="44" spans="2:5">
      <c r="B44" s="400">
        <v>1</v>
      </c>
      <c r="C44" s="405">
        <v>29226.3</v>
      </c>
      <c r="D44" s="405"/>
      <c r="E44" s="405"/>
    </row>
    <row r="45" spans="2:5">
      <c r="B45" s="401">
        <v>2</v>
      </c>
      <c r="C45" s="402">
        <v>38153.9</v>
      </c>
      <c r="D45" s="402">
        <v>29226.3</v>
      </c>
      <c r="E45" s="402">
        <v>8927.6000000000022</v>
      </c>
    </row>
    <row r="46" spans="2:5">
      <c r="B46" s="401">
        <v>3</v>
      </c>
      <c r="C46" s="402">
        <v>39414.699999999997</v>
      </c>
      <c r="D46" s="402">
        <v>31368.923999999999</v>
      </c>
      <c r="E46" s="402">
        <v>8045.775999999998</v>
      </c>
    </row>
    <row r="47" spans="2:5">
      <c r="B47" s="401">
        <v>4</v>
      </c>
      <c r="C47" s="402">
        <v>37600.300000000003</v>
      </c>
      <c r="D47" s="402">
        <v>33657.014239999997</v>
      </c>
      <c r="E47" s="402">
        <v>3943.2857600000061</v>
      </c>
    </row>
    <row r="48" spans="2:5">
      <c r="B48" s="401">
        <v>5</v>
      </c>
      <c r="C48" s="402">
        <v>34100.6</v>
      </c>
      <c r="D48" s="402">
        <v>35282.337862400003</v>
      </c>
      <c r="E48" s="402">
        <v>-1181.7378624000048</v>
      </c>
    </row>
    <row r="49" spans="2:5">
      <c r="B49" s="401">
        <v>6</v>
      </c>
      <c r="C49" s="402">
        <v>39855.9</v>
      </c>
      <c r="D49" s="402">
        <v>35835.387245824</v>
      </c>
      <c r="E49" s="402">
        <v>4020.5127541760012</v>
      </c>
    </row>
    <row r="50" spans="2:5">
      <c r="B50" s="401">
        <v>7</v>
      </c>
      <c r="C50" s="402">
        <v>36850</v>
      </c>
      <c r="D50" s="402">
        <v>37589.70726273024</v>
      </c>
      <c r="E50" s="402">
        <v>-739.70726273024047</v>
      </c>
    </row>
    <row r="51" spans="2:5">
      <c r="B51" s="401">
        <v>8</v>
      </c>
      <c r="C51" s="402">
        <v>31891</v>
      </c>
      <c r="D51" s="402">
        <v>38362.394985746025</v>
      </c>
      <c r="E51" s="402">
        <v>-6471.3949857460248</v>
      </c>
    </row>
    <row r="52" spans="2:5">
      <c r="B52" s="401">
        <v>9</v>
      </c>
      <c r="C52" s="402">
        <v>29775.4</v>
      </c>
      <c r="D52" s="402">
        <v>37729.889364728813</v>
      </c>
      <c r="E52" s="402">
        <v>-7954.4893647288118</v>
      </c>
    </row>
    <row r="53" spans="2:5">
      <c r="B53" s="401">
        <v>10</v>
      </c>
      <c r="C53" s="402">
        <v>31878.400000000001</v>
      </c>
      <c r="D53" s="402">
        <v>36482.585293325894</v>
      </c>
      <c r="E53" s="402">
        <v>-4604.1852933258924</v>
      </c>
    </row>
    <row r="54" spans="2:5">
      <c r="B54" s="401">
        <v>11</v>
      </c>
      <c r="C54" s="402">
        <v>32743.3</v>
      </c>
      <c r="D54" s="402">
        <v>35721.174624470514</v>
      </c>
      <c r="E54" s="402">
        <v>-2977.8746244705144</v>
      </c>
    </row>
    <row r="55" spans="2:5">
      <c r="B55" s="401">
        <v>12</v>
      </c>
      <c r="C55" s="402">
        <v>32667</v>
      </c>
      <c r="D55" s="402">
        <v>35165.911104407394</v>
      </c>
      <c r="E55" s="402">
        <v>-2498.9111044073943</v>
      </c>
    </row>
    <row r="56" spans="2:5">
      <c r="B56" s="401">
        <v>13</v>
      </c>
      <c r="C56" s="402">
        <v>29213.599999999999</v>
      </c>
      <c r="D56" s="402">
        <v>34606.483844180606</v>
      </c>
      <c r="E56" s="402">
        <v>-5392.8838441806074</v>
      </c>
    </row>
    <row r="57" spans="2:5">
      <c r="B57" s="401">
        <v>14</v>
      </c>
      <c r="C57" s="402">
        <v>32091</v>
      </c>
      <c r="D57" s="402">
        <v>33252.546682231943</v>
      </c>
      <c r="E57" s="402">
        <v>-1161.5466822319431</v>
      </c>
    </row>
    <row r="58" spans="2:5">
      <c r="B58" s="401">
        <v>15</v>
      </c>
      <c r="C58" s="402">
        <v>32247.5</v>
      </c>
      <c r="D58" s="402">
        <v>32698.415085383742</v>
      </c>
      <c r="E58" s="402">
        <v>-450.91508538374183</v>
      </c>
    </row>
    <row r="59" spans="2:5">
      <c r="B59" s="401">
        <v>16</v>
      </c>
      <c r="C59" s="402">
        <v>31778.799999999999</v>
      </c>
      <c r="D59" s="402">
        <v>32268.373204489828</v>
      </c>
      <c r="E59" s="402">
        <v>-489.57320448982864</v>
      </c>
    </row>
    <row r="60" spans="2:5">
      <c r="B60" s="401">
        <v>17</v>
      </c>
      <c r="C60" s="402">
        <v>29355.8</v>
      </c>
      <c r="D60" s="402">
        <v>31811.016771595107</v>
      </c>
      <c r="E60" s="402">
        <v>-2455.2167715951073</v>
      </c>
    </row>
    <row r="61" spans="2:5">
      <c r="B61" s="401">
        <v>18</v>
      </c>
      <c r="C61" s="402">
        <v>30408.799999999999</v>
      </c>
      <c r="D61" s="402">
        <v>30862.322954415522</v>
      </c>
      <c r="E61" s="402">
        <v>-453.52295441552269</v>
      </c>
    </row>
    <row r="62" spans="2:5">
      <c r="B62" s="401">
        <v>19</v>
      </c>
      <c r="C62" s="402">
        <v>32011</v>
      </c>
      <c r="D62" s="402">
        <v>30295.826982495233</v>
      </c>
      <c r="E62" s="402">
        <v>1715.1730175047669</v>
      </c>
    </row>
    <row r="63" spans="2:5">
      <c r="B63" s="401">
        <v>20</v>
      </c>
      <c r="C63" s="402">
        <v>32922.300000000003</v>
      </c>
      <c r="D63" s="402">
        <v>30231.677125659193</v>
      </c>
      <c r="E63" s="402">
        <v>2690.6228743408101</v>
      </c>
    </row>
    <row r="64" spans="2:5">
      <c r="B64" s="401">
        <v>21</v>
      </c>
      <c r="C64" s="402">
        <v>29569.8</v>
      </c>
      <c r="D64" s="402">
        <v>30470.242155163993</v>
      </c>
      <c r="E64" s="402">
        <v>-900.44215516399345</v>
      </c>
    </row>
    <row r="65" spans="2:5">
      <c r="B65" s="401">
        <v>22</v>
      </c>
      <c r="C65" s="402">
        <v>30128.5</v>
      </c>
      <c r="D65" s="402">
        <v>29954.576492561275</v>
      </c>
      <c r="E65" s="402">
        <v>173.92350743872521</v>
      </c>
    </row>
    <row r="66" spans="2:5">
      <c r="B66" s="401">
        <v>23</v>
      </c>
      <c r="C66" s="402">
        <v>31302</v>
      </c>
      <c r="D66" s="402">
        <v>29660.740902776652</v>
      </c>
      <c r="E66" s="402">
        <v>1641.2590972233484</v>
      </c>
    </row>
    <row r="67" spans="2:5">
      <c r="B67" s="401">
        <v>24</v>
      </c>
      <c r="C67" s="402">
        <v>31152.2</v>
      </c>
      <c r="D67" s="402">
        <v>29726.022794837885</v>
      </c>
      <c r="E67" s="402">
        <v>1426.1772051621156</v>
      </c>
    </row>
    <row r="68" spans="2:5">
      <c r="B68" s="401">
        <v>25</v>
      </c>
      <c r="C68" s="402">
        <v>29930.400000000001</v>
      </c>
      <c r="D68" s="402">
        <v>29805.335396693354</v>
      </c>
      <c r="E68" s="402">
        <v>125.06460330664777</v>
      </c>
    </row>
    <row r="69" spans="2:5">
      <c r="B69" s="401">
        <v>26</v>
      </c>
      <c r="C69" s="402">
        <v>31080.5</v>
      </c>
      <c r="D69" s="402">
        <v>29629.428062309998</v>
      </c>
      <c r="E69" s="402">
        <v>1451.0719376900015</v>
      </c>
    </row>
    <row r="70" spans="2:5">
      <c r="B70" s="401">
        <v>27</v>
      </c>
      <c r="C70" s="402">
        <v>32549.200000000001</v>
      </c>
      <c r="D70" s="402">
        <v>29776.765072310911</v>
      </c>
      <c r="E70" s="402">
        <v>2772.4349276890898</v>
      </c>
    </row>
    <row r="71" spans="2:5">
      <c r="B71" s="401">
        <v>28</v>
      </c>
      <c r="C71" s="402">
        <v>29440.2</v>
      </c>
      <c r="D71" s="402">
        <v>30299.272077419206</v>
      </c>
      <c r="E71" s="402">
        <v>-859.07207741920502</v>
      </c>
    </row>
    <row r="72" spans="2:5">
      <c r="B72" s="401">
        <v>29</v>
      </c>
      <c r="C72" s="402">
        <v>28134.3</v>
      </c>
      <c r="D72" s="402">
        <v>30061.114798409075</v>
      </c>
      <c r="E72" s="402">
        <v>-1926.8147984090756</v>
      </c>
    </row>
    <row r="73" spans="2:5">
      <c r="B73" s="401">
        <v>30</v>
      </c>
      <c r="C73" s="402">
        <v>31911.599999999999</v>
      </c>
      <c r="D73" s="402">
        <v>29532.336383264603</v>
      </c>
      <c r="E73" s="402">
        <v>2379.2636167353958</v>
      </c>
    </row>
    <row r="74" spans="2:5">
      <c r="B74" s="401">
        <v>31</v>
      </c>
      <c r="C74" s="402">
        <v>28129.4</v>
      </c>
      <c r="D74" s="402">
        <v>29959.944195818447</v>
      </c>
      <c r="E74" s="402">
        <v>-1830.5441958184456</v>
      </c>
    </row>
    <row r="75" spans="2:5">
      <c r="B75" s="401">
        <v>32</v>
      </c>
      <c r="C75" s="402">
        <v>32750.5</v>
      </c>
      <c r="D75" s="402">
        <v>29472.368678028779</v>
      </c>
      <c r="E75" s="402">
        <v>3278.131321971221</v>
      </c>
    </row>
    <row r="76" spans="2:5">
      <c r="B76" s="401">
        <v>33</v>
      </c>
      <c r="C76" s="402">
        <v>37531.800000000003</v>
      </c>
      <c r="D76" s="402">
        <v>30137.653516675899</v>
      </c>
      <c r="E76" s="402">
        <v>7394.1464833241043</v>
      </c>
    </row>
    <row r="77" spans="2:5">
      <c r="B77" s="401">
        <v>34</v>
      </c>
      <c r="C77" s="402">
        <v>35977.9</v>
      </c>
      <c r="D77" s="402">
        <v>31921.907246926559</v>
      </c>
      <c r="E77" s="402">
        <v>4055.9927530734421</v>
      </c>
    </row>
    <row r="78" spans="2:5">
      <c r="B78" s="401">
        <v>35</v>
      </c>
      <c r="C78" s="402">
        <v>36124.800000000003</v>
      </c>
      <c r="D78" s="402">
        <v>33200.769941250022</v>
      </c>
      <c r="E78" s="402">
        <v>2924.0300587499805</v>
      </c>
    </row>
    <row r="79" spans="2:5">
      <c r="B79" s="401">
        <v>36</v>
      </c>
      <c r="C79" s="402">
        <v>35890.400000000001</v>
      </c>
      <c r="D79" s="402">
        <v>34370.201299058797</v>
      </c>
      <c r="E79" s="402">
        <v>1520.1987009412042</v>
      </c>
    </row>
    <row r="80" spans="2:5">
      <c r="B80" s="401">
        <v>37</v>
      </c>
      <c r="C80" s="402">
        <v>29915.4</v>
      </c>
      <c r="D80" s="402">
        <v>35319.674333343464</v>
      </c>
      <c r="E80" s="402">
        <v>-5404.2743333434628</v>
      </c>
    </row>
    <row r="81" spans="2:5">
      <c r="B81" s="401">
        <v>38</v>
      </c>
      <c r="C81" s="402">
        <v>29001.3</v>
      </c>
      <c r="D81" s="402">
        <v>34668.081787437455</v>
      </c>
      <c r="E81" s="402">
        <v>-5666.7817874374559</v>
      </c>
    </row>
    <row r="82" spans="2:5">
      <c r="B82" s="401">
        <v>39</v>
      </c>
      <c r="C82" s="402">
        <v>28504.400000000001</v>
      </c>
      <c r="D82" s="402">
        <v>33737.316479215158</v>
      </c>
      <c r="E82" s="402">
        <v>-5232.9164792151569</v>
      </c>
    </row>
    <row r="83" spans="2:5">
      <c r="B83" s="401">
        <v>40</v>
      </c>
      <c r="C83" s="402">
        <v>31735.1</v>
      </c>
      <c r="D83" s="402">
        <v>32684.007573468705</v>
      </c>
      <c r="E83" s="402">
        <v>-948.90757346870669</v>
      </c>
    </row>
    <row r="84" spans="2:5">
      <c r="B84" s="401">
        <v>41</v>
      </c>
      <c r="C84" s="402">
        <v>30061.5</v>
      </c>
      <c r="D84" s="402">
        <v>32449.544145932799</v>
      </c>
      <c r="E84" s="402">
        <v>-2388.0441459327994</v>
      </c>
    </row>
    <row r="85" spans="2:5">
      <c r="B85" s="401">
        <v>42</v>
      </c>
      <c r="C85" s="402">
        <v>30531.200000000001</v>
      </c>
      <c r="D85" s="402">
        <v>31831.731638066762</v>
      </c>
      <c r="E85" s="402">
        <v>-1300.5316380667609</v>
      </c>
    </row>
    <row r="86" spans="2:5">
      <c r="B86" s="401">
        <v>43</v>
      </c>
      <c r="C86" s="402">
        <v>31297.200000000001</v>
      </c>
      <c r="D86" s="402">
        <v>31379.400366251259</v>
      </c>
      <c r="E86" s="402">
        <v>-82.200366251257947</v>
      </c>
    </row>
    <row r="87" spans="2:5">
      <c r="B87" s="401">
        <v>44</v>
      </c>
      <c r="C87" s="402">
        <v>28978.2</v>
      </c>
      <c r="D87" s="402">
        <v>31167.447334148808</v>
      </c>
      <c r="E87" s="402">
        <v>-2189.2473341488076</v>
      </c>
    </row>
    <row r="88" spans="2:5">
      <c r="B88" s="401">
        <v>45</v>
      </c>
      <c r="C88" s="402">
        <v>27903.9</v>
      </c>
      <c r="D88" s="402">
        <v>30446.515015100897</v>
      </c>
      <c r="E88" s="402">
        <v>-2542.6150151008951</v>
      </c>
    </row>
    <row r="89" spans="2:5">
      <c r="B89" s="401">
        <v>46</v>
      </c>
      <c r="C89" s="402">
        <v>28861.1</v>
      </c>
      <c r="D89" s="402">
        <v>29553.204559258531</v>
      </c>
      <c r="E89" s="402">
        <v>-692.10455925853239</v>
      </c>
    </row>
    <row r="90" spans="2:5">
      <c r="B90" s="401">
        <v>47</v>
      </c>
      <c r="C90" s="402">
        <v>27362.3</v>
      </c>
      <c r="D90" s="402">
        <v>29002.312012214297</v>
      </c>
      <c r="E90" s="402">
        <v>-1640.012012214298</v>
      </c>
    </row>
    <row r="91" spans="2:5">
      <c r="B91" s="401">
        <v>48</v>
      </c>
      <c r="C91" s="402">
        <v>27219.599999999999</v>
      </c>
      <c r="D91" s="402">
        <v>28196.237494090336</v>
      </c>
      <c r="E91" s="402">
        <v>-976.63749409033699</v>
      </c>
    </row>
    <row r="92" spans="2:5">
      <c r="B92" s="401">
        <v>49</v>
      </c>
      <c r="C92" s="402">
        <v>23945.599999999999</v>
      </c>
      <c r="D92" s="402">
        <v>27483.772379827555</v>
      </c>
      <c r="E92" s="402">
        <v>-3538.1723798275561</v>
      </c>
    </row>
    <row r="93" spans="2:5">
      <c r="B93" s="401">
        <v>50</v>
      </c>
      <c r="C93" s="402">
        <v>24871.3</v>
      </c>
      <c r="D93" s="402">
        <v>26117.473393224227</v>
      </c>
      <c r="E93" s="402">
        <v>-1246.1733932242278</v>
      </c>
    </row>
    <row r="94" spans="2:5">
      <c r="B94" s="401">
        <v>51</v>
      </c>
      <c r="C94" s="402">
        <v>25135.8</v>
      </c>
      <c r="D94" s="402">
        <v>25159.727268212595</v>
      </c>
      <c r="E94" s="402">
        <v>-23.927268212595663</v>
      </c>
    </row>
    <row r="95" spans="2:5">
      <c r="B95" s="401">
        <v>52</v>
      </c>
      <c r="C95" s="402">
        <v>25755.8</v>
      </c>
      <c r="D95" s="402">
        <v>24445.473277474786</v>
      </c>
      <c r="E95" s="402">
        <v>1310.326722525213</v>
      </c>
    </row>
    <row r="96" spans="2:5">
      <c r="B96" s="401">
        <v>53</v>
      </c>
      <c r="C96" s="402">
        <v>26175.9</v>
      </c>
      <c r="D96" s="402">
        <v>24050.48315378555</v>
      </c>
      <c r="E96" s="402">
        <v>2125.4168462144517</v>
      </c>
    </row>
    <row r="97" spans="2:5">
      <c r="B97" s="401">
        <v>54</v>
      </c>
      <c r="C97" s="402">
        <v>28491.9</v>
      </c>
      <c r="D97" s="402">
        <v>23903.527728682737</v>
      </c>
      <c r="E97" s="402">
        <v>4588.3722713172647</v>
      </c>
    </row>
    <row r="98" spans="2:5">
      <c r="B98" s="401">
        <v>55</v>
      </c>
      <c r="C98" s="402">
        <v>29512</v>
      </c>
      <c r="D98" s="402">
        <v>24432.698279453176</v>
      </c>
      <c r="E98" s="402">
        <v>5079.3017205468241</v>
      </c>
    </row>
    <row r="99" spans="2:5">
      <c r="B99" s="401">
        <v>56</v>
      </c>
      <c r="C99" s="402">
        <v>27895.8</v>
      </c>
      <c r="D99" s="402">
        <v>25263.226788891403</v>
      </c>
      <c r="E99" s="402">
        <v>2632.5732111085963</v>
      </c>
    </row>
    <row r="100" spans="2:5">
      <c r="B100" s="401">
        <v>57</v>
      </c>
      <c r="C100" s="402">
        <v>26771.200000000001</v>
      </c>
      <c r="D100" s="402">
        <v>25709.712524886327</v>
      </c>
      <c r="E100" s="402">
        <v>1061.487475113674</v>
      </c>
    </row>
    <row r="101" spans="2:5">
      <c r="B101" s="401">
        <v>58</v>
      </c>
      <c r="C101" s="402">
        <v>27559.599999999999</v>
      </c>
      <c r="D101" s="402">
        <v>25884.440612686809</v>
      </c>
      <c r="E101" s="402">
        <v>1675.1593873131897</v>
      </c>
    </row>
    <row r="102" spans="2:5">
      <c r="B102" s="401">
        <v>59</v>
      </c>
      <c r="C102" s="402">
        <v>28067.599999999999</v>
      </c>
      <c r="D102" s="402">
        <v>26248.909458419726</v>
      </c>
      <c r="E102" s="402">
        <v>1818.6905415802721</v>
      </c>
    </row>
    <row r="103" spans="2:5">
      <c r="B103" s="401">
        <v>60</v>
      </c>
      <c r="C103" s="402">
        <v>27697.8</v>
      </c>
      <c r="D103" s="402">
        <v>26714.832156669272</v>
      </c>
      <c r="E103" s="402">
        <v>982.96784333072719</v>
      </c>
    </row>
    <row r="104" spans="2:5">
      <c r="B104" s="401">
        <v>61</v>
      </c>
      <c r="C104" s="402">
        <v>26401.9</v>
      </c>
      <c r="D104" s="402">
        <v>27052.929029002134</v>
      </c>
      <c r="E104" s="402">
        <v>-651.02902900213303</v>
      </c>
    </row>
    <row r="105" spans="2:5">
      <c r="B105" s="401">
        <v>62</v>
      </c>
      <c r="C105" s="402">
        <v>28462.7</v>
      </c>
      <c r="D105" s="402">
        <v>27038.185365708341</v>
      </c>
      <c r="E105" s="402">
        <v>1424.5146342916596</v>
      </c>
    </row>
    <row r="106" spans="2:5">
      <c r="B106" s="401">
        <v>63</v>
      </c>
      <c r="C106" s="402">
        <v>28252.2</v>
      </c>
      <c r="D106" s="402">
        <v>27495.531020444974</v>
      </c>
      <c r="E106" s="402">
        <v>756.66897955502645</v>
      </c>
    </row>
    <row r="107" spans="2:5">
      <c r="B107" s="401">
        <v>64</v>
      </c>
      <c r="C107" s="402">
        <v>28430.400000000001</v>
      </c>
      <c r="D107" s="402">
        <v>27849.574303416477</v>
      </c>
      <c r="E107" s="402">
        <v>580.8256965835244</v>
      </c>
    </row>
    <row r="108" spans="2:5">
      <c r="B108" s="401">
        <v>65</v>
      </c>
      <c r="C108" s="402">
        <v>28234.6</v>
      </c>
      <c r="D108" s="402">
        <v>28191.681957657023</v>
      </c>
      <c r="E108" s="402">
        <v>42.918042342975241</v>
      </c>
    </row>
    <row r="109" spans="2:5">
      <c r="B109" s="401">
        <v>66</v>
      </c>
      <c r="C109" s="402">
        <v>27960.799999999999</v>
      </c>
      <c r="D109" s="402">
        <v>28427.924802743179</v>
      </c>
      <c r="E109" s="402">
        <v>-467.12480274317932</v>
      </c>
    </row>
    <row r="110" spans="2:5">
      <c r="B110" s="401">
        <v>67</v>
      </c>
      <c r="C110" s="402">
        <v>28676.9</v>
      </c>
      <c r="D110" s="402">
        <v>28543.474086702376</v>
      </c>
      <c r="E110" s="402">
        <v>133.42591329762581</v>
      </c>
    </row>
    <row r="111" spans="2:5">
      <c r="B111" s="401">
        <v>68</v>
      </c>
      <c r="C111" s="402">
        <v>28780.9</v>
      </c>
      <c r="D111" s="402">
        <v>28784.470550401635</v>
      </c>
      <c r="E111" s="402">
        <v>-3.570550401633227</v>
      </c>
    </row>
    <row r="112" spans="2:5">
      <c r="B112" s="401">
        <v>69</v>
      </c>
      <c r="C112" s="402">
        <v>24749.5</v>
      </c>
      <c r="D112" s="402">
        <v>28997.924899344984</v>
      </c>
      <c r="E112" s="402">
        <v>-4248.4248993449837</v>
      </c>
    </row>
    <row r="113" spans="2:5">
      <c r="B113" s="401">
        <v>70</v>
      </c>
      <c r="C113" s="402">
        <v>27228.400000000001</v>
      </c>
      <c r="D113" s="402">
        <v>28192.471382525859</v>
      </c>
      <c r="E113" s="402">
        <v>-964.07138252585719</v>
      </c>
    </row>
    <row r="114" spans="2:5">
      <c r="B114" s="401">
        <v>71</v>
      </c>
      <c r="C114" s="402">
        <v>27615.3</v>
      </c>
      <c r="D114" s="402">
        <v>28005.325713769525</v>
      </c>
      <c r="E114" s="402">
        <v>-390.02571376952619</v>
      </c>
    </row>
    <row r="115" spans="2:5">
      <c r="B115" s="401">
        <v>72</v>
      </c>
      <c r="C115" s="402">
        <v>24988.7</v>
      </c>
      <c r="D115" s="402">
        <v>27917.388150213679</v>
      </c>
      <c r="E115" s="402">
        <v>-2928.6881502136785</v>
      </c>
    </row>
    <row r="116" spans="2:5">
      <c r="B116" s="401">
        <v>73</v>
      </c>
      <c r="C116" s="402">
        <v>25172.1</v>
      </c>
      <c r="D116" s="402">
        <v>27204.570573360455</v>
      </c>
      <c r="E116" s="402">
        <v>-2032.4705733604569</v>
      </c>
    </row>
    <row r="117" spans="2:5">
      <c r="B117" s="401">
        <v>74</v>
      </c>
      <c r="C117" s="402">
        <v>26022.799999999999</v>
      </c>
      <c r="D117" s="402">
        <v>26589.697688943455</v>
      </c>
      <c r="E117" s="402">
        <v>-566.89768894345616</v>
      </c>
    </row>
    <row r="118" spans="2:5">
      <c r="B118" s="401">
        <v>75</v>
      </c>
      <c r="C118" s="402">
        <v>25934</v>
      </c>
      <c r="D118" s="402">
        <v>26245.263473852116</v>
      </c>
      <c r="E118" s="402">
        <v>-311.26347385211557</v>
      </c>
    </row>
    <row r="119" spans="2:5">
      <c r="B119" s="401">
        <v>76</v>
      </c>
      <c r="C119" s="402">
        <v>26481.599999999999</v>
      </c>
      <c r="D119" s="402">
        <v>25939.505562824965</v>
      </c>
      <c r="E119" s="402">
        <v>542.09443717503382</v>
      </c>
    </row>
    <row r="120" spans="2:5">
      <c r="B120" s="401">
        <v>77</v>
      </c>
      <c r="C120" s="402">
        <v>25597.599999999999</v>
      </c>
      <c r="D120" s="402">
        <v>25826.103011490242</v>
      </c>
      <c r="E120" s="402">
        <v>-228.50301149024381</v>
      </c>
    </row>
    <row r="121" spans="2:5">
      <c r="B121" s="401">
        <v>78</v>
      </c>
      <c r="C121" s="402">
        <v>27424</v>
      </c>
      <c r="D121" s="402">
        <v>25549.440849962855</v>
      </c>
      <c r="E121" s="402">
        <v>1874.5591500371447</v>
      </c>
    </row>
    <row r="122" spans="2:5">
      <c r="B122" s="401">
        <v>79</v>
      </c>
      <c r="C122" s="402">
        <v>26599.4</v>
      </c>
      <c r="D122" s="402">
        <v>25768.373486742428</v>
      </c>
      <c r="E122" s="402">
        <v>831.02651325757324</v>
      </c>
    </row>
    <row r="123" spans="2:5">
      <c r="B123" s="401">
        <v>80</v>
      </c>
      <c r="C123" s="402">
        <v>25980.5</v>
      </c>
      <c r="D123" s="402">
        <v>25811.840656696389</v>
      </c>
      <c r="E123" s="402">
        <v>168.65934330361051</v>
      </c>
    </row>
    <row r="124" spans="2:5">
      <c r="B124" s="401">
        <v>81</v>
      </c>
      <c r="C124" s="402">
        <v>24525.1</v>
      </c>
      <c r="D124" s="402">
        <v>25729.580766391704</v>
      </c>
      <c r="E124" s="402">
        <v>-1204.4807663917054</v>
      </c>
    </row>
    <row r="125" spans="2:5">
      <c r="B125" s="401">
        <v>82</v>
      </c>
      <c r="C125" s="402">
        <v>23431.7</v>
      </c>
      <c r="D125" s="402">
        <v>25324.51362349229</v>
      </c>
      <c r="E125" s="402">
        <v>-1892.8136234922895</v>
      </c>
    </row>
    <row r="126" spans="2:5">
      <c r="B126" s="401">
        <v>83</v>
      </c>
      <c r="C126" s="402">
        <v>23965.3</v>
      </c>
      <c r="D126" s="402">
        <v>24706.067364233066</v>
      </c>
      <c r="E126" s="402">
        <v>-740.76736423306647</v>
      </c>
    </row>
    <row r="127" spans="2:5">
      <c r="B127" s="401">
        <v>84</v>
      </c>
      <c r="C127" s="402">
        <v>23474.799999999999</v>
      </c>
      <c r="D127" s="402">
        <v>24288.399662256365</v>
      </c>
      <c r="E127" s="402">
        <v>-813.59966225636526</v>
      </c>
    </row>
    <row r="128" spans="2:5">
      <c r="B128" s="401">
        <v>85</v>
      </c>
      <c r="C128" s="402">
        <v>23384.799999999999</v>
      </c>
      <c r="D128" s="402">
        <v>23823.62151418475</v>
      </c>
      <c r="E128" s="402">
        <v>-438.82151418475041</v>
      </c>
    </row>
    <row r="129" spans="2:8">
      <c r="B129" s="401">
        <v>86</v>
      </c>
      <c r="C129" s="402">
        <v>23808.7</v>
      </c>
      <c r="D129" s="402">
        <v>23416.246135160061</v>
      </c>
      <c r="E129" s="402">
        <v>392.45386483993934</v>
      </c>
    </row>
    <row r="130" spans="2:8">
      <c r="B130" s="401">
        <v>87</v>
      </c>
      <c r="C130" s="402">
        <v>24311.7</v>
      </c>
      <c r="D130" s="402">
        <v>23190.823986533916</v>
      </c>
      <c r="E130" s="402">
        <v>1120.8760134660843</v>
      </c>
    </row>
    <row r="131" spans="2:8">
      <c r="B131" s="401">
        <v>88</v>
      </c>
      <c r="C131" s="402">
        <v>25315.1</v>
      </c>
      <c r="D131" s="402">
        <v>23155.921308171641</v>
      </c>
      <c r="E131" s="402">
        <v>2159.1786918283578</v>
      </c>
    </row>
    <row r="132" spans="2:8">
      <c r="B132" s="401">
        <v>89</v>
      </c>
      <c r="C132" s="402">
        <v>23129.9</v>
      </c>
      <c r="D132" s="402">
        <v>23415.046313154951</v>
      </c>
      <c r="E132" s="402">
        <v>-285.14631315494989</v>
      </c>
    </row>
    <row r="133" spans="2:8">
      <c r="B133" s="401">
        <v>90</v>
      </c>
      <c r="C133" s="402">
        <v>23324.9</v>
      </c>
      <c r="D133" s="402">
        <v>23173.900464615406</v>
      </c>
      <c r="E133" s="402">
        <v>150.99953538459522</v>
      </c>
    </row>
    <row r="134" spans="2:8">
      <c r="B134" s="401">
        <v>91</v>
      </c>
      <c r="C134" s="402">
        <v>23889.9</v>
      </c>
      <c r="D134" s="402">
        <v>23026.023767199153</v>
      </c>
      <c r="E134" s="402">
        <v>863.87623280084881</v>
      </c>
    </row>
    <row r="135" spans="2:8">
      <c r="B135" s="401">
        <v>92</v>
      </c>
      <c r="C135" s="402">
        <v>23206.6</v>
      </c>
      <c r="D135" s="402">
        <v>23055.277458578184</v>
      </c>
      <c r="E135" s="402">
        <v>151.32254142181409</v>
      </c>
    </row>
    <row r="136" spans="2:8">
      <c r="B136" s="401">
        <v>93</v>
      </c>
      <c r="C136" s="402">
        <v>21934.5</v>
      </c>
      <c r="D136" s="402">
        <v>22948.073313338282</v>
      </c>
      <c r="E136" s="402">
        <v>-1013.5733133382819</v>
      </c>
    </row>
    <row r="137" spans="2:8">
      <c r="B137" s="401">
        <v>94</v>
      </c>
      <c r="C137" s="402">
        <v>22573.1</v>
      </c>
      <c r="D137" s="402">
        <v>22567.347064612826</v>
      </c>
      <c r="E137" s="402">
        <v>5.7529353871723288</v>
      </c>
    </row>
    <row r="138" spans="2:8">
      <c r="B138" s="401">
        <v>95</v>
      </c>
      <c r="C138" s="402">
        <v>23162.799999999999</v>
      </c>
      <c r="D138" s="402">
        <v>22390.716183047949</v>
      </c>
      <c r="E138" s="402">
        <v>772.08381695205026</v>
      </c>
    </row>
    <row r="139" spans="2:8">
      <c r="B139" s="401">
        <v>96</v>
      </c>
      <c r="C139" s="402">
        <v>23253.4</v>
      </c>
      <c r="D139" s="402">
        <v>22398.234830474132</v>
      </c>
      <c r="E139" s="402">
        <v>855.16516952586971</v>
      </c>
    </row>
    <row r="140" spans="2:8">
      <c r="B140" s="401">
        <v>97</v>
      </c>
      <c r="C140" s="402">
        <v>22341</v>
      </c>
      <c r="D140" s="402">
        <v>22456.57635519611</v>
      </c>
      <c r="E140" s="402">
        <v>-115.57635519610994</v>
      </c>
    </row>
    <row r="141" spans="2:8" ht="16" thickBot="1">
      <c r="B141" s="404">
        <v>98</v>
      </c>
      <c r="C141" s="403">
        <v>22628.2</v>
      </c>
      <c r="D141" s="403">
        <v>22316.146520765848</v>
      </c>
      <c r="E141" s="403">
        <v>312.0534792341532</v>
      </c>
      <c r="H141" s="424">
        <v>0</v>
      </c>
    </row>
    <row r="160" spans="7:7">
      <c r="G160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DD618032">
              <controlPr defaultSize="0" autoFill="0" autoPict="0" macro="[2]!GoToResultsNew101420184080761">
                <anchor moveWithCells="1">
                  <from>
                    <xdr:col>0</xdr:col>
                    <xdr:colOff>330200</xdr:colOff>
                    <xdr:row>8</xdr:row>
                    <xdr:rowOff>0</xdr:rowOff>
                  </from>
                  <to>
                    <xdr:col>3</xdr:col>
                    <xdr:colOff>177800</xdr:colOff>
                    <xdr:row>9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F3959-11FF-E044-9A51-D5588BC6E6D0}">
  <dimension ref="A1:K99"/>
  <sheetViews>
    <sheetView topLeftCell="F1" workbookViewId="0">
      <selection activeCell="R11" sqref="R11"/>
    </sheetView>
  </sheetViews>
  <sheetFormatPr baseColWidth="10" defaultRowHeight="15"/>
  <cols>
    <col min="4" max="4" width="39.1640625" customWidth="1"/>
    <col min="5" max="5" width="10.83203125" style="432"/>
    <col min="6" max="6" width="23.1640625" bestFit="1" customWidth="1"/>
    <col min="11" max="11" width="13.33203125" bestFit="1" customWidth="1"/>
  </cols>
  <sheetData>
    <row r="1" spans="1:11">
      <c r="A1" s="425" t="s">
        <v>196</v>
      </c>
      <c r="B1" s="425" t="s">
        <v>197</v>
      </c>
      <c r="C1" s="425" t="s">
        <v>198</v>
      </c>
      <c r="D1" s="425" t="s">
        <v>105</v>
      </c>
      <c r="E1" s="426" t="s">
        <v>199</v>
      </c>
      <c r="F1" s="425" t="s">
        <v>200</v>
      </c>
      <c r="G1" s="425" t="s">
        <v>201</v>
      </c>
    </row>
    <row r="2" spans="1:11">
      <c r="A2" s="425">
        <v>1</v>
      </c>
      <c r="B2" s="425">
        <v>1994</v>
      </c>
      <c r="C2" s="425" t="s">
        <v>202</v>
      </c>
      <c r="D2" s="425">
        <v>29226.3</v>
      </c>
      <c r="E2" s="426">
        <f>K$3+K$4*A2</f>
        <v>34535.055905998765</v>
      </c>
      <c r="F2" s="425">
        <f t="shared" ref="F2:F33" si="0">VLOOKUP(C2,ssindex,2,FALSE)*E2</f>
        <v>33105.162391983315</v>
      </c>
      <c r="G2" s="425">
        <f>D2-F2</f>
        <v>-3878.8623919833153</v>
      </c>
    </row>
    <row r="3" spans="1:11">
      <c r="A3" s="425">
        <v>2</v>
      </c>
      <c r="B3" s="425"/>
      <c r="C3" s="425" t="s">
        <v>203</v>
      </c>
      <c r="D3" s="425">
        <v>38153.9</v>
      </c>
      <c r="E3" s="426">
        <f t="shared" ref="E3:E66" si="1">K$3+K$4*A3</f>
        <v>34414.134576567274</v>
      </c>
      <c r="F3" s="425">
        <f t="shared" si="0"/>
        <v>34745.855854192014</v>
      </c>
      <c r="G3" s="425">
        <f t="shared" ref="G3:G66" si="2">D3-F3</f>
        <v>3408.0441458079877</v>
      </c>
      <c r="J3" s="427" t="s">
        <v>204</v>
      </c>
      <c r="K3" s="427">
        <f>INTERCEPT(demand,index)</f>
        <v>34655.977235430255</v>
      </c>
    </row>
    <row r="4" spans="1:11">
      <c r="A4" s="425">
        <v>3</v>
      </c>
      <c r="B4" s="425"/>
      <c r="C4" s="425" t="s">
        <v>205</v>
      </c>
      <c r="D4" s="425">
        <v>39414.699999999997</v>
      </c>
      <c r="E4" s="426">
        <f t="shared" si="1"/>
        <v>34293.213247135784</v>
      </c>
      <c r="F4" s="425">
        <f t="shared" si="0"/>
        <v>35069.185611501634</v>
      </c>
      <c r="G4" s="425">
        <f t="shared" si="2"/>
        <v>4345.5143884983627</v>
      </c>
      <c r="J4" s="427" t="s">
        <v>206</v>
      </c>
      <c r="K4" s="427">
        <f>SLOPE(demand,index)</f>
        <v>-120.92132943149142</v>
      </c>
    </row>
    <row r="5" spans="1:11">
      <c r="A5" s="425">
        <v>4</v>
      </c>
      <c r="B5" s="425"/>
      <c r="C5" s="425" t="s">
        <v>207</v>
      </c>
      <c r="D5" s="425">
        <v>37600.300000000003</v>
      </c>
      <c r="E5" s="426">
        <f t="shared" si="1"/>
        <v>34172.291917704286</v>
      </c>
      <c r="F5" s="425">
        <f t="shared" si="0"/>
        <v>34529.767646742257</v>
      </c>
      <c r="G5" s="425">
        <f t="shared" si="2"/>
        <v>3070.5323532577459</v>
      </c>
    </row>
    <row r="6" spans="1:11">
      <c r="A6" s="425">
        <v>5</v>
      </c>
      <c r="B6" s="425">
        <v>1995</v>
      </c>
      <c r="C6" s="425" t="s">
        <v>202</v>
      </c>
      <c r="D6" s="425">
        <v>34100.6</v>
      </c>
      <c r="E6" s="426">
        <f t="shared" si="1"/>
        <v>34051.370588272795</v>
      </c>
      <c r="F6" s="425">
        <f t="shared" si="0"/>
        <v>32641.50363800531</v>
      </c>
      <c r="G6" s="425">
        <f t="shared" si="2"/>
        <v>1459.0963619946888</v>
      </c>
    </row>
    <row r="7" spans="1:11">
      <c r="A7" s="425">
        <v>6</v>
      </c>
      <c r="B7" s="425"/>
      <c r="C7" s="425" t="s">
        <v>203</v>
      </c>
      <c r="D7" s="425">
        <v>39855.9</v>
      </c>
      <c r="E7" s="426">
        <f t="shared" si="1"/>
        <v>33930.449258841305</v>
      </c>
      <c r="F7" s="425">
        <f t="shared" si="0"/>
        <v>34257.50824541795</v>
      </c>
      <c r="G7" s="425">
        <f t="shared" si="2"/>
        <v>5598.3917545820514</v>
      </c>
    </row>
    <row r="8" spans="1:11">
      <c r="A8" s="425">
        <v>7</v>
      </c>
      <c r="B8" s="425"/>
      <c r="C8" s="425" t="s">
        <v>205</v>
      </c>
      <c r="D8" s="425">
        <v>36850</v>
      </c>
      <c r="E8" s="426">
        <f t="shared" si="1"/>
        <v>33809.527929409815</v>
      </c>
      <c r="F8" s="425">
        <f t="shared" si="0"/>
        <v>34574.555666426219</v>
      </c>
      <c r="G8" s="425">
        <f t="shared" si="2"/>
        <v>2275.4443335737815</v>
      </c>
      <c r="J8" s="428" t="s">
        <v>198</v>
      </c>
      <c r="K8" s="428" t="s">
        <v>208</v>
      </c>
    </row>
    <row r="9" spans="1:11">
      <c r="A9" s="425">
        <v>8</v>
      </c>
      <c r="B9" s="425"/>
      <c r="C9" s="425" t="s">
        <v>207</v>
      </c>
      <c r="D9" s="425">
        <v>31891</v>
      </c>
      <c r="E9" s="426">
        <f t="shared" si="1"/>
        <v>33688.606599978324</v>
      </c>
      <c r="F9" s="425">
        <f t="shared" si="0"/>
        <v>34041.022505636713</v>
      </c>
      <c r="G9" s="425">
        <f t="shared" si="2"/>
        <v>-2150.0225056367126</v>
      </c>
      <c r="J9" s="429" t="s">
        <v>202</v>
      </c>
      <c r="K9" s="430">
        <f>AVERAGEIF(quarter,J9,demand)/AVERAGE(demand)</f>
        <v>0.95859588245904437</v>
      </c>
    </row>
    <row r="10" spans="1:11">
      <c r="A10" s="425">
        <v>9</v>
      </c>
      <c r="B10" s="425">
        <v>1996</v>
      </c>
      <c r="C10" s="425" t="s">
        <v>202</v>
      </c>
      <c r="D10" s="425">
        <v>29775.4</v>
      </c>
      <c r="E10" s="426">
        <f t="shared" si="1"/>
        <v>33567.685270546834</v>
      </c>
      <c r="F10" s="425">
        <f t="shared" si="0"/>
        <v>32177.844884027309</v>
      </c>
      <c r="G10" s="425">
        <f t="shared" si="2"/>
        <v>-2402.4448840273071</v>
      </c>
      <c r="J10" s="429" t="s">
        <v>203</v>
      </c>
      <c r="K10" s="430">
        <f>AVERAGEIF(quarter,J10,demand)/AVERAGE(demand)</f>
        <v>1.0096390997974016</v>
      </c>
    </row>
    <row r="11" spans="1:11">
      <c r="A11" s="425">
        <v>10</v>
      </c>
      <c r="B11" s="425"/>
      <c r="C11" s="425" t="s">
        <v>203</v>
      </c>
      <c r="D11" s="425">
        <v>31878.400000000001</v>
      </c>
      <c r="E11" s="426">
        <f t="shared" si="1"/>
        <v>33446.763941115343</v>
      </c>
      <c r="F11" s="425">
        <f t="shared" si="0"/>
        <v>33769.160636643886</v>
      </c>
      <c r="G11" s="425">
        <f t="shared" si="2"/>
        <v>-1890.7606366438849</v>
      </c>
      <c r="J11" s="429" t="s">
        <v>205</v>
      </c>
      <c r="K11" s="430">
        <f>AVERAGEIF(quarter,J11,demand)/AVERAGE(demand)</f>
        <v>1.0226275781967051</v>
      </c>
    </row>
    <row r="12" spans="1:11">
      <c r="A12" s="425">
        <v>11</v>
      </c>
      <c r="B12" s="425"/>
      <c r="C12" s="425" t="s">
        <v>205</v>
      </c>
      <c r="D12" s="425">
        <v>32743.3</v>
      </c>
      <c r="E12" s="426">
        <f t="shared" si="1"/>
        <v>33325.842611683853</v>
      </c>
      <c r="F12" s="425">
        <f t="shared" si="0"/>
        <v>34079.925721350817</v>
      </c>
      <c r="G12" s="425">
        <f t="shared" si="2"/>
        <v>-1336.6257213508179</v>
      </c>
      <c r="J12" s="429" t="s">
        <v>207</v>
      </c>
      <c r="K12" s="430">
        <f>AVERAGEIF(quarter,J12,demand)/AVERAGE(demand)</f>
        <v>1.0104609819528307</v>
      </c>
    </row>
    <row r="13" spans="1:11">
      <c r="A13" s="425">
        <v>12</v>
      </c>
      <c r="B13" s="425"/>
      <c r="C13" s="425" t="s">
        <v>207</v>
      </c>
      <c r="D13" s="425">
        <v>32667</v>
      </c>
      <c r="E13" s="426">
        <f t="shared" si="1"/>
        <v>33204.921282252355</v>
      </c>
      <c r="F13" s="425">
        <f t="shared" si="0"/>
        <v>33552.277364531161</v>
      </c>
      <c r="G13" s="425">
        <f t="shared" si="2"/>
        <v>-885.27736453116086</v>
      </c>
    </row>
    <row r="14" spans="1:11">
      <c r="A14" s="425">
        <v>13</v>
      </c>
      <c r="B14" s="425">
        <v>1997</v>
      </c>
      <c r="C14" s="425" t="s">
        <v>202</v>
      </c>
      <c r="D14" s="425">
        <v>29213.599999999999</v>
      </c>
      <c r="E14" s="426">
        <f t="shared" si="1"/>
        <v>33083.999952820865</v>
      </c>
      <c r="F14" s="425">
        <f t="shared" si="0"/>
        <v>31714.1861300493</v>
      </c>
      <c r="G14" s="425">
        <f t="shared" si="2"/>
        <v>-2500.5861300493016</v>
      </c>
    </row>
    <row r="15" spans="1:11">
      <c r="A15" s="425">
        <v>14</v>
      </c>
      <c r="B15" s="425"/>
      <c r="C15" s="425" t="s">
        <v>203</v>
      </c>
      <c r="D15" s="425">
        <v>32091</v>
      </c>
      <c r="E15" s="426">
        <f t="shared" si="1"/>
        <v>32963.078623389374</v>
      </c>
      <c r="F15" s="425">
        <f t="shared" si="0"/>
        <v>33280.813027869823</v>
      </c>
      <c r="G15" s="425">
        <f t="shared" si="2"/>
        <v>-1189.8130278698227</v>
      </c>
    </row>
    <row r="16" spans="1:11">
      <c r="A16" s="425">
        <v>15</v>
      </c>
      <c r="B16" s="425"/>
      <c r="C16" s="425" t="s">
        <v>205</v>
      </c>
      <c r="D16" s="425">
        <v>32247.5</v>
      </c>
      <c r="E16" s="426">
        <f t="shared" si="1"/>
        <v>32842.157293957884</v>
      </c>
      <c r="F16" s="425">
        <f t="shared" si="0"/>
        <v>33585.295776275409</v>
      </c>
      <c r="G16" s="425">
        <f t="shared" si="2"/>
        <v>-1337.7957762754086</v>
      </c>
      <c r="J16" s="428" t="s">
        <v>129</v>
      </c>
      <c r="K16" s="428">
        <f>SQRT(SUMSQ(G2:G99)/COUNT(G2:G99))</f>
        <v>2088.1732394269047</v>
      </c>
    </row>
    <row r="17" spans="1:11">
      <c r="A17" s="425">
        <v>16</v>
      </c>
      <c r="B17" s="425"/>
      <c r="C17" s="425" t="s">
        <v>207</v>
      </c>
      <c r="D17" s="425">
        <v>31778.799999999999</v>
      </c>
      <c r="E17" s="426">
        <f t="shared" si="1"/>
        <v>32721.235964526393</v>
      </c>
      <c r="F17" s="425">
        <f t="shared" si="0"/>
        <v>33063.532223425616</v>
      </c>
      <c r="G17" s="425">
        <f t="shared" si="2"/>
        <v>-1284.7322234256171</v>
      </c>
      <c r="J17" s="431"/>
      <c r="K17" s="431"/>
    </row>
    <row r="18" spans="1:11">
      <c r="A18" s="425">
        <v>17</v>
      </c>
      <c r="B18" s="425">
        <v>1998</v>
      </c>
      <c r="C18" s="425" t="s">
        <v>202</v>
      </c>
      <c r="D18" s="425">
        <v>29355.8</v>
      </c>
      <c r="E18" s="426">
        <f t="shared" si="1"/>
        <v>32600.314635094903</v>
      </c>
      <c r="F18" s="425">
        <f t="shared" si="0"/>
        <v>31250.527376071299</v>
      </c>
      <c r="G18" s="425">
        <f t="shared" si="2"/>
        <v>-1894.7273760712997</v>
      </c>
    </row>
    <row r="19" spans="1:11">
      <c r="A19" s="425">
        <v>18</v>
      </c>
      <c r="B19" s="425"/>
      <c r="C19" s="425" t="s">
        <v>203</v>
      </c>
      <c r="D19" s="425">
        <v>30408.799999999999</v>
      </c>
      <c r="E19" s="426">
        <f t="shared" si="1"/>
        <v>32479.393305663409</v>
      </c>
      <c r="F19" s="425">
        <f t="shared" si="0"/>
        <v>32792.465419095759</v>
      </c>
      <c r="G19" s="425">
        <f t="shared" si="2"/>
        <v>-2383.6654190957597</v>
      </c>
    </row>
    <row r="20" spans="1:11">
      <c r="A20" s="425">
        <v>19</v>
      </c>
      <c r="B20" s="425"/>
      <c r="C20" s="425" t="s">
        <v>205</v>
      </c>
      <c r="D20" s="425">
        <v>32011</v>
      </c>
      <c r="E20" s="426">
        <f t="shared" si="1"/>
        <v>32358.471976231918</v>
      </c>
      <c r="F20" s="425">
        <f t="shared" si="0"/>
        <v>33090.6658312</v>
      </c>
      <c r="G20" s="425">
        <f t="shared" si="2"/>
        <v>-1079.6658312</v>
      </c>
    </row>
    <row r="21" spans="1:11">
      <c r="A21" s="425">
        <v>20</v>
      </c>
      <c r="B21" s="425"/>
      <c r="C21" s="425" t="s">
        <v>207</v>
      </c>
      <c r="D21" s="425">
        <v>32922.300000000003</v>
      </c>
      <c r="E21" s="426">
        <f t="shared" si="1"/>
        <v>32237.550646800428</v>
      </c>
      <c r="F21" s="425">
        <f t="shared" si="0"/>
        <v>32574.787082320076</v>
      </c>
      <c r="G21" s="425">
        <f t="shared" si="2"/>
        <v>347.51291767992734</v>
      </c>
    </row>
    <row r="22" spans="1:11">
      <c r="A22" s="425">
        <v>21</v>
      </c>
      <c r="B22" s="425">
        <v>1999</v>
      </c>
      <c r="C22" s="425" t="s">
        <v>202</v>
      </c>
      <c r="D22" s="425">
        <v>29569.8</v>
      </c>
      <c r="E22" s="426">
        <f t="shared" si="1"/>
        <v>32116.629317368934</v>
      </c>
      <c r="F22" s="425">
        <f t="shared" si="0"/>
        <v>30786.86862209329</v>
      </c>
      <c r="G22" s="425">
        <f t="shared" si="2"/>
        <v>-1217.0686220932912</v>
      </c>
    </row>
    <row r="23" spans="1:11">
      <c r="A23" s="425">
        <v>22</v>
      </c>
      <c r="B23" s="425"/>
      <c r="C23" s="425" t="s">
        <v>203</v>
      </c>
      <c r="D23" s="425">
        <v>30128.5</v>
      </c>
      <c r="E23" s="426">
        <f t="shared" si="1"/>
        <v>31995.707987937443</v>
      </c>
      <c r="F23" s="425">
        <f t="shared" si="0"/>
        <v>32304.117810321692</v>
      </c>
      <c r="G23" s="425">
        <f t="shared" si="2"/>
        <v>-2175.6178103216916</v>
      </c>
    </row>
    <row r="24" spans="1:11">
      <c r="A24" s="425">
        <v>23</v>
      </c>
      <c r="B24" s="425"/>
      <c r="C24" s="425" t="s">
        <v>205</v>
      </c>
      <c r="D24" s="425">
        <v>31302</v>
      </c>
      <c r="E24" s="426">
        <f t="shared" si="1"/>
        <v>31874.786658505953</v>
      </c>
      <c r="F24" s="425">
        <f t="shared" si="0"/>
        <v>32596.035886124591</v>
      </c>
      <c r="G24" s="425">
        <f t="shared" si="2"/>
        <v>-1294.0358861245913</v>
      </c>
    </row>
    <row r="25" spans="1:11">
      <c r="A25" s="425">
        <v>24</v>
      </c>
      <c r="B25" s="425"/>
      <c r="C25" s="425" t="s">
        <v>207</v>
      </c>
      <c r="D25" s="425">
        <v>31152.2</v>
      </c>
      <c r="E25" s="426">
        <f t="shared" si="1"/>
        <v>31753.865329074462</v>
      </c>
      <c r="F25" s="425">
        <f t="shared" si="0"/>
        <v>32086.041941214527</v>
      </c>
      <c r="G25" s="425">
        <f t="shared" si="2"/>
        <v>-933.84194121452674</v>
      </c>
    </row>
    <row r="26" spans="1:11">
      <c r="A26" s="425">
        <v>25</v>
      </c>
      <c r="B26" s="425">
        <v>2000</v>
      </c>
      <c r="C26" s="425" t="s">
        <v>202</v>
      </c>
      <c r="D26" s="425">
        <v>29930.400000000001</v>
      </c>
      <c r="E26" s="426">
        <f t="shared" si="1"/>
        <v>31632.943999642968</v>
      </c>
      <c r="F26" s="425">
        <f t="shared" si="0"/>
        <v>30323.209868115282</v>
      </c>
      <c r="G26" s="425">
        <f t="shared" si="2"/>
        <v>-392.80986811528055</v>
      </c>
    </row>
    <row r="27" spans="1:11">
      <c r="A27" s="425">
        <v>26</v>
      </c>
      <c r="B27" s="425"/>
      <c r="C27" s="425" t="s">
        <v>203</v>
      </c>
      <c r="D27" s="425">
        <v>31080.5</v>
      </c>
      <c r="E27" s="426">
        <f t="shared" si="1"/>
        <v>31512.022670211478</v>
      </c>
      <c r="F27" s="425">
        <f t="shared" si="0"/>
        <v>31815.770201547628</v>
      </c>
      <c r="G27" s="425">
        <f t="shared" si="2"/>
        <v>-735.27020154762795</v>
      </c>
    </row>
    <row r="28" spans="1:11">
      <c r="A28" s="425">
        <v>27</v>
      </c>
      <c r="B28" s="425"/>
      <c r="C28" s="425" t="s">
        <v>205</v>
      </c>
      <c r="D28" s="425">
        <v>32549.200000000001</v>
      </c>
      <c r="E28" s="426">
        <f t="shared" si="1"/>
        <v>31391.101340779987</v>
      </c>
      <c r="F28" s="425">
        <f t="shared" si="0"/>
        <v>32101.405941049183</v>
      </c>
      <c r="G28" s="425">
        <f t="shared" si="2"/>
        <v>447.794058950818</v>
      </c>
    </row>
    <row r="29" spans="1:11">
      <c r="A29" s="425">
        <v>28</v>
      </c>
      <c r="B29" s="425"/>
      <c r="C29" s="425" t="s">
        <v>207</v>
      </c>
      <c r="D29" s="425">
        <v>29440.2</v>
      </c>
      <c r="E29" s="426">
        <f t="shared" si="1"/>
        <v>31270.180011348493</v>
      </c>
      <c r="F29" s="425">
        <f t="shared" si="0"/>
        <v>31597.296800108979</v>
      </c>
      <c r="G29" s="425">
        <f t="shared" si="2"/>
        <v>-2157.0968001089786</v>
      </c>
    </row>
    <row r="30" spans="1:11">
      <c r="A30" s="425">
        <v>29</v>
      </c>
      <c r="B30" s="425">
        <v>2001</v>
      </c>
      <c r="C30" s="425" t="s">
        <v>202</v>
      </c>
      <c r="D30" s="425">
        <v>28134.3</v>
      </c>
      <c r="E30" s="426">
        <f t="shared" si="1"/>
        <v>31149.258681917003</v>
      </c>
      <c r="F30" s="425">
        <f t="shared" si="0"/>
        <v>29859.551114137277</v>
      </c>
      <c r="G30" s="425">
        <f t="shared" si="2"/>
        <v>-1725.2511141372779</v>
      </c>
    </row>
    <row r="31" spans="1:11">
      <c r="A31" s="425">
        <v>30</v>
      </c>
      <c r="B31" s="425"/>
      <c r="C31" s="425" t="s">
        <v>203</v>
      </c>
      <c r="D31" s="425">
        <v>31911.599999999999</v>
      </c>
      <c r="E31" s="426">
        <f t="shared" si="1"/>
        <v>31028.337352485512</v>
      </c>
      <c r="F31" s="425">
        <f t="shared" si="0"/>
        <v>31327.422592773564</v>
      </c>
      <c r="G31" s="425">
        <f t="shared" si="2"/>
        <v>584.1774072264343</v>
      </c>
    </row>
    <row r="32" spans="1:11">
      <c r="A32" s="425">
        <v>31</v>
      </c>
      <c r="B32" s="425"/>
      <c r="C32" s="425" t="s">
        <v>205</v>
      </c>
      <c r="D32" s="425">
        <v>28129.4</v>
      </c>
      <c r="E32" s="426">
        <f t="shared" si="1"/>
        <v>30907.416023054022</v>
      </c>
      <c r="F32" s="425">
        <f t="shared" si="0"/>
        <v>31606.775995973774</v>
      </c>
      <c r="G32" s="425">
        <f t="shared" si="2"/>
        <v>-3477.3759959737727</v>
      </c>
    </row>
    <row r="33" spans="1:7">
      <c r="A33" s="425">
        <v>32</v>
      </c>
      <c r="B33" s="425"/>
      <c r="C33" s="425" t="s">
        <v>207</v>
      </c>
      <c r="D33" s="425">
        <v>32750.5</v>
      </c>
      <c r="E33" s="426">
        <f t="shared" si="1"/>
        <v>30786.494693622531</v>
      </c>
      <c r="F33" s="425">
        <f t="shared" si="0"/>
        <v>31108.551659003435</v>
      </c>
      <c r="G33" s="425">
        <f t="shared" si="2"/>
        <v>1641.9483409965651</v>
      </c>
    </row>
    <row r="34" spans="1:7">
      <c r="A34" s="425">
        <v>33</v>
      </c>
      <c r="B34" s="425">
        <v>2002</v>
      </c>
      <c r="C34" s="425" t="s">
        <v>202</v>
      </c>
      <c r="D34" s="425">
        <v>37531.800000000003</v>
      </c>
      <c r="E34" s="426">
        <f t="shared" si="1"/>
        <v>30665.573364191037</v>
      </c>
      <c r="F34" s="425">
        <f t="shared" ref="F34:F65" si="3">VLOOKUP(C34,ssindex,2,FALSE)*E34</f>
        <v>29395.892360159272</v>
      </c>
      <c r="G34" s="425">
        <f t="shared" si="2"/>
        <v>8135.9076398407306</v>
      </c>
    </row>
    <row r="35" spans="1:7">
      <c r="A35" s="425">
        <v>34</v>
      </c>
      <c r="B35" s="425"/>
      <c r="C35" s="425" t="s">
        <v>203</v>
      </c>
      <c r="D35" s="425">
        <v>35977.9</v>
      </c>
      <c r="E35" s="426">
        <f t="shared" si="1"/>
        <v>30544.652034759547</v>
      </c>
      <c r="F35" s="425">
        <f t="shared" si="3"/>
        <v>30839.074983999501</v>
      </c>
      <c r="G35" s="425">
        <f t="shared" si="2"/>
        <v>5138.8250160005009</v>
      </c>
    </row>
    <row r="36" spans="1:7">
      <c r="A36" s="425">
        <v>35</v>
      </c>
      <c r="B36" s="425"/>
      <c r="C36" s="425" t="s">
        <v>205</v>
      </c>
      <c r="D36" s="425">
        <v>36124.800000000003</v>
      </c>
      <c r="E36" s="426">
        <f t="shared" si="1"/>
        <v>30423.730705328057</v>
      </c>
      <c r="F36" s="425">
        <f t="shared" si="3"/>
        <v>31112.146050898366</v>
      </c>
      <c r="G36" s="425">
        <f t="shared" si="2"/>
        <v>5012.6539491016374</v>
      </c>
    </row>
    <row r="37" spans="1:7">
      <c r="A37" s="425">
        <v>36</v>
      </c>
      <c r="B37" s="425"/>
      <c r="C37" s="425" t="s">
        <v>207</v>
      </c>
      <c r="D37" s="425">
        <v>35890.400000000001</v>
      </c>
      <c r="E37" s="426">
        <f t="shared" si="1"/>
        <v>30302.809375896562</v>
      </c>
      <c r="F37" s="425">
        <f t="shared" si="3"/>
        <v>30619.806517897887</v>
      </c>
      <c r="G37" s="425">
        <f t="shared" si="2"/>
        <v>5270.5934821021146</v>
      </c>
    </row>
    <row r="38" spans="1:7">
      <c r="A38" s="425">
        <v>37</v>
      </c>
      <c r="B38" s="425">
        <v>2003</v>
      </c>
      <c r="C38" s="425" t="s">
        <v>202</v>
      </c>
      <c r="D38" s="425">
        <v>29915.4</v>
      </c>
      <c r="E38" s="426">
        <f t="shared" si="1"/>
        <v>30181.888046465072</v>
      </c>
      <c r="F38" s="425">
        <f t="shared" si="3"/>
        <v>28932.233606181268</v>
      </c>
      <c r="G38" s="425">
        <f t="shared" si="2"/>
        <v>983.16639381873392</v>
      </c>
    </row>
    <row r="39" spans="1:7">
      <c r="A39" s="425">
        <v>38</v>
      </c>
      <c r="B39" s="425"/>
      <c r="C39" s="425" t="s">
        <v>203</v>
      </c>
      <c r="D39" s="425">
        <v>29001.3</v>
      </c>
      <c r="E39" s="426">
        <f t="shared" si="1"/>
        <v>30060.966717033582</v>
      </c>
      <c r="F39" s="425">
        <f t="shared" si="3"/>
        <v>30350.727375225437</v>
      </c>
      <c r="G39" s="425">
        <f t="shared" si="2"/>
        <v>-1349.4273752254376</v>
      </c>
    </row>
    <row r="40" spans="1:7">
      <c r="A40" s="425">
        <v>39</v>
      </c>
      <c r="B40" s="425"/>
      <c r="C40" s="425" t="s">
        <v>205</v>
      </c>
      <c r="D40" s="425">
        <v>28504.400000000001</v>
      </c>
      <c r="E40" s="426">
        <f t="shared" si="1"/>
        <v>29940.045387602091</v>
      </c>
      <c r="F40" s="425">
        <f t="shared" si="3"/>
        <v>30617.516105822957</v>
      </c>
      <c r="G40" s="425">
        <f t="shared" si="2"/>
        <v>-2113.1161058229554</v>
      </c>
    </row>
    <row r="41" spans="1:7">
      <c r="A41" s="425">
        <v>40</v>
      </c>
      <c r="B41" s="425"/>
      <c r="C41" s="425" t="s">
        <v>207</v>
      </c>
      <c r="D41" s="425">
        <v>31735.1</v>
      </c>
      <c r="E41" s="426">
        <f t="shared" si="1"/>
        <v>29819.124058170601</v>
      </c>
      <c r="F41" s="425">
        <f t="shared" si="3"/>
        <v>30131.061376792346</v>
      </c>
      <c r="G41" s="425">
        <f t="shared" si="2"/>
        <v>1604.0386232076526</v>
      </c>
    </row>
    <row r="42" spans="1:7">
      <c r="A42" s="425">
        <v>41</v>
      </c>
      <c r="B42" s="425">
        <v>2004</v>
      </c>
      <c r="C42" s="425" t="s">
        <v>202</v>
      </c>
      <c r="D42" s="425">
        <v>30061.5</v>
      </c>
      <c r="E42" s="426">
        <f t="shared" si="1"/>
        <v>29698.202728739107</v>
      </c>
      <c r="F42" s="425">
        <f t="shared" si="3"/>
        <v>28468.574852203263</v>
      </c>
      <c r="G42" s="425">
        <f t="shared" si="2"/>
        <v>1592.9251477967373</v>
      </c>
    </row>
    <row r="43" spans="1:7">
      <c r="A43" s="425">
        <v>42</v>
      </c>
      <c r="B43" s="425"/>
      <c r="C43" s="425" t="s">
        <v>203</v>
      </c>
      <c r="D43" s="425">
        <v>30531.200000000001</v>
      </c>
      <c r="E43" s="426">
        <f t="shared" si="1"/>
        <v>29577.281399307616</v>
      </c>
      <c r="F43" s="425">
        <f t="shared" si="3"/>
        <v>29862.379766451373</v>
      </c>
      <c r="G43" s="425">
        <f t="shared" si="2"/>
        <v>668.82023354862758</v>
      </c>
    </row>
    <row r="44" spans="1:7">
      <c r="A44" s="425">
        <v>43</v>
      </c>
      <c r="B44" s="425"/>
      <c r="C44" s="425" t="s">
        <v>205</v>
      </c>
      <c r="D44" s="425">
        <v>31297.200000000001</v>
      </c>
      <c r="E44" s="426">
        <f t="shared" si="1"/>
        <v>29456.360069876122</v>
      </c>
      <c r="F44" s="425">
        <f t="shared" si="3"/>
        <v>30122.886160747548</v>
      </c>
      <c r="G44" s="425">
        <f t="shared" si="2"/>
        <v>1174.3138392524525</v>
      </c>
    </row>
    <row r="45" spans="1:7">
      <c r="A45" s="425">
        <v>44</v>
      </c>
      <c r="B45" s="425"/>
      <c r="C45" s="425" t="s">
        <v>207</v>
      </c>
      <c r="D45" s="425">
        <v>28978.2</v>
      </c>
      <c r="E45" s="426">
        <f t="shared" si="1"/>
        <v>29335.438740444632</v>
      </c>
      <c r="F45" s="425">
        <f t="shared" si="3"/>
        <v>29642.316235686794</v>
      </c>
      <c r="G45" s="425">
        <f t="shared" si="2"/>
        <v>-664.11623568679352</v>
      </c>
    </row>
    <row r="46" spans="1:7">
      <c r="A46" s="425">
        <v>45</v>
      </c>
      <c r="B46" s="425">
        <v>2005</v>
      </c>
      <c r="C46" s="425" t="s">
        <v>202</v>
      </c>
      <c r="D46" s="425">
        <v>27903.9</v>
      </c>
      <c r="E46" s="426">
        <f t="shared" si="1"/>
        <v>29214.517411013141</v>
      </c>
      <c r="F46" s="425">
        <f t="shared" si="3"/>
        <v>28004.916098225258</v>
      </c>
      <c r="G46" s="425">
        <f t="shared" si="2"/>
        <v>-101.01609822525643</v>
      </c>
    </row>
    <row r="47" spans="1:7">
      <c r="A47" s="425">
        <v>46</v>
      </c>
      <c r="B47" s="425"/>
      <c r="C47" s="425" t="s">
        <v>203</v>
      </c>
      <c r="D47" s="425">
        <v>28861.1</v>
      </c>
      <c r="E47" s="426">
        <f t="shared" si="1"/>
        <v>29093.596081581651</v>
      </c>
      <c r="F47" s="425">
        <f t="shared" si="3"/>
        <v>29374.032157677309</v>
      </c>
      <c r="G47" s="425">
        <f t="shared" si="2"/>
        <v>-512.9321576773109</v>
      </c>
    </row>
    <row r="48" spans="1:7">
      <c r="A48" s="425">
        <v>47</v>
      </c>
      <c r="B48" s="425"/>
      <c r="C48" s="425" t="s">
        <v>205</v>
      </c>
      <c r="D48" s="425">
        <v>27362.3</v>
      </c>
      <c r="E48" s="426">
        <f t="shared" si="1"/>
        <v>28972.67475215016</v>
      </c>
      <c r="F48" s="425">
        <f t="shared" si="3"/>
        <v>29628.256215672143</v>
      </c>
      <c r="G48" s="425">
        <f t="shared" si="2"/>
        <v>-2265.956215672144</v>
      </c>
    </row>
    <row r="49" spans="1:7">
      <c r="A49" s="425">
        <v>48</v>
      </c>
      <c r="B49" s="425"/>
      <c r="C49" s="425" t="s">
        <v>207</v>
      </c>
      <c r="D49" s="425">
        <v>27219.599999999999</v>
      </c>
      <c r="E49" s="426">
        <f t="shared" si="1"/>
        <v>28851.753422718666</v>
      </c>
      <c r="F49" s="425">
        <f t="shared" si="3"/>
        <v>29153.57109458125</v>
      </c>
      <c r="G49" s="425">
        <f t="shared" si="2"/>
        <v>-1933.9710945812512</v>
      </c>
    </row>
    <row r="50" spans="1:7">
      <c r="A50" s="425">
        <v>49</v>
      </c>
      <c r="B50" s="425">
        <v>2006</v>
      </c>
      <c r="C50" s="425" t="s">
        <v>202</v>
      </c>
      <c r="D50" s="425">
        <v>23945.599999999999</v>
      </c>
      <c r="E50" s="426">
        <f t="shared" si="1"/>
        <v>28730.832093287176</v>
      </c>
      <c r="F50" s="425">
        <f t="shared" si="3"/>
        <v>27541.257344247253</v>
      </c>
      <c r="G50" s="425">
        <f t="shared" si="2"/>
        <v>-3595.6573442472545</v>
      </c>
    </row>
    <row r="51" spans="1:7">
      <c r="A51" s="425">
        <v>50</v>
      </c>
      <c r="B51" s="425"/>
      <c r="C51" s="425" t="s">
        <v>203</v>
      </c>
      <c r="D51" s="425">
        <v>24871.3</v>
      </c>
      <c r="E51" s="426">
        <f t="shared" si="1"/>
        <v>28609.910763855685</v>
      </c>
      <c r="F51" s="425">
        <f t="shared" si="3"/>
        <v>28885.684548903246</v>
      </c>
      <c r="G51" s="425">
        <f t="shared" si="2"/>
        <v>-4014.3845489032465</v>
      </c>
    </row>
    <row r="52" spans="1:7">
      <c r="A52" s="425">
        <v>51</v>
      </c>
      <c r="B52" s="425"/>
      <c r="C52" s="425" t="s">
        <v>205</v>
      </c>
      <c r="D52" s="425">
        <v>25135.8</v>
      </c>
      <c r="E52" s="426">
        <f t="shared" si="1"/>
        <v>28488.989434424191</v>
      </c>
      <c r="F52" s="425">
        <f t="shared" si="3"/>
        <v>29133.626270596731</v>
      </c>
      <c r="G52" s="425">
        <f t="shared" si="2"/>
        <v>-3997.8262705967318</v>
      </c>
    </row>
    <row r="53" spans="1:7">
      <c r="A53" s="425">
        <v>52</v>
      </c>
      <c r="B53" s="425"/>
      <c r="C53" s="425" t="s">
        <v>207</v>
      </c>
      <c r="D53" s="425">
        <v>25755.8</v>
      </c>
      <c r="E53" s="426">
        <f t="shared" si="1"/>
        <v>28368.068104992701</v>
      </c>
      <c r="F53" s="425">
        <f t="shared" si="3"/>
        <v>28664.825953475702</v>
      </c>
      <c r="G53" s="425">
        <f t="shared" si="2"/>
        <v>-2909.0259534757024</v>
      </c>
    </row>
    <row r="54" spans="1:7">
      <c r="A54" s="425">
        <v>53</v>
      </c>
      <c r="B54" s="425">
        <v>2007</v>
      </c>
      <c r="C54" s="425" t="s">
        <v>202</v>
      </c>
      <c r="D54" s="425">
        <v>26175.9</v>
      </c>
      <c r="E54" s="426">
        <f t="shared" si="1"/>
        <v>28247.14677556121</v>
      </c>
      <c r="F54" s="425">
        <f t="shared" si="3"/>
        <v>27077.598590269248</v>
      </c>
      <c r="G54" s="425">
        <f t="shared" si="2"/>
        <v>-901.69859026924678</v>
      </c>
    </row>
    <row r="55" spans="1:7">
      <c r="A55" s="425">
        <v>54</v>
      </c>
      <c r="B55" s="425"/>
      <c r="C55" s="425" t="s">
        <v>203</v>
      </c>
      <c r="D55" s="425">
        <v>28491.9</v>
      </c>
      <c r="E55" s="426">
        <f t="shared" si="1"/>
        <v>28126.22544612972</v>
      </c>
      <c r="F55" s="425">
        <f t="shared" si="3"/>
        <v>28397.336940129182</v>
      </c>
      <c r="G55" s="425">
        <f t="shared" si="2"/>
        <v>94.563059870819416</v>
      </c>
    </row>
    <row r="56" spans="1:7">
      <c r="A56" s="425">
        <v>55</v>
      </c>
      <c r="B56" s="425"/>
      <c r="C56" s="425" t="s">
        <v>205</v>
      </c>
      <c r="D56" s="425">
        <v>29512</v>
      </c>
      <c r="E56" s="426">
        <f t="shared" si="1"/>
        <v>28005.304116698229</v>
      </c>
      <c r="F56" s="425">
        <f t="shared" si="3"/>
        <v>28638.996325521326</v>
      </c>
      <c r="G56" s="425">
        <f t="shared" si="2"/>
        <v>873.00367447867393</v>
      </c>
    </row>
    <row r="57" spans="1:7">
      <c r="A57" s="425">
        <v>56</v>
      </c>
      <c r="B57" s="425"/>
      <c r="C57" s="425" t="s">
        <v>207</v>
      </c>
      <c r="D57" s="425">
        <v>27895.8</v>
      </c>
      <c r="E57" s="426">
        <f t="shared" si="1"/>
        <v>27884.382787266735</v>
      </c>
      <c r="F57" s="425">
        <f t="shared" si="3"/>
        <v>28176.080812370157</v>
      </c>
      <c r="G57" s="425">
        <f t="shared" si="2"/>
        <v>-280.28081237015795</v>
      </c>
    </row>
    <row r="58" spans="1:7">
      <c r="A58" s="425">
        <v>57</v>
      </c>
      <c r="B58" s="425">
        <v>2008</v>
      </c>
      <c r="C58" s="425" t="s">
        <v>202</v>
      </c>
      <c r="D58" s="425">
        <v>26771.200000000001</v>
      </c>
      <c r="E58" s="426">
        <f t="shared" si="1"/>
        <v>27763.461457835245</v>
      </c>
      <c r="F58" s="425">
        <f t="shared" si="3"/>
        <v>26613.939836291243</v>
      </c>
      <c r="G58" s="425">
        <f t="shared" si="2"/>
        <v>157.26016370875732</v>
      </c>
    </row>
    <row r="59" spans="1:7">
      <c r="A59" s="425">
        <v>58</v>
      </c>
      <c r="B59" s="425"/>
      <c r="C59" s="425" t="s">
        <v>203</v>
      </c>
      <c r="D59" s="425">
        <v>27559.599999999999</v>
      </c>
      <c r="E59" s="426">
        <f t="shared" si="1"/>
        <v>27642.540128403751</v>
      </c>
      <c r="F59" s="425">
        <f t="shared" si="3"/>
        <v>27908.989331355115</v>
      </c>
      <c r="G59" s="425">
        <f t="shared" si="2"/>
        <v>-349.38933135511616</v>
      </c>
    </row>
    <row r="60" spans="1:7">
      <c r="A60" s="425">
        <v>59</v>
      </c>
      <c r="B60" s="425"/>
      <c r="C60" s="425" t="s">
        <v>205</v>
      </c>
      <c r="D60" s="425">
        <v>28067.599999999999</v>
      </c>
      <c r="E60" s="426">
        <f t="shared" si="1"/>
        <v>27521.61879897226</v>
      </c>
      <c r="F60" s="425">
        <f t="shared" si="3"/>
        <v>28144.366380445914</v>
      </c>
      <c r="G60" s="425">
        <f t="shared" si="2"/>
        <v>-76.766380445915274</v>
      </c>
    </row>
    <row r="61" spans="1:7">
      <c r="A61" s="425">
        <v>60</v>
      </c>
      <c r="B61" s="425"/>
      <c r="C61" s="425" t="s">
        <v>207</v>
      </c>
      <c r="D61" s="425">
        <v>27697.8</v>
      </c>
      <c r="E61" s="426">
        <f t="shared" si="1"/>
        <v>27400.69746954077</v>
      </c>
      <c r="F61" s="425">
        <f t="shared" si="3"/>
        <v>27687.335671264609</v>
      </c>
      <c r="G61" s="425">
        <f t="shared" si="2"/>
        <v>10.464328735390154</v>
      </c>
    </row>
    <row r="62" spans="1:7">
      <c r="A62" s="425">
        <v>61</v>
      </c>
      <c r="B62" s="425">
        <v>2009</v>
      </c>
      <c r="C62" s="425" t="s">
        <v>202</v>
      </c>
      <c r="D62" s="425">
        <v>26401.9</v>
      </c>
      <c r="E62" s="426">
        <f t="shared" si="1"/>
        <v>27279.776140109279</v>
      </c>
      <c r="F62" s="425">
        <f t="shared" si="3"/>
        <v>26150.281082313239</v>
      </c>
      <c r="G62" s="425">
        <f t="shared" si="2"/>
        <v>251.61891768676287</v>
      </c>
    </row>
    <row r="63" spans="1:7">
      <c r="A63" s="425">
        <v>62</v>
      </c>
      <c r="B63" s="425"/>
      <c r="C63" s="425" t="s">
        <v>203</v>
      </c>
      <c r="D63" s="425">
        <v>28462.7</v>
      </c>
      <c r="E63" s="426">
        <f t="shared" si="1"/>
        <v>27158.854810677789</v>
      </c>
      <c r="F63" s="425">
        <f t="shared" si="3"/>
        <v>27420.641722581055</v>
      </c>
      <c r="G63" s="425">
        <f t="shared" si="2"/>
        <v>1042.0582774189461</v>
      </c>
    </row>
    <row r="64" spans="1:7">
      <c r="A64" s="425">
        <v>63</v>
      </c>
      <c r="B64" s="425"/>
      <c r="C64" s="425" t="s">
        <v>205</v>
      </c>
      <c r="D64" s="425">
        <v>28252.2</v>
      </c>
      <c r="E64" s="426">
        <f t="shared" si="1"/>
        <v>27037.933481246295</v>
      </c>
      <c r="F64" s="425">
        <f t="shared" si="3"/>
        <v>27649.736435370509</v>
      </c>
      <c r="G64" s="425">
        <f t="shared" si="2"/>
        <v>602.46356462949188</v>
      </c>
    </row>
    <row r="65" spans="1:7">
      <c r="A65" s="425">
        <v>64</v>
      </c>
      <c r="B65" s="425"/>
      <c r="C65" s="425" t="s">
        <v>207</v>
      </c>
      <c r="D65" s="425">
        <v>28430.400000000001</v>
      </c>
      <c r="E65" s="426">
        <f t="shared" si="1"/>
        <v>26917.012151814804</v>
      </c>
      <c r="F65" s="425">
        <f t="shared" si="3"/>
        <v>27198.590530159065</v>
      </c>
      <c r="G65" s="425">
        <f t="shared" si="2"/>
        <v>1231.8094698409368</v>
      </c>
    </row>
    <row r="66" spans="1:7">
      <c r="A66" s="425">
        <v>65</v>
      </c>
      <c r="B66" s="425">
        <v>2010</v>
      </c>
      <c r="C66" s="425" t="s">
        <v>202</v>
      </c>
      <c r="D66" s="425">
        <v>28234.6</v>
      </c>
      <c r="E66" s="426">
        <f t="shared" si="1"/>
        <v>26796.090822383314</v>
      </c>
      <c r="F66" s="425">
        <f t="shared" ref="F66:F97" si="4">VLOOKUP(C66,ssindex,2,FALSE)*E66</f>
        <v>25686.622328335234</v>
      </c>
      <c r="G66" s="425">
        <f t="shared" si="2"/>
        <v>2547.9776716647648</v>
      </c>
    </row>
    <row r="67" spans="1:7">
      <c r="A67" s="425">
        <v>66</v>
      </c>
      <c r="B67" s="425"/>
      <c r="C67" s="425" t="s">
        <v>203</v>
      </c>
      <c r="D67" s="425">
        <v>27960.799999999999</v>
      </c>
      <c r="E67" s="426">
        <f t="shared" ref="E67:E99" si="5">K$3+K$4*A67</f>
        <v>26675.16949295182</v>
      </c>
      <c r="F67" s="425">
        <f t="shared" si="4"/>
        <v>26932.294113806987</v>
      </c>
      <c r="G67" s="425">
        <f t="shared" ref="G67:G99" si="6">D67-F67</f>
        <v>1028.505886193012</v>
      </c>
    </row>
    <row r="68" spans="1:7">
      <c r="A68" s="425">
        <v>67</v>
      </c>
      <c r="B68" s="425"/>
      <c r="C68" s="425" t="s">
        <v>205</v>
      </c>
      <c r="D68" s="425">
        <v>28676.9</v>
      </c>
      <c r="E68" s="426">
        <f t="shared" si="5"/>
        <v>26554.248163520329</v>
      </c>
      <c r="F68" s="425">
        <f t="shared" si="4"/>
        <v>27155.1064902951</v>
      </c>
      <c r="G68" s="425">
        <f t="shared" si="6"/>
        <v>1521.7935097049012</v>
      </c>
    </row>
    <row r="69" spans="1:7">
      <c r="A69" s="425">
        <v>68</v>
      </c>
      <c r="B69" s="425"/>
      <c r="C69" s="425" t="s">
        <v>207</v>
      </c>
      <c r="D69" s="425">
        <v>28780.9</v>
      </c>
      <c r="E69" s="426">
        <f t="shared" si="5"/>
        <v>26433.326834088839</v>
      </c>
      <c r="F69" s="425">
        <f t="shared" si="4"/>
        <v>26709.84538905352</v>
      </c>
      <c r="G69" s="425">
        <f t="shared" si="6"/>
        <v>2071.0546109464813</v>
      </c>
    </row>
    <row r="70" spans="1:7">
      <c r="A70" s="425">
        <v>69</v>
      </c>
      <c r="B70" s="425">
        <v>2011</v>
      </c>
      <c r="C70" s="425" t="s">
        <v>202</v>
      </c>
      <c r="D70" s="425">
        <v>24749.5</v>
      </c>
      <c r="E70" s="426">
        <f t="shared" si="5"/>
        <v>26312.405504657349</v>
      </c>
      <c r="F70" s="425">
        <f t="shared" si="4"/>
        <v>25222.963574357229</v>
      </c>
      <c r="G70" s="425">
        <f t="shared" si="6"/>
        <v>-473.46357435722894</v>
      </c>
    </row>
    <row r="71" spans="1:7">
      <c r="A71" s="425">
        <v>70</v>
      </c>
      <c r="B71" s="425"/>
      <c r="C71" s="425" t="s">
        <v>203</v>
      </c>
      <c r="D71" s="425">
        <v>27228.400000000001</v>
      </c>
      <c r="E71" s="426">
        <f t="shared" si="5"/>
        <v>26191.484175225858</v>
      </c>
      <c r="F71" s="425">
        <f t="shared" si="4"/>
        <v>26443.946505032927</v>
      </c>
      <c r="G71" s="425">
        <f t="shared" si="6"/>
        <v>784.45349496707422</v>
      </c>
    </row>
    <row r="72" spans="1:7">
      <c r="A72" s="425">
        <v>71</v>
      </c>
      <c r="B72" s="425"/>
      <c r="C72" s="425" t="s">
        <v>205</v>
      </c>
      <c r="D72" s="425">
        <v>27615.3</v>
      </c>
      <c r="E72" s="426">
        <f t="shared" si="5"/>
        <v>26070.562845794364</v>
      </c>
      <c r="F72" s="425">
        <f t="shared" si="4"/>
        <v>26660.476545219692</v>
      </c>
      <c r="G72" s="425">
        <f t="shared" si="6"/>
        <v>954.82345478030766</v>
      </c>
    </row>
    <row r="73" spans="1:7">
      <c r="A73" s="425">
        <v>72</v>
      </c>
      <c r="B73" s="425"/>
      <c r="C73" s="425" t="s">
        <v>207</v>
      </c>
      <c r="D73" s="425">
        <v>24988.7</v>
      </c>
      <c r="E73" s="426">
        <f t="shared" si="5"/>
        <v>25949.641516362874</v>
      </c>
      <c r="F73" s="425">
        <f t="shared" si="4"/>
        <v>26221.100247947972</v>
      </c>
      <c r="G73" s="425">
        <f t="shared" si="6"/>
        <v>-1232.4002479479714</v>
      </c>
    </row>
    <row r="74" spans="1:7">
      <c r="A74" s="425">
        <v>73</v>
      </c>
      <c r="B74" s="425">
        <v>2012</v>
      </c>
      <c r="C74" s="425" t="s">
        <v>202</v>
      </c>
      <c r="D74" s="425">
        <v>25172.1</v>
      </c>
      <c r="E74" s="426">
        <f t="shared" si="5"/>
        <v>25828.720186931379</v>
      </c>
      <c r="F74" s="425">
        <f t="shared" si="4"/>
        <v>24759.30482037922</v>
      </c>
      <c r="G74" s="425">
        <f t="shared" si="6"/>
        <v>412.79517962077807</v>
      </c>
    </row>
    <row r="75" spans="1:7">
      <c r="A75" s="425">
        <v>74</v>
      </c>
      <c r="B75" s="425"/>
      <c r="C75" s="425" t="s">
        <v>203</v>
      </c>
      <c r="D75" s="425">
        <v>26022.799999999999</v>
      </c>
      <c r="E75" s="426">
        <f t="shared" si="5"/>
        <v>25707.798857499889</v>
      </c>
      <c r="F75" s="425">
        <f t="shared" si="4"/>
        <v>25955.598896258856</v>
      </c>
      <c r="G75" s="425">
        <f t="shared" si="6"/>
        <v>67.201103741143015</v>
      </c>
    </row>
    <row r="76" spans="1:7">
      <c r="A76" s="425">
        <v>75</v>
      </c>
      <c r="B76" s="425"/>
      <c r="C76" s="425" t="s">
        <v>205</v>
      </c>
      <c r="D76" s="425">
        <v>25934</v>
      </c>
      <c r="E76" s="426">
        <f t="shared" si="5"/>
        <v>25586.877528068399</v>
      </c>
      <c r="F76" s="425">
        <f t="shared" si="4"/>
        <v>26165.846600144283</v>
      </c>
      <c r="G76" s="425">
        <f t="shared" si="6"/>
        <v>-231.846600144283</v>
      </c>
    </row>
    <row r="77" spans="1:7">
      <c r="A77" s="425">
        <v>76</v>
      </c>
      <c r="B77" s="425"/>
      <c r="C77" s="425" t="s">
        <v>207</v>
      </c>
      <c r="D77" s="425">
        <v>26481.599999999999</v>
      </c>
      <c r="E77" s="426">
        <f t="shared" si="5"/>
        <v>25465.956198636908</v>
      </c>
      <c r="F77" s="425">
        <f t="shared" si="4"/>
        <v>25732.355106842428</v>
      </c>
      <c r="G77" s="425">
        <f t="shared" si="6"/>
        <v>749.24489315757091</v>
      </c>
    </row>
    <row r="78" spans="1:7">
      <c r="A78" s="425">
        <v>77</v>
      </c>
      <c r="B78" s="425">
        <v>2013</v>
      </c>
      <c r="C78" s="425" t="s">
        <v>202</v>
      </c>
      <c r="D78" s="425">
        <v>25597.599999999999</v>
      </c>
      <c r="E78" s="426">
        <f t="shared" si="5"/>
        <v>25345.034869205418</v>
      </c>
      <c r="F78" s="425">
        <f t="shared" si="4"/>
        <v>24295.646066401219</v>
      </c>
      <c r="G78" s="425">
        <f t="shared" si="6"/>
        <v>1301.9539335987793</v>
      </c>
    </row>
    <row r="79" spans="1:7">
      <c r="A79" s="425">
        <v>78</v>
      </c>
      <c r="B79" s="425"/>
      <c r="C79" s="425" t="s">
        <v>203</v>
      </c>
      <c r="D79" s="425">
        <v>27424</v>
      </c>
      <c r="E79" s="426">
        <f t="shared" si="5"/>
        <v>25224.113539773927</v>
      </c>
      <c r="F79" s="425">
        <f t="shared" si="4"/>
        <v>25467.251287484796</v>
      </c>
      <c r="G79" s="425">
        <f t="shared" si="6"/>
        <v>1956.7487125152038</v>
      </c>
    </row>
    <row r="80" spans="1:7">
      <c r="A80" s="425">
        <v>79</v>
      </c>
      <c r="B80" s="425"/>
      <c r="C80" s="425" t="s">
        <v>205</v>
      </c>
      <c r="D80" s="425">
        <v>26599.4</v>
      </c>
      <c r="E80" s="426">
        <f t="shared" si="5"/>
        <v>25103.192210342433</v>
      </c>
      <c r="F80" s="425">
        <f t="shared" si="4"/>
        <v>25671.216655068874</v>
      </c>
      <c r="G80" s="425">
        <f t="shared" si="6"/>
        <v>928.18334493112707</v>
      </c>
    </row>
    <row r="81" spans="1:7">
      <c r="A81" s="425">
        <v>80</v>
      </c>
      <c r="B81" s="425"/>
      <c r="C81" s="425" t="s">
        <v>207</v>
      </c>
      <c r="D81" s="425">
        <v>25980.5</v>
      </c>
      <c r="E81" s="426">
        <f t="shared" si="5"/>
        <v>24982.270880910943</v>
      </c>
      <c r="F81" s="425">
        <f t="shared" si="4"/>
        <v>25243.60996573688</v>
      </c>
      <c r="G81" s="425">
        <f t="shared" si="6"/>
        <v>736.89003426312047</v>
      </c>
    </row>
    <row r="82" spans="1:7">
      <c r="A82" s="425">
        <v>81</v>
      </c>
      <c r="B82" s="425">
        <v>2014</v>
      </c>
      <c r="C82" s="425" t="s">
        <v>202</v>
      </c>
      <c r="D82" s="425">
        <v>24525.1</v>
      </c>
      <c r="E82" s="426">
        <f t="shared" si="5"/>
        <v>24861.349551479449</v>
      </c>
      <c r="F82" s="425">
        <f t="shared" si="4"/>
        <v>23831.987312423207</v>
      </c>
      <c r="G82" s="425">
        <f t="shared" si="6"/>
        <v>693.11268757679136</v>
      </c>
    </row>
    <row r="83" spans="1:7">
      <c r="A83" s="425">
        <v>82</v>
      </c>
      <c r="B83" s="425"/>
      <c r="C83" s="425" t="s">
        <v>203</v>
      </c>
      <c r="D83" s="425">
        <v>23431.7</v>
      </c>
      <c r="E83" s="426">
        <f t="shared" si="5"/>
        <v>24740.428222047958</v>
      </c>
      <c r="F83" s="425">
        <f t="shared" si="4"/>
        <v>24978.903678710729</v>
      </c>
      <c r="G83" s="425">
        <f t="shared" si="6"/>
        <v>-1547.2036787107281</v>
      </c>
    </row>
    <row r="84" spans="1:7">
      <c r="A84" s="425">
        <v>83</v>
      </c>
      <c r="B84" s="425"/>
      <c r="C84" s="425" t="s">
        <v>205</v>
      </c>
      <c r="D84" s="425">
        <v>23965.3</v>
      </c>
      <c r="E84" s="426">
        <f t="shared" si="5"/>
        <v>24619.506892616468</v>
      </c>
      <c r="F84" s="425">
        <f t="shared" si="4"/>
        <v>25176.586709993469</v>
      </c>
      <c r="G84" s="425">
        <f t="shared" si="6"/>
        <v>-1211.2867099934701</v>
      </c>
    </row>
    <row r="85" spans="1:7">
      <c r="A85" s="425">
        <v>84</v>
      </c>
      <c r="B85" s="425"/>
      <c r="C85" s="425" t="s">
        <v>207</v>
      </c>
      <c r="D85" s="425">
        <v>23474.799999999999</v>
      </c>
      <c r="E85" s="426">
        <f t="shared" si="5"/>
        <v>24498.585563184977</v>
      </c>
      <c r="F85" s="425">
        <f t="shared" si="4"/>
        <v>24754.864824631335</v>
      </c>
      <c r="G85" s="425">
        <f t="shared" si="6"/>
        <v>-1280.0648246313358</v>
      </c>
    </row>
    <row r="86" spans="1:7">
      <c r="A86" s="425">
        <v>85</v>
      </c>
      <c r="B86" s="425">
        <v>2015</v>
      </c>
      <c r="C86" s="425" t="s">
        <v>202</v>
      </c>
      <c r="D86" s="425">
        <v>23384.799999999999</v>
      </c>
      <c r="E86" s="426">
        <f t="shared" si="5"/>
        <v>24377.664233753487</v>
      </c>
      <c r="F86" s="425">
        <f t="shared" si="4"/>
        <v>23368.328558445206</v>
      </c>
      <c r="G86" s="425">
        <f t="shared" si="6"/>
        <v>16.471441554793273</v>
      </c>
    </row>
    <row r="87" spans="1:7">
      <c r="A87" s="425">
        <v>86</v>
      </c>
      <c r="B87" s="425"/>
      <c r="C87" s="425" t="s">
        <v>203</v>
      </c>
      <c r="D87" s="425">
        <v>23808.7</v>
      </c>
      <c r="E87" s="426">
        <f t="shared" si="5"/>
        <v>24256.742904321993</v>
      </c>
      <c r="F87" s="425">
        <f t="shared" si="4"/>
        <v>24490.556069936665</v>
      </c>
      <c r="G87" s="425">
        <f t="shared" si="6"/>
        <v>-681.85606993666443</v>
      </c>
    </row>
    <row r="88" spans="1:7">
      <c r="A88" s="425">
        <v>87</v>
      </c>
      <c r="B88" s="425"/>
      <c r="C88" s="425" t="s">
        <v>205</v>
      </c>
      <c r="D88" s="425">
        <v>24311.7</v>
      </c>
      <c r="E88" s="426">
        <f t="shared" si="5"/>
        <v>24135.821574890502</v>
      </c>
      <c r="F88" s="425">
        <f t="shared" si="4"/>
        <v>24681.956764918061</v>
      </c>
      <c r="G88" s="425">
        <f t="shared" si="6"/>
        <v>-370.25676491806007</v>
      </c>
    </row>
    <row r="89" spans="1:7">
      <c r="A89" s="425">
        <v>88</v>
      </c>
      <c r="B89" s="425"/>
      <c r="C89" s="425" t="s">
        <v>207</v>
      </c>
      <c r="D89" s="425">
        <v>25315.1</v>
      </c>
      <c r="E89" s="426">
        <f t="shared" si="5"/>
        <v>24014.900245459008</v>
      </c>
      <c r="F89" s="425">
        <f t="shared" si="4"/>
        <v>24266.119683525787</v>
      </c>
      <c r="G89" s="425">
        <f t="shared" si="6"/>
        <v>1048.9803164742116</v>
      </c>
    </row>
    <row r="90" spans="1:7">
      <c r="A90" s="425">
        <v>89</v>
      </c>
      <c r="B90" s="425">
        <v>2016</v>
      </c>
      <c r="C90" s="425" t="s">
        <v>202</v>
      </c>
      <c r="D90" s="425">
        <v>23129.9</v>
      </c>
      <c r="E90" s="426">
        <f t="shared" si="5"/>
        <v>23893.978916027518</v>
      </c>
      <c r="F90" s="425">
        <f t="shared" si="4"/>
        <v>22904.669804467198</v>
      </c>
      <c r="G90" s="425">
        <f t="shared" si="6"/>
        <v>225.23019553280392</v>
      </c>
    </row>
    <row r="91" spans="1:7">
      <c r="A91" s="425">
        <v>90</v>
      </c>
      <c r="B91" s="425"/>
      <c r="C91" s="425" t="s">
        <v>203</v>
      </c>
      <c r="D91" s="425">
        <v>23324.9</v>
      </c>
      <c r="E91" s="426">
        <f t="shared" si="5"/>
        <v>23773.057586596027</v>
      </c>
      <c r="F91" s="425">
        <f t="shared" si="4"/>
        <v>24002.208461162601</v>
      </c>
      <c r="G91" s="425">
        <f t="shared" si="6"/>
        <v>-677.3084611626</v>
      </c>
    </row>
    <row r="92" spans="1:7">
      <c r="A92" s="425">
        <v>91</v>
      </c>
      <c r="B92" s="425"/>
      <c r="C92" s="425" t="s">
        <v>205</v>
      </c>
      <c r="D92" s="425">
        <v>23889.9</v>
      </c>
      <c r="E92" s="426">
        <f t="shared" si="5"/>
        <v>23652.136257164537</v>
      </c>
      <c r="F92" s="425">
        <f t="shared" si="4"/>
        <v>24187.326819842652</v>
      </c>
      <c r="G92" s="425">
        <f t="shared" si="6"/>
        <v>-297.42681984265073</v>
      </c>
    </row>
    <row r="93" spans="1:7">
      <c r="A93" s="425">
        <v>92</v>
      </c>
      <c r="B93" s="425"/>
      <c r="C93" s="425" t="s">
        <v>207</v>
      </c>
      <c r="D93" s="425">
        <v>23206.6</v>
      </c>
      <c r="E93" s="426">
        <f t="shared" si="5"/>
        <v>23531.214927733046</v>
      </c>
      <c r="F93" s="425">
        <f t="shared" si="4"/>
        <v>23777.374542420243</v>
      </c>
      <c r="G93" s="425">
        <f t="shared" si="6"/>
        <v>-570.77454242024396</v>
      </c>
    </row>
    <row r="94" spans="1:7">
      <c r="A94" s="425">
        <v>93</v>
      </c>
      <c r="B94" s="425">
        <v>2017</v>
      </c>
      <c r="C94" s="425" t="s">
        <v>202</v>
      </c>
      <c r="D94" s="425">
        <v>21934.5</v>
      </c>
      <c r="E94" s="426">
        <f t="shared" si="5"/>
        <v>23410.293598301556</v>
      </c>
      <c r="F94" s="425">
        <f t="shared" si="4"/>
        <v>22441.011050489196</v>
      </c>
      <c r="G94" s="425">
        <f t="shared" si="6"/>
        <v>-506.51105048919635</v>
      </c>
    </row>
    <row r="95" spans="1:7">
      <c r="A95" s="425">
        <v>94</v>
      </c>
      <c r="B95" s="425"/>
      <c r="C95" s="425" t="s">
        <v>203</v>
      </c>
      <c r="D95" s="425">
        <v>22573.1</v>
      </c>
      <c r="E95" s="426">
        <f t="shared" si="5"/>
        <v>23289.372268870062</v>
      </c>
      <c r="F95" s="425">
        <f t="shared" si="4"/>
        <v>23513.860852388538</v>
      </c>
      <c r="G95" s="425">
        <f t="shared" si="6"/>
        <v>-940.76085238853921</v>
      </c>
    </row>
    <row r="96" spans="1:7">
      <c r="A96" s="425">
        <v>95</v>
      </c>
      <c r="B96" s="425"/>
      <c r="C96" s="425" t="s">
        <v>205</v>
      </c>
      <c r="D96" s="425">
        <v>23162.799999999999</v>
      </c>
      <c r="E96" s="426">
        <f t="shared" si="5"/>
        <v>23168.450939438571</v>
      </c>
      <c r="F96" s="425">
        <f t="shared" si="4"/>
        <v>23692.696874767244</v>
      </c>
      <c r="G96" s="425">
        <f t="shared" si="6"/>
        <v>-529.8968747672443</v>
      </c>
    </row>
    <row r="97" spans="1:7">
      <c r="A97" s="425">
        <v>96</v>
      </c>
      <c r="B97" s="425"/>
      <c r="C97" s="425" t="s">
        <v>207</v>
      </c>
      <c r="D97" s="425">
        <v>23253.4</v>
      </c>
      <c r="E97" s="426">
        <f t="shared" si="5"/>
        <v>23047.529610007077</v>
      </c>
      <c r="F97" s="425">
        <f t="shared" si="4"/>
        <v>23288.629401314694</v>
      </c>
      <c r="G97" s="425">
        <f t="shared" si="6"/>
        <v>-35.22940131469295</v>
      </c>
    </row>
    <row r="98" spans="1:7">
      <c r="A98" s="425">
        <v>97</v>
      </c>
      <c r="B98" s="425">
        <v>2018</v>
      </c>
      <c r="C98" s="425" t="s">
        <v>202</v>
      </c>
      <c r="D98" s="425">
        <v>22341</v>
      </c>
      <c r="E98" s="426">
        <f t="shared" si="5"/>
        <v>22926.608280575587</v>
      </c>
      <c r="F98" s="425">
        <f t="shared" ref="F98:F99" si="7">VLOOKUP(C98,ssindex,2,FALSE)*E98</f>
        <v>21977.352296511188</v>
      </c>
      <c r="G98" s="425">
        <f t="shared" si="6"/>
        <v>363.64770348881211</v>
      </c>
    </row>
    <row r="99" spans="1:7">
      <c r="A99" s="425">
        <v>98</v>
      </c>
      <c r="B99" s="425"/>
      <c r="C99" s="425" t="s">
        <v>203</v>
      </c>
      <c r="D99" s="425">
        <v>22628.2</v>
      </c>
      <c r="E99" s="426">
        <f t="shared" si="5"/>
        <v>22805.686951144096</v>
      </c>
      <c r="F99" s="425">
        <f t="shared" si="7"/>
        <v>23025.513243614474</v>
      </c>
      <c r="G99" s="425">
        <f t="shared" si="6"/>
        <v>-397.31324361447332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5B926-769B-7646-8667-2BCC236918FE}">
  <dimension ref="B1:J264"/>
  <sheetViews>
    <sheetView topLeftCell="A23" workbookViewId="0">
      <selection activeCell="F38" sqref="F38"/>
    </sheetView>
  </sheetViews>
  <sheetFormatPr baseColWidth="10" defaultColWidth="8.83203125" defaultRowHeight="15"/>
  <cols>
    <col min="1" max="1" width="4.5" customWidth="1"/>
  </cols>
  <sheetData>
    <row r="1" spans="2:9">
      <c r="B1" t="s">
        <v>212</v>
      </c>
    </row>
    <row r="2" spans="2:9">
      <c r="B2" t="s">
        <v>213</v>
      </c>
    </row>
    <row r="3" spans="2:9">
      <c r="B3" t="s">
        <v>115</v>
      </c>
    </row>
    <row r="4" spans="2:9">
      <c r="B4" t="s">
        <v>138</v>
      </c>
    </row>
    <row r="5" spans="2:9">
      <c r="B5" t="s">
        <v>214</v>
      </c>
    </row>
    <row r="6" spans="2:9">
      <c r="B6" t="s">
        <v>215</v>
      </c>
    </row>
    <row r="7" spans="2:9">
      <c r="B7" t="s">
        <v>115</v>
      </c>
    </row>
    <row r="8" spans="2:9">
      <c r="B8" t="s">
        <v>159</v>
      </c>
    </row>
    <row r="9" spans="2:9" ht="34.25" customHeight="1"/>
    <row r="10" spans="2:9" ht="15.75" customHeight="1"/>
    <row r="13" spans="2:9">
      <c r="B13" t="s">
        <v>116</v>
      </c>
    </row>
    <row r="14" spans="2:9" ht="16" thickBot="1"/>
    <row r="15" spans="2:9">
      <c r="B15" s="398" t="s">
        <v>117</v>
      </c>
      <c r="C15" s="399" t="s">
        <v>118</v>
      </c>
      <c r="D15" s="399" t="s">
        <v>119</v>
      </c>
      <c r="E15" s="399" t="s">
        <v>120</v>
      </c>
      <c r="F15" s="399" t="s">
        <v>121</v>
      </c>
      <c r="G15" s="399" t="s">
        <v>122</v>
      </c>
      <c r="H15" s="399" t="s">
        <v>123</v>
      </c>
      <c r="I15" s="399" t="s">
        <v>124</v>
      </c>
    </row>
    <row r="16" spans="2:9" ht="16" thickBot="1">
      <c r="B16" s="409" t="s">
        <v>102</v>
      </c>
      <c r="C16" s="410">
        <v>98</v>
      </c>
      <c r="D16" s="410">
        <v>0</v>
      </c>
      <c r="E16" s="410">
        <v>98</v>
      </c>
      <c r="F16" s="411">
        <v>257.39999999999998</v>
      </c>
      <c r="G16" s="411">
        <v>443</v>
      </c>
      <c r="H16" s="411">
        <v>359.06020408163266</v>
      </c>
      <c r="I16" s="411">
        <v>50.527795228760667</v>
      </c>
    </row>
    <row r="19" spans="2:3">
      <c r="B19" s="412" t="s">
        <v>216</v>
      </c>
    </row>
    <row r="21" spans="2:3">
      <c r="B21" t="s">
        <v>217</v>
      </c>
    </row>
    <row r="23" spans="2:3">
      <c r="B23" t="s">
        <v>139</v>
      </c>
    </row>
    <row r="24" spans="2:3" ht="16" thickBot="1"/>
    <row r="25" spans="2:3">
      <c r="B25" s="413" t="s">
        <v>118</v>
      </c>
      <c r="C25" s="413">
        <v>96</v>
      </c>
    </row>
    <row r="26" spans="2:3">
      <c r="B26" s="407" t="s">
        <v>126</v>
      </c>
      <c r="C26" s="407">
        <v>93</v>
      </c>
    </row>
    <row r="27" spans="2:3">
      <c r="B27" s="407" t="s">
        <v>127</v>
      </c>
      <c r="C27" s="407">
        <v>3641.3943068530316</v>
      </c>
    </row>
    <row r="28" spans="2:3">
      <c r="B28" s="407" t="s">
        <v>128</v>
      </c>
      <c r="C28" s="407">
        <v>39.154777493043348</v>
      </c>
    </row>
    <row r="29" spans="2:3">
      <c r="B29" s="440" t="s">
        <v>129</v>
      </c>
      <c r="C29" s="440">
        <v>6.2573778448359141</v>
      </c>
    </row>
    <row r="30" spans="2:3">
      <c r="B30" s="407" t="s">
        <v>140</v>
      </c>
      <c r="C30" s="407">
        <v>39.154777493043348</v>
      </c>
    </row>
    <row r="31" spans="2:3">
      <c r="B31" s="407" t="s">
        <v>141</v>
      </c>
      <c r="C31" s="407">
        <v>199.97195859834278</v>
      </c>
    </row>
    <row r="32" spans="2:3">
      <c r="B32" s="440" t="s">
        <v>130</v>
      </c>
      <c r="C32" s="440">
        <v>1.3337425925537658</v>
      </c>
    </row>
    <row r="33" spans="2:9">
      <c r="B33" s="407" t="s">
        <v>142</v>
      </c>
      <c r="C33" s="407">
        <v>625.56941965472572</v>
      </c>
    </row>
    <row r="34" spans="2:9">
      <c r="B34" s="407" t="s">
        <v>143</v>
      </c>
      <c r="C34" s="407">
        <v>40.820938237428173</v>
      </c>
    </row>
    <row r="35" spans="2:9">
      <c r="B35" s="407" t="s">
        <v>144</v>
      </c>
      <c r="C35" s="407">
        <v>631.56941965472572</v>
      </c>
    </row>
    <row r="36" spans="2:9">
      <c r="B36" s="407" t="s">
        <v>145</v>
      </c>
      <c r="C36" s="407">
        <v>631.8302892199431</v>
      </c>
    </row>
    <row r="37" spans="2:9">
      <c r="B37" s="407" t="s">
        <v>146</v>
      </c>
      <c r="C37" s="407">
        <v>639.26246422912925</v>
      </c>
    </row>
    <row r="38" spans="2:9" ht="16" thickBot="1">
      <c r="B38" s="414" t="s">
        <v>131</v>
      </c>
      <c r="C38" s="414">
        <v>87</v>
      </c>
    </row>
    <row r="41" spans="2:9">
      <c r="B41" t="s">
        <v>147</v>
      </c>
    </row>
    <row r="42" spans="2:9" ht="16" thickBot="1"/>
    <row r="43" spans="2:9">
      <c r="B43" s="398" t="s">
        <v>132</v>
      </c>
      <c r="C43" s="399" t="s">
        <v>125</v>
      </c>
      <c r="D43" s="399" t="s">
        <v>148</v>
      </c>
      <c r="E43" s="399" t="s">
        <v>135</v>
      </c>
      <c r="F43" s="399" t="s">
        <v>136</v>
      </c>
    </row>
    <row r="44" spans="2:9" ht="16" thickBot="1">
      <c r="B44" s="409" t="s">
        <v>149</v>
      </c>
      <c r="C44" s="411">
        <v>-1.2082543534872986E-2</v>
      </c>
      <c r="D44" s="411">
        <v>4.3264989338029324E-3</v>
      </c>
      <c r="E44" s="411">
        <v>-2.0562325624277674E-2</v>
      </c>
      <c r="F44" s="411">
        <v>-3.6027614454682971E-3</v>
      </c>
    </row>
    <row r="46" spans="2:9" ht="16" thickBot="1"/>
    <row r="47" spans="2:9">
      <c r="B47" s="398" t="s">
        <v>132</v>
      </c>
      <c r="C47" s="399" t="s">
        <v>125</v>
      </c>
      <c r="D47" s="399" t="s">
        <v>148</v>
      </c>
      <c r="E47" s="399" t="s">
        <v>135</v>
      </c>
      <c r="F47" s="399" t="s">
        <v>136</v>
      </c>
      <c r="G47" s="399" t="s">
        <v>150</v>
      </c>
      <c r="H47" s="399" t="s">
        <v>135</v>
      </c>
      <c r="I47" s="399" t="s">
        <v>136</v>
      </c>
    </row>
    <row r="48" spans="2:9">
      <c r="B48" s="408" t="s">
        <v>151</v>
      </c>
      <c r="C48" s="405">
        <v>-0.95374762065968433</v>
      </c>
      <c r="D48" s="405">
        <v>8.9665863247165925E-2</v>
      </c>
      <c r="E48" s="405">
        <v>-1.1294894832668232</v>
      </c>
      <c r="F48" s="405">
        <v>-0.77800575805254546</v>
      </c>
      <c r="G48" s="405">
        <v>8.9880131426577137E-2</v>
      </c>
      <c r="H48" s="405">
        <v>-1.1299094411815021</v>
      </c>
      <c r="I48" s="405">
        <v>-0.77758580013786649</v>
      </c>
    </row>
    <row r="49" spans="2:9" ht="16" thickBot="1">
      <c r="B49" s="414" t="s">
        <v>152</v>
      </c>
      <c r="C49" s="403">
        <v>-0.4737825973747421</v>
      </c>
      <c r="D49" s="403">
        <v>8.9884635406481408E-2</v>
      </c>
      <c r="E49" s="403">
        <v>-0.64995324553495937</v>
      </c>
      <c r="F49" s="403">
        <v>-0.29761194921452483</v>
      </c>
      <c r="G49" s="403">
        <v>8.9880131426577137E-2</v>
      </c>
      <c r="H49" s="403">
        <v>-0.64994441789655988</v>
      </c>
      <c r="I49" s="403">
        <v>-0.29762077685292432</v>
      </c>
    </row>
    <row r="52" spans="2:9">
      <c r="B52" t="s">
        <v>153</v>
      </c>
    </row>
    <row r="53" spans="2:9" ht="16" thickBot="1"/>
    <row r="54" spans="2:9">
      <c r="B54" s="406" t="s">
        <v>118</v>
      </c>
      <c r="C54" s="399" t="s">
        <v>102</v>
      </c>
      <c r="D54" s="399" t="s">
        <v>218</v>
      </c>
      <c r="E54" s="399" t="s">
        <v>134</v>
      </c>
      <c r="F54" s="399" t="s">
        <v>154</v>
      </c>
    </row>
    <row r="55" spans="2:9">
      <c r="B55" s="400">
        <v>1</v>
      </c>
      <c r="C55" s="405">
        <v>257.39999999999998</v>
      </c>
      <c r="D55" s="405">
        <v>257.39999999999998</v>
      </c>
      <c r="E55" s="405">
        <v>0</v>
      </c>
      <c r="F55" s="405">
        <v>0</v>
      </c>
    </row>
    <row r="56" spans="2:9">
      <c r="B56" s="401">
        <v>2</v>
      </c>
      <c r="C56" s="402">
        <v>259.7</v>
      </c>
      <c r="D56" s="402">
        <v>259.7</v>
      </c>
      <c r="E56" s="402">
        <v>0</v>
      </c>
      <c r="F56" s="402">
        <v>0</v>
      </c>
    </row>
    <row r="57" spans="2:9">
      <c r="B57" s="401">
        <v>3</v>
      </c>
      <c r="C57" s="402">
        <v>263.3</v>
      </c>
      <c r="D57" s="402">
        <v>262.41910195031176</v>
      </c>
      <c r="E57" s="402">
        <v>0.88089804968825547</v>
      </c>
      <c r="F57" s="402">
        <v>0.14077750641432699</v>
      </c>
    </row>
    <row r="58" spans="2:9">
      <c r="B58" s="401">
        <v>4</v>
      </c>
      <c r="C58" s="402">
        <v>265.3</v>
      </c>
      <c r="D58" s="402">
        <v>265.95062950070826</v>
      </c>
      <c r="E58" s="402">
        <v>-0.65062950070824854</v>
      </c>
      <c r="F58" s="402">
        <v>-0.10397797877032466</v>
      </c>
    </row>
    <row r="59" spans="2:9">
      <c r="B59" s="401">
        <v>5</v>
      </c>
      <c r="C59" s="402">
        <v>269.89999999999998</v>
      </c>
      <c r="D59" s="402">
        <v>268.18074807692676</v>
      </c>
      <c r="E59" s="402">
        <v>1.7192519230732159</v>
      </c>
      <c r="F59" s="402">
        <v>0.27475597058472012</v>
      </c>
    </row>
    <row r="60" spans="2:9">
      <c r="B60" s="401">
        <v>6</v>
      </c>
      <c r="C60" s="402">
        <v>264.8</v>
      </c>
      <c r="D60" s="402">
        <v>272.74897760254277</v>
      </c>
      <c r="E60" s="402">
        <v>-7.9489776025427545</v>
      </c>
      <c r="F60" s="402">
        <v>-1.2703368407108231</v>
      </c>
    </row>
    <row r="61" spans="2:9">
      <c r="B61" s="401">
        <v>7</v>
      </c>
      <c r="C61" s="402">
        <v>273.10000000000002</v>
      </c>
      <c r="D61" s="402">
        <v>267.69018642768299</v>
      </c>
      <c r="E61" s="402">
        <v>5.4098135723170344</v>
      </c>
      <c r="F61" s="402">
        <v>0.86454960951121773</v>
      </c>
    </row>
    <row r="62" spans="2:9">
      <c r="B62" s="401">
        <v>8</v>
      </c>
      <c r="C62" s="402">
        <v>276.10000000000002</v>
      </c>
      <c r="D62" s="402">
        <v>273.18614233815362</v>
      </c>
      <c r="E62" s="402">
        <v>2.9138576618464072</v>
      </c>
      <c r="F62" s="402">
        <v>0.46566752625481206</v>
      </c>
    </row>
    <row r="63" spans="2:9">
      <c r="B63" s="401">
        <v>9</v>
      </c>
      <c r="C63" s="402">
        <v>284.8</v>
      </c>
      <c r="D63" s="402">
        <v>277.77684484513321</v>
      </c>
      <c r="E63" s="402">
        <v>7.0231551548667994</v>
      </c>
      <c r="F63" s="402">
        <v>1.1223799056121992</v>
      </c>
    </row>
    <row r="64" spans="2:9">
      <c r="B64" s="401">
        <v>10</v>
      </c>
      <c r="C64" s="402">
        <v>280.89999999999998</v>
      </c>
      <c r="D64" s="402">
        <v>290.54535558878433</v>
      </c>
      <c r="E64" s="402">
        <v>-9.6453555887843549</v>
      </c>
      <c r="F64" s="402">
        <v>-1.5414372965737508</v>
      </c>
    </row>
    <row r="65" spans="2:6">
      <c r="B65" s="401">
        <v>11</v>
      </c>
      <c r="C65" s="402">
        <v>290.5</v>
      </c>
      <c r="D65" s="402">
        <v>286.28732847573434</v>
      </c>
      <c r="E65" s="402">
        <v>4.2126715242656587</v>
      </c>
      <c r="F65" s="402">
        <v>0.67323272283170343</v>
      </c>
    </row>
    <row r="66" spans="2:6">
      <c r="B66" s="401">
        <v>12</v>
      </c>
      <c r="C66" s="402">
        <v>295.10000000000002</v>
      </c>
      <c r="D66" s="402">
        <v>293.16473710847436</v>
      </c>
      <c r="E66" s="402">
        <v>1.9352628915256673</v>
      </c>
      <c r="F66" s="402">
        <v>0.30927697503880164</v>
      </c>
    </row>
    <row r="67" spans="2:6">
      <c r="B67" s="401">
        <v>13</v>
      </c>
      <c r="C67" s="402">
        <v>298.8</v>
      </c>
      <c r="D67" s="402">
        <v>298.04334229919777</v>
      </c>
      <c r="E67" s="402">
        <v>0.75665770080223638</v>
      </c>
      <c r="F67" s="402">
        <v>0.12092248855112538</v>
      </c>
    </row>
    <row r="68" spans="2:6">
      <c r="B68" s="401">
        <v>14</v>
      </c>
      <c r="C68" s="402">
        <v>297.5</v>
      </c>
      <c r="D68" s="402">
        <v>305.69795510592581</v>
      </c>
      <c r="E68" s="402">
        <v>-8.1979551059258142</v>
      </c>
      <c r="F68" s="402">
        <v>-1.3101262716125444</v>
      </c>
    </row>
    <row r="69" spans="2:6">
      <c r="B69" s="401">
        <v>15</v>
      </c>
      <c r="C69" s="402">
        <v>308.3</v>
      </c>
      <c r="D69" s="402">
        <v>301.36581170139408</v>
      </c>
      <c r="E69" s="402">
        <v>6.9341882986059318</v>
      </c>
      <c r="F69" s="402">
        <v>1.1081619922198842</v>
      </c>
    </row>
    <row r="70" spans="2:6">
      <c r="B70" s="401">
        <v>16</v>
      </c>
      <c r="C70" s="402">
        <v>313.60000000000002</v>
      </c>
      <c r="D70" s="402">
        <v>309.89923603734991</v>
      </c>
      <c r="E70" s="402">
        <v>3.7007639626501145</v>
      </c>
      <c r="F70" s="402">
        <v>0.59142408440370586</v>
      </c>
    </row>
    <row r="71" spans="2:6">
      <c r="B71" s="401">
        <v>17</v>
      </c>
      <c r="C71" s="402">
        <v>312.2</v>
      </c>
      <c r="D71" s="402">
        <v>318.38351174585227</v>
      </c>
      <c r="E71" s="402">
        <v>-6.1835117458522859</v>
      </c>
      <c r="F71" s="402">
        <v>-0.98819535901214783</v>
      </c>
    </row>
    <row r="72" spans="2:6">
      <c r="B72" s="401">
        <v>18</v>
      </c>
      <c r="C72" s="402">
        <v>310.5</v>
      </c>
      <c r="D72" s="402">
        <v>319.76658260443935</v>
      </c>
      <c r="E72" s="402">
        <v>-9.2665826044393498</v>
      </c>
      <c r="F72" s="402">
        <v>-1.4809050746530947</v>
      </c>
    </row>
    <row r="73" spans="2:6">
      <c r="B73" s="401">
        <v>19</v>
      </c>
      <c r="C73" s="402">
        <v>320.5</v>
      </c>
      <c r="D73" s="402">
        <v>312.23113694906704</v>
      </c>
      <c r="E73" s="402">
        <v>8.2688630509329641</v>
      </c>
      <c r="F73" s="402">
        <v>1.3214581660203064</v>
      </c>
    </row>
    <row r="74" spans="2:6">
      <c r="B74" s="401">
        <v>20</v>
      </c>
      <c r="C74" s="402">
        <v>323.10000000000002</v>
      </c>
      <c r="D74" s="402">
        <v>319.45395687795246</v>
      </c>
      <c r="E74" s="402">
        <v>3.6460431220475584</v>
      </c>
      <c r="F74" s="402">
        <v>0.58267907300125132</v>
      </c>
    </row>
    <row r="75" spans="2:6">
      <c r="B75" s="401">
        <v>21</v>
      </c>
      <c r="C75" s="402">
        <v>324.89999999999998</v>
      </c>
      <c r="D75" s="402">
        <v>327.18514526405556</v>
      </c>
      <c r="E75" s="402">
        <v>-2.2851452640555863</v>
      </c>
      <c r="F75" s="402">
        <v>-0.36519214928685662</v>
      </c>
    </row>
    <row r="76" spans="2:6">
      <c r="B76" s="401">
        <v>22</v>
      </c>
      <c r="C76" s="402">
        <v>318.7</v>
      </c>
      <c r="D76" s="402">
        <v>330.93965857755921</v>
      </c>
      <c r="E76" s="402">
        <v>-12.239658577559226</v>
      </c>
      <c r="F76" s="402">
        <v>-1.9560363591692589</v>
      </c>
    </row>
    <row r="77" spans="2:6">
      <c r="B77" s="401">
        <v>23</v>
      </c>
      <c r="C77" s="402">
        <v>331.9</v>
      </c>
      <c r="D77" s="402">
        <v>320.47967630363564</v>
      </c>
      <c r="E77" s="402">
        <v>11.420323696364335</v>
      </c>
      <c r="F77" s="402">
        <v>1.8250973458138371</v>
      </c>
    </row>
    <row r="78" spans="2:6">
      <c r="B78" s="401">
        <v>24</v>
      </c>
      <c r="C78" s="402">
        <v>331.3</v>
      </c>
      <c r="D78" s="402">
        <v>330.35822619865837</v>
      </c>
      <c r="E78" s="402">
        <v>0.94177380134163968</v>
      </c>
      <c r="F78" s="402">
        <v>0.15050614246011471</v>
      </c>
    </row>
    <row r="79" spans="2:6">
      <c r="B79" s="401">
        <v>25</v>
      </c>
      <c r="C79" s="402">
        <v>339.2</v>
      </c>
      <c r="D79" s="402">
        <v>334.64100403649206</v>
      </c>
      <c r="E79" s="402">
        <v>4.5589959635079254</v>
      </c>
      <c r="F79" s="402">
        <v>0.72857929895832829</v>
      </c>
    </row>
    <row r="80" spans="2:6">
      <c r="B80" s="401">
        <v>26</v>
      </c>
      <c r="C80" s="402">
        <v>335.1</v>
      </c>
      <c r="D80" s="402">
        <v>345.50201432862252</v>
      </c>
      <c r="E80" s="402">
        <v>-10.402014328622499</v>
      </c>
      <c r="F80" s="402">
        <v>-1.6623599511746072</v>
      </c>
    </row>
    <row r="81" spans="2:6">
      <c r="B81" s="401">
        <v>27</v>
      </c>
      <c r="C81" s="402">
        <v>343.2</v>
      </c>
      <c r="D81" s="402">
        <v>338.38848863068932</v>
      </c>
      <c r="E81" s="402">
        <v>4.811511369310665</v>
      </c>
      <c r="F81" s="402">
        <v>0.76893412682143003</v>
      </c>
    </row>
    <row r="82" spans="2:6">
      <c r="B82" s="401">
        <v>28</v>
      </c>
      <c r="C82" s="402">
        <v>345.6</v>
      </c>
      <c r="D82" s="402">
        <v>345.32033945690711</v>
      </c>
      <c r="E82" s="402">
        <v>0.27966054309291621</v>
      </c>
      <c r="F82" s="402">
        <v>4.4692928895721767E-2</v>
      </c>
    </row>
    <row r="83" spans="2:6">
      <c r="B83" s="401">
        <v>29</v>
      </c>
      <c r="C83" s="402">
        <v>324.10000000000002</v>
      </c>
      <c r="D83" s="402">
        <v>347.62688301024673</v>
      </c>
      <c r="E83" s="402">
        <v>-23.526883010246706</v>
      </c>
      <c r="F83" s="402">
        <v>-3.7598629319888301</v>
      </c>
    </row>
    <row r="84" spans="2:6">
      <c r="B84" s="401">
        <v>30</v>
      </c>
      <c r="C84" s="402">
        <v>343.9</v>
      </c>
      <c r="D84" s="402">
        <v>328.06579819926088</v>
      </c>
      <c r="E84" s="402">
        <v>15.834201800739095</v>
      </c>
      <c r="F84" s="402">
        <v>2.530485163814542</v>
      </c>
    </row>
    <row r="85" spans="2:6">
      <c r="B85" s="401">
        <v>31</v>
      </c>
      <c r="C85" s="402">
        <v>344</v>
      </c>
      <c r="D85" s="402">
        <v>335.60429660446977</v>
      </c>
      <c r="E85" s="402">
        <v>8.3957033955302336</v>
      </c>
      <c r="F85" s="402">
        <v>1.3417286927077667</v>
      </c>
    </row>
    <row r="86" spans="2:6">
      <c r="B86" s="401">
        <v>32</v>
      </c>
      <c r="C86" s="402">
        <v>343</v>
      </c>
      <c r="D86" s="402">
        <v>343.29227611587731</v>
      </c>
      <c r="E86" s="402">
        <v>-0.29227611587731417</v>
      </c>
      <c r="F86" s="402">
        <v>-4.6709040611719439E-2</v>
      </c>
    </row>
    <row r="87" spans="2:6">
      <c r="B87" s="401">
        <v>33</v>
      </c>
      <c r="C87" s="402">
        <v>345.6</v>
      </c>
      <c r="D87" s="402">
        <v>352.35330881146643</v>
      </c>
      <c r="E87" s="402">
        <v>-6.753308811466411</v>
      </c>
      <c r="F87" s="402">
        <v>-1.0792553972171872</v>
      </c>
    </row>
    <row r="88" spans="2:6">
      <c r="B88" s="401">
        <v>34</v>
      </c>
      <c r="C88" s="402">
        <v>344.9</v>
      </c>
      <c r="D88" s="402">
        <v>345.25833868319575</v>
      </c>
      <c r="E88" s="402">
        <v>-0.35833868319576823</v>
      </c>
      <c r="F88" s="402">
        <v>-5.7266588670444089E-2</v>
      </c>
    </row>
    <row r="89" spans="2:6">
      <c r="B89" s="401">
        <v>35</v>
      </c>
      <c r="C89" s="402">
        <v>348</v>
      </c>
      <c r="D89" s="402">
        <v>345.61241905808623</v>
      </c>
      <c r="E89" s="402">
        <v>2.3875809419137681</v>
      </c>
      <c r="F89" s="402">
        <v>0.38156253323973233</v>
      </c>
    </row>
    <row r="90" spans="2:6">
      <c r="B90" s="401">
        <v>36</v>
      </c>
      <c r="C90" s="402">
        <v>350.4</v>
      </c>
      <c r="D90" s="402">
        <v>349.00991087328822</v>
      </c>
      <c r="E90" s="402">
        <v>1.3900891267117572</v>
      </c>
      <c r="F90" s="402">
        <v>0.22215201977278221</v>
      </c>
    </row>
    <row r="91" spans="2:6">
      <c r="B91" s="401">
        <v>37</v>
      </c>
      <c r="C91" s="402">
        <v>346.8</v>
      </c>
      <c r="D91" s="402">
        <v>351.63791872489611</v>
      </c>
      <c r="E91" s="402">
        <v>-4.8379187248960989</v>
      </c>
      <c r="F91" s="402">
        <v>-0.77315432196390921</v>
      </c>
    </row>
    <row r="92" spans="2:6">
      <c r="B92" s="401">
        <v>38</v>
      </c>
      <c r="C92" s="402">
        <v>343.8</v>
      </c>
      <c r="D92" s="402">
        <v>349.22480280257884</v>
      </c>
      <c r="E92" s="402">
        <v>-5.4248028025788244</v>
      </c>
      <c r="F92" s="402">
        <v>-0.86694505863279503</v>
      </c>
    </row>
    <row r="93" spans="2:6">
      <c r="B93" s="401">
        <v>39</v>
      </c>
      <c r="C93" s="402">
        <v>342.1</v>
      </c>
      <c r="D93" s="402">
        <v>343.04111627231106</v>
      </c>
      <c r="E93" s="402">
        <v>-0.94111627231103512</v>
      </c>
      <c r="F93" s="402">
        <v>-0.15040106185815821</v>
      </c>
    </row>
    <row r="94" spans="2:6">
      <c r="B94" s="401">
        <v>40</v>
      </c>
      <c r="C94" s="402">
        <v>338.4</v>
      </c>
      <c r="D94" s="402">
        <v>338.84652779517597</v>
      </c>
      <c r="E94" s="402">
        <v>-0.44652779517599583</v>
      </c>
      <c r="F94" s="402">
        <v>-7.136020969942003E-2</v>
      </c>
    </row>
    <row r="95" spans="2:6">
      <c r="B95" s="401">
        <v>41</v>
      </c>
      <c r="C95" s="402">
        <v>338.5</v>
      </c>
      <c r="D95" s="402">
        <v>335.96224712519057</v>
      </c>
      <c r="E95" s="402">
        <v>2.5377528748094278</v>
      </c>
      <c r="F95" s="402">
        <v>0.40556171254765816</v>
      </c>
    </row>
    <row r="96" spans="2:6">
      <c r="B96" s="401">
        <v>42</v>
      </c>
      <c r="C96" s="402">
        <v>335.7</v>
      </c>
      <c r="D96" s="402">
        <v>335.89399349670106</v>
      </c>
      <c r="E96" s="402">
        <v>-0.19399349670106858</v>
      </c>
      <c r="F96" s="402">
        <v>-3.1002362572873466E-2</v>
      </c>
    </row>
    <row r="97" spans="2:6">
      <c r="B97" s="401">
        <v>43</v>
      </c>
      <c r="C97" s="402">
        <v>335.7</v>
      </c>
      <c r="D97" s="402">
        <v>333.83616349034742</v>
      </c>
      <c r="E97" s="402">
        <v>1.8638365096525717</v>
      </c>
      <c r="F97" s="402">
        <v>0.29786222853567296</v>
      </c>
    </row>
    <row r="98" spans="2:6">
      <c r="B98" s="401">
        <v>44</v>
      </c>
      <c r="C98" s="402">
        <v>334.7</v>
      </c>
      <c r="D98" s="402">
        <v>334.37414545499803</v>
      </c>
      <c r="E98" s="402">
        <v>0.32585454500195965</v>
      </c>
      <c r="F98" s="402">
        <v>5.2075254696482928E-2</v>
      </c>
    </row>
    <row r="99" spans="2:6">
      <c r="B99" s="401">
        <v>45</v>
      </c>
      <c r="C99" s="402">
        <v>340</v>
      </c>
      <c r="D99" s="402">
        <v>333.29782560846877</v>
      </c>
      <c r="E99" s="402">
        <v>6.70217439153123</v>
      </c>
      <c r="F99" s="402">
        <v>1.0710835365427704</v>
      </c>
    </row>
    <row r="100" spans="2:6">
      <c r="B100" s="401">
        <v>46</v>
      </c>
      <c r="C100" s="402">
        <v>340.1</v>
      </c>
      <c r="D100" s="402">
        <v>339.73584184767714</v>
      </c>
      <c r="E100" s="402">
        <v>0.36415815232288651</v>
      </c>
      <c r="F100" s="402">
        <v>5.8196605887147888E-2</v>
      </c>
    </row>
    <row r="101" spans="2:6">
      <c r="B101" s="401">
        <v>47</v>
      </c>
      <c r="C101" s="402">
        <v>347.2</v>
      </c>
      <c r="D101" s="402">
        <v>342.1453265244279</v>
      </c>
      <c r="E101" s="402">
        <v>5.0546734755720877</v>
      </c>
      <c r="F101" s="402">
        <v>0.80779419125913998</v>
      </c>
    </row>
    <row r="102" spans="2:6">
      <c r="B102" s="401">
        <v>48</v>
      </c>
      <c r="C102" s="402">
        <v>346.7</v>
      </c>
      <c r="D102" s="402">
        <v>350.05810542218927</v>
      </c>
      <c r="E102" s="402">
        <v>-3.3581054221892828</v>
      </c>
      <c r="F102" s="402">
        <v>-0.53666336050981134</v>
      </c>
    </row>
    <row r="103" spans="2:6">
      <c r="B103" s="401">
        <v>49</v>
      </c>
      <c r="C103" s="402">
        <v>348.1</v>
      </c>
      <c r="D103" s="402">
        <v>350.10267299584876</v>
      </c>
      <c r="E103" s="402">
        <v>-2.0026729958487408</v>
      </c>
      <c r="F103" s="402">
        <v>-0.32004987480522784</v>
      </c>
    </row>
    <row r="104" spans="2:6">
      <c r="B104" s="401">
        <v>50</v>
      </c>
      <c r="C104" s="402">
        <v>347.4</v>
      </c>
      <c r="D104" s="402">
        <v>351.25929652125302</v>
      </c>
      <c r="E104" s="402">
        <v>-3.859296521253043</v>
      </c>
      <c r="F104" s="402">
        <v>-0.61675938659162821</v>
      </c>
    </row>
    <row r="105" spans="2:6">
      <c r="B105" s="401">
        <v>51</v>
      </c>
      <c r="C105" s="402">
        <v>351.9</v>
      </c>
      <c r="D105" s="402">
        <v>347.77335232883172</v>
      </c>
      <c r="E105" s="402">
        <v>4.1266476711682571</v>
      </c>
      <c r="F105" s="402">
        <v>0.65948513474759962</v>
      </c>
    </row>
    <row r="106" spans="2:6">
      <c r="B106" s="401">
        <v>52</v>
      </c>
      <c r="C106" s="402">
        <v>350.8</v>
      </c>
      <c r="D106" s="402">
        <v>352.40612508751497</v>
      </c>
      <c r="E106" s="402">
        <v>-1.606125087514954</v>
      </c>
      <c r="F106" s="402">
        <v>-0.25667701828817258</v>
      </c>
    </row>
    <row r="107" spans="2:6">
      <c r="B107" s="401">
        <v>53</v>
      </c>
      <c r="C107" s="402">
        <v>357.6</v>
      </c>
      <c r="D107" s="402">
        <v>352.54798642980393</v>
      </c>
      <c r="E107" s="402">
        <v>5.0520135701960953</v>
      </c>
      <c r="F107" s="402">
        <v>0.8073691081904889</v>
      </c>
    </row>
    <row r="108" spans="2:6">
      <c r="B108" s="401">
        <v>54</v>
      </c>
      <c r="C108" s="402">
        <v>352.7</v>
      </c>
      <c r="D108" s="402">
        <v>359.48924560254545</v>
      </c>
      <c r="E108" s="402">
        <v>-6.7892456025454635</v>
      </c>
      <c r="F108" s="402">
        <v>-1.0849985043093553</v>
      </c>
    </row>
    <row r="109" spans="2:6">
      <c r="B109" s="401">
        <v>55</v>
      </c>
      <c r="C109" s="402">
        <v>357.8</v>
      </c>
      <c r="D109" s="402">
        <v>355.18663390291624</v>
      </c>
      <c r="E109" s="402">
        <v>2.6133660970837695</v>
      </c>
      <c r="F109" s="402">
        <v>0.41764556366698025</v>
      </c>
    </row>
    <row r="110" spans="2:6">
      <c r="B110" s="401">
        <v>56</v>
      </c>
      <c r="C110" s="402">
        <v>357.9</v>
      </c>
      <c r="D110" s="402">
        <v>358.87644944314604</v>
      </c>
      <c r="E110" s="402">
        <v>-0.97644944314606619</v>
      </c>
      <c r="F110" s="402">
        <v>-0.15604770358432327</v>
      </c>
    </row>
    <row r="111" spans="2:6">
      <c r="B111" s="401">
        <v>57</v>
      </c>
      <c r="C111" s="402">
        <v>362.3</v>
      </c>
      <c r="D111" s="402">
        <v>358.00158139000933</v>
      </c>
      <c r="E111" s="402">
        <v>4.2984186099906765</v>
      </c>
      <c r="F111" s="402">
        <v>0.68693608034842801</v>
      </c>
    </row>
    <row r="112" spans="2:6">
      <c r="B112" s="401">
        <v>58</v>
      </c>
      <c r="C112" s="402">
        <v>363.8</v>
      </c>
      <c r="D112" s="402">
        <v>364.93846747849545</v>
      </c>
      <c r="E112" s="402">
        <v>-1.1384674784954427</v>
      </c>
      <c r="F112" s="402">
        <v>-0.18194002451601937</v>
      </c>
    </row>
    <row r="113" spans="2:6">
      <c r="B113" s="401">
        <v>59</v>
      </c>
      <c r="C113" s="402">
        <v>366</v>
      </c>
      <c r="D113" s="402">
        <v>365.99927219166011</v>
      </c>
      <c r="E113" s="402">
        <v>7.2780833988872473E-4</v>
      </c>
      <c r="F113" s="402">
        <v>1.1631203324078792E-4</v>
      </c>
    </row>
    <row r="114" spans="2:6">
      <c r="B114" s="401">
        <v>60</v>
      </c>
      <c r="C114" s="402">
        <v>363.4</v>
      </c>
      <c r="D114" s="402">
        <v>368.87701545838337</v>
      </c>
      <c r="E114" s="402">
        <v>-5.4770154583833914</v>
      </c>
      <c r="F114" s="402">
        <v>-0.87528923363697142</v>
      </c>
    </row>
    <row r="115" spans="2:6">
      <c r="B115" s="401">
        <v>61</v>
      </c>
      <c r="C115" s="402">
        <v>355.8</v>
      </c>
      <c r="D115" s="402">
        <v>365.01701002146251</v>
      </c>
      <c r="E115" s="402">
        <v>-9.2170100214624995</v>
      </c>
      <c r="F115" s="402">
        <v>-1.4729828132512581</v>
      </c>
    </row>
    <row r="116" spans="2:6">
      <c r="B116" s="401">
        <v>62</v>
      </c>
      <c r="C116" s="402">
        <v>363.4</v>
      </c>
      <c r="D116" s="402">
        <v>355.21356383115557</v>
      </c>
      <c r="E116" s="402">
        <v>8.1864361688444092</v>
      </c>
      <c r="F116" s="402">
        <v>1.3082854147285523</v>
      </c>
    </row>
    <row r="117" spans="2:6">
      <c r="B117" s="401">
        <v>63</v>
      </c>
      <c r="C117" s="402">
        <v>370.8</v>
      </c>
      <c r="D117" s="402">
        <v>358.84261841330488</v>
      </c>
      <c r="E117" s="402">
        <v>11.957381586695135</v>
      </c>
      <c r="F117" s="402">
        <v>1.9109252922233739</v>
      </c>
    </row>
    <row r="118" spans="2:6">
      <c r="B118" s="401">
        <v>64</v>
      </c>
      <c r="C118" s="402">
        <v>371.4</v>
      </c>
      <c r="D118" s="402">
        <v>371.15992330449427</v>
      </c>
      <c r="E118" s="402">
        <v>0.24007669550570654</v>
      </c>
      <c r="F118" s="402">
        <v>3.8366980779950328E-2</v>
      </c>
    </row>
    <row r="119" spans="2:6">
      <c r="B119" s="401">
        <v>65</v>
      </c>
      <c r="C119" s="402">
        <v>375.8</v>
      </c>
      <c r="D119" s="402">
        <v>378.55090960041917</v>
      </c>
      <c r="E119" s="402">
        <v>-2.7509096004191633</v>
      </c>
      <c r="F119" s="402">
        <v>-0.43962657660020205</v>
      </c>
    </row>
    <row r="120" spans="2:6">
      <c r="B120" s="401">
        <v>66</v>
      </c>
      <c r="C120" s="402">
        <v>378</v>
      </c>
      <c r="D120" s="402">
        <v>379.76814996409985</v>
      </c>
      <c r="E120" s="402">
        <v>-1.7681499640998481</v>
      </c>
      <c r="F120" s="402">
        <v>-0.28257043252695152</v>
      </c>
    </row>
    <row r="121" spans="2:6">
      <c r="B121" s="401">
        <v>67</v>
      </c>
      <c r="C121" s="402">
        <v>386.7</v>
      </c>
      <c r="D121" s="402">
        <v>380.46854015588565</v>
      </c>
      <c r="E121" s="402">
        <v>6.2314598441143403</v>
      </c>
      <c r="F121" s="402">
        <v>0.99585800931887736</v>
      </c>
    </row>
    <row r="122" spans="2:6">
      <c r="B122" s="401">
        <v>68</v>
      </c>
      <c r="C122" s="402">
        <v>394.7</v>
      </c>
      <c r="D122" s="402">
        <v>390.21363144039486</v>
      </c>
      <c r="E122" s="402">
        <v>4.4863685596051255</v>
      </c>
      <c r="F122" s="402">
        <v>0.71697261550341473</v>
      </c>
    </row>
    <row r="123" spans="2:6">
      <c r="B123" s="401">
        <v>69</v>
      </c>
      <c r="C123" s="402">
        <v>395.5</v>
      </c>
      <c r="D123" s="402">
        <v>400.25870571198431</v>
      </c>
      <c r="E123" s="402">
        <v>-4.7587057119843053</v>
      </c>
      <c r="F123" s="402">
        <v>-0.7604951834435838</v>
      </c>
    </row>
    <row r="124" spans="2:6">
      <c r="B124" s="401">
        <v>70</v>
      </c>
      <c r="C124" s="402">
        <v>397</v>
      </c>
      <c r="D124" s="402">
        <v>403.46929994737042</v>
      </c>
      <c r="E124" s="402">
        <v>-6.4692999473704162</v>
      </c>
      <c r="F124" s="402">
        <v>-1.0338675572723162</v>
      </c>
    </row>
    <row r="125" spans="2:6">
      <c r="B125" s="401">
        <v>71</v>
      </c>
      <c r="C125" s="402">
        <v>401.5</v>
      </c>
      <c r="D125" s="402">
        <v>401.21428062709475</v>
      </c>
      <c r="E125" s="402">
        <v>0.28571937290524829</v>
      </c>
      <c r="F125" s="402">
        <v>4.5661198666634241E-2</v>
      </c>
    </row>
    <row r="126" spans="2:6">
      <c r="B126" s="401">
        <v>72</v>
      </c>
      <c r="C126" s="402">
        <v>405.4</v>
      </c>
      <c r="D126" s="402">
        <v>402.77777858031703</v>
      </c>
      <c r="E126" s="402">
        <v>2.6222214196829441</v>
      </c>
      <c r="F126" s="402">
        <v>0.4190607447250464</v>
      </c>
    </row>
    <row r="127" spans="2:6">
      <c r="B127" s="401">
        <v>73</v>
      </c>
      <c r="C127" s="402">
        <v>407.8</v>
      </c>
      <c r="D127" s="402">
        <v>408.42157004072993</v>
      </c>
      <c r="E127" s="402">
        <v>-0.62157004072992095</v>
      </c>
      <c r="F127" s="402">
        <v>-9.9333947244833548E-2</v>
      </c>
    </row>
    <row r="128" spans="2:6">
      <c r="B128" s="401">
        <v>74</v>
      </c>
      <c r="C128" s="402">
        <v>406.2</v>
      </c>
      <c r="D128" s="402">
        <v>411.88556024987275</v>
      </c>
      <c r="E128" s="402">
        <v>-5.6855602498727649</v>
      </c>
      <c r="F128" s="402">
        <v>-0.90861705827225081</v>
      </c>
    </row>
    <row r="129" spans="2:6">
      <c r="B129" s="401">
        <v>75</v>
      </c>
      <c r="C129" s="402">
        <v>415.4</v>
      </c>
      <c r="D129" s="402">
        <v>409.09633363915924</v>
      </c>
      <c r="E129" s="402">
        <v>6.3036663608407366</v>
      </c>
      <c r="F129" s="402">
        <v>1.0073974302259889</v>
      </c>
    </row>
    <row r="130" spans="2:6">
      <c r="B130" s="401">
        <v>76</v>
      </c>
      <c r="C130" s="402">
        <v>411.9</v>
      </c>
      <c r="D130" s="402">
        <v>416.16532534683273</v>
      </c>
      <c r="E130" s="402">
        <v>-4.2653253468327534</v>
      </c>
      <c r="F130" s="402">
        <v>-0.68164740129171508</v>
      </c>
    </row>
    <row r="131" spans="2:6">
      <c r="B131" s="401">
        <v>77</v>
      </c>
      <c r="C131" s="402">
        <v>406.7</v>
      </c>
      <c r="D131" s="402">
        <v>415.36641199118912</v>
      </c>
      <c r="E131" s="402">
        <v>-8.6664119911891362</v>
      </c>
      <c r="F131" s="402">
        <v>-1.3849909988001361</v>
      </c>
    </row>
    <row r="132" spans="2:6">
      <c r="B132" s="401">
        <v>78</v>
      </c>
      <c r="C132" s="402">
        <v>416.3</v>
      </c>
      <c r="D132" s="402">
        <v>409.10907920223906</v>
      </c>
      <c r="E132" s="402">
        <v>7.1909207977609526</v>
      </c>
      <c r="F132" s="402">
        <v>1.1491907594641215</v>
      </c>
    </row>
    <row r="133" spans="2:6">
      <c r="B133" s="401">
        <v>79</v>
      </c>
      <c r="C133" s="402">
        <v>418.5</v>
      </c>
      <c r="D133" s="402">
        <v>412.56063489023211</v>
      </c>
      <c r="E133" s="402">
        <v>5.9393651097678912</v>
      </c>
      <c r="F133" s="402">
        <v>0.94917795553444606</v>
      </c>
    </row>
    <row r="134" spans="2:6">
      <c r="B134" s="401">
        <v>80</v>
      </c>
      <c r="C134" s="402">
        <v>421.2</v>
      </c>
      <c r="D134" s="402">
        <v>420.7164192121939</v>
      </c>
      <c r="E134" s="402">
        <v>0.48358078780609048</v>
      </c>
      <c r="F134" s="402">
        <v>7.7281698468181809E-2</v>
      </c>
    </row>
    <row r="135" spans="2:6">
      <c r="B135" s="401">
        <v>81</v>
      </c>
      <c r="C135" s="402">
        <v>419.1</v>
      </c>
      <c r="D135" s="402">
        <v>426.89978667070164</v>
      </c>
      <c r="E135" s="402">
        <v>-7.7997866707016215</v>
      </c>
      <c r="F135" s="402">
        <v>-1.2464944365056405</v>
      </c>
    </row>
    <row r="136" spans="2:6">
      <c r="B136" s="401">
        <v>82</v>
      </c>
      <c r="C136" s="402">
        <v>413.4</v>
      </c>
      <c r="D136" s="402">
        <v>421.31176654093753</v>
      </c>
      <c r="E136" s="402">
        <v>-7.9117665409375491</v>
      </c>
      <c r="F136" s="402">
        <v>-1.264390090725777</v>
      </c>
    </row>
    <row r="137" spans="2:6">
      <c r="B137" s="401">
        <v>83</v>
      </c>
      <c r="C137" s="402">
        <v>417.8</v>
      </c>
      <c r="D137" s="402">
        <v>413.37831716223201</v>
      </c>
      <c r="E137" s="402">
        <v>4.4216828377680031</v>
      </c>
      <c r="F137" s="402">
        <v>0.70663510297961751</v>
      </c>
    </row>
    <row r="138" spans="2:6">
      <c r="B138" s="401">
        <v>84</v>
      </c>
      <c r="C138" s="402">
        <v>415.9</v>
      </c>
      <c r="D138" s="402">
        <v>414.24343564234465</v>
      </c>
      <c r="E138" s="402">
        <v>1.6565643576553271</v>
      </c>
      <c r="F138" s="402">
        <v>0.26473778613552251</v>
      </c>
    </row>
    <row r="139" spans="2:6">
      <c r="B139" s="401">
        <v>85</v>
      </c>
      <c r="C139" s="402">
        <v>422.6</v>
      </c>
      <c r="D139" s="402">
        <v>415.19407503712944</v>
      </c>
      <c r="E139" s="402">
        <v>7.4059249628705857</v>
      </c>
      <c r="F139" s="402">
        <v>1.1835508653169384</v>
      </c>
    </row>
    <row r="140" spans="2:6">
      <c r="B140" s="401">
        <v>86</v>
      </c>
      <c r="C140" s="402">
        <v>419.9</v>
      </c>
      <c r="D140" s="402">
        <v>424.05327008624602</v>
      </c>
      <c r="E140" s="402">
        <v>-4.1532700862460388</v>
      </c>
      <c r="F140" s="402">
        <v>-0.66373969883785233</v>
      </c>
    </row>
    <row r="141" spans="2:6">
      <c r="B141" s="401">
        <v>87</v>
      </c>
      <c r="C141" s="402">
        <v>423.6</v>
      </c>
      <c r="D141" s="402">
        <v>422.06136655723662</v>
      </c>
      <c r="E141" s="402">
        <v>1.5386334427633983</v>
      </c>
      <c r="F141" s="402">
        <v>0.24589108743580204</v>
      </c>
    </row>
    <row r="142" spans="2:6">
      <c r="B142" s="401">
        <v>88</v>
      </c>
      <c r="C142" s="402">
        <v>429.3</v>
      </c>
      <c r="D142" s="402">
        <v>425.62024090355902</v>
      </c>
      <c r="E142" s="402">
        <v>3.6797590964409892</v>
      </c>
      <c r="F142" s="402">
        <v>0.58806726838108703</v>
      </c>
    </row>
    <row r="143" spans="2:6">
      <c r="B143" s="401">
        <v>89</v>
      </c>
      <c r="C143" s="402">
        <v>422</v>
      </c>
      <c r="D143" s="402">
        <v>430.03096539594065</v>
      </c>
      <c r="E143" s="402">
        <v>-8.0309653959406546</v>
      </c>
      <c r="F143" s="402">
        <v>-1.283439420646213</v>
      </c>
    </row>
    <row r="144" spans="2:6">
      <c r="B144" s="401">
        <v>90</v>
      </c>
      <c r="C144" s="402">
        <v>435.5</v>
      </c>
      <c r="D144" s="402">
        <v>426.1218231342848</v>
      </c>
      <c r="E144" s="402">
        <v>9.3781768657152043</v>
      </c>
      <c r="F144" s="402">
        <v>1.4987391041848019</v>
      </c>
    </row>
    <row r="145" spans="2:6">
      <c r="B145" s="401">
        <v>91</v>
      </c>
      <c r="C145" s="402">
        <v>442</v>
      </c>
      <c r="D145" s="402">
        <v>435.29189251660858</v>
      </c>
      <c r="E145" s="402">
        <v>6.7081074833914158</v>
      </c>
      <c r="F145" s="402">
        <v>1.0720317119618212</v>
      </c>
    </row>
    <row r="146" spans="2:6">
      <c r="B146" s="401">
        <v>92</v>
      </c>
      <c r="C146" s="402">
        <v>441.2</v>
      </c>
      <c r="D146" s="402">
        <v>445.29222457968154</v>
      </c>
      <c r="E146" s="402">
        <v>-4.092224579681556</v>
      </c>
      <c r="F146" s="402">
        <v>-0.65398393403057564</v>
      </c>
    </row>
    <row r="147" spans="2:6">
      <c r="B147" s="401">
        <v>93</v>
      </c>
      <c r="C147" s="402">
        <v>443</v>
      </c>
      <c r="D147" s="402">
        <v>450.64950507289728</v>
      </c>
      <c r="E147" s="402">
        <v>-7.6495050728972842</v>
      </c>
      <c r="F147" s="402">
        <v>-1.2224777315006259</v>
      </c>
    </row>
    <row r="148" spans="2:6">
      <c r="B148" s="401">
        <v>94</v>
      </c>
      <c r="C148" s="402">
        <v>438.4</v>
      </c>
      <c r="D148" s="402">
        <v>445.74953840757883</v>
      </c>
      <c r="E148" s="402">
        <v>-7.3495384075788479</v>
      </c>
      <c r="F148" s="402">
        <v>-1.1745396538015156</v>
      </c>
    </row>
    <row r="149" spans="2:6">
      <c r="B149" s="401">
        <v>95</v>
      </c>
      <c r="C149" s="402">
        <v>440.9</v>
      </c>
      <c r="D149" s="402">
        <v>438.642819279506</v>
      </c>
      <c r="E149" s="402">
        <v>2.2571807204939773</v>
      </c>
      <c r="F149" s="402">
        <v>0.36072309783191092</v>
      </c>
    </row>
    <row r="150" spans="2:6">
      <c r="B150" s="401">
        <v>96</v>
      </c>
      <c r="C150" s="402">
        <v>433.7</v>
      </c>
      <c r="D150" s="402">
        <v>439.63126977697294</v>
      </c>
      <c r="E150" s="402">
        <v>-5.9312697769729539</v>
      </c>
      <c r="F150" s="402">
        <v>-0.94788422947287887</v>
      </c>
    </row>
    <row r="151" spans="2:6">
      <c r="B151" s="401">
        <v>97</v>
      </c>
      <c r="C151" s="402">
        <v>439.7</v>
      </c>
      <c r="D151" s="402">
        <v>432.3581647394966</v>
      </c>
      <c r="E151" s="402">
        <v>7.3418352605033874</v>
      </c>
      <c r="F151" s="402">
        <v>1.1733086034691758</v>
      </c>
    </row>
    <row r="152" spans="2:6" ht="16" thickBot="1">
      <c r="B152" s="404">
        <v>98</v>
      </c>
      <c r="C152" s="403">
        <v>441.3</v>
      </c>
      <c r="D152" s="403">
        <v>437.67689186228552</v>
      </c>
      <c r="E152" s="403">
        <v>3.623108137714496</v>
      </c>
      <c r="F152" s="403">
        <v>0.57901380219584675</v>
      </c>
    </row>
    <row r="172" spans="2:7">
      <c r="G172" t="s">
        <v>137</v>
      </c>
    </row>
    <row r="175" spans="2:7">
      <c r="B175" t="s">
        <v>219</v>
      </c>
    </row>
    <row r="176" spans="2:7" ht="16" thickBot="1"/>
    <row r="177" spans="2:10">
      <c r="B177" s="399" t="s">
        <v>155</v>
      </c>
      <c r="C177" s="399" t="s">
        <v>156</v>
      </c>
      <c r="D177" s="399" t="s">
        <v>133</v>
      </c>
      <c r="E177" s="399" t="s">
        <v>135</v>
      </c>
      <c r="F177" s="399" t="s">
        <v>136</v>
      </c>
      <c r="G177" s="399" t="s">
        <v>157</v>
      </c>
      <c r="H177" s="399" t="s">
        <v>133</v>
      </c>
      <c r="I177" s="399" t="s">
        <v>135</v>
      </c>
      <c r="J177" s="399" t="s">
        <v>136</v>
      </c>
    </row>
    <row r="178" spans="2:10">
      <c r="B178" s="400">
        <v>0</v>
      </c>
      <c r="C178" s="405">
        <v>1</v>
      </c>
      <c r="D178" s="405">
        <v>0</v>
      </c>
      <c r="E178" s="405"/>
      <c r="F178" s="405"/>
      <c r="G178" s="405">
        <v>1</v>
      </c>
      <c r="H178" s="405">
        <v>0</v>
      </c>
      <c r="I178" s="405"/>
      <c r="J178" s="405"/>
    </row>
    <row r="179" spans="2:10">
      <c r="B179" s="401">
        <v>1</v>
      </c>
      <c r="C179" s="402">
        <v>0.95878625376146165</v>
      </c>
      <c r="D179" s="402">
        <v>0.10101525445522107</v>
      </c>
      <c r="E179" s="402">
        <v>-0.19798626062138247</v>
      </c>
      <c r="F179" s="402">
        <v>0.19798626062138247</v>
      </c>
      <c r="G179" s="402">
        <v>0.95878625376146165</v>
      </c>
      <c r="H179" s="402">
        <v>0.10101525445522107</v>
      </c>
      <c r="I179" s="402">
        <v>-0.19798626062138247</v>
      </c>
      <c r="J179" s="402">
        <v>0.19798626062138247</v>
      </c>
    </row>
    <row r="180" spans="2:10">
      <c r="B180" s="401">
        <v>2</v>
      </c>
      <c r="C180" s="402">
        <v>0.92192516970928995</v>
      </c>
      <c r="D180" s="402">
        <v>0.17019023452175558</v>
      </c>
      <c r="E180" s="402">
        <v>-0.33356673018306621</v>
      </c>
      <c r="F180" s="402">
        <v>0.33356673018306621</v>
      </c>
      <c r="G180" s="402">
        <v>3.2876561715012902E-2</v>
      </c>
      <c r="H180" s="402">
        <v>0.10101525445522107</v>
      </c>
      <c r="I180" s="402">
        <v>-0.19798626062138247</v>
      </c>
      <c r="J180" s="402">
        <v>0.19798626062138247</v>
      </c>
    </row>
    <row r="181" spans="2:10">
      <c r="B181" s="401">
        <v>3</v>
      </c>
      <c r="C181" s="402">
        <v>0.88666364508796003</v>
      </c>
      <c r="D181" s="402">
        <v>0.21519886858369602</v>
      </c>
      <c r="E181" s="402">
        <v>-0.42178203193781222</v>
      </c>
      <c r="F181" s="402">
        <v>0.42178203193781222</v>
      </c>
      <c r="G181" s="402">
        <v>3.3905818850404734E-3</v>
      </c>
      <c r="H181" s="402">
        <v>0.10101525445522107</v>
      </c>
      <c r="I181" s="402">
        <v>-0.19798626062138247</v>
      </c>
      <c r="J181" s="402">
        <v>0.19798626062138247</v>
      </c>
    </row>
    <row r="182" spans="2:10">
      <c r="B182" s="401">
        <v>4</v>
      </c>
      <c r="C182" s="402">
        <v>0.84794370027386345</v>
      </c>
      <c r="D182" s="402">
        <v>0.24970960760844066</v>
      </c>
      <c r="E182" s="402">
        <v>-0.48942183750617263</v>
      </c>
      <c r="F182" s="402">
        <v>0.48942183750617263</v>
      </c>
      <c r="G182" s="402">
        <v>-5.9416566386367449E-2</v>
      </c>
      <c r="H182" s="402">
        <v>0.10101525445522107</v>
      </c>
      <c r="I182" s="402">
        <v>-0.19798626062138247</v>
      </c>
      <c r="J182" s="402">
        <v>0.19798626062138247</v>
      </c>
    </row>
    <row r="183" spans="2:10">
      <c r="B183" s="401">
        <v>5</v>
      </c>
      <c r="C183" s="402">
        <v>0.80990140015584644</v>
      </c>
      <c r="D183" s="402">
        <v>0.27754014371523683</v>
      </c>
      <c r="E183" s="402">
        <v>-0.54396868594593473</v>
      </c>
      <c r="F183" s="402">
        <v>0.54396868594593473</v>
      </c>
      <c r="G183" s="402">
        <v>-1.6397712337221877E-2</v>
      </c>
      <c r="H183" s="402">
        <v>0.10101525445522107</v>
      </c>
      <c r="I183" s="402">
        <v>-0.19798626062138247</v>
      </c>
      <c r="J183" s="402">
        <v>0.19798626062138247</v>
      </c>
    </row>
    <row r="184" spans="2:10">
      <c r="B184" s="401">
        <v>6</v>
      </c>
      <c r="C184" s="402">
        <v>0.76573509151540153</v>
      </c>
      <c r="D184" s="402">
        <v>0.30069098366706332</v>
      </c>
      <c r="E184" s="402">
        <v>-0.58934349846336553</v>
      </c>
      <c r="F184" s="402">
        <v>0.58934349846336553</v>
      </c>
      <c r="G184" s="402">
        <v>-9.8252614520125611E-2</v>
      </c>
      <c r="H184" s="402">
        <v>0.10101525445522107</v>
      </c>
      <c r="I184" s="402">
        <v>-0.19798626062138247</v>
      </c>
      <c r="J184" s="402">
        <v>0.19798626062138247</v>
      </c>
    </row>
    <row r="185" spans="2:10">
      <c r="B185" s="401">
        <v>7</v>
      </c>
      <c r="C185" s="402">
        <v>0.72597647986397529</v>
      </c>
      <c r="D185" s="402">
        <v>0.31997093444697799</v>
      </c>
      <c r="E185" s="402">
        <v>-0.62713150761570324</v>
      </c>
      <c r="F185" s="402">
        <v>0.62713150761570324</v>
      </c>
      <c r="G185" s="402">
        <v>2.4109346246310573E-2</v>
      </c>
      <c r="H185" s="402">
        <v>0.10101525445522107</v>
      </c>
      <c r="I185" s="402">
        <v>-0.19798626062138247</v>
      </c>
      <c r="J185" s="402">
        <v>0.19798626062138247</v>
      </c>
    </row>
    <row r="186" spans="2:10">
      <c r="B186" s="401">
        <v>8</v>
      </c>
      <c r="C186" s="402">
        <v>0.68466863971281211</v>
      </c>
      <c r="D186" s="402">
        <v>0.3363589674727816</v>
      </c>
      <c r="E186" s="402">
        <v>-0.65925146212373131</v>
      </c>
      <c r="F186" s="402">
        <v>0.65925146212373131</v>
      </c>
      <c r="G186" s="402">
        <v>-4.1160252179341814E-2</v>
      </c>
      <c r="H186" s="402">
        <v>0.10101525445522107</v>
      </c>
      <c r="I186" s="402">
        <v>-0.19798626062138247</v>
      </c>
      <c r="J186" s="402">
        <v>0.19798626062138247</v>
      </c>
    </row>
    <row r="187" spans="2:10">
      <c r="B187" s="401">
        <v>9</v>
      </c>
      <c r="C187" s="402">
        <v>0.64692447588499924</v>
      </c>
      <c r="D187" s="402">
        <v>0.35029146875879863</v>
      </c>
      <c r="E187" s="402">
        <v>-0.68655866285888267</v>
      </c>
      <c r="F187" s="402">
        <v>0.68655866285888267</v>
      </c>
      <c r="G187" s="402">
        <v>2.7102884911774604E-2</v>
      </c>
      <c r="H187" s="402">
        <v>0.10101525445522107</v>
      </c>
      <c r="I187" s="402">
        <v>-0.19798626062138247</v>
      </c>
      <c r="J187" s="402">
        <v>0.19798626062138247</v>
      </c>
    </row>
    <row r="188" spans="2:10">
      <c r="B188" s="401">
        <v>10</v>
      </c>
      <c r="C188" s="402">
        <v>0.61261574113006956</v>
      </c>
      <c r="D188" s="402">
        <v>0.36227773815785236</v>
      </c>
      <c r="E188" s="402">
        <v>-0.71005131919002251</v>
      </c>
      <c r="F188" s="402">
        <v>0.71005131919002251</v>
      </c>
      <c r="G188" s="402">
        <v>1.8962806939353177E-2</v>
      </c>
      <c r="H188" s="402">
        <v>0.10101525445522107</v>
      </c>
      <c r="I188" s="402">
        <v>-0.19798626062138247</v>
      </c>
      <c r="J188" s="402">
        <v>0.19798626062138247</v>
      </c>
    </row>
    <row r="189" spans="2:10">
      <c r="B189" s="401">
        <v>11</v>
      </c>
      <c r="C189" s="402">
        <v>0.57813178674796362</v>
      </c>
      <c r="D189" s="402">
        <v>0.37269867636793286</v>
      </c>
      <c r="E189" s="402">
        <v>-0.73047598276689751</v>
      </c>
      <c r="F189" s="402">
        <v>0.73047598276689751</v>
      </c>
      <c r="G189" s="402">
        <v>-9.4546763659258022E-3</v>
      </c>
      <c r="H189" s="402">
        <v>0.10101525445522107</v>
      </c>
      <c r="I189" s="402">
        <v>-0.19798626062138247</v>
      </c>
      <c r="J189" s="402">
        <v>0.19798626062138247</v>
      </c>
    </row>
    <row r="190" spans="2:10">
      <c r="B190" s="401">
        <v>12</v>
      </c>
      <c r="C190" s="402">
        <v>0.54644348422715083</v>
      </c>
      <c r="D190" s="402">
        <v>0.38174003409207846</v>
      </c>
      <c r="E190" s="402">
        <v>-0.74819671827756595</v>
      </c>
      <c r="F190" s="402">
        <v>0.74819671827756595</v>
      </c>
      <c r="G190" s="402">
        <v>4.0242222484360088E-3</v>
      </c>
      <c r="H190" s="402">
        <v>0.10101525445522107</v>
      </c>
      <c r="I190" s="402">
        <v>-0.19798626062138247</v>
      </c>
      <c r="J190" s="402">
        <v>0.19798626062138247</v>
      </c>
    </row>
    <row r="191" spans="2:10">
      <c r="B191" s="401">
        <v>13</v>
      </c>
      <c r="C191" s="402">
        <v>0.51375080706500698</v>
      </c>
      <c r="D191" s="402">
        <v>0.38964001463561182</v>
      </c>
      <c r="E191" s="402">
        <v>-0.76368039562145851</v>
      </c>
      <c r="F191" s="402">
        <v>0.76368039562145851</v>
      </c>
      <c r="G191" s="402">
        <v>-2.8454302857936205E-2</v>
      </c>
      <c r="H191" s="402">
        <v>0.10101525445522107</v>
      </c>
      <c r="I191" s="402">
        <v>-0.19798626062138247</v>
      </c>
      <c r="J191" s="402">
        <v>0.19798626062138247</v>
      </c>
    </row>
    <row r="192" spans="2:10">
      <c r="B192" s="401">
        <v>14</v>
      </c>
      <c r="C192" s="402">
        <v>0.47990622362107255</v>
      </c>
      <c r="D192" s="402">
        <v>0.39649195377523616</v>
      </c>
      <c r="E192" s="402">
        <v>-0.77710994955938262</v>
      </c>
      <c r="F192" s="402">
        <v>0.77710994955938262</v>
      </c>
      <c r="G192" s="402">
        <v>-4.4905930019694465E-2</v>
      </c>
      <c r="H192" s="402">
        <v>0.10101525445522107</v>
      </c>
      <c r="I192" s="402">
        <v>-0.19798626062138247</v>
      </c>
      <c r="J192" s="402">
        <v>0.19798626062138247</v>
      </c>
    </row>
    <row r="193" spans="2:10">
      <c r="B193" s="401">
        <v>15</v>
      </c>
      <c r="C193" s="402">
        <v>0.45334502942335614</v>
      </c>
      <c r="D193" s="402">
        <v>0.4023755374681649</v>
      </c>
      <c r="E193" s="402">
        <v>-0.78864156169755006</v>
      </c>
      <c r="F193" s="402">
        <v>0.78864156169755006</v>
      </c>
      <c r="G193" s="402">
        <v>6.2623454022755251E-2</v>
      </c>
      <c r="H193" s="402">
        <v>0.10101525445522107</v>
      </c>
      <c r="I193" s="402">
        <v>-0.19798626062138247</v>
      </c>
      <c r="J193" s="402">
        <v>0.19798626062138247</v>
      </c>
    </row>
    <row r="194" spans="2:10">
      <c r="B194" s="401">
        <v>16</v>
      </c>
      <c r="C194" s="402">
        <v>0.42625176043802637</v>
      </c>
      <c r="D194" s="402">
        <v>0.4075541606724491</v>
      </c>
      <c r="E194" s="402">
        <v>-0.79879147666745054</v>
      </c>
      <c r="F194" s="402">
        <v>0.79879147666745054</v>
      </c>
      <c r="G194" s="402">
        <v>-1.6046758542746911E-2</v>
      </c>
      <c r="H194" s="402">
        <v>0.10101525445522107</v>
      </c>
      <c r="I194" s="402">
        <v>-0.19798626062138247</v>
      </c>
      <c r="J194" s="402">
        <v>0.19798626062138247</v>
      </c>
    </row>
    <row r="195" spans="2:10">
      <c r="B195" s="401">
        <v>17</v>
      </c>
      <c r="C195" s="402">
        <v>0.39849836060210692</v>
      </c>
      <c r="D195" s="402">
        <v>0.4120781049273754</v>
      </c>
      <c r="E195" s="402">
        <v>-0.80765824447517298</v>
      </c>
      <c r="F195" s="402">
        <v>0.80765824447517298</v>
      </c>
      <c r="G195" s="402">
        <v>-2.5523851496486814E-2</v>
      </c>
      <c r="H195" s="402">
        <v>0.10101525445522107</v>
      </c>
      <c r="I195" s="402">
        <v>-0.19798626062138247</v>
      </c>
      <c r="J195" s="402">
        <v>0.19798626062138247</v>
      </c>
    </row>
    <row r="196" spans="2:10">
      <c r="B196" s="401">
        <v>18</v>
      </c>
      <c r="C196" s="402">
        <v>0.36772073560645269</v>
      </c>
      <c r="D196" s="402">
        <v>0.41599182701127824</v>
      </c>
      <c r="E196" s="402">
        <v>-0.81532899880512155</v>
      </c>
      <c r="F196" s="402">
        <v>0.81532899880512155</v>
      </c>
      <c r="G196" s="402">
        <v>-5.9608992985113525E-2</v>
      </c>
      <c r="H196" s="402">
        <v>0.10101525445522107</v>
      </c>
      <c r="I196" s="402">
        <v>-0.19798626062138247</v>
      </c>
      <c r="J196" s="402">
        <v>0.19798626062138247</v>
      </c>
    </row>
    <row r="197" spans="2:10">
      <c r="B197" s="401">
        <v>19</v>
      </c>
      <c r="C197" s="402">
        <v>0.33999353958194234</v>
      </c>
      <c r="D197" s="402">
        <v>0.41929555467313223</v>
      </c>
      <c r="E197" s="402">
        <v>-0.82180418603708416</v>
      </c>
      <c r="F197" s="402">
        <v>0.82180418603708416</v>
      </c>
      <c r="G197" s="402">
        <v>1.5172004540469169E-2</v>
      </c>
      <c r="H197" s="402">
        <v>0.10101525445522107</v>
      </c>
      <c r="I197" s="402">
        <v>-0.19798626062138247</v>
      </c>
      <c r="J197" s="402">
        <v>0.19798626062138247</v>
      </c>
    </row>
    <row r="198" spans="2:10" ht="16" thickBot="1">
      <c r="B198" s="404">
        <v>20</v>
      </c>
      <c r="C198" s="403">
        <v>0.31316651318733857</v>
      </c>
      <c r="D198" s="403">
        <v>0.4220993439798143</v>
      </c>
      <c r="E198" s="403">
        <v>-0.82729951209841945</v>
      </c>
      <c r="F198" s="403">
        <v>0.82729951209841945</v>
      </c>
      <c r="G198" s="403">
        <v>-1.9231055076813729E-2</v>
      </c>
      <c r="H198" s="403">
        <v>0.10101525445522107</v>
      </c>
      <c r="I198" s="403">
        <v>-0.19798626062138247</v>
      </c>
      <c r="J198" s="403">
        <v>0.19798626062138247</v>
      </c>
    </row>
    <row r="218" spans="2:10">
      <c r="G218" t="s">
        <v>137</v>
      </c>
    </row>
    <row r="221" spans="2:10">
      <c r="B221" t="s">
        <v>158</v>
      </c>
    </row>
    <row r="222" spans="2:10" ht="16" thickBot="1"/>
    <row r="223" spans="2:10">
      <c r="B223" s="399" t="s">
        <v>155</v>
      </c>
      <c r="C223" s="399" t="s">
        <v>156</v>
      </c>
      <c r="D223" s="399" t="s">
        <v>133</v>
      </c>
      <c r="E223" s="399" t="s">
        <v>135</v>
      </c>
      <c r="F223" s="399" t="s">
        <v>136</v>
      </c>
      <c r="G223" s="399" t="s">
        <v>157</v>
      </c>
      <c r="H223" s="399" t="s">
        <v>133</v>
      </c>
      <c r="I223" s="399" t="s">
        <v>135</v>
      </c>
      <c r="J223" s="399" t="s">
        <v>136</v>
      </c>
    </row>
    <row r="224" spans="2:10">
      <c r="B224" s="400">
        <v>0</v>
      </c>
      <c r="C224" s="405">
        <v>1</v>
      </c>
      <c r="D224" s="405">
        <v>0</v>
      </c>
      <c r="E224" s="405"/>
      <c r="F224" s="405"/>
      <c r="G224" s="405">
        <v>1</v>
      </c>
      <c r="H224" s="405">
        <v>0</v>
      </c>
      <c r="I224" s="405"/>
      <c r="J224" s="405"/>
    </row>
    <row r="225" spans="2:10">
      <c r="B225" s="401">
        <v>1</v>
      </c>
      <c r="C225" s="402">
        <v>-0.1738718352869866</v>
      </c>
      <c r="D225" s="402">
        <v>0.10101525445522107</v>
      </c>
      <c r="E225" s="402">
        <v>-0.19798626062138247</v>
      </c>
      <c r="F225" s="402">
        <v>0.19798626062138247</v>
      </c>
      <c r="G225" s="402">
        <v>-0.1738718352869866</v>
      </c>
      <c r="H225" s="402">
        <v>0.10101525445522107</v>
      </c>
      <c r="I225" s="402">
        <v>-0.19798626062138247</v>
      </c>
      <c r="J225" s="402">
        <v>0.19798626062138247</v>
      </c>
    </row>
    <row r="226" spans="2:10">
      <c r="B226" s="401">
        <v>2</v>
      </c>
      <c r="C226" s="402">
        <v>-0.29273189916231362</v>
      </c>
      <c r="D226" s="402">
        <v>0.10402427259000122</v>
      </c>
      <c r="E226" s="402">
        <v>-0.20388382779437947</v>
      </c>
      <c r="F226" s="402">
        <v>0.20388382779437947</v>
      </c>
      <c r="G226" s="402">
        <v>-0.33303132241977251</v>
      </c>
      <c r="H226" s="402">
        <v>0.10101525445522107</v>
      </c>
      <c r="I226" s="402">
        <v>-0.19798626062138247</v>
      </c>
      <c r="J226" s="402">
        <v>0.19798626062138247</v>
      </c>
    </row>
    <row r="227" spans="2:10">
      <c r="B227" s="401">
        <v>3</v>
      </c>
      <c r="C227" s="402">
        <v>-0.15410650019564368</v>
      </c>
      <c r="D227" s="402">
        <v>0.11211540882403456</v>
      </c>
      <c r="E227" s="402">
        <v>-0.21974216340709185</v>
      </c>
      <c r="F227" s="402">
        <v>0.21974216340709185</v>
      </c>
      <c r="G227" s="402">
        <v>-0.32458348368352535</v>
      </c>
      <c r="H227" s="402">
        <v>0.10101525445522107</v>
      </c>
      <c r="I227" s="402">
        <v>-0.19798626062138247</v>
      </c>
      <c r="J227" s="402">
        <v>0.19798626062138247</v>
      </c>
    </row>
    <row r="228" spans="2:10">
      <c r="B228" s="401">
        <v>4</v>
      </c>
      <c r="C228" s="402">
        <v>0.22422263566908099</v>
      </c>
      <c r="D228" s="402">
        <v>0.11425644208121018</v>
      </c>
      <c r="E228" s="402">
        <v>-0.22393851148085855</v>
      </c>
      <c r="F228" s="402">
        <v>0.22393851148085855</v>
      </c>
      <c r="G228" s="402">
        <v>-5.3168806393529468E-3</v>
      </c>
      <c r="H228" s="402">
        <v>0.10101525445522107</v>
      </c>
      <c r="I228" s="402">
        <v>-0.19798626062138247</v>
      </c>
      <c r="J228" s="402">
        <v>0.19798626062138247</v>
      </c>
    </row>
    <row r="229" spans="2:10">
      <c r="B229" s="401">
        <v>5</v>
      </c>
      <c r="C229" s="402">
        <v>-2.9129612886415884E-3</v>
      </c>
      <c r="D229" s="402">
        <v>0.11866158221909209</v>
      </c>
      <c r="E229" s="402">
        <v>-0.23257242749795889</v>
      </c>
      <c r="F229" s="402">
        <v>0.23257242749795889</v>
      </c>
      <c r="G229" s="402">
        <v>-0.11154248079463046</v>
      </c>
      <c r="H229" s="402">
        <v>0.10101525445522107</v>
      </c>
      <c r="I229" s="402">
        <v>-0.19798626062138247</v>
      </c>
      <c r="J229" s="402">
        <v>0.19798626062138247</v>
      </c>
    </row>
    <row r="230" spans="2:10">
      <c r="B230" s="401">
        <v>6</v>
      </c>
      <c r="C230" s="402">
        <v>-0.15361982899473961</v>
      </c>
      <c r="D230" s="402">
        <v>0.11866231189814748</v>
      </c>
      <c r="E230" s="402">
        <v>-0.23257385764262772</v>
      </c>
      <c r="F230" s="402">
        <v>0.23257385764262772</v>
      </c>
      <c r="G230" s="402">
        <v>-0.18888428285289108</v>
      </c>
      <c r="H230" s="402">
        <v>0.10101525445522107</v>
      </c>
      <c r="I230" s="402">
        <v>-0.19798626062138247</v>
      </c>
      <c r="J230" s="402">
        <v>0.19798626062138247</v>
      </c>
    </row>
    <row r="231" spans="2:10">
      <c r="B231" s="401">
        <v>7</v>
      </c>
      <c r="C231" s="402">
        <v>8.4934970948699895E-2</v>
      </c>
      <c r="D231" s="402">
        <v>0.12067459371502418</v>
      </c>
      <c r="E231" s="402">
        <v>-0.23651785753045088</v>
      </c>
      <c r="F231" s="402">
        <v>0.23651785753045088</v>
      </c>
      <c r="G231" s="402">
        <v>3.118061862120414E-2</v>
      </c>
      <c r="H231" s="402">
        <v>0.10101525445522107</v>
      </c>
      <c r="I231" s="402">
        <v>-0.19798626062138247</v>
      </c>
      <c r="J231" s="402">
        <v>0.19798626062138247</v>
      </c>
    </row>
    <row r="232" spans="2:10">
      <c r="B232" s="401">
        <v>8</v>
      </c>
      <c r="C232" s="402">
        <v>8.5060986764182153E-2</v>
      </c>
      <c r="D232" s="402">
        <v>0.12128306156749698</v>
      </c>
      <c r="E232" s="402">
        <v>-0.23771043260704799</v>
      </c>
      <c r="F232" s="402">
        <v>0.23771043260704799</v>
      </c>
      <c r="G232" s="402">
        <v>-1.1915504170521651E-3</v>
      </c>
      <c r="H232" s="402">
        <v>0.10101525445522107</v>
      </c>
      <c r="I232" s="402">
        <v>-0.19798626062138247</v>
      </c>
      <c r="J232" s="402">
        <v>0.19798626062138247</v>
      </c>
    </row>
    <row r="233" spans="2:10">
      <c r="B233" s="401">
        <v>9</v>
      </c>
      <c r="C233" s="402">
        <v>-0.21821408071374673</v>
      </c>
      <c r="D233" s="402">
        <v>0.1218902853611222</v>
      </c>
      <c r="E233" s="402">
        <v>-0.23890056937310922</v>
      </c>
      <c r="F233" s="402">
        <v>0.23890056937310922</v>
      </c>
      <c r="G233" s="402">
        <v>-0.27191938864942528</v>
      </c>
      <c r="H233" s="402">
        <v>0.10101525445522107</v>
      </c>
      <c r="I233" s="402">
        <v>-0.19798626062138247</v>
      </c>
      <c r="J233" s="402">
        <v>0.19798626062138247</v>
      </c>
    </row>
    <row r="234" spans="2:10">
      <c r="B234" s="401">
        <v>10</v>
      </c>
      <c r="C234" s="402">
        <v>-6.9722524975472114E-2</v>
      </c>
      <c r="D234" s="402">
        <v>0.12581345330769095</v>
      </c>
      <c r="E234" s="402">
        <v>-0.24658983725368594</v>
      </c>
      <c r="F234" s="402">
        <v>0.24658983725368594</v>
      </c>
      <c r="G234" s="402">
        <v>-0.17251375727847179</v>
      </c>
      <c r="H234" s="402">
        <v>0.10101525445522107</v>
      </c>
      <c r="I234" s="402">
        <v>-0.19798626062138247</v>
      </c>
      <c r="J234" s="402">
        <v>0.19798626062138247</v>
      </c>
    </row>
    <row r="235" spans="2:10">
      <c r="B235" s="401">
        <v>11</v>
      </c>
      <c r="C235" s="402">
        <v>0.14545312348046385</v>
      </c>
      <c r="D235" s="402">
        <v>0.12620710684702116</v>
      </c>
      <c r="E235" s="402">
        <v>-0.24736138401315985</v>
      </c>
      <c r="F235" s="402">
        <v>0.24736138401315985</v>
      </c>
      <c r="G235" s="402">
        <v>-0.11098709982103266</v>
      </c>
      <c r="H235" s="402">
        <v>0.10101525445522107</v>
      </c>
      <c r="I235" s="402">
        <v>-0.19798626062138247</v>
      </c>
      <c r="J235" s="402">
        <v>0.19798626062138247</v>
      </c>
    </row>
    <row r="236" spans="2:10">
      <c r="B236" s="401">
        <v>12</v>
      </c>
      <c r="C236" s="402">
        <v>0.29973690714632228</v>
      </c>
      <c r="D236" s="402">
        <v>0.12790622108709801</v>
      </c>
      <c r="E236" s="402">
        <v>-0.25069158672932962</v>
      </c>
      <c r="F236" s="402">
        <v>0.25069158672932962</v>
      </c>
      <c r="G236" s="402">
        <v>0.16861215209101466</v>
      </c>
      <c r="H236" s="402">
        <v>0.10101525445522107</v>
      </c>
      <c r="I236" s="402">
        <v>-0.19798626062138247</v>
      </c>
      <c r="J236" s="402">
        <v>0.19798626062138247</v>
      </c>
    </row>
    <row r="237" spans="2:10">
      <c r="B237" s="401">
        <v>13</v>
      </c>
      <c r="C237" s="402">
        <v>-0.1859532101551096</v>
      </c>
      <c r="D237" s="402">
        <v>0.13488334201865421</v>
      </c>
      <c r="E237" s="402">
        <v>-0.26436649247096033</v>
      </c>
      <c r="F237" s="402">
        <v>0.26436649247096033</v>
      </c>
      <c r="G237" s="402">
        <v>1.9361588590798832E-2</v>
      </c>
      <c r="H237" s="402">
        <v>0.10101525445522107</v>
      </c>
      <c r="I237" s="402">
        <v>-0.19798626062138247</v>
      </c>
      <c r="J237" s="402">
        <v>0.19798626062138247</v>
      </c>
    </row>
    <row r="238" spans="2:10">
      <c r="B238" s="401">
        <v>14</v>
      </c>
      <c r="C238" s="402">
        <v>-0.24693043898465356</v>
      </c>
      <c r="D238" s="402">
        <v>0.13747436704441998</v>
      </c>
      <c r="E238" s="402">
        <v>-0.26944480820450323</v>
      </c>
      <c r="F238" s="402">
        <v>0.26944480820450323</v>
      </c>
      <c r="G238" s="402">
        <v>-0.15131016440416883</v>
      </c>
      <c r="H238" s="402">
        <v>0.10101525445522107</v>
      </c>
      <c r="I238" s="402">
        <v>-0.19798626062138247</v>
      </c>
      <c r="J238" s="402">
        <v>0.19798626062138247</v>
      </c>
    </row>
    <row r="239" spans="2:10">
      <c r="B239" s="401">
        <v>15</v>
      </c>
      <c r="C239" s="402">
        <v>9.493604220943179E-2</v>
      </c>
      <c r="D239" s="402">
        <v>0.14192808755515227</v>
      </c>
      <c r="E239" s="402">
        <v>-0.27817394000274581</v>
      </c>
      <c r="F239" s="402">
        <v>0.27817394000274581</v>
      </c>
      <c r="G239" s="402">
        <v>-3.5999628819186495E-2</v>
      </c>
      <c r="H239" s="402">
        <v>0.10101525445522107</v>
      </c>
      <c r="I239" s="402">
        <v>-0.19798626062138247</v>
      </c>
      <c r="J239" s="402">
        <v>0.19798626062138247</v>
      </c>
    </row>
    <row r="240" spans="2:10">
      <c r="B240" s="401">
        <v>16</v>
      </c>
      <c r="C240" s="402">
        <v>0.17205958190479267</v>
      </c>
      <c r="D240" s="402">
        <v>0.14257460431092869</v>
      </c>
      <c r="E240" s="402">
        <v>-0.27944108955946928</v>
      </c>
      <c r="F240" s="402">
        <v>0.27944108955946928</v>
      </c>
      <c r="G240" s="402">
        <v>-1.5546033812069203E-3</v>
      </c>
      <c r="H240" s="402">
        <v>0.10101525445522107</v>
      </c>
      <c r="I240" s="402">
        <v>-0.19798626062138247</v>
      </c>
      <c r="J240" s="402">
        <v>0.19798626062138247</v>
      </c>
    </row>
    <row r="241" spans="2:10">
      <c r="B241" s="401">
        <v>17</v>
      </c>
      <c r="C241" s="402">
        <v>-5.6153214818294675E-2</v>
      </c>
      <c r="D241" s="402">
        <v>0.14467788793799327</v>
      </c>
      <c r="E241" s="402">
        <v>-0.28356344971778863</v>
      </c>
      <c r="F241" s="402">
        <v>0.28356344971778863</v>
      </c>
      <c r="G241" s="402">
        <v>-4.2770300948109415E-2</v>
      </c>
      <c r="H241" s="402">
        <v>0.10101525445522107</v>
      </c>
      <c r="I241" s="402">
        <v>-0.19798626062138247</v>
      </c>
      <c r="J241" s="402">
        <v>0.19798626062138247</v>
      </c>
    </row>
    <row r="242" spans="2:10">
      <c r="B242" s="401">
        <v>18</v>
      </c>
      <c r="C242" s="402">
        <v>-0.12587025964295856</v>
      </c>
      <c r="D242" s="402">
        <v>0.14490011022278296</v>
      </c>
      <c r="E242" s="402">
        <v>-0.28399899739253864</v>
      </c>
      <c r="F242" s="402">
        <v>0.28399899739253864</v>
      </c>
      <c r="G242" s="402">
        <v>-6.8601705027195495E-2</v>
      </c>
      <c r="H242" s="402">
        <v>0.10101525445522107</v>
      </c>
      <c r="I242" s="402">
        <v>-0.19798626062138247</v>
      </c>
      <c r="J242" s="402">
        <v>0.19798626062138247</v>
      </c>
    </row>
    <row r="243" spans="2:10">
      <c r="B243" s="401">
        <v>19</v>
      </c>
      <c r="C243" s="402">
        <v>1.3935017051446331E-2</v>
      </c>
      <c r="D243" s="402">
        <v>0.14601155793283749</v>
      </c>
      <c r="E243" s="402">
        <v>-0.28617739487494503</v>
      </c>
      <c r="F243" s="402">
        <v>0.28617739487494503</v>
      </c>
      <c r="G243" s="402">
        <v>-0.14417930100323875</v>
      </c>
      <c r="H243" s="402">
        <v>0.10101525445522107</v>
      </c>
      <c r="I243" s="402">
        <v>-0.19798626062138247</v>
      </c>
      <c r="J243" s="402">
        <v>0.19798626062138247</v>
      </c>
    </row>
    <row r="244" spans="2:10" ht="16" thickBot="1">
      <c r="B244" s="404">
        <v>20</v>
      </c>
      <c r="C244" s="403">
        <v>3.0030447310275842E-2</v>
      </c>
      <c r="D244" s="403">
        <v>0.14602512798501552</v>
      </c>
      <c r="E244" s="403">
        <v>-0.28620399168848232</v>
      </c>
      <c r="F244" s="403">
        <v>0.28620399168848232</v>
      </c>
      <c r="G244" s="403">
        <v>-0.15517128802436383</v>
      </c>
      <c r="H244" s="403">
        <v>0.10101525445522107</v>
      </c>
      <c r="I244" s="403">
        <v>-0.19798626062138247</v>
      </c>
      <c r="J244" s="403">
        <v>0.19798626062138247</v>
      </c>
    </row>
    <row r="264" spans="7:7">
      <c r="G264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DD748185">
              <controlPr defaultSize="0" autoFill="0" autoPict="0" macro="[3]!GoToResultsNew1014201812015677">
                <anchor moveWithCells="1">
                  <from>
                    <xdr:col>1</xdr:col>
                    <xdr:colOff>12700</xdr:colOff>
                    <xdr:row>9</xdr:row>
                    <xdr:rowOff>0</xdr:rowOff>
                  </from>
                  <to>
                    <xdr:col>7</xdr:col>
                    <xdr:colOff>444500</xdr:colOff>
                    <xdr:row>10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DA46-30CD-B041-81EF-13303F89B9D8}">
  <dimension ref="B1:I164"/>
  <sheetViews>
    <sheetView topLeftCell="A11" workbookViewId="0">
      <selection activeCell="O25" sqref="O25"/>
    </sheetView>
  </sheetViews>
  <sheetFormatPr baseColWidth="10" defaultColWidth="8.83203125" defaultRowHeight="15"/>
  <cols>
    <col min="1" max="1" width="4.5" customWidth="1"/>
  </cols>
  <sheetData>
    <row r="1" spans="2:9">
      <c r="B1" t="s">
        <v>220</v>
      </c>
    </row>
    <row r="2" spans="2:9">
      <c r="B2" t="s">
        <v>221</v>
      </c>
    </row>
    <row r="3" spans="2:9">
      <c r="B3" t="s">
        <v>172</v>
      </c>
    </row>
    <row r="4" spans="2:9">
      <c r="B4" t="s">
        <v>173</v>
      </c>
    </row>
    <row r="5" spans="2:9">
      <c r="B5" t="s">
        <v>174</v>
      </c>
    </row>
    <row r="6" spans="2:9">
      <c r="B6" t="s">
        <v>222</v>
      </c>
    </row>
    <row r="7" spans="2:9">
      <c r="B7" t="s">
        <v>223</v>
      </c>
    </row>
    <row r="8" spans="2:9">
      <c r="B8" t="s">
        <v>224</v>
      </c>
    </row>
    <row r="9" spans="2:9">
      <c r="B9" t="s">
        <v>115</v>
      </c>
    </row>
    <row r="10" spans="2:9" ht="34.25" customHeight="1"/>
    <row r="11" spans="2:9" ht="15.75" customHeight="1"/>
    <row r="14" spans="2:9">
      <c r="B14" s="415" t="s">
        <v>116</v>
      </c>
    </row>
    <row r="15" spans="2:9" ht="16" thickBot="1"/>
    <row r="16" spans="2:9">
      <c r="B16" s="398" t="s">
        <v>117</v>
      </c>
      <c r="C16" s="399" t="s">
        <v>118</v>
      </c>
      <c r="D16" s="399" t="s">
        <v>119</v>
      </c>
      <c r="E16" s="399" t="s">
        <v>120</v>
      </c>
      <c r="F16" s="399" t="s">
        <v>121</v>
      </c>
      <c r="G16" s="399" t="s">
        <v>122</v>
      </c>
      <c r="H16" s="399" t="s">
        <v>123</v>
      </c>
      <c r="I16" s="399" t="s">
        <v>124</v>
      </c>
    </row>
    <row r="17" spans="2:9" ht="16" thickBot="1">
      <c r="B17" s="416" t="s">
        <v>176</v>
      </c>
      <c r="C17" s="417">
        <v>98</v>
      </c>
      <c r="D17" s="417">
        <v>0</v>
      </c>
      <c r="E17" s="417">
        <v>98</v>
      </c>
      <c r="F17" s="418">
        <v>257.39999999999998</v>
      </c>
      <c r="G17" s="418">
        <v>443</v>
      </c>
      <c r="H17" s="418">
        <v>359.06020408163272</v>
      </c>
      <c r="I17" s="418">
        <v>50.527795228760645</v>
      </c>
    </row>
    <row r="20" spans="2:9">
      <c r="B20" s="415" t="s">
        <v>177</v>
      </c>
    </row>
    <row r="21" spans="2:9" ht="16" thickBot="1"/>
    <row r="22" spans="2:9">
      <c r="B22" s="398" t="s">
        <v>178</v>
      </c>
      <c r="C22" s="399" t="s">
        <v>125</v>
      </c>
    </row>
    <row r="23" spans="2:9">
      <c r="B23" s="419" t="s">
        <v>118</v>
      </c>
      <c r="C23" s="400">
        <v>98</v>
      </c>
    </row>
    <row r="24" spans="2:9">
      <c r="B24" s="420" t="s">
        <v>126</v>
      </c>
      <c r="C24" s="401">
        <v>96</v>
      </c>
    </row>
    <row r="25" spans="2:9">
      <c r="B25" s="420" t="s">
        <v>127</v>
      </c>
      <c r="C25" s="402">
        <v>3196.7264583841179</v>
      </c>
    </row>
    <row r="26" spans="2:9">
      <c r="B26" s="420" t="s">
        <v>128</v>
      </c>
      <c r="C26" s="402">
        <v>33.299233941501228</v>
      </c>
    </row>
    <row r="27" spans="2:9">
      <c r="B27" s="421" t="s">
        <v>129</v>
      </c>
      <c r="C27" s="422">
        <v>5.7705488423113813</v>
      </c>
    </row>
    <row r="28" spans="2:9">
      <c r="B28" s="421" t="s">
        <v>130</v>
      </c>
      <c r="C28" s="422">
        <v>1.2806613307197137</v>
      </c>
    </row>
    <row r="29" spans="2:9">
      <c r="B29" s="420" t="s">
        <v>179</v>
      </c>
      <c r="C29" s="402">
        <v>0.645679242841117</v>
      </c>
    </row>
    <row r="30" spans="2:9">
      <c r="B30" s="420" t="s">
        <v>180</v>
      </c>
      <c r="C30" s="402">
        <v>4.5039001163718781</v>
      </c>
    </row>
    <row r="31" spans="2:9">
      <c r="B31" s="420" t="s">
        <v>181</v>
      </c>
      <c r="C31" s="402">
        <v>0.98652337638618504</v>
      </c>
    </row>
    <row r="32" spans="2:9">
      <c r="B32" s="420" t="s">
        <v>131</v>
      </c>
      <c r="C32" s="401">
        <v>9</v>
      </c>
    </row>
    <row r="33" spans="2:7" ht="16" thickBot="1">
      <c r="B33" s="423" t="s">
        <v>225</v>
      </c>
      <c r="C33" s="439" t="s">
        <v>226</v>
      </c>
    </row>
    <row r="36" spans="2:7">
      <c r="B36" s="415" t="s">
        <v>182</v>
      </c>
    </row>
    <row r="37" spans="2:7" ht="16" thickBot="1"/>
    <row r="38" spans="2:7">
      <c r="B38" s="398" t="s">
        <v>178</v>
      </c>
      <c r="C38" s="399" t="s">
        <v>132</v>
      </c>
      <c r="D38" s="399" t="s">
        <v>133</v>
      </c>
    </row>
    <row r="39" spans="2:7">
      <c r="B39" s="419" t="s">
        <v>183</v>
      </c>
      <c r="C39" s="400">
        <v>0.8383904072165087</v>
      </c>
      <c r="D39" s="400">
        <v>1.0086202558502044E-2</v>
      </c>
    </row>
    <row r="40" spans="2:7" ht="16" thickBot="1">
      <c r="B40" s="423" t="s">
        <v>184</v>
      </c>
      <c r="C40" s="404">
        <v>257.39999999999998</v>
      </c>
      <c r="D40" s="404"/>
    </row>
    <row r="43" spans="2:7">
      <c r="B43" s="415" t="s">
        <v>185</v>
      </c>
    </row>
    <row r="44" spans="2:7" ht="16" thickBot="1"/>
    <row r="45" spans="2:7">
      <c r="B45" s="406"/>
      <c r="C45" s="399" t="s">
        <v>176</v>
      </c>
      <c r="D45" s="399" t="s">
        <v>186</v>
      </c>
      <c r="E45" s="399" t="s">
        <v>134</v>
      </c>
      <c r="F45" s="399" t="s">
        <v>135</v>
      </c>
      <c r="G45" s="399" t="s">
        <v>136</v>
      </c>
    </row>
    <row r="46" spans="2:7">
      <c r="B46" s="400">
        <v>1</v>
      </c>
      <c r="C46" s="405">
        <v>257.39999999999998</v>
      </c>
      <c r="D46" s="405"/>
      <c r="E46" s="405"/>
      <c r="F46" s="405"/>
      <c r="G46" s="405"/>
    </row>
    <row r="47" spans="2:7">
      <c r="B47" s="401">
        <v>2</v>
      </c>
      <c r="C47" s="402">
        <v>259.7</v>
      </c>
      <c r="D47" s="402">
        <v>257.39999999999998</v>
      </c>
      <c r="E47" s="402">
        <v>2.3000000000000114</v>
      </c>
      <c r="F47" s="402"/>
      <c r="G47" s="402"/>
    </row>
    <row r="48" spans="2:7">
      <c r="B48" s="401">
        <v>3</v>
      </c>
      <c r="C48" s="402">
        <v>263.3</v>
      </c>
      <c r="D48" s="402">
        <v>259.32829793659795</v>
      </c>
      <c r="E48" s="402">
        <v>3.9717020634020628</v>
      </c>
      <c r="F48" s="402"/>
      <c r="G48" s="402"/>
    </row>
    <row r="49" spans="2:7">
      <c r="B49" s="401">
        <v>4</v>
      </c>
      <c r="C49" s="402">
        <v>265.3</v>
      </c>
      <c r="D49" s="402">
        <v>262.65813484687624</v>
      </c>
      <c r="E49" s="402">
        <v>2.6418651531237742</v>
      </c>
      <c r="F49" s="402"/>
      <c r="G49" s="402"/>
    </row>
    <row r="50" spans="2:7">
      <c r="B50" s="401">
        <v>5</v>
      </c>
      <c r="C50" s="402">
        <v>269.89999999999998</v>
      </c>
      <c r="D50" s="402">
        <v>264.87304924841476</v>
      </c>
      <c r="E50" s="402">
        <v>5.0269507515852183</v>
      </c>
      <c r="F50" s="402"/>
      <c r="G50" s="402"/>
    </row>
    <row r="51" spans="2:7">
      <c r="B51" s="401">
        <v>6</v>
      </c>
      <c r="C51" s="402">
        <v>264.8</v>
      </c>
      <c r="D51" s="402">
        <v>269.0875965360936</v>
      </c>
      <c r="E51" s="402">
        <v>-4.2875965360935879</v>
      </c>
      <c r="F51" s="402"/>
      <c r="G51" s="402"/>
    </row>
    <row r="52" spans="2:7">
      <c r="B52" s="401">
        <v>7</v>
      </c>
      <c r="C52" s="402">
        <v>273.10000000000002</v>
      </c>
      <c r="D52" s="402">
        <v>265.49291673021798</v>
      </c>
      <c r="E52" s="402">
        <v>7.6070832697820379</v>
      </c>
      <c r="F52" s="402"/>
      <c r="G52" s="402"/>
    </row>
    <row r="53" spans="2:7">
      <c r="B53" s="401">
        <v>8</v>
      </c>
      <c r="C53" s="402">
        <v>276.10000000000002</v>
      </c>
      <c r="D53" s="402">
        <v>271.87062237050043</v>
      </c>
      <c r="E53" s="402">
        <v>4.2293776294995951</v>
      </c>
      <c r="F53" s="402"/>
      <c r="G53" s="402"/>
    </row>
    <row r="54" spans="2:7">
      <c r="B54" s="401">
        <v>9</v>
      </c>
      <c r="C54" s="402">
        <v>284.8</v>
      </c>
      <c r="D54" s="402">
        <v>275.41649200356898</v>
      </c>
      <c r="E54" s="402">
        <v>9.3835079964310353</v>
      </c>
      <c r="F54" s="402"/>
      <c r="G54" s="402"/>
    </row>
    <row r="55" spans="2:7">
      <c r="B55" s="401">
        <v>10</v>
      </c>
      <c r="C55" s="402">
        <v>280.89999999999998</v>
      </c>
      <c r="D55" s="402">
        <v>283.28353509381617</v>
      </c>
      <c r="E55" s="402">
        <v>-2.3835350938161923</v>
      </c>
      <c r="F55" s="402"/>
      <c r="G55" s="402"/>
    </row>
    <row r="56" spans="2:7">
      <c r="B56" s="401">
        <v>11</v>
      </c>
      <c r="C56" s="402">
        <v>290.5</v>
      </c>
      <c r="D56" s="402">
        <v>281.28520213589678</v>
      </c>
      <c r="E56" s="402">
        <v>9.2147978641032182</v>
      </c>
      <c r="F56" s="402"/>
      <c r="G56" s="402"/>
    </row>
    <row r="57" spans="2:7">
      <c r="B57" s="401">
        <v>12</v>
      </c>
      <c r="C57" s="402">
        <v>295.10000000000002</v>
      </c>
      <c r="D57" s="402">
        <v>289.01080026960011</v>
      </c>
      <c r="E57" s="402">
        <v>6.0891997303999119</v>
      </c>
      <c r="F57" s="402"/>
      <c r="G57" s="402"/>
    </row>
    <row r="58" spans="2:7">
      <c r="B58" s="401">
        <v>13</v>
      </c>
      <c r="C58" s="402">
        <v>298.8</v>
      </c>
      <c r="D58" s="402">
        <v>294.11592691119273</v>
      </c>
      <c r="E58" s="402">
        <v>4.6840730888072812</v>
      </c>
      <c r="F58" s="402"/>
      <c r="G58" s="402"/>
    </row>
    <row r="59" spans="2:7">
      <c r="B59" s="401">
        <v>14</v>
      </c>
      <c r="C59" s="402">
        <v>297.5</v>
      </c>
      <c r="D59" s="402">
        <v>298.04300885554977</v>
      </c>
      <c r="E59" s="402">
        <v>-0.54300885554977185</v>
      </c>
      <c r="F59" s="402"/>
      <c r="G59" s="402"/>
    </row>
    <row r="60" spans="2:7">
      <c r="B60" s="401">
        <v>15</v>
      </c>
      <c r="C60" s="402">
        <v>308.3</v>
      </c>
      <c r="D60" s="402">
        <v>297.58775544002322</v>
      </c>
      <c r="E60" s="402">
        <v>10.712244559976796</v>
      </c>
      <c r="F60" s="402"/>
      <c r="G60" s="402"/>
    </row>
    <row r="61" spans="2:7">
      <c r="B61" s="401">
        <v>16</v>
      </c>
      <c r="C61" s="402">
        <v>313.60000000000002</v>
      </c>
      <c r="D61" s="402">
        <v>306.56879851886498</v>
      </c>
      <c r="E61" s="402">
        <v>7.0312014811350423</v>
      </c>
      <c r="F61" s="402"/>
      <c r="G61" s="402"/>
    </row>
    <row r="62" spans="2:7">
      <c r="B62" s="401">
        <v>17</v>
      </c>
      <c r="C62" s="402">
        <v>312.2</v>
      </c>
      <c r="D62" s="402">
        <v>312.4636903918551</v>
      </c>
      <c r="E62" s="402">
        <v>-0.26369039185510701</v>
      </c>
      <c r="F62" s="402"/>
      <c r="G62" s="402"/>
    </row>
    <row r="63" spans="2:7">
      <c r="B63" s="401">
        <v>18</v>
      </c>
      <c r="C63" s="402">
        <v>310.5</v>
      </c>
      <c r="D63" s="402">
        <v>312.24261489684864</v>
      </c>
      <c r="E63" s="402">
        <v>-1.7426148968486359</v>
      </c>
      <c r="F63" s="402"/>
      <c r="G63" s="402"/>
    </row>
    <row r="64" spans="2:7">
      <c r="B64" s="401">
        <v>19</v>
      </c>
      <c r="C64" s="402">
        <v>320.5</v>
      </c>
      <c r="D64" s="402">
        <v>310.78162328385815</v>
      </c>
      <c r="E64" s="402">
        <v>9.7183767161418473</v>
      </c>
      <c r="F64" s="402"/>
      <c r="G64" s="402"/>
    </row>
    <row r="65" spans="2:7">
      <c r="B65" s="401">
        <v>20</v>
      </c>
      <c r="C65" s="402">
        <v>323.10000000000002</v>
      </c>
      <c r="D65" s="402">
        <v>318.92941709638774</v>
      </c>
      <c r="E65" s="402">
        <v>4.170582903612285</v>
      </c>
      <c r="F65" s="402"/>
      <c r="G65" s="402"/>
    </row>
    <row r="66" spans="2:7">
      <c r="B66" s="401">
        <v>21</v>
      </c>
      <c r="C66" s="402">
        <v>324.89999999999998</v>
      </c>
      <c r="D66" s="402">
        <v>322.42599379527746</v>
      </c>
      <c r="E66" s="402">
        <v>2.4740062047225138</v>
      </c>
      <c r="F66" s="402"/>
      <c r="G66" s="402"/>
    </row>
    <row r="67" spans="2:7">
      <c r="B67" s="401">
        <v>22</v>
      </c>
      <c r="C67" s="402">
        <v>318.7</v>
      </c>
      <c r="D67" s="402">
        <v>324.50017686471097</v>
      </c>
      <c r="E67" s="402">
        <v>-5.800176864710977</v>
      </c>
      <c r="F67" s="402"/>
      <c r="G67" s="402"/>
    </row>
    <row r="68" spans="2:7">
      <c r="B68" s="401">
        <v>23</v>
      </c>
      <c r="C68" s="402">
        <v>331.9</v>
      </c>
      <c r="D68" s="402">
        <v>319.63736422117813</v>
      </c>
      <c r="E68" s="402">
        <v>12.262635778821846</v>
      </c>
      <c r="F68" s="402"/>
      <c r="G68" s="402"/>
    </row>
    <row r="69" spans="2:7">
      <c r="B69" s="401">
        <v>24</v>
      </c>
      <c r="C69" s="402">
        <v>331.3</v>
      </c>
      <c r="D69" s="402">
        <v>329.91824042533233</v>
      </c>
      <c r="E69" s="402">
        <v>1.381759574667683</v>
      </c>
      <c r="F69" s="402"/>
      <c r="G69" s="402"/>
    </row>
    <row r="70" spans="2:7">
      <c r="B70" s="401">
        <v>25</v>
      </c>
      <c r="C70" s="402">
        <v>339.2</v>
      </c>
      <c r="D70" s="402">
        <v>331.0766943978133</v>
      </c>
      <c r="E70" s="402">
        <v>8.1233056021866901</v>
      </c>
      <c r="F70" s="402"/>
      <c r="G70" s="402"/>
    </row>
    <row r="71" spans="2:7">
      <c r="B71" s="401">
        <v>26</v>
      </c>
      <c r="C71" s="402">
        <v>335.1</v>
      </c>
      <c r="D71" s="402">
        <v>337.88719588957474</v>
      </c>
      <c r="E71" s="402">
        <v>-2.7871958895747184</v>
      </c>
      <c r="F71" s="402"/>
      <c r="G71" s="402"/>
    </row>
    <row r="72" spans="2:7">
      <c r="B72" s="401">
        <v>27</v>
      </c>
      <c r="C72" s="402">
        <v>343.2</v>
      </c>
      <c r="D72" s="402">
        <v>335.55043759272201</v>
      </c>
      <c r="E72" s="402">
        <v>7.6495624072779833</v>
      </c>
      <c r="F72" s="402"/>
      <c r="G72" s="402"/>
    </row>
    <row r="73" spans="2:7">
      <c r="B73" s="401">
        <v>28</v>
      </c>
      <c r="C73" s="402">
        <v>345.6</v>
      </c>
      <c r="D73" s="402">
        <v>341.96375733438788</v>
      </c>
      <c r="E73" s="402">
        <v>3.6362426656121443</v>
      </c>
      <c r="F73" s="402"/>
      <c r="G73" s="402"/>
    </row>
    <row r="74" spans="2:7">
      <c r="B74" s="401">
        <v>29</v>
      </c>
      <c r="C74" s="402">
        <v>324.10000000000002</v>
      </c>
      <c r="D74" s="402">
        <v>345.01234830354849</v>
      </c>
      <c r="E74" s="402">
        <v>-20.91234830354847</v>
      </c>
      <c r="F74" s="402"/>
      <c r="G74" s="402"/>
    </row>
    <row r="75" spans="2:7">
      <c r="B75" s="401">
        <v>30</v>
      </c>
      <c r="C75" s="402">
        <v>343.9</v>
      </c>
      <c r="D75" s="402">
        <v>327.47963609348301</v>
      </c>
      <c r="E75" s="402">
        <v>16.420363906516968</v>
      </c>
      <c r="F75" s="402"/>
      <c r="G75" s="402"/>
    </row>
    <row r="76" spans="2:7">
      <c r="B76" s="401">
        <v>31</v>
      </c>
      <c r="C76" s="402">
        <v>344</v>
      </c>
      <c r="D76" s="402">
        <v>341.24631167571101</v>
      </c>
      <c r="E76" s="402">
        <v>2.7536883242889871</v>
      </c>
      <c r="F76" s="402"/>
      <c r="G76" s="402"/>
    </row>
    <row r="77" spans="2:7">
      <c r="B77" s="401">
        <v>32</v>
      </c>
      <c r="C77" s="402">
        <v>343</v>
      </c>
      <c r="D77" s="402">
        <v>343.55497755125901</v>
      </c>
      <c r="E77" s="402">
        <v>-0.55497755125901449</v>
      </c>
      <c r="F77" s="402"/>
      <c r="G77" s="402"/>
    </row>
    <row r="78" spans="2:7">
      <c r="B78" s="401">
        <v>33</v>
      </c>
      <c r="C78" s="402">
        <v>345.6</v>
      </c>
      <c r="D78" s="402">
        <v>343.08968969606298</v>
      </c>
      <c r="E78" s="402">
        <v>2.5103103039370467</v>
      </c>
      <c r="F78" s="402"/>
      <c r="G78" s="402"/>
    </row>
    <row r="79" spans="2:7">
      <c r="B79" s="401">
        <v>34</v>
      </c>
      <c r="C79" s="402">
        <v>344.9</v>
      </c>
      <c r="D79" s="402">
        <v>345.19430977402055</v>
      </c>
      <c r="E79" s="402">
        <v>-0.29430977402057579</v>
      </c>
      <c r="F79" s="402"/>
      <c r="G79" s="402"/>
    </row>
    <row r="80" spans="2:7">
      <c r="B80" s="401">
        <v>35</v>
      </c>
      <c r="C80" s="402">
        <v>348</v>
      </c>
      <c r="D80" s="402">
        <v>344.94756328273166</v>
      </c>
      <c r="E80" s="402">
        <v>3.0524367172683355</v>
      </c>
      <c r="F80" s="402"/>
      <c r="G80" s="402"/>
    </row>
    <row r="81" spans="2:7">
      <c r="B81" s="401">
        <v>36</v>
      </c>
      <c r="C81" s="402">
        <v>350.4</v>
      </c>
      <c r="D81" s="402">
        <v>347.50669694512487</v>
      </c>
      <c r="E81" s="402">
        <v>2.8933030548751049</v>
      </c>
      <c r="F81" s="402"/>
      <c r="G81" s="402"/>
    </row>
    <row r="82" spans="2:7">
      <c r="B82" s="401">
        <v>37</v>
      </c>
      <c r="C82" s="402">
        <v>346.8</v>
      </c>
      <c r="D82" s="402">
        <v>349.9324144715024</v>
      </c>
      <c r="E82" s="402">
        <v>-3.1324144715023863</v>
      </c>
      <c r="F82" s="402"/>
      <c r="G82" s="402"/>
    </row>
    <row r="83" spans="2:7">
      <c r="B83" s="401">
        <v>38</v>
      </c>
      <c r="C83" s="402">
        <v>343.8</v>
      </c>
      <c r="D83" s="402">
        <v>347.30622822716862</v>
      </c>
      <c r="E83" s="402">
        <v>-3.5062282271686058</v>
      </c>
      <c r="F83" s="402"/>
      <c r="G83" s="402"/>
    </row>
    <row r="84" spans="2:7">
      <c r="B84" s="401">
        <v>39</v>
      </c>
      <c r="C84" s="402">
        <v>342.1</v>
      </c>
      <c r="D84" s="402">
        <v>344.36664011599873</v>
      </c>
      <c r="E84" s="402">
        <v>-2.2666401159987117</v>
      </c>
      <c r="F84" s="402"/>
      <c r="G84" s="402"/>
    </row>
    <row r="85" spans="2:7">
      <c r="B85" s="401">
        <v>40</v>
      </c>
      <c r="C85" s="402">
        <v>338.4</v>
      </c>
      <c r="D85" s="402">
        <v>342.46631078613331</v>
      </c>
      <c r="E85" s="402">
        <v>-4.0663107861333287</v>
      </c>
      <c r="F85" s="402"/>
      <c r="G85" s="402"/>
    </row>
    <row r="86" spans="2:7">
      <c r="B86" s="401">
        <v>41</v>
      </c>
      <c r="C86" s="402">
        <v>338.5</v>
      </c>
      <c r="D86" s="402">
        <v>339.05715483027808</v>
      </c>
      <c r="E86" s="402">
        <v>-0.55715483027807977</v>
      </c>
      <c r="F86" s="402"/>
      <c r="G86" s="402"/>
    </row>
    <row r="87" spans="2:7">
      <c r="B87" s="401">
        <v>42</v>
      </c>
      <c r="C87" s="402">
        <v>335.7</v>
      </c>
      <c r="D87" s="402">
        <v>338.59004156523861</v>
      </c>
      <c r="E87" s="402">
        <v>-2.8900415652386187</v>
      </c>
      <c r="F87" s="402"/>
      <c r="G87" s="402"/>
    </row>
    <row r="88" spans="2:7">
      <c r="B88" s="401">
        <v>43</v>
      </c>
      <c r="C88" s="402">
        <v>335.7</v>
      </c>
      <c r="D88" s="402">
        <v>336.16705844048556</v>
      </c>
      <c r="E88" s="402">
        <v>-0.4670584404855731</v>
      </c>
      <c r="F88" s="402"/>
      <c r="G88" s="402"/>
    </row>
    <row r="89" spans="2:7">
      <c r="B89" s="401">
        <v>44</v>
      </c>
      <c r="C89" s="402">
        <v>334.7</v>
      </c>
      <c r="D89" s="402">
        <v>335.77548112437296</v>
      </c>
      <c r="E89" s="402">
        <v>-1.0754811243729705</v>
      </c>
      <c r="F89" s="402"/>
      <c r="G89" s="402"/>
    </row>
    <row r="90" spans="2:7">
      <c r="B90" s="401">
        <v>45</v>
      </c>
      <c r="C90" s="402">
        <v>340</v>
      </c>
      <c r="D90" s="402">
        <v>334.87380806655625</v>
      </c>
      <c r="E90" s="402">
        <v>5.1261919334437493</v>
      </c>
      <c r="F90" s="402"/>
      <c r="G90" s="402"/>
    </row>
    <row r="91" spans="2:7">
      <c r="B91" s="401">
        <v>46</v>
      </c>
      <c r="C91" s="402">
        <v>340.1</v>
      </c>
      <c r="D91" s="402">
        <v>339.17155820910614</v>
      </c>
      <c r="E91" s="402">
        <v>0.9284417908938849</v>
      </c>
      <c r="F91" s="402"/>
      <c r="G91" s="402"/>
    </row>
    <row r="92" spans="2:7">
      <c r="B92" s="401">
        <v>47</v>
      </c>
      <c r="C92" s="402">
        <v>347.2</v>
      </c>
      <c r="D92" s="402">
        <v>339.94995490025048</v>
      </c>
      <c r="E92" s="402">
        <v>7.2500450997495136</v>
      </c>
      <c r="F92" s="402"/>
      <c r="G92" s="402"/>
    </row>
    <row r="93" spans="2:7">
      <c r="B93" s="401">
        <v>48</v>
      </c>
      <c r="C93" s="402">
        <v>346.7</v>
      </c>
      <c r="D93" s="402">
        <v>346.02832316376754</v>
      </c>
      <c r="E93" s="402">
        <v>0.67167683623245011</v>
      </c>
      <c r="F93" s="402"/>
      <c r="G93" s="402"/>
    </row>
    <row r="94" spans="2:7">
      <c r="B94" s="401">
        <v>49</v>
      </c>
      <c r="C94" s="402">
        <v>348.1</v>
      </c>
      <c r="D94" s="402">
        <v>346.59145058001434</v>
      </c>
      <c r="E94" s="402">
        <v>1.5085494199856839</v>
      </c>
      <c r="F94" s="402"/>
      <c r="G94" s="402"/>
    </row>
    <row r="95" spans="2:7">
      <c r="B95" s="401">
        <v>50</v>
      </c>
      <c r="C95" s="402">
        <v>347.4</v>
      </c>
      <c r="D95" s="402">
        <v>347.85620394254238</v>
      </c>
      <c r="E95" s="402">
        <v>-0.45620394254240182</v>
      </c>
      <c r="F95" s="402"/>
      <c r="G95" s="402"/>
    </row>
    <row r="96" spans="2:7">
      <c r="B96" s="401">
        <v>51</v>
      </c>
      <c r="C96" s="402">
        <v>351.9</v>
      </c>
      <c r="D96" s="402">
        <v>347.47372693338048</v>
      </c>
      <c r="E96" s="402">
        <v>4.4262730666195012</v>
      </c>
      <c r="F96" s="402"/>
      <c r="G96" s="402"/>
    </row>
    <row r="97" spans="2:7">
      <c r="B97" s="401">
        <v>52</v>
      </c>
      <c r="C97" s="402">
        <v>350.8</v>
      </c>
      <c r="D97" s="402">
        <v>351.18467181215505</v>
      </c>
      <c r="E97" s="402">
        <v>-0.38467181215503388</v>
      </c>
      <c r="F97" s="402"/>
      <c r="G97" s="402"/>
    </row>
    <row r="98" spans="2:7">
      <c r="B98" s="401">
        <v>53</v>
      </c>
      <c r="C98" s="402">
        <v>357.6</v>
      </c>
      <c r="D98" s="402">
        <v>350.8621666549177</v>
      </c>
      <c r="E98" s="402">
        <v>6.737833345082322</v>
      </c>
      <c r="F98" s="402"/>
      <c r="G98" s="402"/>
    </row>
    <row r="99" spans="2:7">
      <c r="B99" s="401">
        <v>54</v>
      </c>
      <c r="C99" s="402">
        <v>352.7</v>
      </c>
      <c r="D99" s="402">
        <v>356.51110149685826</v>
      </c>
      <c r="E99" s="402">
        <v>-3.8111014968582708</v>
      </c>
      <c r="F99" s="402"/>
      <c r="G99" s="402"/>
    </row>
    <row r="100" spans="2:7">
      <c r="B100" s="401">
        <v>55</v>
      </c>
      <c r="C100" s="402">
        <v>357.8</v>
      </c>
      <c r="D100" s="402">
        <v>353.3159105609638</v>
      </c>
      <c r="E100" s="402">
        <v>4.4840894390362109</v>
      </c>
      <c r="F100" s="402"/>
      <c r="G100" s="402"/>
    </row>
    <row r="101" spans="2:7">
      <c r="B101" s="401">
        <v>56</v>
      </c>
      <c r="C101" s="402">
        <v>357.9</v>
      </c>
      <c r="D101" s="402">
        <v>357.0753281317526</v>
      </c>
      <c r="E101" s="402">
        <v>0.82467186824737837</v>
      </c>
      <c r="F101" s="402"/>
      <c r="G101" s="402"/>
    </row>
    <row r="102" spans="2:7">
      <c r="B102" s="401">
        <v>57</v>
      </c>
      <c r="C102" s="402">
        <v>362.3</v>
      </c>
      <c r="D102" s="402">
        <v>357.76672511519251</v>
      </c>
      <c r="E102" s="402">
        <v>4.5332748848074971</v>
      </c>
      <c r="F102" s="402"/>
      <c r="G102" s="402"/>
    </row>
    <row r="103" spans="2:7">
      <c r="B103" s="401">
        <v>58</v>
      </c>
      <c r="C103" s="402">
        <v>363.8</v>
      </c>
      <c r="D103" s="402">
        <v>361.56737929189063</v>
      </c>
      <c r="E103" s="402">
        <v>2.2326207081093798</v>
      </c>
      <c r="F103" s="402"/>
      <c r="G103" s="402"/>
    </row>
    <row r="104" spans="2:7">
      <c r="B104" s="401">
        <v>59</v>
      </c>
      <c r="C104" s="402">
        <v>366</v>
      </c>
      <c r="D104" s="402">
        <v>363.43918707652244</v>
      </c>
      <c r="E104" s="402">
        <v>2.5608129234775561</v>
      </c>
      <c r="F104" s="402"/>
      <c r="G104" s="402"/>
    </row>
    <row r="105" spans="2:7">
      <c r="B105" s="401">
        <v>60</v>
      </c>
      <c r="C105" s="402">
        <v>363.4</v>
      </c>
      <c r="D105" s="402">
        <v>365.58614806624212</v>
      </c>
      <c r="E105" s="402">
        <v>-2.18614806624214</v>
      </c>
      <c r="F105" s="402"/>
      <c r="G105" s="402"/>
    </row>
    <row r="106" spans="2:7">
      <c r="B106" s="401">
        <v>61</v>
      </c>
      <c r="C106" s="402">
        <v>355.8</v>
      </c>
      <c r="D106" s="402">
        <v>363.7533024987498</v>
      </c>
      <c r="E106" s="402">
        <v>-7.9533024987497924</v>
      </c>
      <c r="F106" s="402"/>
      <c r="G106" s="402"/>
    </row>
    <row r="107" spans="2:7">
      <c r="B107" s="401">
        <v>62</v>
      </c>
      <c r="C107" s="402">
        <v>363.4</v>
      </c>
      <c r="D107" s="402">
        <v>357.08532997810687</v>
      </c>
      <c r="E107" s="402">
        <v>6.3146700218931073</v>
      </c>
      <c r="F107" s="402"/>
      <c r="G107" s="402"/>
    </row>
    <row r="108" spans="2:7">
      <c r="B108" s="401">
        <v>63</v>
      </c>
      <c r="C108" s="402">
        <v>370.8</v>
      </c>
      <c r="D108" s="402">
        <v>362.37948874919971</v>
      </c>
      <c r="E108" s="402">
        <v>8.4205112508003026</v>
      </c>
      <c r="F108" s="402"/>
      <c r="G108" s="402"/>
    </row>
    <row r="109" spans="2:7">
      <c r="B109" s="401">
        <v>64</v>
      </c>
      <c r="C109" s="402">
        <v>371.4</v>
      </c>
      <c r="D109" s="402">
        <v>369.43916460572939</v>
      </c>
      <c r="E109" s="402">
        <v>1.9608353942705889</v>
      </c>
      <c r="F109" s="402"/>
      <c r="G109" s="402"/>
    </row>
    <row r="110" spans="2:7">
      <c r="B110" s="401">
        <v>65</v>
      </c>
      <c r="C110" s="402">
        <v>375.8</v>
      </c>
      <c r="D110" s="402">
        <v>371.08311019041645</v>
      </c>
      <c r="E110" s="402">
        <v>4.716889809583563</v>
      </c>
      <c r="F110" s="402"/>
      <c r="G110" s="402"/>
    </row>
    <row r="111" spans="2:7">
      <c r="B111" s="401">
        <v>66</v>
      </c>
      <c r="C111" s="402">
        <v>378</v>
      </c>
      <c r="D111" s="402">
        <v>375.03770535866863</v>
      </c>
      <c r="E111" s="402">
        <v>2.9622946413313684</v>
      </c>
      <c r="F111" s="402"/>
      <c r="G111" s="402"/>
    </row>
    <row r="112" spans="2:7">
      <c r="B112" s="401">
        <v>67</v>
      </c>
      <c r="C112" s="402">
        <v>386.7</v>
      </c>
      <c r="D112" s="402">
        <v>377.52126476930971</v>
      </c>
      <c r="E112" s="402">
        <v>9.178735230690279</v>
      </c>
      <c r="F112" s="402"/>
      <c r="G112" s="402"/>
    </row>
    <row r="113" spans="2:7">
      <c r="B113" s="401">
        <v>68</v>
      </c>
      <c r="C113" s="402">
        <v>394.7</v>
      </c>
      <c r="D113" s="402">
        <v>385.21662833710064</v>
      </c>
      <c r="E113" s="402">
        <v>9.4833716628993443</v>
      </c>
      <c r="F113" s="402"/>
      <c r="G113" s="402"/>
    </row>
    <row r="114" spans="2:7">
      <c r="B114" s="401">
        <v>69</v>
      </c>
      <c r="C114" s="402">
        <v>395.5</v>
      </c>
      <c r="D114" s="402">
        <v>393.16739616734435</v>
      </c>
      <c r="E114" s="402">
        <v>2.33260383265565</v>
      </c>
      <c r="F114" s="402"/>
      <c r="G114" s="402"/>
    </row>
    <row r="115" spans="2:7">
      <c r="B115" s="401">
        <v>70</v>
      </c>
      <c r="C115" s="402">
        <v>397</v>
      </c>
      <c r="D115" s="402">
        <v>395.12302884447934</v>
      </c>
      <c r="E115" s="402">
        <v>1.8769711555206641</v>
      </c>
      <c r="F115" s="402"/>
      <c r="G115" s="402"/>
    </row>
    <row r="116" spans="2:7">
      <c r="B116" s="401">
        <v>71</v>
      </c>
      <c r="C116" s="402">
        <v>401.5</v>
      </c>
      <c r="D116" s="402">
        <v>396.69666345588996</v>
      </c>
      <c r="E116" s="402">
        <v>4.8033365441100386</v>
      </c>
      <c r="F116" s="402"/>
      <c r="G116" s="402"/>
    </row>
    <row r="117" spans="2:7">
      <c r="B117" s="401">
        <v>72</v>
      </c>
      <c r="C117" s="402">
        <v>405.4</v>
      </c>
      <c r="D117" s="402">
        <v>400.72373473710434</v>
      </c>
      <c r="E117" s="402">
        <v>4.6762652628956403</v>
      </c>
      <c r="F117" s="402"/>
      <c r="G117" s="402"/>
    </row>
    <row r="118" spans="2:7">
      <c r="B118" s="401">
        <v>73</v>
      </c>
      <c r="C118" s="402">
        <v>407.8</v>
      </c>
      <c r="D118" s="402">
        <v>404.64427067511582</v>
      </c>
      <c r="E118" s="402">
        <v>3.1557293248841916</v>
      </c>
      <c r="F118" s="402"/>
      <c r="G118" s="402"/>
    </row>
    <row r="119" spans="2:7">
      <c r="B119" s="401">
        <v>74</v>
      </c>
      <c r="C119" s="402">
        <v>406.2</v>
      </c>
      <c r="D119" s="402">
        <v>407.29000386887054</v>
      </c>
      <c r="E119" s="402">
        <v>-1.0900038688705536</v>
      </c>
      <c r="F119" s="402"/>
      <c r="G119" s="402"/>
    </row>
    <row r="120" spans="2:7">
      <c r="B120" s="401">
        <v>75</v>
      </c>
      <c r="C120" s="402">
        <v>415.4</v>
      </c>
      <c r="D120" s="402">
        <v>406.3761550813806</v>
      </c>
      <c r="E120" s="402">
        <v>9.0238449186193748</v>
      </c>
      <c r="F120" s="402"/>
      <c r="G120" s="402"/>
    </row>
    <row r="121" spans="2:7">
      <c r="B121" s="401">
        <v>76</v>
      </c>
      <c r="C121" s="402">
        <v>411.9</v>
      </c>
      <c r="D121" s="402">
        <v>413.94166009736051</v>
      </c>
      <c r="E121" s="402">
        <v>-2.0416600973605341</v>
      </c>
      <c r="F121" s="402"/>
      <c r="G121" s="402"/>
    </row>
    <row r="122" spans="2:7">
      <c r="B122" s="401">
        <v>77</v>
      </c>
      <c r="C122" s="402">
        <v>406.7</v>
      </c>
      <c r="D122" s="402">
        <v>412.22995185693674</v>
      </c>
      <c r="E122" s="402">
        <v>-5.5299518569367478</v>
      </c>
      <c r="F122" s="402"/>
      <c r="G122" s="402"/>
    </row>
    <row r="123" spans="2:7">
      <c r="B123" s="401">
        <v>78</v>
      </c>
      <c r="C123" s="402">
        <v>416.3</v>
      </c>
      <c r="D123" s="402">
        <v>407.59369326771184</v>
      </c>
      <c r="E123" s="402">
        <v>8.7063067322881693</v>
      </c>
      <c r="F123" s="402"/>
      <c r="G123" s="402"/>
    </row>
    <row r="124" spans="2:7">
      <c r="B124" s="401">
        <v>79</v>
      </c>
      <c r="C124" s="402">
        <v>418.5</v>
      </c>
      <c r="D124" s="402">
        <v>414.89297731434675</v>
      </c>
      <c r="E124" s="402">
        <v>3.6070226856532486</v>
      </c>
      <c r="F124" s="402"/>
      <c r="G124" s="402"/>
    </row>
    <row r="125" spans="2:7">
      <c r="B125" s="401">
        <v>80</v>
      </c>
      <c r="C125" s="402">
        <v>421.2</v>
      </c>
      <c r="D125" s="402">
        <v>417.91707053261075</v>
      </c>
      <c r="E125" s="402">
        <v>3.2829294673892377</v>
      </c>
      <c r="F125" s="402"/>
      <c r="G125" s="402"/>
    </row>
    <row r="126" spans="2:7">
      <c r="B126" s="401">
        <v>81</v>
      </c>
      <c r="C126" s="402">
        <v>419.1</v>
      </c>
      <c r="D126" s="402">
        <v>420.66944710563831</v>
      </c>
      <c r="E126" s="402">
        <v>-1.5694471056382895</v>
      </c>
      <c r="F126" s="402"/>
      <c r="G126" s="402"/>
    </row>
    <row r="127" spans="2:7">
      <c r="B127" s="401">
        <v>82</v>
      </c>
      <c r="C127" s="402">
        <v>413.4</v>
      </c>
      <c r="D127" s="402">
        <v>419.35363770763746</v>
      </c>
      <c r="E127" s="402">
        <v>-5.9536377076374833</v>
      </c>
      <c r="F127" s="402"/>
      <c r="G127" s="402"/>
    </row>
    <row r="128" spans="2:7">
      <c r="B128" s="401">
        <v>83</v>
      </c>
      <c r="C128" s="402">
        <v>417.8</v>
      </c>
      <c r="D128" s="402">
        <v>414.36216496551168</v>
      </c>
      <c r="E128" s="402">
        <v>3.4378350344883302</v>
      </c>
      <c r="F128" s="402"/>
      <c r="G128" s="402"/>
    </row>
    <row r="129" spans="2:8">
      <c r="B129" s="401">
        <v>84</v>
      </c>
      <c r="C129" s="402">
        <v>415.9</v>
      </c>
      <c r="D129" s="402">
        <v>417.24441288001952</v>
      </c>
      <c r="E129" s="402">
        <v>-1.3444128800195472</v>
      </c>
      <c r="F129" s="402"/>
      <c r="G129" s="402"/>
    </row>
    <row r="130" spans="2:8">
      <c r="B130" s="401">
        <v>85</v>
      </c>
      <c r="C130" s="402">
        <v>422.6</v>
      </c>
      <c r="D130" s="402">
        <v>416.11727001807282</v>
      </c>
      <c r="E130" s="402">
        <v>6.4827299819272071</v>
      </c>
      <c r="F130" s="402"/>
      <c r="G130" s="402"/>
    </row>
    <row r="131" spans="2:8">
      <c r="B131" s="401">
        <v>86</v>
      </c>
      <c r="C131" s="402">
        <v>419.9</v>
      </c>
      <c r="D131" s="402">
        <v>421.55232864749541</v>
      </c>
      <c r="E131" s="402">
        <v>-1.6523286474954375</v>
      </c>
      <c r="F131" s="402"/>
      <c r="G131" s="402"/>
    </row>
    <row r="132" spans="2:8">
      <c r="B132" s="401">
        <v>87</v>
      </c>
      <c r="C132" s="402">
        <v>423.6</v>
      </c>
      <c r="D132" s="402">
        <v>420.16703215986621</v>
      </c>
      <c r="E132" s="402">
        <v>3.4329678401338128</v>
      </c>
      <c r="F132" s="402"/>
      <c r="G132" s="402"/>
    </row>
    <row r="133" spans="2:8">
      <c r="B133" s="401">
        <v>88</v>
      </c>
      <c r="C133" s="402">
        <v>429.3</v>
      </c>
      <c r="D133" s="402">
        <v>423.04519946531718</v>
      </c>
      <c r="E133" s="402">
        <v>6.254800534682829</v>
      </c>
      <c r="F133" s="402"/>
      <c r="G133" s="402"/>
    </row>
    <row r="134" spans="2:8">
      <c r="B134" s="401">
        <v>89</v>
      </c>
      <c r="C134" s="402">
        <v>422</v>
      </c>
      <c r="D134" s="402">
        <v>428.28916423264798</v>
      </c>
      <c r="E134" s="402">
        <v>-6.2891642326479769</v>
      </c>
      <c r="F134" s="402"/>
      <c r="G134" s="402"/>
    </row>
    <row r="135" spans="2:8">
      <c r="B135" s="401">
        <v>90</v>
      </c>
      <c r="C135" s="402">
        <v>435.5</v>
      </c>
      <c r="D135" s="402">
        <v>423.01638927058673</v>
      </c>
      <c r="E135" s="402">
        <v>12.483610729413272</v>
      </c>
      <c r="F135" s="402"/>
      <c r="G135" s="402"/>
    </row>
    <row r="136" spans="2:8">
      <c r="B136" s="401">
        <v>91</v>
      </c>
      <c r="C136" s="402">
        <v>442</v>
      </c>
      <c r="D136" s="402">
        <v>433.48252875355189</v>
      </c>
      <c r="E136" s="402">
        <v>8.5174712464481104</v>
      </c>
      <c r="F136" s="402"/>
      <c r="G136" s="402"/>
    </row>
    <row r="137" spans="2:8">
      <c r="B137" s="401">
        <v>92</v>
      </c>
      <c r="C137" s="402">
        <v>441.2</v>
      </c>
      <c r="D137" s="402">
        <v>440.62349494031645</v>
      </c>
      <c r="E137" s="402">
        <v>0.57650505968354082</v>
      </c>
      <c r="F137" s="402"/>
      <c r="G137" s="402"/>
    </row>
    <row r="138" spans="2:8">
      <c r="B138" s="401">
        <v>93</v>
      </c>
      <c r="C138" s="402">
        <v>443</v>
      </c>
      <c r="D138" s="402">
        <v>441.10683125206691</v>
      </c>
      <c r="E138" s="402">
        <v>1.893168747933089</v>
      </c>
      <c r="F138" s="402"/>
      <c r="G138" s="402"/>
    </row>
    <row r="139" spans="2:8">
      <c r="B139" s="401">
        <v>94</v>
      </c>
      <c r="C139" s="402">
        <v>438.4</v>
      </c>
      <c r="D139" s="402">
        <v>442.69404576957612</v>
      </c>
      <c r="E139" s="402">
        <v>-4.2940457695761438</v>
      </c>
      <c r="F139" s="402"/>
      <c r="G139" s="402"/>
    </row>
    <row r="140" spans="2:8">
      <c r="B140" s="401">
        <v>95</v>
      </c>
      <c r="C140" s="402">
        <v>440.9</v>
      </c>
      <c r="D140" s="402">
        <v>439.09395898821487</v>
      </c>
      <c r="E140" s="402">
        <v>1.806041011785112</v>
      </c>
      <c r="F140" s="402"/>
      <c r="G140" s="402"/>
    </row>
    <row r="141" spans="2:8">
      <c r="B141" s="401">
        <v>96</v>
      </c>
      <c r="C141" s="402">
        <v>433.7</v>
      </c>
      <c r="D141" s="402">
        <v>440.60812644753508</v>
      </c>
      <c r="E141" s="402">
        <v>-6.9081264475350963</v>
      </c>
      <c r="F141" s="402"/>
      <c r="G141" s="402"/>
    </row>
    <row r="142" spans="2:8">
      <c r="B142" s="401">
        <v>97</v>
      </c>
      <c r="C142" s="402">
        <v>439.7</v>
      </c>
      <c r="D142" s="402">
        <v>434.81641950208302</v>
      </c>
      <c r="E142" s="402">
        <v>4.8835804979169666</v>
      </c>
      <c r="F142" s="402"/>
      <c r="G142" s="402"/>
    </row>
    <row r="143" spans="2:8">
      <c r="B143" s="401">
        <v>98</v>
      </c>
      <c r="C143" s="402">
        <v>441.3</v>
      </c>
      <c r="D143" s="402">
        <v>438.91076654440621</v>
      </c>
      <c r="E143" s="402">
        <v>2.3892334555937964</v>
      </c>
      <c r="F143" s="402"/>
      <c r="G143" s="402"/>
      <c r="H143" s="424">
        <v>0</v>
      </c>
    </row>
    <row r="144" spans="2:8" ht="16" thickBot="1">
      <c r="B144" s="404">
        <v>99</v>
      </c>
      <c r="C144" s="403"/>
      <c r="D144" s="403">
        <v>440.91387695417683</v>
      </c>
      <c r="E144" s="403"/>
      <c r="F144" s="403">
        <v>429.60380905221723</v>
      </c>
      <c r="G144" s="403">
        <v>452.22394485613643</v>
      </c>
    </row>
    <row r="164" spans="7:7">
      <c r="G164" t="s">
        <v>137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DD822835">
              <controlPr defaultSize="0" autoFill="0" autoPict="0" macro="[3]!GoToResultsNew1014201811295221">
                <anchor moveWithCells="1">
                  <from>
                    <xdr:col>1</xdr:col>
                    <xdr:colOff>12700</xdr:colOff>
                    <xdr:row>9</xdr:row>
                    <xdr:rowOff>431800</xdr:rowOff>
                  </from>
                  <to>
                    <xdr:col>4</xdr:col>
                    <xdr:colOff>228600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D772D-AF9E-5743-9C43-56C9535A7996}">
  <dimension ref="A1:M99"/>
  <sheetViews>
    <sheetView tabSelected="1" topLeftCell="B1" workbookViewId="0">
      <selection activeCell="L14" sqref="L14"/>
    </sheetView>
  </sheetViews>
  <sheetFormatPr baseColWidth="10" defaultRowHeight="15"/>
  <cols>
    <col min="4" max="4" width="44.6640625" bestFit="1" customWidth="1"/>
    <col min="6" max="6" width="13.5" bestFit="1" customWidth="1"/>
    <col min="10" max="10" width="13.33203125" bestFit="1" customWidth="1"/>
  </cols>
  <sheetData>
    <row r="1" spans="1:13">
      <c r="A1" s="425" t="s">
        <v>196</v>
      </c>
      <c r="B1" s="425" t="s">
        <v>197</v>
      </c>
      <c r="C1" s="425" t="s">
        <v>198</v>
      </c>
      <c r="D1" s="433" t="s">
        <v>102</v>
      </c>
      <c r="E1" s="434" t="s">
        <v>199</v>
      </c>
      <c r="F1" s="434" t="s">
        <v>209</v>
      </c>
      <c r="G1" s="425" t="s">
        <v>201</v>
      </c>
    </row>
    <row r="2" spans="1:13">
      <c r="A2" s="425">
        <v>1</v>
      </c>
      <c r="B2" s="425">
        <v>1994</v>
      </c>
      <c r="C2" s="425" t="s">
        <v>202</v>
      </c>
      <c r="D2" s="435">
        <v>257.39999999999998</v>
      </c>
      <c r="E2" s="425">
        <f>J$3+J$4*A2</f>
        <v>275.02492269635133</v>
      </c>
      <c r="F2" s="425">
        <f t="shared" ref="F2:F33" si="0">VLOOKUP(C2,s,2,FALSE)*E2</f>
        <v>273.85131920502636</v>
      </c>
      <c r="G2" s="438">
        <f>D2-F2</f>
        <v>-16.45131920502638</v>
      </c>
    </row>
    <row r="3" spans="1:13">
      <c r="A3" s="425">
        <v>2</v>
      </c>
      <c r="B3" s="425"/>
      <c r="C3" s="425" t="s">
        <v>203</v>
      </c>
      <c r="D3" s="435">
        <v>259.7</v>
      </c>
      <c r="E3" s="425">
        <f t="shared" ref="E3:E66" si="1">J$3+J$4*A3</f>
        <v>276.75760891048083</v>
      </c>
      <c r="F3" s="425">
        <f t="shared" si="0"/>
        <v>275.90650684484388</v>
      </c>
      <c r="G3" s="438">
        <f t="shared" ref="G3:G66" si="2">D3-F3</f>
        <v>-16.206506844843886</v>
      </c>
      <c r="I3" s="428" t="s">
        <v>210</v>
      </c>
      <c r="J3" s="428">
        <f>INTERCEPT(gas,indexgas)</f>
        <v>273.29223648222182</v>
      </c>
    </row>
    <row r="4" spans="1:13">
      <c r="A4" s="425">
        <v>3</v>
      </c>
      <c r="B4" s="425"/>
      <c r="C4" s="425" t="s">
        <v>205</v>
      </c>
      <c r="D4" s="435">
        <v>263.3</v>
      </c>
      <c r="E4" s="425">
        <f t="shared" si="1"/>
        <v>278.49029512461038</v>
      </c>
      <c r="F4" s="425">
        <f t="shared" si="0"/>
        <v>279.2418311433708</v>
      </c>
      <c r="G4" s="438">
        <f t="shared" si="2"/>
        <v>-15.941831143370791</v>
      </c>
      <c r="I4" s="428" t="s">
        <v>211</v>
      </c>
      <c r="J4" s="428">
        <f>SLOPE(gas,indexgas)</f>
        <v>1.7326862141295136</v>
      </c>
    </row>
    <row r="5" spans="1:13">
      <c r="A5" s="425">
        <v>4</v>
      </c>
      <c r="B5" s="425"/>
      <c r="C5" s="425" t="s">
        <v>207</v>
      </c>
      <c r="D5" s="435">
        <v>265.3</v>
      </c>
      <c r="E5" s="425">
        <f t="shared" si="1"/>
        <v>280.22298133873988</v>
      </c>
      <c r="F5" s="425">
        <f t="shared" si="0"/>
        <v>281.61004444209851</v>
      </c>
      <c r="G5" s="438">
        <f t="shared" si="2"/>
        <v>-16.310044442098501</v>
      </c>
    </row>
    <row r="6" spans="1:13">
      <c r="A6" s="425">
        <v>5</v>
      </c>
      <c r="B6" s="425">
        <v>1995</v>
      </c>
      <c r="C6" s="425" t="s">
        <v>202</v>
      </c>
      <c r="D6" s="435">
        <v>269.89999999999998</v>
      </c>
      <c r="E6" s="425">
        <f t="shared" si="1"/>
        <v>281.95566755286939</v>
      </c>
      <c r="F6" s="425">
        <f t="shared" si="0"/>
        <v>280.75248875512733</v>
      </c>
      <c r="G6" s="438">
        <f t="shared" si="2"/>
        <v>-10.852488755127354</v>
      </c>
    </row>
    <row r="7" spans="1:13">
      <c r="A7" s="425">
        <v>6</v>
      </c>
      <c r="B7" s="425"/>
      <c r="C7" s="425" t="s">
        <v>203</v>
      </c>
      <c r="D7" s="435">
        <v>264.8</v>
      </c>
      <c r="E7" s="425">
        <f t="shared" si="1"/>
        <v>283.68835376699889</v>
      </c>
      <c r="F7" s="425">
        <f t="shared" si="0"/>
        <v>282.81593784738334</v>
      </c>
      <c r="G7" s="438">
        <f t="shared" si="2"/>
        <v>-18.015937847383327</v>
      </c>
    </row>
    <row r="8" spans="1:13">
      <c r="A8" s="425">
        <v>7</v>
      </c>
      <c r="B8" s="425"/>
      <c r="C8" s="425" t="s">
        <v>205</v>
      </c>
      <c r="D8" s="435">
        <v>273.10000000000002</v>
      </c>
      <c r="E8" s="425">
        <f t="shared" si="1"/>
        <v>285.42103998112844</v>
      </c>
      <c r="F8" s="425">
        <f t="shared" si="0"/>
        <v>286.1912793604285</v>
      </c>
      <c r="G8" s="438">
        <f t="shared" si="2"/>
        <v>-13.091279360428473</v>
      </c>
      <c r="I8" s="428" t="s">
        <v>198</v>
      </c>
      <c r="J8" s="428" t="s">
        <v>208</v>
      </c>
    </row>
    <row r="9" spans="1:13">
      <c r="A9" s="425">
        <v>8</v>
      </c>
      <c r="B9" s="425"/>
      <c r="C9" s="425" t="s">
        <v>207</v>
      </c>
      <c r="D9" s="435">
        <v>276.10000000000002</v>
      </c>
      <c r="E9" s="425">
        <f t="shared" si="1"/>
        <v>287.15372619525795</v>
      </c>
      <c r="F9" s="425">
        <f t="shared" si="0"/>
        <v>288.57509548015577</v>
      </c>
      <c r="G9" s="438">
        <f t="shared" si="2"/>
        <v>-12.475095480155744</v>
      </c>
      <c r="I9" s="429" t="s">
        <v>202</v>
      </c>
      <c r="J9" s="429">
        <f>AVERAGEIF(qtr,I9,gas)/AVERAGE(gas)</f>
        <v>0.99573273767403003</v>
      </c>
    </row>
    <row r="10" spans="1:13">
      <c r="A10" s="425">
        <v>9</v>
      </c>
      <c r="B10" s="425">
        <v>1996</v>
      </c>
      <c r="C10" s="425" t="s">
        <v>202</v>
      </c>
      <c r="D10" s="435">
        <v>284.8</v>
      </c>
      <c r="E10" s="425">
        <f t="shared" si="1"/>
        <v>288.88641240938745</v>
      </c>
      <c r="F10" s="425">
        <f t="shared" si="0"/>
        <v>287.65365830522825</v>
      </c>
      <c r="G10" s="438">
        <f t="shared" si="2"/>
        <v>-2.8536583052282367</v>
      </c>
      <c r="I10" s="429" t="s">
        <v>203</v>
      </c>
      <c r="J10" s="429">
        <f>AVERAGEIF(qtr,I10,gas)/AVERAGE(gas)</f>
        <v>0.99692473833334705</v>
      </c>
      <c r="L10" s="436" t="s">
        <v>129</v>
      </c>
      <c r="M10" s="436">
        <f>SQRT(SUMSQ(G2:G99)/COUNT(G2:G99))</f>
        <v>11.105250355557404</v>
      </c>
    </row>
    <row r="11" spans="1:13">
      <c r="A11" s="425">
        <v>10</v>
      </c>
      <c r="B11" s="425"/>
      <c r="C11" s="425" t="s">
        <v>203</v>
      </c>
      <c r="D11" s="435">
        <v>280.89999999999998</v>
      </c>
      <c r="E11" s="425">
        <f t="shared" si="1"/>
        <v>290.61909862351695</v>
      </c>
      <c r="F11" s="425">
        <f t="shared" si="0"/>
        <v>289.7253688499228</v>
      </c>
      <c r="G11" s="438">
        <f t="shared" si="2"/>
        <v>-8.8253688499228247</v>
      </c>
      <c r="I11" s="429" t="s">
        <v>205</v>
      </c>
      <c r="J11" s="429">
        <f>AVERAGEIF(qtr,I11,gas)/AVERAGE(gas)</f>
        <v>1.0026986075705946</v>
      </c>
    </row>
    <row r="12" spans="1:13">
      <c r="A12" s="425">
        <v>11</v>
      </c>
      <c r="B12" s="425"/>
      <c r="C12" s="425" t="s">
        <v>205</v>
      </c>
      <c r="D12" s="435">
        <v>290.5</v>
      </c>
      <c r="E12" s="425">
        <f t="shared" si="1"/>
        <v>292.35178483764645</v>
      </c>
      <c r="F12" s="425">
        <f t="shared" si="0"/>
        <v>293.14072757748619</v>
      </c>
      <c r="G12" s="438">
        <f t="shared" si="2"/>
        <v>-2.6407275774861887</v>
      </c>
      <c r="I12" s="429" t="s">
        <v>207</v>
      </c>
      <c r="J12" s="429">
        <f>AVERAGEIF(qtr,I12,gas)/AVERAGE(gas)</f>
        <v>1.00494985492172</v>
      </c>
    </row>
    <row r="13" spans="1:13">
      <c r="A13" s="425">
        <v>12</v>
      </c>
      <c r="B13" s="425"/>
      <c r="C13" s="425" t="s">
        <v>207</v>
      </c>
      <c r="D13" s="435">
        <v>295.10000000000002</v>
      </c>
      <c r="E13" s="425">
        <f t="shared" si="1"/>
        <v>294.08447105177601</v>
      </c>
      <c r="F13" s="425">
        <f t="shared" si="0"/>
        <v>295.54014651821302</v>
      </c>
      <c r="G13" s="438">
        <f t="shared" si="2"/>
        <v>-0.44014651821299822</v>
      </c>
    </row>
    <row r="14" spans="1:13">
      <c r="A14" s="425">
        <v>13</v>
      </c>
      <c r="B14" s="425">
        <v>1997</v>
      </c>
      <c r="C14" s="425" t="s">
        <v>202</v>
      </c>
      <c r="D14" s="435">
        <v>298.8</v>
      </c>
      <c r="E14" s="425">
        <f t="shared" si="1"/>
        <v>295.81715726590551</v>
      </c>
      <c r="F14" s="425">
        <f t="shared" si="0"/>
        <v>294.55482785532917</v>
      </c>
      <c r="G14" s="438">
        <f t="shared" si="2"/>
        <v>4.2451721446708461</v>
      </c>
    </row>
    <row r="15" spans="1:13">
      <c r="A15" s="425">
        <v>14</v>
      </c>
      <c r="B15" s="425"/>
      <c r="C15" s="425" t="s">
        <v>203</v>
      </c>
      <c r="D15" s="435">
        <v>297.5</v>
      </c>
      <c r="E15" s="425">
        <f t="shared" si="1"/>
        <v>297.54984348003501</v>
      </c>
      <c r="F15" s="425">
        <f t="shared" si="0"/>
        <v>296.63479985246227</v>
      </c>
      <c r="G15" s="438">
        <f t="shared" si="2"/>
        <v>0.86520014753773467</v>
      </c>
    </row>
    <row r="16" spans="1:13">
      <c r="A16" s="425">
        <v>15</v>
      </c>
      <c r="B16" s="425"/>
      <c r="C16" s="425" t="s">
        <v>205</v>
      </c>
      <c r="D16" s="435">
        <v>308.3</v>
      </c>
      <c r="E16" s="425">
        <f t="shared" si="1"/>
        <v>299.28252969416451</v>
      </c>
      <c r="F16" s="425">
        <f t="shared" si="0"/>
        <v>300.09017579454388</v>
      </c>
      <c r="G16" s="438">
        <f t="shared" si="2"/>
        <v>8.2098242054561297</v>
      </c>
    </row>
    <row r="17" spans="1:7">
      <c r="A17" s="425">
        <v>16</v>
      </c>
      <c r="B17" s="425"/>
      <c r="C17" s="425" t="s">
        <v>207</v>
      </c>
      <c r="D17" s="435">
        <v>313.60000000000002</v>
      </c>
      <c r="E17" s="425">
        <f t="shared" si="1"/>
        <v>301.01521590829407</v>
      </c>
      <c r="F17" s="425">
        <f t="shared" si="0"/>
        <v>302.50519755627033</v>
      </c>
      <c r="G17" s="438">
        <f t="shared" si="2"/>
        <v>11.094802443729691</v>
      </c>
    </row>
    <row r="18" spans="1:7">
      <c r="A18" s="425">
        <v>17</v>
      </c>
      <c r="B18" s="425">
        <v>1998</v>
      </c>
      <c r="C18" s="425" t="s">
        <v>202</v>
      </c>
      <c r="D18" s="435">
        <v>312.2</v>
      </c>
      <c r="E18" s="425">
        <f t="shared" si="1"/>
        <v>302.74790212242357</v>
      </c>
      <c r="F18" s="425">
        <f t="shared" si="0"/>
        <v>301.45599740543008</v>
      </c>
      <c r="G18" s="438">
        <f t="shared" si="2"/>
        <v>10.744002594569906</v>
      </c>
    </row>
    <row r="19" spans="1:7">
      <c r="A19" s="425">
        <v>18</v>
      </c>
      <c r="B19" s="425"/>
      <c r="C19" s="425" t="s">
        <v>203</v>
      </c>
      <c r="D19" s="435">
        <v>310.5</v>
      </c>
      <c r="E19" s="425">
        <f t="shared" si="1"/>
        <v>304.48058833655307</v>
      </c>
      <c r="F19" s="425">
        <f t="shared" si="0"/>
        <v>303.54423085500173</v>
      </c>
      <c r="G19" s="438">
        <f t="shared" si="2"/>
        <v>6.9557691449982713</v>
      </c>
    </row>
    <row r="20" spans="1:7">
      <c r="A20" s="425">
        <v>19</v>
      </c>
      <c r="B20" s="425"/>
      <c r="C20" s="425" t="s">
        <v>205</v>
      </c>
      <c r="D20" s="435">
        <v>320.5</v>
      </c>
      <c r="E20" s="425">
        <f t="shared" si="1"/>
        <v>306.21327455068257</v>
      </c>
      <c r="F20" s="425">
        <f t="shared" si="0"/>
        <v>307.03962401160157</v>
      </c>
      <c r="G20" s="438">
        <f t="shared" si="2"/>
        <v>13.460375988398425</v>
      </c>
    </row>
    <row r="21" spans="1:7">
      <c r="A21" s="425">
        <v>20</v>
      </c>
      <c r="B21" s="425"/>
      <c r="C21" s="425" t="s">
        <v>207</v>
      </c>
      <c r="D21" s="435">
        <v>323.10000000000002</v>
      </c>
      <c r="E21" s="425">
        <f t="shared" si="1"/>
        <v>307.94596076481207</v>
      </c>
      <c r="F21" s="425">
        <f t="shared" si="0"/>
        <v>309.47024859432753</v>
      </c>
      <c r="G21" s="438">
        <f t="shared" si="2"/>
        <v>13.629751405672494</v>
      </c>
    </row>
    <row r="22" spans="1:7">
      <c r="A22" s="425">
        <v>21</v>
      </c>
      <c r="B22" s="425">
        <v>1999</v>
      </c>
      <c r="C22" s="425" t="s">
        <v>202</v>
      </c>
      <c r="D22" s="435">
        <v>324.89999999999998</v>
      </c>
      <c r="E22" s="425">
        <f t="shared" si="1"/>
        <v>309.67864697894163</v>
      </c>
      <c r="F22" s="425">
        <f t="shared" si="0"/>
        <v>308.35716695553106</v>
      </c>
      <c r="G22" s="438">
        <f t="shared" si="2"/>
        <v>16.542833044468921</v>
      </c>
    </row>
    <row r="23" spans="1:7">
      <c r="A23" s="425">
        <v>22</v>
      </c>
      <c r="B23" s="425"/>
      <c r="C23" s="425" t="s">
        <v>203</v>
      </c>
      <c r="D23" s="435">
        <v>318.7</v>
      </c>
      <c r="E23" s="425">
        <f t="shared" si="1"/>
        <v>311.41133319307113</v>
      </c>
      <c r="F23" s="425">
        <f t="shared" si="0"/>
        <v>310.45366185754119</v>
      </c>
      <c r="G23" s="438">
        <f t="shared" si="2"/>
        <v>8.2463381424587965</v>
      </c>
    </row>
    <row r="24" spans="1:7">
      <c r="A24" s="425">
        <v>23</v>
      </c>
      <c r="B24" s="425"/>
      <c r="C24" s="425" t="s">
        <v>205</v>
      </c>
      <c r="D24" s="435">
        <v>331.9</v>
      </c>
      <c r="E24" s="425">
        <f t="shared" si="1"/>
        <v>313.14401940720063</v>
      </c>
      <c r="F24" s="425">
        <f t="shared" si="0"/>
        <v>313.98907222865932</v>
      </c>
      <c r="G24" s="438">
        <f t="shared" si="2"/>
        <v>17.910927771340653</v>
      </c>
    </row>
    <row r="25" spans="1:7">
      <c r="A25" s="425">
        <v>24</v>
      </c>
      <c r="B25" s="425"/>
      <c r="C25" s="425" t="s">
        <v>207</v>
      </c>
      <c r="D25" s="435">
        <v>331.3</v>
      </c>
      <c r="E25" s="425">
        <f t="shared" si="1"/>
        <v>314.87670562133013</v>
      </c>
      <c r="F25" s="425">
        <f t="shared" si="0"/>
        <v>316.43529963238484</v>
      </c>
      <c r="G25" s="438">
        <f t="shared" si="2"/>
        <v>14.864700367615171</v>
      </c>
    </row>
    <row r="26" spans="1:7">
      <c r="A26" s="425">
        <v>25</v>
      </c>
      <c r="B26" s="425">
        <v>2000</v>
      </c>
      <c r="C26" s="425" t="s">
        <v>202</v>
      </c>
      <c r="D26" s="435">
        <v>339.2</v>
      </c>
      <c r="E26" s="425">
        <f t="shared" si="1"/>
        <v>316.60939183545969</v>
      </c>
      <c r="F26" s="425">
        <f t="shared" si="0"/>
        <v>315.25833650563197</v>
      </c>
      <c r="G26" s="438">
        <f t="shared" si="2"/>
        <v>23.941663494368015</v>
      </c>
    </row>
    <row r="27" spans="1:7">
      <c r="A27" s="425">
        <v>26</v>
      </c>
      <c r="B27" s="425"/>
      <c r="C27" s="425" t="s">
        <v>203</v>
      </c>
      <c r="D27" s="435">
        <v>335.1</v>
      </c>
      <c r="E27" s="425">
        <f t="shared" si="1"/>
        <v>318.34207804958919</v>
      </c>
      <c r="F27" s="425">
        <f t="shared" si="0"/>
        <v>317.36309286008066</v>
      </c>
      <c r="G27" s="438">
        <f t="shared" si="2"/>
        <v>17.736907139919367</v>
      </c>
    </row>
    <row r="28" spans="1:7">
      <c r="A28" s="425">
        <v>27</v>
      </c>
      <c r="B28" s="425"/>
      <c r="C28" s="425" t="s">
        <v>205</v>
      </c>
      <c r="D28" s="435">
        <v>343.2</v>
      </c>
      <c r="E28" s="425">
        <f t="shared" si="1"/>
        <v>320.07476426371869</v>
      </c>
      <c r="F28" s="425">
        <f t="shared" si="0"/>
        <v>320.93852044571702</v>
      </c>
      <c r="G28" s="438">
        <f t="shared" si="2"/>
        <v>22.261479554282971</v>
      </c>
    </row>
    <row r="29" spans="1:7">
      <c r="A29" s="425">
        <v>28</v>
      </c>
      <c r="B29" s="425"/>
      <c r="C29" s="425" t="s">
        <v>207</v>
      </c>
      <c r="D29" s="435">
        <v>345.6</v>
      </c>
      <c r="E29" s="425">
        <f t="shared" si="1"/>
        <v>321.80745047784819</v>
      </c>
      <c r="F29" s="425">
        <f t="shared" si="0"/>
        <v>323.40035067044209</v>
      </c>
      <c r="G29" s="438">
        <f t="shared" si="2"/>
        <v>22.199649329557928</v>
      </c>
    </row>
    <row r="30" spans="1:7">
      <c r="A30" s="425">
        <v>29</v>
      </c>
      <c r="B30" s="425">
        <v>2001</v>
      </c>
      <c r="C30" s="425" t="s">
        <v>202</v>
      </c>
      <c r="D30" s="435">
        <v>324.10000000000002</v>
      </c>
      <c r="E30" s="425">
        <f t="shared" si="1"/>
        <v>323.54013669197775</v>
      </c>
      <c r="F30" s="425">
        <f t="shared" si="0"/>
        <v>322.15950605573289</v>
      </c>
      <c r="G30" s="438">
        <f t="shared" si="2"/>
        <v>1.9404939442671321</v>
      </c>
    </row>
    <row r="31" spans="1:7">
      <c r="A31" s="425">
        <v>30</v>
      </c>
      <c r="B31" s="425"/>
      <c r="C31" s="425" t="s">
        <v>203</v>
      </c>
      <c r="D31" s="435">
        <v>343.9</v>
      </c>
      <c r="E31" s="425">
        <f t="shared" si="1"/>
        <v>325.27282290610725</v>
      </c>
      <c r="F31" s="425">
        <f t="shared" si="0"/>
        <v>324.27252386262012</v>
      </c>
      <c r="G31" s="438">
        <f t="shared" si="2"/>
        <v>19.627476137379858</v>
      </c>
    </row>
    <row r="32" spans="1:7">
      <c r="A32" s="425">
        <v>31</v>
      </c>
      <c r="B32" s="425"/>
      <c r="C32" s="425" t="s">
        <v>205</v>
      </c>
      <c r="D32" s="437">
        <v>344</v>
      </c>
      <c r="E32" s="425">
        <f t="shared" si="1"/>
        <v>327.00550912023675</v>
      </c>
      <c r="F32" s="425">
        <f t="shared" si="0"/>
        <v>327.88796866277477</v>
      </c>
      <c r="G32" s="438">
        <f t="shared" si="2"/>
        <v>16.112031337225233</v>
      </c>
    </row>
    <row r="33" spans="1:7">
      <c r="A33" s="425">
        <v>32</v>
      </c>
      <c r="B33" s="425"/>
      <c r="C33" s="425" t="s">
        <v>207</v>
      </c>
      <c r="D33" s="437">
        <v>343</v>
      </c>
      <c r="E33" s="425">
        <f t="shared" si="1"/>
        <v>328.73819533436625</v>
      </c>
      <c r="F33" s="425">
        <f t="shared" si="0"/>
        <v>330.36540170849941</v>
      </c>
      <c r="G33" s="438">
        <f t="shared" si="2"/>
        <v>12.634598291500595</v>
      </c>
    </row>
    <row r="34" spans="1:7">
      <c r="A34" s="425">
        <v>33</v>
      </c>
      <c r="B34" s="425">
        <v>2002</v>
      </c>
      <c r="C34" s="425" t="s">
        <v>202</v>
      </c>
      <c r="D34" s="435">
        <v>345.6</v>
      </c>
      <c r="E34" s="425">
        <f t="shared" si="1"/>
        <v>330.47088154849575</v>
      </c>
      <c r="F34" s="425">
        <f t="shared" ref="F34:F65" si="3">VLOOKUP(C34,s,2,FALSE)*E34</f>
        <v>329.06067560583375</v>
      </c>
      <c r="G34" s="438">
        <f t="shared" si="2"/>
        <v>16.539324394166272</v>
      </c>
    </row>
    <row r="35" spans="1:7">
      <c r="A35" s="425">
        <v>34</v>
      </c>
      <c r="B35" s="425"/>
      <c r="C35" s="425" t="s">
        <v>203</v>
      </c>
      <c r="D35" s="435">
        <v>344.9</v>
      </c>
      <c r="E35" s="425">
        <f t="shared" si="1"/>
        <v>332.20356776262531</v>
      </c>
      <c r="F35" s="425">
        <f t="shared" si="3"/>
        <v>331.18195486515958</v>
      </c>
      <c r="G35" s="438">
        <f t="shared" si="2"/>
        <v>13.718045134840395</v>
      </c>
    </row>
    <row r="36" spans="1:7">
      <c r="A36" s="425">
        <v>35</v>
      </c>
      <c r="B36" s="425"/>
      <c r="C36" s="425" t="s">
        <v>205</v>
      </c>
      <c r="D36" s="437">
        <v>348</v>
      </c>
      <c r="E36" s="425">
        <f t="shared" si="1"/>
        <v>333.93625397675481</v>
      </c>
      <c r="F36" s="425">
        <f t="shared" si="3"/>
        <v>334.83741687983246</v>
      </c>
      <c r="G36" s="438">
        <f t="shared" si="2"/>
        <v>13.16258312016754</v>
      </c>
    </row>
    <row r="37" spans="1:7">
      <c r="A37" s="425">
        <v>36</v>
      </c>
      <c r="B37" s="425"/>
      <c r="C37" s="425" t="s">
        <v>207</v>
      </c>
      <c r="D37" s="435">
        <v>350.4</v>
      </c>
      <c r="E37" s="425">
        <f t="shared" si="1"/>
        <v>335.66894019088431</v>
      </c>
      <c r="F37" s="425">
        <f t="shared" si="3"/>
        <v>337.33045274655666</v>
      </c>
      <c r="G37" s="438">
        <f t="shared" si="2"/>
        <v>13.069547253443318</v>
      </c>
    </row>
    <row r="38" spans="1:7">
      <c r="A38" s="425">
        <v>37</v>
      </c>
      <c r="B38" s="425">
        <v>2003</v>
      </c>
      <c r="C38" s="425" t="s">
        <v>202</v>
      </c>
      <c r="D38" s="435">
        <v>346.8</v>
      </c>
      <c r="E38" s="425">
        <f t="shared" si="1"/>
        <v>337.40162640501381</v>
      </c>
      <c r="F38" s="425">
        <f t="shared" si="3"/>
        <v>335.96184515593472</v>
      </c>
      <c r="G38" s="438">
        <f t="shared" si="2"/>
        <v>10.838154844065286</v>
      </c>
    </row>
    <row r="39" spans="1:7">
      <c r="A39" s="425">
        <v>38</v>
      </c>
      <c r="B39" s="425"/>
      <c r="C39" s="425" t="s">
        <v>203</v>
      </c>
      <c r="D39" s="435">
        <v>343.8</v>
      </c>
      <c r="E39" s="425">
        <f t="shared" si="1"/>
        <v>339.13431261914332</v>
      </c>
      <c r="F39" s="425">
        <f t="shared" si="3"/>
        <v>338.09138586769899</v>
      </c>
      <c r="G39" s="438">
        <f t="shared" si="2"/>
        <v>5.7086141323010224</v>
      </c>
    </row>
    <row r="40" spans="1:7">
      <c r="A40" s="425">
        <v>39</v>
      </c>
      <c r="B40" s="425"/>
      <c r="C40" s="425" t="s">
        <v>205</v>
      </c>
      <c r="D40" s="435">
        <v>342.1</v>
      </c>
      <c r="E40" s="425">
        <f t="shared" si="1"/>
        <v>340.86699883327287</v>
      </c>
      <c r="F40" s="425">
        <f t="shared" si="3"/>
        <v>341.78686509689021</v>
      </c>
      <c r="G40" s="438">
        <f t="shared" si="2"/>
        <v>0.31313490310981251</v>
      </c>
    </row>
    <row r="41" spans="1:7">
      <c r="A41" s="425">
        <v>40</v>
      </c>
      <c r="B41" s="425"/>
      <c r="C41" s="425" t="s">
        <v>207</v>
      </c>
      <c r="D41" s="435">
        <v>338.4</v>
      </c>
      <c r="E41" s="425">
        <f t="shared" si="1"/>
        <v>342.59968504740237</v>
      </c>
      <c r="F41" s="425">
        <f t="shared" si="3"/>
        <v>344.29550378461397</v>
      </c>
      <c r="G41" s="438">
        <f t="shared" si="2"/>
        <v>-5.895503784613993</v>
      </c>
    </row>
    <row r="42" spans="1:7">
      <c r="A42" s="425">
        <v>41</v>
      </c>
      <c r="B42" s="425">
        <v>2004</v>
      </c>
      <c r="C42" s="425" t="s">
        <v>202</v>
      </c>
      <c r="D42" s="435">
        <v>338.5</v>
      </c>
      <c r="E42" s="425">
        <f t="shared" si="1"/>
        <v>344.33237126153188</v>
      </c>
      <c r="F42" s="425">
        <f t="shared" si="3"/>
        <v>342.86301470603564</v>
      </c>
      <c r="G42" s="438">
        <f t="shared" si="2"/>
        <v>-4.3630147060356421</v>
      </c>
    </row>
    <row r="43" spans="1:7">
      <c r="A43" s="425">
        <v>42</v>
      </c>
      <c r="B43" s="425"/>
      <c r="C43" s="425" t="s">
        <v>203</v>
      </c>
      <c r="D43" s="435">
        <v>335.7</v>
      </c>
      <c r="E43" s="425">
        <f t="shared" si="1"/>
        <v>346.06505747566138</v>
      </c>
      <c r="F43" s="425">
        <f t="shared" si="3"/>
        <v>345.00081687023845</v>
      </c>
      <c r="G43" s="438">
        <f t="shared" si="2"/>
        <v>-9.3008168702384637</v>
      </c>
    </row>
    <row r="44" spans="1:7">
      <c r="A44" s="425">
        <v>43</v>
      </c>
      <c r="B44" s="425"/>
      <c r="C44" s="425" t="s">
        <v>205</v>
      </c>
      <c r="D44" s="435">
        <v>335.7</v>
      </c>
      <c r="E44" s="425">
        <f t="shared" si="1"/>
        <v>347.79774368979088</v>
      </c>
      <c r="F44" s="425">
        <f t="shared" si="3"/>
        <v>348.73631331394785</v>
      </c>
      <c r="G44" s="438">
        <f t="shared" si="2"/>
        <v>-13.036313313947858</v>
      </c>
    </row>
    <row r="45" spans="1:7">
      <c r="A45" s="425">
        <v>44</v>
      </c>
      <c r="B45" s="425"/>
      <c r="C45" s="425" t="s">
        <v>207</v>
      </c>
      <c r="D45" s="435">
        <v>334.7</v>
      </c>
      <c r="E45" s="425">
        <f t="shared" si="1"/>
        <v>349.53042990392044</v>
      </c>
      <c r="F45" s="425">
        <f t="shared" si="3"/>
        <v>351.26055482267122</v>
      </c>
      <c r="G45" s="438">
        <f t="shared" si="2"/>
        <v>-16.560554822671236</v>
      </c>
    </row>
    <row r="46" spans="1:7">
      <c r="A46" s="425">
        <v>45</v>
      </c>
      <c r="B46" s="425">
        <v>2005</v>
      </c>
      <c r="C46" s="425" t="s">
        <v>202</v>
      </c>
      <c r="D46" s="437">
        <v>340</v>
      </c>
      <c r="E46" s="425">
        <f t="shared" si="1"/>
        <v>351.26311611804994</v>
      </c>
      <c r="F46" s="425">
        <f t="shared" si="3"/>
        <v>349.76418425613656</v>
      </c>
      <c r="G46" s="438">
        <f t="shared" si="2"/>
        <v>-9.7641842561365593</v>
      </c>
    </row>
    <row r="47" spans="1:7">
      <c r="A47" s="425">
        <v>46</v>
      </c>
      <c r="B47" s="425"/>
      <c r="C47" s="425" t="s">
        <v>203</v>
      </c>
      <c r="D47" s="435">
        <v>340.1</v>
      </c>
      <c r="E47" s="425">
        <f t="shared" si="1"/>
        <v>352.99580233217944</v>
      </c>
      <c r="F47" s="425">
        <f t="shared" si="3"/>
        <v>351.91024787277786</v>
      </c>
      <c r="G47" s="438">
        <f t="shared" si="2"/>
        <v>-11.810247872777836</v>
      </c>
    </row>
    <row r="48" spans="1:7">
      <c r="A48" s="425">
        <v>47</v>
      </c>
      <c r="B48" s="425"/>
      <c r="C48" s="425" t="s">
        <v>205</v>
      </c>
      <c r="D48" s="435">
        <v>347.2</v>
      </c>
      <c r="E48" s="425">
        <f t="shared" si="1"/>
        <v>354.72848854630899</v>
      </c>
      <c r="F48" s="425">
        <f t="shared" si="3"/>
        <v>355.68576153100565</v>
      </c>
      <c r="G48" s="438">
        <f t="shared" si="2"/>
        <v>-8.4857615310056644</v>
      </c>
    </row>
    <row r="49" spans="1:7">
      <c r="A49" s="425">
        <v>48</v>
      </c>
      <c r="B49" s="425"/>
      <c r="C49" s="425" t="s">
        <v>207</v>
      </c>
      <c r="D49" s="435">
        <v>346.7</v>
      </c>
      <c r="E49" s="425">
        <f t="shared" si="1"/>
        <v>356.4611747604385</v>
      </c>
      <c r="F49" s="425">
        <f t="shared" si="3"/>
        <v>358.22560586072854</v>
      </c>
      <c r="G49" s="438">
        <f t="shared" si="2"/>
        <v>-11.525605860728547</v>
      </c>
    </row>
    <row r="50" spans="1:7">
      <c r="A50" s="425">
        <v>49</v>
      </c>
      <c r="B50" s="425">
        <v>2006</v>
      </c>
      <c r="C50" s="425" t="s">
        <v>202</v>
      </c>
      <c r="D50" s="435">
        <v>348.1</v>
      </c>
      <c r="E50" s="425">
        <f t="shared" si="1"/>
        <v>358.193860974568</v>
      </c>
      <c r="F50" s="425">
        <f t="shared" si="3"/>
        <v>356.66535380623748</v>
      </c>
      <c r="G50" s="438">
        <f t="shared" si="2"/>
        <v>-8.5653538062374537</v>
      </c>
    </row>
    <row r="51" spans="1:7">
      <c r="A51" s="425">
        <v>50</v>
      </c>
      <c r="B51" s="425"/>
      <c r="C51" s="425" t="s">
        <v>203</v>
      </c>
      <c r="D51" s="435">
        <v>347.4</v>
      </c>
      <c r="E51" s="425">
        <f t="shared" si="1"/>
        <v>359.9265471886975</v>
      </c>
      <c r="F51" s="425">
        <f t="shared" si="3"/>
        <v>358.81967887531732</v>
      </c>
      <c r="G51" s="438">
        <f t="shared" si="2"/>
        <v>-11.419678875317345</v>
      </c>
    </row>
    <row r="52" spans="1:7">
      <c r="A52" s="425">
        <v>51</v>
      </c>
      <c r="B52" s="425"/>
      <c r="C52" s="425" t="s">
        <v>205</v>
      </c>
      <c r="D52" s="435">
        <v>351.9</v>
      </c>
      <c r="E52" s="425">
        <f t="shared" si="1"/>
        <v>361.659233402827</v>
      </c>
      <c r="F52" s="425">
        <f t="shared" si="3"/>
        <v>362.63520974806329</v>
      </c>
      <c r="G52" s="438">
        <f t="shared" si="2"/>
        <v>-10.735209748063312</v>
      </c>
    </row>
    <row r="53" spans="1:7">
      <c r="A53" s="425">
        <v>52</v>
      </c>
      <c r="B53" s="425"/>
      <c r="C53" s="425" t="s">
        <v>207</v>
      </c>
      <c r="D53" s="435">
        <v>350.8</v>
      </c>
      <c r="E53" s="425">
        <f t="shared" si="1"/>
        <v>363.39191961695656</v>
      </c>
      <c r="F53" s="425">
        <f t="shared" si="3"/>
        <v>365.19065689878579</v>
      </c>
      <c r="G53" s="438">
        <f t="shared" si="2"/>
        <v>-14.390656898785778</v>
      </c>
    </row>
    <row r="54" spans="1:7">
      <c r="A54" s="425">
        <v>53</v>
      </c>
      <c r="B54" s="425">
        <v>2007</v>
      </c>
      <c r="C54" s="425" t="s">
        <v>202</v>
      </c>
      <c r="D54" s="435">
        <v>357.6</v>
      </c>
      <c r="E54" s="425">
        <f t="shared" si="1"/>
        <v>365.12460583108606</v>
      </c>
      <c r="F54" s="425">
        <f t="shared" si="3"/>
        <v>363.56652335633845</v>
      </c>
      <c r="G54" s="438">
        <f t="shared" si="2"/>
        <v>-5.9665233563384277</v>
      </c>
    </row>
    <row r="55" spans="1:7">
      <c r="A55" s="425">
        <v>54</v>
      </c>
      <c r="B55" s="425"/>
      <c r="C55" s="425" t="s">
        <v>203</v>
      </c>
      <c r="D55" s="435">
        <v>352.7</v>
      </c>
      <c r="E55" s="425">
        <f t="shared" si="1"/>
        <v>366.85729204521556</v>
      </c>
      <c r="F55" s="425">
        <f t="shared" si="3"/>
        <v>365.72910987785679</v>
      </c>
      <c r="G55" s="438">
        <f t="shared" si="2"/>
        <v>-13.029109877856797</v>
      </c>
    </row>
    <row r="56" spans="1:7">
      <c r="A56" s="425">
        <v>55</v>
      </c>
      <c r="B56" s="425"/>
      <c r="C56" s="425" t="s">
        <v>205</v>
      </c>
      <c r="D56" s="435">
        <v>357.8</v>
      </c>
      <c r="E56" s="425">
        <f t="shared" si="1"/>
        <v>368.58997825934506</v>
      </c>
      <c r="F56" s="425">
        <f t="shared" si="3"/>
        <v>369.58465796512104</v>
      </c>
      <c r="G56" s="438">
        <f t="shared" si="2"/>
        <v>-11.784657965121028</v>
      </c>
    </row>
    <row r="57" spans="1:7">
      <c r="A57" s="425">
        <v>56</v>
      </c>
      <c r="B57" s="425"/>
      <c r="C57" s="425" t="s">
        <v>207</v>
      </c>
      <c r="D57" s="435">
        <v>357.9</v>
      </c>
      <c r="E57" s="425">
        <f t="shared" si="1"/>
        <v>370.32266447347456</v>
      </c>
      <c r="F57" s="425">
        <f t="shared" si="3"/>
        <v>372.15570793684304</v>
      </c>
      <c r="G57" s="438">
        <f t="shared" si="2"/>
        <v>-14.255707936843066</v>
      </c>
    </row>
    <row r="58" spans="1:7">
      <c r="A58" s="425">
        <v>57</v>
      </c>
      <c r="B58" s="425">
        <v>2008</v>
      </c>
      <c r="C58" s="425" t="s">
        <v>202</v>
      </c>
      <c r="D58" s="435">
        <v>362.3</v>
      </c>
      <c r="E58" s="425">
        <f t="shared" si="1"/>
        <v>372.05535068760412</v>
      </c>
      <c r="F58" s="425">
        <f t="shared" si="3"/>
        <v>370.46769290643937</v>
      </c>
      <c r="G58" s="438">
        <f t="shared" si="2"/>
        <v>-8.1676929064393562</v>
      </c>
    </row>
    <row r="59" spans="1:7">
      <c r="A59" s="425">
        <v>58</v>
      </c>
      <c r="B59" s="425"/>
      <c r="C59" s="425" t="s">
        <v>203</v>
      </c>
      <c r="D59" s="435">
        <v>363.8</v>
      </c>
      <c r="E59" s="425">
        <f t="shared" si="1"/>
        <v>373.78803690173362</v>
      </c>
      <c r="F59" s="425">
        <f t="shared" si="3"/>
        <v>372.63854088039625</v>
      </c>
      <c r="G59" s="438">
        <f t="shared" si="2"/>
        <v>-8.8385408803962378</v>
      </c>
    </row>
    <row r="60" spans="1:7">
      <c r="A60" s="425">
        <v>59</v>
      </c>
      <c r="B60" s="425"/>
      <c r="C60" s="425" t="s">
        <v>205</v>
      </c>
      <c r="D60" s="437">
        <v>366</v>
      </c>
      <c r="E60" s="425">
        <f t="shared" si="1"/>
        <v>375.52072311586312</v>
      </c>
      <c r="F60" s="425">
        <f t="shared" si="3"/>
        <v>376.53410618217873</v>
      </c>
      <c r="G60" s="438">
        <f t="shared" si="2"/>
        <v>-10.534106182178732</v>
      </c>
    </row>
    <row r="61" spans="1:7">
      <c r="A61" s="425">
        <v>60</v>
      </c>
      <c r="B61" s="425"/>
      <c r="C61" s="425" t="s">
        <v>207</v>
      </c>
      <c r="D61" s="435">
        <v>363.4</v>
      </c>
      <c r="E61" s="425">
        <f t="shared" si="1"/>
        <v>377.25340932999262</v>
      </c>
      <c r="F61" s="425">
        <f t="shared" si="3"/>
        <v>379.1207589749003</v>
      </c>
      <c r="G61" s="438">
        <f t="shared" si="2"/>
        <v>-15.72075897490032</v>
      </c>
    </row>
    <row r="62" spans="1:7">
      <c r="A62" s="425">
        <v>61</v>
      </c>
      <c r="B62" s="425">
        <v>2009</v>
      </c>
      <c r="C62" s="425" t="s">
        <v>202</v>
      </c>
      <c r="D62" s="435">
        <v>355.8</v>
      </c>
      <c r="E62" s="425">
        <f t="shared" si="1"/>
        <v>378.98609554412212</v>
      </c>
      <c r="F62" s="425">
        <f t="shared" si="3"/>
        <v>377.36886245654023</v>
      </c>
      <c r="G62" s="438">
        <f t="shared" si="2"/>
        <v>-21.568862456540216</v>
      </c>
    </row>
    <row r="63" spans="1:7">
      <c r="A63" s="425">
        <v>62</v>
      </c>
      <c r="B63" s="425"/>
      <c r="C63" s="425" t="s">
        <v>203</v>
      </c>
      <c r="D63" s="435">
        <v>363.4</v>
      </c>
      <c r="E63" s="425">
        <f t="shared" si="1"/>
        <v>380.71878175825168</v>
      </c>
      <c r="F63" s="425">
        <f t="shared" si="3"/>
        <v>379.54797188293571</v>
      </c>
      <c r="G63" s="438">
        <f t="shared" si="2"/>
        <v>-16.147971882935735</v>
      </c>
    </row>
    <row r="64" spans="1:7">
      <c r="A64" s="425">
        <v>63</v>
      </c>
      <c r="B64" s="425"/>
      <c r="C64" s="425" t="s">
        <v>205</v>
      </c>
      <c r="D64" s="435">
        <v>370.8</v>
      </c>
      <c r="E64" s="425">
        <f t="shared" si="1"/>
        <v>382.45146797238118</v>
      </c>
      <c r="F64" s="425">
        <f t="shared" si="3"/>
        <v>383.48355439923648</v>
      </c>
      <c r="G64" s="438">
        <f t="shared" si="2"/>
        <v>-12.683554399236471</v>
      </c>
    </row>
    <row r="65" spans="1:7">
      <c r="A65" s="425">
        <v>64</v>
      </c>
      <c r="B65" s="425"/>
      <c r="C65" s="425" t="s">
        <v>207</v>
      </c>
      <c r="D65" s="435">
        <v>371.4</v>
      </c>
      <c r="E65" s="425">
        <f t="shared" si="1"/>
        <v>384.18415418651068</v>
      </c>
      <c r="F65" s="425">
        <f t="shared" si="3"/>
        <v>386.08581001295761</v>
      </c>
      <c r="G65" s="438">
        <f t="shared" si="2"/>
        <v>-14.685810012957631</v>
      </c>
    </row>
    <row r="66" spans="1:7">
      <c r="A66" s="425">
        <v>65</v>
      </c>
      <c r="B66" s="425">
        <v>2010</v>
      </c>
      <c r="C66" s="425" t="s">
        <v>202</v>
      </c>
      <c r="D66" s="435">
        <v>375.8</v>
      </c>
      <c r="E66" s="425">
        <f t="shared" si="1"/>
        <v>385.91684040064024</v>
      </c>
      <c r="F66" s="425">
        <f t="shared" ref="F66:F97" si="4">VLOOKUP(C66,s,2,FALSE)*E66</f>
        <v>384.2700320066412</v>
      </c>
      <c r="G66" s="438">
        <f t="shared" si="2"/>
        <v>-8.4700320066411905</v>
      </c>
    </row>
    <row r="67" spans="1:7">
      <c r="A67" s="425">
        <v>66</v>
      </c>
      <c r="B67" s="425"/>
      <c r="C67" s="425" t="s">
        <v>203</v>
      </c>
      <c r="D67" s="437">
        <v>378</v>
      </c>
      <c r="E67" s="425">
        <f t="shared" ref="E67:E99" si="5">J$3+J$4*A67</f>
        <v>387.64952661476974</v>
      </c>
      <c r="F67" s="425">
        <f t="shared" si="4"/>
        <v>386.45740288547518</v>
      </c>
      <c r="G67" s="438">
        <f t="shared" ref="G67:G99" si="6">D67-F67</f>
        <v>-8.4574028854751759</v>
      </c>
    </row>
    <row r="68" spans="1:7">
      <c r="A68" s="425">
        <v>67</v>
      </c>
      <c r="B68" s="425"/>
      <c r="C68" s="425" t="s">
        <v>205</v>
      </c>
      <c r="D68" s="435">
        <v>386.7</v>
      </c>
      <c r="E68" s="425">
        <f t="shared" si="5"/>
        <v>389.38221282889924</v>
      </c>
      <c r="F68" s="425">
        <f t="shared" si="4"/>
        <v>390.43300261629417</v>
      </c>
      <c r="G68" s="438">
        <f t="shared" si="6"/>
        <v>-3.7330026162941863</v>
      </c>
    </row>
    <row r="69" spans="1:7">
      <c r="A69" s="425">
        <v>68</v>
      </c>
      <c r="B69" s="425"/>
      <c r="C69" s="425" t="s">
        <v>207</v>
      </c>
      <c r="D69" s="435">
        <v>394.7</v>
      </c>
      <c r="E69" s="425">
        <f t="shared" si="5"/>
        <v>391.11489904302874</v>
      </c>
      <c r="F69" s="425">
        <f t="shared" si="4"/>
        <v>393.05086105101486</v>
      </c>
      <c r="G69" s="438">
        <f t="shared" si="6"/>
        <v>1.6491389489851258</v>
      </c>
    </row>
    <row r="70" spans="1:7">
      <c r="A70" s="425">
        <v>69</v>
      </c>
      <c r="B70" s="425">
        <v>2011</v>
      </c>
      <c r="C70" s="425" t="s">
        <v>202</v>
      </c>
      <c r="D70" s="435">
        <v>395.5</v>
      </c>
      <c r="E70" s="425">
        <f t="shared" si="5"/>
        <v>392.84758525715824</v>
      </c>
      <c r="F70" s="425">
        <f t="shared" si="4"/>
        <v>391.17120155674212</v>
      </c>
      <c r="G70" s="438">
        <f t="shared" si="6"/>
        <v>4.328798443257881</v>
      </c>
    </row>
    <row r="71" spans="1:7">
      <c r="A71" s="425">
        <v>70</v>
      </c>
      <c r="B71" s="425"/>
      <c r="C71" s="425" t="s">
        <v>203</v>
      </c>
      <c r="D71" s="437">
        <v>397</v>
      </c>
      <c r="E71" s="425">
        <f t="shared" si="5"/>
        <v>394.5802714712878</v>
      </c>
      <c r="F71" s="425">
        <f t="shared" si="4"/>
        <v>393.36683388801464</v>
      </c>
      <c r="G71" s="438">
        <f t="shared" si="6"/>
        <v>3.6331661119853607</v>
      </c>
    </row>
    <row r="72" spans="1:7">
      <c r="A72" s="425">
        <v>71</v>
      </c>
      <c r="B72" s="425"/>
      <c r="C72" s="425" t="s">
        <v>205</v>
      </c>
      <c r="D72" s="435">
        <v>401.5</v>
      </c>
      <c r="E72" s="425">
        <f t="shared" si="5"/>
        <v>396.3129576854173</v>
      </c>
      <c r="F72" s="425">
        <f t="shared" si="4"/>
        <v>397.38245083335192</v>
      </c>
      <c r="G72" s="438">
        <f t="shared" si="6"/>
        <v>4.1175491666480752</v>
      </c>
    </row>
    <row r="73" spans="1:7">
      <c r="A73" s="425">
        <v>72</v>
      </c>
      <c r="B73" s="425"/>
      <c r="C73" s="425" t="s">
        <v>207</v>
      </c>
      <c r="D73" s="435">
        <v>405.4</v>
      </c>
      <c r="E73" s="425">
        <f t="shared" si="5"/>
        <v>398.0456438995468</v>
      </c>
      <c r="F73" s="425">
        <f t="shared" si="4"/>
        <v>400.01591208907217</v>
      </c>
      <c r="G73" s="438">
        <f t="shared" si="6"/>
        <v>5.3840879109278035</v>
      </c>
    </row>
    <row r="74" spans="1:7">
      <c r="A74" s="425">
        <v>73</v>
      </c>
      <c r="B74" s="425">
        <v>2012</v>
      </c>
      <c r="C74" s="425" t="s">
        <v>202</v>
      </c>
      <c r="D74" s="435">
        <v>407.8</v>
      </c>
      <c r="E74" s="425">
        <f t="shared" si="5"/>
        <v>399.7783301136763</v>
      </c>
      <c r="F74" s="425">
        <f t="shared" si="4"/>
        <v>398.07237110684304</v>
      </c>
      <c r="G74" s="438">
        <f t="shared" si="6"/>
        <v>9.7276288931569752</v>
      </c>
    </row>
    <row r="75" spans="1:7">
      <c r="A75" s="425">
        <v>74</v>
      </c>
      <c r="B75" s="425"/>
      <c r="C75" s="425" t="s">
        <v>203</v>
      </c>
      <c r="D75" s="435">
        <v>406.2</v>
      </c>
      <c r="E75" s="425">
        <f t="shared" si="5"/>
        <v>401.51101632780581</v>
      </c>
      <c r="F75" s="425">
        <f t="shared" si="4"/>
        <v>400.27626489055405</v>
      </c>
      <c r="G75" s="438">
        <f t="shared" si="6"/>
        <v>5.9237351094459427</v>
      </c>
    </row>
    <row r="76" spans="1:7">
      <c r="A76" s="425">
        <v>75</v>
      </c>
      <c r="B76" s="425"/>
      <c r="C76" s="425" t="s">
        <v>205</v>
      </c>
      <c r="D76" s="435">
        <v>415.4</v>
      </c>
      <c r="E76" s="425">
        <f t="shared" si="5"/>
        <v>403.24370254193536</v>
      </c>
      <c r="F76" s="425">
        <f t="shared" si="4"/>
        <v>404.33189905040962</v>
      </c>
      <c r="G76" s="438">
        <f t="shared" si="6"/>
        <v>11.06810094959036</v>
      </c>
    </row>
    <row r="77" spans="1:7">
      <c r="A77" s="425">
        <v>76</v>
      </c>
      <c r="B77" s="425"/>
      <c r="C77" s="425" t="s">
        <v>207</v>
      </c>
      <c r="D77" s="435">
        <v>411.9</v>
      </c>
      <c r="E77" s="425">
        <f t="shared" si="5"/>
        <v>404.97638875606486</v>
      </c>
      <c r="F77" s="425">
        <f t="shared" si="4"/>
        <v>406.98096312712943</v>
      </c>
      <c r="G77" s="438">
        <f t="shared" si="6"/>
        <v>4.9190368728705494</v>
      </c>
    </row>
    <row r="78" spans="1:7">
      <c r="A78" s="425">
        <v>77</v>
      </c>
      <c r="B78" s="425">
        <v>2013</v>
      </c>
      <c r="C78" s="425" t="s">
        <v>202</v>
      </c>
      <c r="D78" s="435">
        <v>406.7</v>
      </c>
      <c r="E78" s="425">
        <f t="shared" si="5"/>
        <v>406.70907497019437</v>
      </c>
      <c r="F78" s="425">
        <f t="shared" si="4"/>
        <v>404.97354065694395</v>
      </c>
      <c r="G78" s="438">
        <f t="shared" si="6"/>
        <v>1.7264593430560353</v>
      </c>
    </row>
    <row r="79" spans="1:7">
      <c r="A79" s="425">
        <v>78</v>
      </c>
      <c r="B79" s="425"/>
      <c r="C79" s="425" t="s">
        <v>203</v>
      </c>
      <c r="D79" s="435">
        <v>416.3</v>
      </c>
      <c r="E79" s="425">
        <f t="shared" si="5"/>
        <v>408.44176118432392</v>
      </c>
      <c r="F79" s="425">
        <f t="shared" si="4"/>
        <v>407.18569589309357</v>
      </c>
      <c r="G79" s="438">
        <f t="shared" si="6"/>
        <v>9.1143041069064452</v>
      </c>
    </row>
    <row r="80" spans="1:7">
      <c r="A80" s="425">
        <v>79</v>
      </c>
      <c r="B80" s="425"/>
      <c r="C80" s="425" t="s">
        <v>205</v>
      </c>
      <c r="D80" s="435">
        <v>418.5</v>
      </c>
      <c r="E80" s="425">
        <f t="shared" si="5"/>
        <v>410.17444739845337</v>
      </c>
      <c r="F80" s="425">
        <f t="shared" si="4"/>
        <v>411.28134726746731</v>
      </c>
      <c r="G80" s="438">
        <f t="shared" si="6"/>
        <v>7.2186527325326892</v>
      </c>
    </row>
    <row r="81" spans="1:7">
      <c r="A81" s="425">
        <v>80</v>
      </c>
      <c r="B81" s="425"/>
      <c r="C81" s="425" t="s">
        <v>207</v>
      </c>
      <c r="D81" s="435">
        <v>421.2</v>
      </c>
      <c r="E81" s="425">
        <f t="shared" si="5"/>
        <v>411.90713361258292</v>
      </c>
      <c r="F81" s="425">
        <f t="shared" si="4"/>
        <v>413.94601416518674</v>
      </c>
      <c r="G81" s="438">
        <f t="shared" si="6"/>
        <v>7.2539858348132498</v>
      </c>
    </row>
    <row r="82" spans="1:7">
      <c r="A82" s="425">
        <v>81</v>
      </c>
      <c r="B82" s="425">
        <v>2014</v>
      </c>
      <c r="C82" s="425" t="s">
        <v>202</v>
      </c>
      <c r="D82" s="435">
        <v>419.1</v>
      </c>
      <c r="E82" s="425">
        <f t="shared" si="5"/>
        <v>413.63981982671243</v>
      </c>
      <c r="F82" s="425">
        <f t="shared" si="4"/>
        <v>411.87471020704487</v>
      </c>
      <c r="G82" s="438">
        <f t="shared" si="6"/>
        <v>7.2252897929551523</v>
      </c>
    </row>
    <row r="83" spans="1:7">
      <c r="A83" s="425">
        <v>82</v>
      </c>
      <c r="B83" s="425"/>
      <c r="C83" s="425" t="s">
        <v>203</v>
      </c>
      <c r="D83" s="435">
        <v>413.4</v>
      </c>
      <c r="E83" s="425">
        <f t="shared" si="5"/>
        <v>415.37250604084193</v>
      </c>
      <c r="F83" s="425">
        <f t="shared" si="4"/>
        <v>414.09512689563297</v>
      </c>
      <c r="G83" s="438">
        <f t="shared" si="6"/>
        <v>-0.69512689563299546</v>
      </c>
    </row>
    <row r="84" spans="1:7">
      <c r="A84" s="425">
        <v>83</v>
      </c>
      <c r="B84" s="425"/>
      <c r="C84" s="425" t="s">
        <v>205</v>
      </c>
      <c r="D84" s="435">
        <v>417.8</v>
      </c>
      <c r="E84" s="425">
        <f t="shared" si="5"/>
        <v>417.10519225497148</v>
      </c>
      <c r="F84" s="425">
        <f t="shared" si="4"/>
        <v>418.23079548452506</v>
      </c>
      <c r="G84" s="438">
        <f t="shared" si="6"/>
        <v>-0.43079548452504923</v>
      </c>
    </row>
    <row r="85" spans="1:7">
      <c r="A85" s="425">
        <v>84</v>
      </c>
      <c r="B85" s="425"/>
      <c r="C85" s="425" t="s">
        <v>207</v>
      </c>
      <c r="D85" s="435">
        <v>415.9</v>
      </c>
      <c r="E85" s="425">
        <f t="shared" si="5"/>
        <v>418.83787846910093</v>
      </c>
      <c r="F85" s="425">
        <f t="shared" si="4"/>
        <v>420.91106520324394</v>
      </c>
      <c r="G85" s="438">
        <f t="shared" si="6"/>
        <v>-5.0110652032439589</v>
      </c>
    </row>
    <row r="86" spans="1:7">
      <c r="A86" s="425">
        <v>85</v>
      </c>
      <c r="B86" s="425">
        <v>2015</v>
      </c>
      <c r="C86" s="425" t="s">
        <v>202</v>
      </c>
      <c r="D86" s="435">
        <v>422.6</v>
      </c>
      <c r="E86" s="425">
        <f t="shared" si="5"/>
        <v>420.57056468323049</v>
      </c>
      <c r="F86" s="425">
        <f t="shared" si="4"/>
        <v>418.77587975714584</v>
      </c>
      <c r="G86" s="438">
        <f t="shared" si="6"/>
        <v>3.8241202428541783</v>
      </c>
    </row>
    <row r="87" spans="1:7">
      <c r="A87" s="425">
        <v>86</v>
      </c>
      <c r="B87" s="425"/>
      <c r="C87" s="425" t="s">
        <v>203</v>
      </c>
      <c r="D87" s="435">
        <v>419.9</v>
      </c>
      <c r="E87" s="425">
        <f t="shared" si="5"/>
        <v>422.30325089735999</v>
      </c>
      <c r="F87" s="425">
        <f t="shared" si="4"/>
        <v>421.00455789817244</v>
      </c>
      <c r="G87" s="438">
        <f t="shared" si="6"/>
        <v>-1.1045578981724589</v>
      </c>
    </row>
    <row r="88" spans="1:7">
      <c r="A88" s="425">
        <v>87</v>
      </c>
      <c r="B88" s="425"/>
      <c r="C88" s="425" t="s">
        <v>205</v>
      </c>
      <c r="D88" s="435">
        <v>423.6</v>
      </c>
      <c r="E88" s="425">
        <f t="shared" si="5"/>
        <v>424.03593711148949</v>
      </c>
      <c r="F88" s="425">
        <f t="shared" si="4"/>
        <v>425.18024370158275</v>
      </c>
      <c r="G88" s="438">
        <f t="shared" si="6"/>
        <v>-1.5802437015827309</v>
      </c>
    </row>
    <row r="89" spans="1:7">
      <c r="A89" s="425">
        <v>88</v>
      </c>
      <c r="B89" s="425"/>
      <c r="C89" s="425" t="s">
        <v>207</v>
      </c>
      <c r="D89" s="435">
        <v>429.3</v>
      </c>
      <c r="E89" s="425">
        <f t="shared" si="5"/>
        <v>425.76862332561905</v>
      </c>
      <c r="F89" s="425">
        <f t="shared" si="4"/>
        <v>427.8761162413013</v>
      </c>
      <c r="G89" s="438">
        <f t="shared" si="6"/>
        <v>1.4238837586987074</v>
      </c>
    </row>
    <row r="90" spans="1:7">
      <c r="A90" s="425">
        <v>89</v>
      </c>
      <c r="B90" s="425">
        <v>2016</v>
      </c>
      <c r="C90" s="425" t="s">
        <v>202</v>
      </c>
      <c r="D90" s="437">
        <v>422</v>
      </c>
      <c r="E90" s="425">
        <f t="shared" si="5"/>
        <v>427.50130953974855</v>
      </c>
      <c r="F90" s="425">
        <f t="shared" si="4"/>
        <v>425.67704930724676</v>
      </c>
      <c r="G90" s="438">
        <f t="shared" si="6"/>
        <v>-3.6770493072467616</v>
      </c>
    </row>
    <row r="91" spans="1:7">
      <c r="A91" s="425">
        <v>90</v>
      </c>
      <c r="B91" s="425"/>
      <c r="C91" s="425" t="s">
        <v>203</v>
      </c>
      <c r="D91" s="435">
        <v>435.5</v>
      </c>
      <c r="E91" s="425">
        <f t="shared" si="5"/>
        <v>429.23399575387805</v>
      </c>
      <c r="F91" s="425">
        <f t="shared" si="4"/>
        <v>427.9139889007119</v>
      </c>
      <c r="G91" s="438">
        <f t="shared" si="6"/>
        <v>7.5860110992881005</v>
      </c>
    </row>
    <row r="92" spans="1:7">
      <c r="A92" s="425">
        <v>91</v>
      </c>
      <c r="B92" s="425"/>
      <c r="C92" s="425" t="s">
        <v>205</v>
      </c>
      <c r="D92" s="437">
        <v>442</v>
      </c>
      <c r="E92" s="425">
        <f t="shared" si="5"/>
        <v>430.96668196800761</v>
      </c>
      <c r="F92" s="425">
        <f t="shared" si="4"/>
        <v>432.1296919186405</v>
      </c>
      <c r="G92" s="438">
        <f t="shared" si="6"/>
        <v>9.8703080813594966</v>
      </c>
    </row>
    <row r="93" spans="1:7">
      <c r="A93" s="425">
        <v>92</v>
      </c>
      <c r="B93" s="425"/>
      <c r="C93" s="425" t="s">
        <v>207</v>
      </c>
      <c r="D93" s="435">
        <v>441.2</v>
      </c>
      <c r="E93" s="425">
        <f t="shared" si="5"/>
        <v>432.69936818213705</v>
      </c>
      <c r="F93" s="425">
        <f t="shared" si="4"/>
        <v>434.8411672793585</v>
      </c>
      <c r="G93" s="438">
        <f t="shared" si="6"/>
        <v>6.3588327206414874</v>
      </c>
    </row>
    <row r="94" spans="1:7">
      <c r="A94" s="425">
        <v>93</v>
      </c>
      <c r="B94" s="425">
        <v>2017</v>
      </c>
      <c r="C94" s="425" t="s">
        <v>202</v>
      </c>
      <c r="D94" s="437">
        <v>443</v>
      </c>
      <c r="E94" s="425">
        <f t="shared" si="5"/>
        <v>434.43205439626661</v>
      </c>
      <c r="F94" s="425">
        <f t="shared" si="4"/>
        <v>432.57821885734768</v>
      </c>
      <c r="G94" s="438">
        <f t="shared" si="6"/>
        <v>10.421781142652321</v>
      </c>
    </row>
    <row r="95" spans="1:7">
      <c r="A95" s="425">
        <v>94</v>
      </c>
      <c r="B95" s="425"/>
      <c r="C95" s="425" t="s">
        <v>203</v>
      </c>
      <c r="D95" s="435">
        <v>438.4</v>
      </c>
      <c r="E95" s="425">
        <f t="shared" si="5"/>
        <v>436.16474061039611</v>
      </c>
      <c r="F95" s="425">
        <f t="shared" si="4"/>
        <v>434.82341990325131</v>
      </c>
      <c r="G95" s="438">
        <f t="shared" si="6"/>
        <v>3.5765800967486712</v>
      </c>
    </row>
    <row r="96" spans="1:7">
      <c r="A96" s="425">
        <v>95</v>
      </c>
      <c r="B96" s="425"/>
      <c r="C96" s="425" t="s">
        <v>205</v>
      </c>
      <c r="D96" s="435">
        <v>440.9</v>
      </c>
      <c r="E96" s="425">
        <f t="shared" si="5"/>
        <v>437.89742682452561</v>
      </c>
      <c r="F96" s="425">
        <f t="shared" si="4"/>
        <v>439.07914013569814</v>
      </c>
      <c r="G96" s="438">
        <f t="shared" si="6"/>
        <v>1.8208598643018377</v>
      </c>
    </row>
    <row r="97" spans="1:7">
      <c r="A97" s="425">
        <v>96</v>
      </c>
      <c r="B97" s="425"/>
      <c r="C97" s="425" t="s">
        <v>207</v>
      </c>
      <c r="D97" s="435">
        <v>433.7</v>
      </c>
      <c r="E97" s="425">
        <f t="shared" si="5"/>
        <v>439.63011303865517</v>
      </c>
      <c r="F97" s="425">
        <f t="shared" si="4"/>
        <v>441.80621831741587</v>
      </c>
      <c r="G97" s="438">
        <f t="shared" si="6"/>
        <v>-8.1062183174158804</v>
      </c>
    </row>
    <row r="98" spans="1:7">
      <c r="A98" s="425">
        <v>97</v>
      </c>
      <c r="B98" s="425">
        <v>2018</v>
      </c>
      <c r="C98" s="425" t="s">
        <v>202</v>
      </c>
      <c r="D98" s="435">
        <v>439.7</v>
      </c>
      <c r="E98" s="425">
        <f t="shared" si="5"/>
        <v>441.36279925278461</v>
      </c>
      <c r="F98" s="425">
        <f t="shared" ref="F98:F99" si="7">VLOOKUP(C98,s,2,FALSE)*E98</f>
        <v>439.47938840744854</v>
      </c>
      <c r="G98" s="438">
        <f t="shared" si="6"/>
        <v>0.22061159255144958</v>
      </c>
    </row>
    <row r="99" spans="1:7">
      <c r="A99" s="425">
        <v>98</v>
      </c>
      <c r="B99" s="425"/>
      <c r="C99" s="425" t="s">
        <v>203</v>
      </c>
      <c r="D99" s="435">
        <v>441.3</v>
      </c>
      <c r="E99" s="425">
        <f t="shared" si="5"/>
        <v>443.09548546691417</v>
      </c>
      <c r="F99" s="425">
        <f t="shared" si="7"/>
        <v>441.73285090579077</v>
      </c>
      <c r="G99" s="438">
        <f t="shared" si="6"/>
        <v>-0.43285090579075813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Gas Data</vt:lpstr>
      <vt:lpstr>Transformed Data</vt:lpstr>
      <vt:lpstr>Piped Gas</vt:lpstr>
      <vt:lpstr>LPG</vt:lpstr>
      <vt:lpstr>ARIMA(LPG)</vt:lpstr>
      <vt:lpstr>Exponential Smoothing(LPG)</vt:lpstr>
      <vt:lpstr>Holt-Winters Smoothing(LPG)</vt:lpstr>
      <vt:lpstr>Decomposition(LPG)</vt:lpstr>
      <vt:lpstr>ARIMA(Piped Gas)</vt:lpstr>
      <vt:lpstr>Exponential (Piped Gas)</vt:lpstr>
      <vt:lpstr>Decomposition(Piped Gas)</vt:lpstr>
      <vt:lpstr>demand</vt:lpstr>
      <vt:lpstr>gas</vt:lpstr>
      <vt:lpstr>index</vt:lpstr>
      <vt:lpstr>indexgas</vt:lpstr>
      <vt:lpstr>qtr</vt:lpstr>
      <vt:lpstr>quarter</vt:lpstr>
      <vt:lpstr>s</vt:lpstr>
      <vt:lpstr>ssindex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Singapore Department of Statistics</dc:creator>
  <cp:lastModifiedBy>Dibyajyoti Panda</cp:lastModifiedBy>
  <dcterms:created xsi:type="dcterms:W3CDTF">2018-10-14T03:20:44Z</dcterms:created>
  <dcterms:modified xsi:type="dcterms:W3CDTF">2018-10-15T14:36:47Z</dcterms:modified>
</cp:coreProperties>
</file>