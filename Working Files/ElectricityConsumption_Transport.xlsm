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ownloads/DMO_Demand_Forecasting_Group14/Working Files/Electricity_Consumption/"/>
    </mc:Choice>
  </mc:AlternateContent>
  <xr:revisionPtr revIDLastSave="0" documentId="13_ncr:1_{308E90FB-78BC-EA47-874E-D96C4D99C74F}" xr6:coauthVersionLast="37" xr6:coauthVersionMax="38" xr10:uidLastSave="{00000000-0000-0000-0000-000000000000}"/>
  <bookViews>
    <workbookView xWindow="380" yWindow="460" windowWidth="28040" windowHeight="16560" activeTab="6" xr2:uid="{8FDE6232-78BA-B448-B9AE-5970BFB5A008}"/>
  </bookViews>
  <sheets>
    <sheet name="Transport Data" sheetId="1" r:id="rId1"/>
    <sheet name="Time series_HID" sheetId="4" state="hidden" r:id="rId2"/>
    <sheet name="Time series1_HID" sheetId="6" state="hidden" r:id="rId3"/>
    <sheet name="Dickey-Fuller_HID" sheetId="10" state="hidden" r:id="rId4"/>
    <sheet name="ARIMA" sheetId="15" r:id="rId5"/>
    <sheet name="Exponential" sheetId="13" r:id="rId6"/>
    <sheet name="Holt-Winters" sheetId="12" r:id="rId7"/>
    <sheet name="Dickey-Fuller" sheetId="9" r:id="rId8"/>
    <sheet name="Descriptive analysis" sheetId="8" r:id="rId9"/>
    <sheet name="Time series transformation" sheetId="7" r:id="rId10"/>
    <sheet name="Time series" sheetId="5" r:id="rId11"/>
    <sheet name="Sheet2" sheetId="2" r:id="rId12"/>
  </sheets>
  <externalReferences>
    <externalReference r:id="rId13"/>
  </externalReferenc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2" i="1"/>
</calcChain>
</file>

<file path=xl/sharedStrings.xml><?xml version="1.0" encoding="utf-8"?>
<sst xmlns="http://schemas.openxmlformats.org/spreadsheetml/2006/main" count="308" uniqueCount="133">
  <si>
    <t>Transport related</t>
  </si>
  <si>
    <t>Date</t>
  </si>
  <si>
    <t>Year</t>
  </si>
  <si>
    <t>Month</t>
  </si>
  <si>
    <t>Time series: Workbook = Book1 / Sheet = Transport Data / Range = 'Transport Data'!$C$2:$C$157 / 155 rw and 1 clm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</si>
  <si>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</si>
  <si>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</si>
  <si>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</si>
  <si>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</si>
  <si>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</si>
  <si>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</si>
  <si>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</si>
  <si>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</si>
  <si>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</si>
  <si>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Time</t>
  </si>
  <si>
    <t>93.3</t>
  </si>
  <si>
    <t>Time series (93.3):</t>
  </si>
  <si>
    <t xml:space="preserve"> </t>
  </si>
  <si>
    <r>
      <t>XLSTAT 2018.6.53747  - Times series visualization - Start time: 13/10/18 at 2:15:13 PM / End time: 13/10/18 at 2:15:15 PM</t>
    </r>
    <r>
      <rPr>
        <sz val="12"/>
        <color rgb="FFFFFFFF"/>
        <rFont val="Calibri"/>
        <family val="2"/>
        <scheme val="minor"/>
      </rPr>
      <t xml:space="preserve"> / Microsoft Excel 16.181008</t>
    </r>
  </si>
  <si>
    <t>Box-Cox transformation (93.3):</t>
  </si>
  <si>
    <t>Lambda =</t>
  </si>
  <si>
    <t>Series before and after transformation (93.3):</t>
  </si>
  <si>
    <t>Time step</t>
  </si>
  <si>
    <t>Box-Cox(93.3)</t>
  </si>
  <si>
    <r>
      <t>XLSTAT 2018.6.53747  - Time series transformation - Start time: 13/10/18 at 2:16:35 PM / End time: 13/10/18 at 2:16:40 PM</t>
    </r>
    <r>
      <rPr>
        <sz val="12"/>
        <color rgb="FFFFFFFF"/>
        <rFont val="Calibri"/>
        <family val="2"/>
        <scheme val="minor"/>
      </rPr>
      <t xml:space="preserve"> / Microsoft Excel 16.181008</t>
    </r>
  </si>
  <si>
    <t>Time series: Workbook = Book1 / Sheet = Transport Data / Range = 'Transport Data'!$C:$C / 156 rw and 1 clm</t>
  </si>
  <si>
    <t>Confidence intervals (%): 95</t>
  </si>
  <si>
    <t>White noise tests: h1: 6 / h2: 12 / s: 6</t>
  </si>
  <si>
    <t>Results of the analysis of the Transport related series:</t>
  </si>
  <si>
    <t>Normality test and white noise tests (Transport related):</t>
  </si>
  <si>
    <t>Statistic</t>
  </si>
  <si>
    <t>DF</t>
  </si>
  <si>
    <t>Value</t>
  </si>
  <si>
    <t>p-value</t>
  </si>
  <si>
    <t>Jarque-Bera</t>
  </si>
  <si>
    <t>Box-Pierce</t>
  </si>
  <si>
    <t>Ljung-Box</t>
  </si>
  <si>
    <t>McLeod-Li</t>
  </si>
  <si>
    <t>&lt; 0.0001</t>
  </si>
  <si>
    <t>Descriptive analysis (Transport related):</t>
  </si>
  <si>
    <t>Lag</t>
  </si>
  <si>
    <t>Autocovariance</t>
  </si>
  <si>
    <t>Autocorrelation</t>
  </si>
  <si>
    <t>Standard error</t>
  </si>
  <si>
    <t>Lower bound (95%)</t>
  </si>
  <si>
    <t>Upper bound (95%)</t>
  </si>
  <si>
    <t>Partial autocorrelation</t>
  </si>
  <si>
    <r>
      <t>XLSTAT 2018.6.53747  - Descriptive analysis - Start time: 13/10/18 at 2:17:46 PM / End time: 13/10/18 at 2:17:47 PM</t>
    </r>
    <r>
      <rPr>
        <sz val="12"/>
        <color rgb="FFFFFFFF"/>
        <rFont val="Calibri"/>
        <family val="2"/>
        <scheme val="minor"/>
      </rPr>
      <t xml:space="preserve"> / Microsoft Excel 16.181008</t>
    </r>
  </si>
  <si>
    <t>Time series: Workbook = Book1 / Sheet = Transport Data / Range = 'Transport Data'!$D:$D / 156 rw and 1 clm</t>
  </si>
  <si>
    <t>Date data: Workbook = Book1 / Sheet = Transport Data / Range = 'Transport Data'!$C:$C / 156 rw and 1 clm</t>
  </si>
  <si>
    <t>Significance level (%): 5</t>
  </si>
  <si>
    <t>Dickey-Fuller test: ADF(stationary)</t>
  </si>
  <si>
    <t>Dickey-Fuller test (ADF(stationary) / k: 5 / Transport related):</t>
  </si>
  <si>
    <t>Tau (Observed value)</t>
  </si>
  <si>
    <t>Tau (Critical value)</t>
  </si>
  <si>
    <t>p-value (one-tailed)</t>
  </si>
  <si>
    <t>alpha</t>
  </si>
  <si>
    <t>Test interpretation:</t>
  </si>
  <si>
    <t>H0: There is a unit root for the series.</t>
  </si>
  <si>
    <t>Ha: There is no unit root for the series. The series is stationary.</t>
  </si>
  <si>
    <t>As the computed p-value is greater than the significance level alpha=0.05, one cannot reject the null hypothesis H0.</t>
  </si>
  <si>
    <r>
      <t>XLSTAT 2018.6.53747  - Unit root and stationarity tests - Start time: 13/10/18 at 2:22:49 PM / End time: 13/10/18 at 2:22:53 PM</t>
    </r>
    <r>
      <rPr>
        <sz val="12"/>
        <color rgb="FFFFFFFF"/>
        <rFont val="Calibri"/>
        <family val="2"/>
        <scheme val="minor"/>
      </rPr>
      <t xml:space="preserve"> / Microsoft Excel 16.181008</t>
    </r>
  </si>
  <si>
    <t>Center: Yes</t>
  </si>
  <si>
    <t>Optimize: Likelihood (Convergence = 1E-05 / Iterations = 500)</t>
  </si>
  <si>
    <t>Results of ARIMA modeling of the Transport related series:</t>
  </si>
  <si>
    <t>Results after optimization (Transport related):</t>
  </si>
  <si>
    <t>Goodness of fit statistics:</t>
  </si>
  <si>
    <t>SSE</t>
  </si>
  <si>
    <t>MSE</t>
  </si>
  <si>
    <t>RMSE</t>
  </si>
  <si>
    <t>WN Variance</t>
  </si>
  <si>
    <t>MAPE(Diff)</t>
  </si>
  <si>
    <t>MAPE</t>
  </si>
  <si>
    <t>-2Log(Like.)</t>
  </si>
  <si>
    <t>FPE</t>
  </si>
  <si>
    <t>AIC</t>
  </si>
  <si>
    <t>AICC</t>
  </si>
  <si>
    <t>SBC</t>
  </si>
  <si>
    <t>Iterations</t>
  </si>
  <si>
    <t>Model parameters:</t>
  </si>
  <si>
    <t>Parameter</t>
  </si>
  <si>
    <t>Hessian standard error</t>
  </si>
  <si>
    <t>Constant</t>
  </si>
  <si>
    <t>Asympt. standard error</t>
  </si>
  <si>
    <t>AR(1)</t>
  </si>
  <si>
    <t>MA(1)</t>
  </si>
  <si>
    <t>MA(2)</t>
  </si>
  <si>
    <t>Predictions and residuals:</t>
  </si>
  <si>
    <t>ARIMA(Transport related)</t>
  </si>
  <si>
    <t>Residuals</t>
  </si>
  <si>
    <t>Standardized residuals</t>
  </si>
  <si>
    <t>Descriptive analysis (Residuals):</t>
  </si>
  <si>
    <t>Smoothing: Holt-Winters</t>
  </si>
  <si>
    <t>Method: Linear (Holt)</t>
  </si>
  <si>
    <t>S1: 0</t>
  </si>
  <si>
    <t>Alpha: Optimized / Beta: Optimized</t>
  </si>
  <si>
    <t>Optimize (Convergence = 1E-05 / Iterations = 500)</t>
  </si>
  <si>
    <t>Validation: 1</t>
  </si>
  <si>
    <t>Prediction: 3</t>
  </si>
  <si>
    <t>Confidence intervals (%): 5</t>
  </si>
  <si>
    <t>Goodness of fit statistics (Transport related):</t>
  </si>
  <si>
    <t>Data</t>
  </si>
  <si>
    <t>Validation</t>
  </si>
  <si>
    <t>MPE</t>
  </si>
  <si>
    <t>MAE</t>
  </si>
  <si>
    <t>R²</t>
  </si>
  <si>
    <t>Convergence</t>
  </si>
  <si>
    <t>Yes</t>
  </si>
  <si>
    <t>Model parameters (Transport related):</t>
  </si>
  <si>
    <t>Beta</t>
  </si>
  <si>
    <t>S1</t>
  </si>
  <si>
    <t>T1</t>
  </si>
  <si>
    <t>Series before and after smoothing (Transport related):</t>
  </si>
  <si>
    <t>Holt-Winters(Transport related)</t>
  </si>
  <si>
    <t>Lower bound (5%)</t>
  </si>
  <si>
    <t>Upper bound (5%)</t>
  </si>
  <si>
    <r>
      <t>XLSTAT 2018.6.53747  - Smoothing - Start time: 13/10/18 at 2:29:21 PM / End time: 13/10/18 at 2:29:22 PM</t>
    </r>
    <r>
      <rPr>
        <sz val="12"/>
        <color rgb="FFFFFFFF"/>
        <rFont val="Calibri"/>
        <family val="2"/>
        <scheme val="minor"/>
      </rPr>
      <t xml:space="preserve"> / Microsoft Excel 16.181008</t>
    </r>
  </si>
  <si>
    <t>Smoothing: Exponential</t>
  </si>
  <si>
    <t>Method: Double</t>
  </si>
  <si>
    <t>S1: Y(1)</t>
  </si>
  <si>
    <t>Alpha: Optimized</t>
  </si>
  <si>
    <t>Prediction: 6</t>
  </si>
  <si>
    <t>S2</t>
  </si>
  <si>
    <t>Exponential(Transport related)</t>
  </si>
  <si>
    <r>
      <t>XLSTAT 2018.6.53747  - Smoothing - Start time: 13/10/18 at 2:30:43 PM / End time: 13/10/18 at 2:30:44 PM</t>
    </r>
    <r>
      <rPr>
        <sz val="12"/>
        <color rgb="FFFFFFFF"/>
        <rFont val="Calibri"/>
        <family val="2"/>
        <scheme val="minor"/>
      </rPr>
      <t xml:space="preserve"> / Microsoft Excel 16.181008</t>
    </r>
  </si>
  <si>
    <t>AR(2)</t>
  </si>
  <si>
    <t>Model parameters: p = 2 / d = 1 / q = 2 / P = 2 / D = 1 / Q = 2 / s = 12</t>
  </si>
  <si>
    <t>SAR(1)</t>
  </si>
  <si>
    <t>SAR(2)</t>
  </si>
  <si>
    <t>SMA(1)</t>
  </si>
  <si>
    <t>SMA(2)</t>
  </si>
  <si>
    <t>Seed (random numbers): 1057721924</t>
  </si>
  <si>
    <r>
      <t>XLSTAT 2018.6.53747  - ARIMA - Start time: 13/10/18 at 4:57:41 PM / End time: 13/10/18 at 4:57:51 PM</t>
    </r>
    <r>
      <rPr>
        <sz val="12"/>
        <color rgb="FFFFFFFF"/>
        <rFont val="Calibri"/>
        <family val="2"/>
        <scheme val="minor"/>
      </rPr>
      <t xml:space="preserve"> / Microsoft Excel 16.181008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</si>
</sst>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20000"/>
      <name val="Calibri"/>
      <family val="2"/>
      <scheme val="minor"/>
    </font>
    <font>
      <sz val="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Alignment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3" xfId="0" applyNumberFormat="1" applyBorder="1" applyAlignment="1"/>
    <xf numFmtId="164" fontId="0" fillId="0" borderId="3" xfId="0" applyNumberFormat="1" applyBorder="1" applyAlignment="1"/>
    <xf numFmtId="164" fontId="0" fillId="0" borderId="2" xfId="0" applyNumberFormat="1" applyBorder="1" applyAlignment="1"/>
    <xf numFmtId="164" fontId="0" fillId="0" borderId="0" xfId="0" applyNumberFormat="1" applyAlignment="1"/>
    <xf numFmtId="164" fontId="0" fillId="0" borderId="4" xfId="0" applyNumberFormat="1" applyBorder="1" applyAlignment="1"/>
    <xf numFmtId="0" fontId="0" fillId="0" borderId="1" xfId="0" applyNumberFormat="1" applyFont="1" applyBorder="1" applyAlignment="1">
      <alignment horizontal="center"/>
    </xf>
    <xf numFmtId="0" fontId="0" fillId="0" borderId="2" xfId="0" applyNumberFormat="1" applyBorder="1" applyAlignment="1"/>
    <xf numFmtId="0" fontId="0" fillId="0" borderId="0" xfId="0" applyNumberFormat="1" applyAlignment="1"/>
    <xf numFmtId="0" fontId="0" fillId="0" borderId="4" xfId="0" applyNumberFormat="1" applyBorder="1" applyAlignment="1"/>
    <xf numFmtId="0" fontId="1" fillId="0" borderId="0" xfId="0" applyFont="1"/>
    <xf numFmtId="0" fontId="0" fillId="0" borderId="0" xfId="0" applyFont="1"/>
    <xf numFmtId="0" fontId="0" fillId="0" borderId="4" xfId="0" applyBorder="1" applyAlignment="1"/>
    <xf numFmtId="164" fontId="0" fillId="0" borderId="0" xfId="0" applyNumberFormat="1" applyAlignment="1">
      <alignment horizontal="right"/>
    </xf>
    <xf numFmtId="164" fontId="0" fillId="0" borderId="4" xfId="0" applyNumberFormat="1" applyBorder="1" applyAlignment="1">
      <alignment horizontal="right"/>
    </xf>
    <xf numFmtId="0" fontId="0" fillId="0" borderId="0" xfId="0" applyBorder="1" applyAlignment="1"/>
    <xf numFmtId="0" fontId="0" fillId="0" borderId="0" xfId="0" applyNumberFormat="1" applyBorder="1" applyAlignment="1"/>
    <xf numFmtId="164" fontId="0" fillId="0" borderId="0" xfId="0" applyNumberFormat="1" applyBorder="1" applyAlignment="1"/>
    <xf numFmtId="164" fontId="0" fillId="0" borderId="0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4" fontId="0" fillId="0" borderId="0" xfId="0" applyNumberFormat="1"/>
    <xf numFmtId="0" fontId="0" fillId="0" borderId="1" xfId="0" applyBorder="1" applyAlignment="1"/>
    <xf numFmtId="164" fontId="0" fillId="0" borderId="1" xfId="0" applyNumberFormat="1" applyBorder="1" applyAlignment="1">
      <alignment horizontal="right"/>
    </xf>
    <xf numFmtId="0" fontId="0" fillId="0" borderId="4" xfId="0" applyNumberFormat="1" applyBorder="1" applyAlignment="1">
      <alignment horizontal="right"/>
    </xf>
    <xf numFmtId="14" fontId="0" fillId="0" borderId="1" xfId="0" applyNumberFormat="1" applyFont="1" applyBorder="1" applyAlignment="1">
      <alignment horizontal="center"/>
    </xf>
    <xf numFmtId="14" fontId="0" fillId="0" borderId="2" xfId="0" applyNumberFormat="1" applyBorder="1" applyAlignment="1"/>
    <xf numFmtId="14" fontId="0" fillId="0" borderId="0" xfId="0" applyNumberFormat="1" applyAlignment="1"/>
    <xf numFmtId="14" fontId="0" fillId="0" borderId="4" xfId="0" applyNumberFormat="1" applyBorder="1" applyAlignment="1"/>
    <xf numFmtId="49" fontId="0" fillId="0" borderId="0" xfId="0" applyNumberFormat="1" applyAlignment="1"/>
    <xf numFmtId="49" fontId="3" fillId="0" borderId="3" xfId="0" applyNumberFormat="1" applyFont="1" applyBorder="1" applyAlignment="1"/>
    <xf numFmtId="0" fontId="3" fillId="0" borderId="3" xfId="0" applyNumberFormat="1" applyFont="1" applyBorder="1" applyAlignment="1"/>
    <xf numFmtId="164" fontId="3" fillId="0" borderId="3" xfId="0" applyNumberFormat="1" applyFont="1" applyBorder="1" applyAlignment="1"/>
    <xf numFmtId="49" fontId="0" fillId="0" borderId="2" xfId="0" applyNumberFormat="1" applyBorder="1" applyAlignment="1"/>
    <xf numFmtId="49" fontId="0" fillId="0" borderId="4" xfId="0" applyNumberFormat="1" applyBorder="1" applyAlignment="1"/>
    <xf numFmtId="0" fontId="4" fillId="0" borderId="0" xfId="0" applyFont="1"/>
    <xf numFmtId="0" fontId="0" fillId="0" borderId="0" xfId="0" applyFont="1" applyAlignment="1">
      <alignment wrapText="1"/>
    </xf>
    <xf numFmtId="0" fontId="0" fillId="2" borderId="0" xfId="0" applyFill="1" applyAlignment="1"/>
    <xf numFmtId="49" fontId="0" fillId="2" borderId="0" xfId="0" applyNumberFormat="1" applyFill="1" applyAlignment="1"/>
    <xf numFmtId="164" fontId="0" fillId="2" borderId="0" xfId="0" applyNumberForma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ARIMA (Transport related)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Transport related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ARIMA!$B$63:$B$224</c:f>
              <c:numCache>
                <c:formatCode>m/d/yy</c:formatCode>
                <c:ptCount val="162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  <c:pt idx="156">
                  <c:v>43101</c:v>
                </c:pt>
                <c:pt idx="157">
                  <c:v>43132</c:v>
                </c:pt>
                <c:pt idx="158">
                  <c:v>43160</c:v>
                </c:pt>
                <c:pt idx="159">
                  <c:v>43191</c:v>
                </c:pt>
                <c:pt idx="160">
                  <c:v>43221</c:v>
                </c:pt>
                <c:pt idx="161">
                  <c:v>43252</c:v>
                </c:pt>
              </c:numCache>
            </c:numRef>
          </c:xVal>
          <c:yVal>
            <c:numRef>
              <c:f>ARIMA!$C$63:$C$224</c:f>
              <c:numCache>
                <c:formatCode>0.000</c:formatCode>
                <c:ptCount val="162"/>
                <c:pt idx="0">
                  <c:v>93.3</c:v>
                </c:pt>
                <c:pt idx="1">
                  <c:v>95.7</c:v>
                </c:pt>
                <c:pt idx="2">
                  <c:v>93.8</c:v>
                </c:pt>
                <c:pt idx="3">
                  <c:v>99.4</c:v>
                </c:pt>
                <c:pt idx="4">
                  <c:v>100</c:v>
                </c:pt>
                <c:pt idx="5">
                  <c:v>105.6</c:v>
                </c:pt>
                <c:pt idx="6">
                  <c:v>99.4</c:v>
                </c:pt>
                <c:pt idx="7">
                  <c:v>106.3</c:v>
                </c:pt>
                <c:pt idx="8">
                  <c:v>104.2</c:v>
                </c:pt>
                <c:pt idx="9">
                  <c:v>99.5</c:v>
                </c:pt>
                <c:pt idx="10">
                  <c:v>105.7</c:v>
                </c:pt>
                <c:pt idx="11">
                  <c:v>97.1</c:v>
                </c:pt>
                <c:pt idx="12">
                  <c:v>101.4</c:v>
                </c:pt>
                <c:pt idx="13">
                  <c:v>97.7</c:v>
                </c:pt>
                <c:pt idx="14">
                  <c:v>95.8</c:v>
                </c:pt>
                <c:pt idx="15">
                  <c:v>103</c:v>
                </c:pt>
                <c:pt idx="16">
                  <c:v>105</c:v>
                </c:pt>
                <c:pt idx="17">
                  <c:v>106.5</c:v>
                </c:pt>
                <c:pt idx="18">
                  <c:v>102</c:v>
                </c:pt>
                <c:pt idx="19">
                  <c:v>110.5</c:v>
                </c:pt>
                <c:pt idx="20">
                  <c:v>105.5</c:v>
                </c:pt>
                <c:pt idx="21">
                  <c:v>106.2</c:v>
                </c:pt>
                <c:pt idx="22">
                  <c:v>110</c:v>
                </c:pt>
                <c:pt idx="23">
                  <c:v>101.9</c:v>
                </c:pt>
                <c:pt idx="24">
                  <c:v>107.5</c:v>
                </c:pt>
                <c:pt idx="25">
                  <c:v>99.7</c:v>
                </c:pt>
                <c:pt idx="26">
                  <c:v>101.9</c:v>
                </c:pt>
                <c:pt idx="27">
                  <c:v>106.4</c:v>
                </c:pt>
                <c:pt idx="28">
                  <c:v>108.5</c:v>
                </c:pt>
                <c:pt idx="29">
                  <c:v>108.5</c:v>
                </c:pt>
                <c:pt idx="30">
                  <c:v>111.7</c:v>
                </c:pt>
                <c:pt idx="31">
                  <c:v>113.3</c:v>
                </c:pt>
                <c:pt idx="32">
                  <c:v>109.5</c:v>
                </c:pt>
                <c:pt idx="33">
                  <c:v>112.3</c:v>
                </c:pt>
                <c:pt idx="34">
                  <c:v>113.8</c:v>
                </c:pt>
                <c:pt idx="35">
                  <c:v>107.1</c:v>
                </c:pt>
                <c:pt idx="36">
                  <c:v>113.4</c:v>
                </c:pt>
                <c:pt idx="37">
                  <c:v>110.5</c:v>
                </c:pt>
                <c:pt idx="38">
                  <c:v>105.5</c:v>
                </c:pt>
                <c:pt idx="39">
                  <c:v>116.5</c:v>
                </c:pt>
                <c:pt idx="40">
                  <c:v>114.2</c:v>
                </c:pt>
                <c:pt idx="41">
                  <c:v>121.8</c:v>
                </c:pt>
                <c:pt idx="42">
                  <c:v>121.2</c:v>
                </c:pt>
                <c:pt idx="43">
                  <c:v>117.4</c:v>
                </c:pt>
                <c:pt idx="44">
                  <c:v>123.5</c:v>
                </c:pt>
                <c:pt idx="45">
                  <c:v>120.1</c:v>
                </c:pt>
                <c:pt idx="46">
                  <c:v>117.5</c:v>
                </c:pt>
                <c:pt idx="47">
                  <c:v>118.2</c:v>
                </c:pt>
                <c:pt idx="48">
                  <c:v>109</c:v>
                </c:pt>
                <c:pt idx="49">
                  <c:v>109.7</c:v>
                </c:pt>
                <c:pt idx="50">
                  <c:v>106.3</c:v>
                </c:pt>
                <c:pt idx="51">
                  <c:v>117.6</c:v>
                </c:pt>
                <c:pt idx="52">
                  <c:v>112.5</c:v>
                </c:pt>
                <c:pt idx="53">
                  <c:v>123.2</c:v>
                </c:pt>
                <c:pt idx="54">
                  <c:v>119.9</c:v>
                </c:pt>
                <c:pt idx="55">
                  <c:v>129.1</c:v>
                </c:pt>
                <c:pt idx="56">
                  <c:v>172.3</c:v>
                </c:pt>
                <c:pt idx="57">
                  <c:v>171.8</c:v>
                </c:pt>
                <c:pt idx="58">
                  <c:v>167.3</c:v>
                </c:pt>
                <c:pt idx="59">
                  <c:v>169.1</c:v>
                </c:pt>
                <c:pt idx="60">
                  <c:v>163.80000000000001</c:v>
                </c:pt>
                <c:pt idx="61">
                  <c:v>166.3</c:v>
                </c:pt>
                <c:pt idx="62">
                  <c:v>165</c:v>
                </c:pt>
                <c:pt idx="63">
                  <c:v>173.6</c:v>
                </c:pt>
                <c:pt idx="64">
                  <c:v>167.3</c:v>
                </c:pt>
                <c:pt idx="65">
                  <c:v>181</c:v>
                </c:pt>
                <c:pt idx="66">
                  <c:v>173.4</c:v>
                </c:pt>
                <c:pt idx="67">
                  <c:v>182.8</c:v>
                </c:pt>
                <c:pt idx="68">
                  <c:v>181.1</c:v>
                </c:pt>
                <c:pt idx="69">
                  <c:v>174.9</c:v>
                </c:pt>
                <c:pt idx="70">
                  <c:v>185.5</c:v>
                </c:pt>
                <c:pt idx="71">
                  <c:v>183.7</c:v>
                </c:pt>
                <c:pt idx="72">
                  <c:v>176.9</c:v>
                </c:pt>
                <c:pt idx="73">
                  <c:v>176.7</c:v>
                </c:pt>
                <c:pt idx="74">
                  <c:v>166.3</c:v>
                </c:pt>
                <c:pt idx="75">
                  <c:v>180.2</c:v>
                </c:pt>
                <c:pt idx="76">
                  <c:v>184</c:v>
                </c:pt>
                <c:pt idx="77">
                  <c:v>195.6</c:v>
                </c:pt>
                <c:pt idx="78">
                  <c:v>186.2</c:v>
                </c:pt>
                <c:pt idx="79">
                  <c:v>201</c:v>
                </c:pt>
                <c:pt idx="80">
                  <c:v>194.1</c:v>
                </c:pt>
                <c:pt idx="81">
                  <c:v>183.9</c:v>
                </c:pt>
                <c:pt idx="82">
                  <c:v>196.5</c:v>
                </c:pt>
                <c:pt idx="83">
                  <c:v>182.8</c:v>
                </c:pt>
                <c:pt idx="84">
                  <c:v>187.8</c:v>
                </c:pt>
                <c:pt idx="85">
                  <c:v>189.8</c:v>
                </c:pt>
                <c:pt idx="86">
                  <c:v>181.3</c:v>
                </c:pt>
                <c:pt idx="87">
                  <c:v>194.9</c:v>
                </c:pt>
                <c:pt idx="88">
                  <c:v>196</c:v>
                </c:pt>
                <c:pt idx="89">
                  <c:v>199.2</c:v>
                </c:pt>
                <c:pt idx="90">
                  <c:v>199.1</c:v>
                </c:pt>
                <c:pt idx="91">
                  <c:v>200.1</c:v>
                </c:pt>
                <c:pt idx="92">
                  <c:v>198.9</c:v>
                </c:pt>
                <c:pt idx="93">
                  <c:v>193.6</c:v>
                </c:pt>
                <c:pt idx="94">
                  <c:v>198.5</c:v>
                </c:pt>
                <c:pt idx="95">
                  <c:v>189.3</c:v>
                </c:pt>
                <c:pt idx="96">
                  <c:v>197.2</c:v>
                </c:pt>
                <c:pt idx="97">
                  <c:v>189.6</c:v>
                </c:pt>
                <c:pt idx="98">
                  <c:v>176.4</c:v>
                </c:pt>
                <c:pt idx="99">
                  <c:v>198.1</c:v>
                </c:pt>
                <c:pt idx="100">
                  <c:v>199.8</c:v>
                </c:pt>
                <c:pt idx="101">
                  <c:v>202.1</c:v>
                </c:pt>
                <c:pt idx="102">
                  <c:v>204.5</c:v>
                </c:pt>
                <c:pt idx="103">
                  <c:v>202.5</c:v>
                </c:pt>
                <c:pt idx="104">
                  <c:v>202.7</c:v>
                </c:pt>
                <c:pt idx="105">
                  <c:v>196.2</c:v>
                </c:pt>
                <c:pt idx="106">
                  <c:v>203.5</c:v>
                </c:pt>
                <c:pt idx="107">
                  <c:v>196.4</c:v>
                </c:pt>
                <c:pt idx="108">
                  <c:v>197.7</c:v>
                </c:pt>
                <c:pt idx="109">
                  <c:v>193</c:v>
                </c:pt>
                <c:pt idx="110">
                  <c:v>180.1</c:v>
                </c:pt>
                <c:pt idx="111">
                  <c:v>203.7</c:v>
                </c:pt>
                <c:pt idx="112">
                  <c:v>202.8</c:v>
                </c:pt>
                <c:pt idx="113">
                  <c:v>209.1</c:v>
                </c:pt>
                <c:pt idx="114">
                  <c:v>208.2</c:v>
                </c:pt>
                <c:pt idx="115">
                  <c:v>214.7</c:v>
                </c:pt>
                <c:pt idx="116">
                  <c:v>210.1</c:v>
                </c:pt>
                <c:pt idx="117">
                  <c:v>206.9</c:v>
                </c:pt>
                <c:pt idx="118">
                  <c:v>210.4</c:v>
                </c:pt>
                <c:pt idx="119">
                  <c:v>204.4</c:v>
                </c:pt>
                <c:pt idx="120">
                  <c:v>203.9</c:v>
                </c:pt>
                <c:pt idx="121">
                  <c:v>199.1</c:v>
                </c:pt>
                <c:pt idx="122">
                  <c:v>183.1</c:v>
                </c:pt>
                <c:pt idx="123">
                  <c:v>206.2</c:v>
                </c:pt>
                <c:pt idx="124">
                  <c:v>204</c:v>
                </c:pt>
                <c:pt idx="125">
                  <c:v>207.7</c:v>
                </c:pt>
                <c:pt idx="126">
                  <c:v>204.9</c:v>
                </c:pt>
                <c:pt idx="127">
                  <c:v>210</c:v>
                </c:pt>
                <c:pt idx="128">
                  <c:v>206.7</c:v>
                </c:pt>
                <c:pt idx="129">
                  <c:v>202.5</c:v>
                </c:pt>
                <c:pt idx="130">
                  <c:v>211.1</c:v>
                </c:pt>
                <c:pt idx="131">
                  <c:v>205.6</c:v>
                </c:pt>
                <c:pt idx="132">
                  <c:v>214.4</c:v>
                </c:pt>
                <c:pt idx="133">
                  <c:v>214.9</c:v>
                </c:pt>
                <c:pt idx="134">
                  <c:v>203.6</c:v>
                </c:pt>
                <c:pt idx="135">
                  <c:v>221.9</c:v>
                </c:pt>
                <c:pt idx="136">
                  <c:v>220.3</c:v>
                </c:pt>
                <c:pt idx="137">
                  <c:v>228.4</c:v>
                </c:pt>
                <c:pt idx="138">
                  <c:v>217.7</c:v>
                </c:pt>
                <c:pt idx="139">
                  <c:v>226.7</c:v>
                </c:pt>
                <c:pt idx="140">
                  <c:v>218.6</c:v>
                </c:pt>
                <c:pt idx="141">
                  <c:v>220.4</c:v>
                </c:pt>
                <c:pt idx="142">
                  <c:v>233.8</c:v>
                </c:pt>
                <c:pt idx="143">
                  <c:v>217.1</c:v>
                </c:pt>
                <c:pt idx="144">
                  <c:v>226.1</c:v>
                </c:pt>
                <c:pt idx="145">
                  <c:v>222.6</c:v>
                </c:pt>
                <c:pt idx="146">
                  <c:v>209.7</c:v>
                </c:pt>
                <c:pt idx="147">
                  <c:v>220.9</c:v>
                </c:pt>
                <c:pt idx="148">
                  <c:v>230</c:v>
                </c:pt>
                <c:pt idx="149">
                  <c:v>228.9</c:v>
                </c:pt>
                <c:pt idx="150">
                  <c:v>232.2</c:v>
                </c:pt>
                <c:pt idx="151">
                  <c:v>242.1</c:v>
                </c:pt>
                <c:pt idx="152">
                  <c:v>231.9</c:v>
                </c:pt>
                <c:pt idx="153">
                  <c:v>235</c:v>
                </c:pt>
                <c:pt idx="154">
                  <c:v>247</c:v>
                </c:pt>
                <c:pt idx="155">
                  <c:v>241.5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D-184B-8024-9F2FDEAED087}"/>
            </c:ext>
          </c:extLst>
        </c:ser>
        <c:ser>
          <c:idx val="1"/>
          <c:order val="1"/>
          <c:tx>
            <c:v>ARIMA (Transport related)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Pt>
            <c:idx val="156"/>
            <c:bubble3D val="0"/>
            <c:spPr>
              <a:ln w="12700">
                <a:solidFill>
                  <a:srgbClr val="0078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2D-184B-8024-9F2FDEAED087}"/>
              </c:ext>
            </c:extLst>
          </c:dPt>
          <c:xVal>
            <c:numRef>
              <c:f>ARIMA!$B$63:$B$224</c:f>
              <c:numCache>
                <c:formatCode>m/d/yy</c:formatCode>
                <c:ptCount val="162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  <c:pt idx="156">
                  <c:v>43101</c:v>
                </c:pt>
                <c:pt idx="157">
                  <c:v>43132</c:v>
                </c:pt>
                <c:pt idx="158">
                  <c:v>43160</c:v>
                </c:pt>
                <c:pt idx="159">
                  <c:v>43191</c:v>
                </c:pt>
                <c:pt idx="160">
                  <c:v>43221</c:v>
                </c:pt>
                <c:pt idx="161">
                  <c:v>43252</c:v>
                </c:pt>
              </c:numCache>
            </c:numRef>
          </c:xVal>
          <c:yVal>
            <c:numRef>
              <c:f>ARIMA!$D$63:$D$224</c:f>
              <c:numCache>
                <c:formatCode>0.000</c:formatCode>
                <c:ptCount val="162"/>
                <c:pt idx="0">
                  <c:v>93.3</c:v>
                </c:pt>
                <c:pt idx="1">
                  <c:v>95.7</c:v>
                </c:pt>
                <c:pt idx="2">
                  <c:v>93.8</c:v>
                </c:pt>
                <c:pt idx="3">
                  <c:v>99.4</c:v>
                </c:pt>
                <c:pt idx="4">
                  <c:v>100</c:v>
                </c:pt>
                <c:pt idx="5">
                  <c:v>105.6</c:v>
                </c:pt>
                <c:pt idx="6">
                  <c:v>99.4</c:v>
                </c:pt>
                <c:pt idx="7">
                  <c:v>106.3</c:v>
                </c:pt>
                <c:pt idx="8">
                  <c:v>104.2</c:v>
                </c:pt>
                <c:pt idx="9">
                  <c:v>99.5</c:v>
                </c:pt>
                <c:pt idx="10">
                  <c:v>105.7</c:v>
                </c:pt>
                <c:pt idx="11">
                  <c:v>97.1</c:v>
                </c:pt>
                <c:pt idx="12">
                  <c:v>101.4</c:v>
                </c:pt>
                <c:pt idx="13">
                  <c:v>102.69158570620752</c:v>
                </c:pt>
                <c:pt idx="14">
                  <c:v>96.928645733731258</c:v>
                </c:pt>
                <c:pt idx="15">
                  <c:v>101.99220908430269</c:v>
                </c:pt>
                <c:pt idx="16">
                  <c:v>103.48830923430005</c:v>
                </c:pt>
                <c:pt idx="17">
                  <c:v>109.48053037837512</c:v>
                </c:pt>
                <c:pt idx="18">
                  <c:v>101.26727433047061</c:v>
                </c:pt>
                <c:pt idx="19">
                  <c:v>109.08920764073842</c:v>
                </c:pt>
                <c:pt idx="20">
                  <c:v>107.57326508426512</c:v>
                </c:pt>
                <c:pt idx="21">
                  <c:v>102.19480586350207</c:v>
                </c:pt>
                <c:pt idx="22">
                  <c:v>111.21622901530094</c:v>
                </c:pt>
                <c:pt idx="23">
                  <c:v>101.72490256002122</c:v>
                </c:pt>
                <c:pt idx="24">
                  <c:v>106.12001356813862</c:v>
                </c:pt>
                <c:pt idx="25">
                  <c:v>104.83178563968877</c:v>
                </c:pt>
                <c:pt idx="26">
                  <c:v>99.483124019671465</c:v>
                </c:pt>
                <c:pt idx="27">
                  <c:v>107.86513802561626</c:v>
                </c:pt>
                <c:pt idx="28">
                  <c:v>108.22845358752187</c:v>
                </c:pt>
                <c:pt idx="29">
                  <c:v>110.97506531203129</c:v>
                </c:pt>
                <c:pt idx="30">
                  <c:v>104.97187699025797</c:v>
                </c:pt>
                <c:pt idx="31">
                  <c:v>117.43629371586186</c:v>
                </c:pt>
                <c:pt idx="32">
                  <c:v>110.17298658516302</c:v>
                </c:pt>
                <c:pt idx="33">
                  <c:v>109.29398735018368</c:v>
                </c:pt>
                <c:pt idx="34">
                  <c:v>115.90146487413757</c:v>
                </c:pt>
                <c:pt idx="35">
                  <c:v>106.14915361661191</c:v>
                </c:pt>
                <c:pt idx="36">
                  <c:v>111.92000185204539</c:v>
                </c:pt>
                <c:pt idx="37">
                  <c:v>108.71275645690491</c:v>
                </c:pt>
                <c:pt idx="38">
                  <c:v>110.19576277703169</c:v>
                </c:pt>
                <c:pt idx="39">
                  <c:v>112.35817109365661</c:v>
                </c:pt>
                <c:pt idx="40">
                  <c:v>117.05875074545537</c:v>
                </c:pt>
                <c:pt idx="41">
                  <c:v>116.96277279985009</c:v>
                </c:pt>
                <c:pt idx="42">
                  <c:v>120.38409352993041</c:v>
                </c:pt>
                <c:pt idx="43">
                  <c:v>124.3708050917437</c:v>
                </c:pt>
                <c:pt idx="44">
                  <c:v>116.44977311611156</c:v>
                </c:pt>
                <c:pt idx="45">
                  <c:v>122.27927881546083</c:v>
                </c:pt>
                <c:pt idx="46">
                  <c:v>123.06826381673488</c:v>
                </c:pt>
                <c:pt idx="47">
                  <c:v>112.20335198297973</c:v>
                </c:pt>
                <c:pt idx="48">
                  <c:v>121.06714495687703</c:v>
                </c:pt>
                <c:pt idx="49">
                  <c:v>109.18751739717094</c:v>
                </c:pt>
                <c:pt idx="50">
                  <c:v>106.65374980360343</c:v>
                </c:pt>
                <c:pt idx="51">
                  <c:v>114.91068295803628</c:v>
                </c:pt>
                <c:pt idx="52">
                  <c:v>115.98650466682128</c:v>
                </c:pt>
                <c:pt idx="53">
                  <c:v>119.03249525801267</c:v>
                </c:pt>
                <c:pt idx="54">
                  <c:v>120.50790312705327</c:v>
                </c:pt>
                <c:pt idx="55">
                  <c:v>121.32210285979964</c:v>
                </c:pt>
                <c:pt idx="56">
                  <c:v>131.96011802455843</c:v>
                </c:pt>
                <c:pt idx="57">
                  <c:v>161.03181354732683</c:v>
                </c:pt>
                <c:pt idx="58">
                  <c:v>169.83297503513941</c:v>
                </c:pt>
                <c:pt idx="59">
                  <c:v>166.48930692475196</c:v>
                </c:pt>
                <c:pt idx="60">
                  <c:v>166.82319872023595</c:v>
                </c:pt>
                <c:pt idx="61">
                  <c:v>164.21975583270449</c:v>
                </c:pt>
                <c:pt idx="62">
                  <c:v>163.63075365642138</c:v>
                </c:pt>
                <c:pt idx="63">
                  <c:v>173.66483809169182</c:v>
                </c:pt>
                <c:pt idx="64">
                  <c:v>171.23074145978623</c:v>
                </c:pt>
                <c:pt idx="65">
                  <c:v>175.93186731983448</c:v>
                </c:pt>
                <c:pt idx="66">
                  <c:v>176.86302955353932</c:v>
                </c:pt>
                <c:pt idx="67">
                  <c:v>180.80105165929123</c:v>
                </c:pt>
                <c:pt idx="68">
                  <c:v>202.42290935730009</c:v>
                </c:pt>
                <c:pt idx="69">
                  <c:v>184.75648633772136</c:v>
                </c:pt>
                <c:pt idx="70">
                  <c:v>177.01327754420092</c:v>
                </c:pt>
                <c:pt idx="71">
                  <c:v>180.81340536478041</c:v>
                </c:pt>
                <c:pt idx="72">
                  <c:v>180.45277508886383</c:v>
                </c:pt>
                <c:pt idx="73">
                  <c:v>177.95211596517584</c:v>
                </c:pt>
                <c:pt idx="74">
                  <c:v>175.15747634026559</c:v>
                </c:pt>
                <c:pt idx="75">
                  <c:v>176.83942395099382</c:v>
                </c:pt>
                <c:pt idx="76">
                  <c:v>176.51548824130381</c:v>
                </c:pt>
                <c:pt idx="77">
                  <c:v>191.37776298113661</c:v>
                </c:pt>
                <c:pt idx="78">
                  <c:v>189.40121883189639</c:v>
                </c:pt>
                <c:pt idx="79">
                  <c:v>194.46520839698326</c:v>
                </c:pt>
                <c:pt idx="80">
                  <c:v>201.81056376787674</c:v>
                </c:pt>
                <c:pt idx="81">
                  <c:v>191.95381472539302</c:v>
                </c:pt>
                <c:pt idx="82">
                  <c:v>192.15881647349551</c:v>
                </c:pt>
                <c:pt idx="83">
                  <c:v>191.7574111185958</c:v>
                </c:pt>
                <c:pt idx="84">
                  <c:v>181.69914524201943</c:v>
                </c:pt>
                <c:pt idx="85">
                  <c:v>185.82146291171364</c:v>
                </c:pt>
                <c:pt idx="86">
                  <c:v>182.80312709306222</c:v>
                </c:pt>
                <c:pt idx="87">
                  <c:v>192.53125375644518</c:v>
                </c:pt>
                <c:pt idx="88">
                  <c:v>195.74373784327292</c:v>
                </c:pt>
                <c:pt idx="89">
                  <c:v>204.66848770936429</c:v>
                </c:pt>
                <c:pt idx="90">
                  <c:v>194.74160340273846</c:v>
                </c:pt>
                <c:pt idx="91">
                  <c:v>207.76384358980241</c:v>
                </c:pt>
                <c:pt idx="92">
                  <c:v>202.07659594255571</c:v>
                </c:pt>
                <c:pt idx="93">
                  <c:v>194.03329478256376</c:v>
                </c:pt>
                <c:pt idx="94">
                  <c:v>200.70841380202822</c:v>
                </c:pt>
                <c:pt idx="95">
                  <c:v>190.24326457501908</c:v>
                </c:pt>
                <c:pt idx="96">
                  <c:v>191.80037986355092</c:v>
                </c:pt>
                <c:pt idx="97">
                  <c:v>196.07914510414406</c:v>
                </c:pt>
                <c:pt idx="98">
                  <c:v>185.40703109707471</c:v>
                </c:pt>
                <c:pt idx="99">
                  <c:v>189.9365186224027</c:v>
                </c:pt>
                <c:pt idx="100">
                  <c:v>196.30223585482878</c:v>
                </c:pt>
                <c:pt idx="101">
                  <c:v>204.00400904038412</c:v>
                </c:pt>
                <c:pt idx="102">
                  <c:v>200.49018477043242</c:v>
                </c:pt>
                <c:pt idx="103">
                  <c:v>207.70077852991398</c:v>
                </c:pt>
                <c:pt idx="104">
                  <c:v>205.09819209443347</c:v>
                </c:pt>
                <c:pt idx="105">
                  <c:v>199.27825231628194</c:v>
                </c:pt>
                <c:pt idx="106">
                  <c:v>201.48663586075412</c:v>
                </c:pt>
                <c:pt idx="107">
                  <c:v>195.99710532300051</c:v>
                </c:pt>
                <c:pt idx="108">
                  <c:v>199.50130953014997</c:v>
                </c:pt>
                <c:pt idx="109">
                  <c:v>194.40196303406856</c:v>
                </c:pt>
                <c:pt idx="110">
                  <c:v>185.42612333137953</c:v>
                </c:pt>
                <c:pt idx="111">
                  <c:v>196.38668844792844</c:v>
                </c:pt>
                <c:pt idx="112">
                  <c:v>202.6146975276271</c:v>
                </c:pt>
                <c:pt idx="113">
                  <c:v>207.49557132013712</c:v>
                </c:pt>
                <c:pt idx="114">
                  <c:v>207.90643878065706</c:v>
                </c:pt>
                <c:pt idx="115">
                  <c:v>211.16434802297752</c:v>
                </c:pt>
                <c:pt idx="116">
                  <c:v>216.17707283759313</c:v>
                </c:pt>
                <c:pt idx="117">
                  <c:v>206.89023662647128</c:v>
                </c:pt>
                <c:pt idx="118">
                  <c:v>212.69269056839897</c:v>
                </c:pt>
                <c:pt idx="119">
                  <c:v>204.39841545698422</c:v>
                </c:pt>
                <c:pt idx="120">
                  <c:v>205.56853534350151</c:v>
                </c:pt>
                <c:pt idx="121">
                  <c:v>201.53528752280386</c:v>
                </c:pt>
                <c:pt idx="122">
                  <c:v>191.35988211255562</c:v>
                </c:pt>
                <c:pt idx="123">
                  <c:v>201.35390932766009</c:v>
                </c:pt>
                <c:pt idx="124">
                  <c:v>204.47639791863793</c:v>
                </c:pt>
                <c:pt idx="125">
                  <c:v>210.10542234283108</c:v>
                </c:pt>
                <c:pt idx="126">
                  <c:v>206.20751348217223</c:v>
                </c:pt>
                <c:pt idx="127">
                  <c:v>210.9872495532407</c:v>
                </c:pt>
                <c:pt idx="128">
                  <c:v>209.65096765102172</c:v>
                </c:pt>
                <c:pt idx="129">
                  <c:v>203.88470947447655</c:v>
                </c:pt>
                <c:pt idx="130">
                  <c:v>207.06601056888454</c:v>
                </c:pt>
                <c:pt idx="131">
                  <c:v>204.25158263276873</c:v>
                </c:pt>
                <c:pt idx="132">
                  <c:v>205.75678020049483</c:v>
                </c:pt>
                <c:pt idx="133">
                  <c:v>209.58448785786774</c:v>
                </c:pt>
                <c:pt idx="134">
                  <c:v>203.84540317399927</c:v>
                </c:pt>
                <c:pt idx="135">
                  <c:v>220.85752811656545</c:v>
                </c:pt>
                <c:pt idx="136">
                  <c:v>221.1357446876172</c:v>
                </c:pt>
                <c:pt idx="137">
                  <c:v>225.95525483978332</c:v>
                </c:pt>
                <c:pt idx="138">
                  <c:v>225.07192308380041</c:v>
                </c:pt>
                <c:pt idx="139">
                  <c:v>224.81485621787903</c:v>
                </c:pt>
                <c:pt idx="140">
                  <c:v>226.46201860001847</c:v>
                </c:pt>
                <c:pt idx="141">
                  <c:v>216.45222818737489</c:v>
                </c:pt>
                <c:pt idx="142">
                  <c:v>226.00869468934087</c:v>
                </c:pt>
                <c:pt idx="143">
                  <c:v>225.7830073778517</c:v>
                </c:pt>
                <c:pt idx="144">
                  <c:v>223.61155858823733</c:v>
                </c:pt>
                <c:pt idx="145">
                  <c:v>225.06921202189685</c:v>
                </c:pt>
                <c:pt idx="146">
                  <c:v>214.64755038618705</c:v>
                </c:pt>
                <c:pt idx="147">
                  <c:v>226.05110243529754</c:v>
                </c:pt>
                <c:pt idx="148">
                  <c:v>221.32525319159166</c:v>
                </c:pt>
                <c:pt idx="149">
                  <c:v>234.74936655137304</c:v>
                </c:pt>
                <c:pt idx="150">
                  <c:v>224.11373929286862</c:v>
                </c:pt>
                <c:pt idx="151">
                  <c:v>237.51699280378412</c:v>
                </c:pt>
                <c:pt idx="152">
                  <c:v>238.33710316913385</c:v>
                </c:pt>
                <c:pt idx="153">
                  <c:v>232.39946217033255</c:v>
                </c:pt>
                <c:pt idx="154">
                  <c:v>243.28358902114243</c:v>
                </c:pt>
                <c:pt idx="155">
                  <c:v>235.85007203955712</c:v>
                </c:pt>
                <c:pt idx="156">
                  <c:v>245.04482846036103</c:v>
                </c:pt>
                <c:pt idx="157">
                  <c:v>242.69784025092076</c:v>
                </c:pt>
                <c:pt idx="158">
                  <c:v>233.52777278464785</c:v>
                </c:pt>
                <c:pt idx="159">
                  <c:v>246.39578416940924</c:v>
                </c:pt>
                <c:pt idx="160">
                  <c:v>250.07356318280645</c:v>
                </c:pt>
                <c:pt idx="161">
                  <c:v>253.30133670304804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2D-184B-8024-9F2FDEAED087}"/>
            </c:ext>
          </c:extLst>
        </c:ser>
        <c:ser>
          <c:idx val="2"/>
          <c:order val="2"/>
          <c:tx>
            <c:v>Prediction</c:v>
          </c:tx>
          <c:spPr>
            <a:ln w="12700">
              <a:solidFill>
                <a:srgbClr val="0078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ARIMA!$B$219:$B$224</c:f>
              <c:numCache>
                <c:formatCode>m/d/yy</c:formatCode>
                <c:ptCount val="6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</c:numCache>
            </c:numRef>
          </c:xVal>
          <c:yVal>
            <c:numRef>
              <c:f>ARIMA!$D$219:$D$224</c:f>
              <c:numCache>
                <c:formatCode>0.000</c:formatCode>
                <c:ptCount val="6"/>
                <c:pt idx="0">
                  <c:v>245.04482846036103</c:v>
                </c:pt>
                <c:pt idx="1">
                  <c:v>242.69784025092076</c:v>
                </c:pt>
                <c:pt idx="2">
                  <c:v>233.52777278464785</c:v>
                </c:pt>
                <c:pt idx="3">
                  <c:v>246.39578416940924</c:v>
                </c:pt>
                <c:pt idx="4">
                  <c:v>250.07356318280645</c:v>
                </c:pt>
                <c:pt idx="5">
                  <c:v>253.30133670304804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2D-184B-8024-9F2FDEAED087}"/>
            </c:ext>
          </c:extLst>
        </c:ser>
        <c:ser>
          <c:idx val="3"/>
          <c:order val="3"/>
          <c:tx>
            <c:v>Lower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ARIMA!$B$219:$B$224</c:f>
              <c:numCache>
                <c:formatCode>m/d/yy</c:formatCode>
                <c:ptCount val="6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</c:numCache>
            </c:numRef>
          </c:xVal>
          <c:yVal>
            <c:numRef>
              <c:f>ARIMA!$H$219:$H$224</c:f>
              <c:numCache>
                <c:formatCode>0.000</c:formatCode>
                <c:ptCount val="6"/>
                <c:pt idx="0">
                  <c:v>233.64318648860271</c:v>
                </c:pt>
                <c:pt idx="1">
                  <c:v>228.29549648642413</c:v>
                </c:pt>
                <c:pt idx="2">
                  <c:v>216.65893064171209</c:v>
                </c:pt>
                <c:pt idx="3">
                  <c:v>227.19653129661893</c:v>
                </c:pt>
                <c:pt idx="4">
                  <c:v>228.70137798360881</c:v>
                </c:pt>
                <c:pt idx="5">
                  <c:v>229.93065870565923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2D-184B-8024-9F2FDEAED087}"/>
            </c:ext>
          </c:extLst>
        </c:ser>
        <c:ser>
          <c:idx val="4"/>
          <c:order val="4"/>
          <c:tx>
            <c:v>Upper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ARIMA!$B$219:$B$224</c:f>
              <c:numCache>
                <c:formatCode>m/d/yy</c:formatCode>
                <c:ptCount val="6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</c:numCache>
            </c:numRef>
          </c:xVal>
          <c:yVal>
            <c:numRef>
              <c:f>ARIMA!$I$219:$I$224</c:f>
              <c:numCache>
                <c:formatCode>0.000</c:formatCode>
                <c:ptCount val="6"/>
                <c:pt idx="0">
                  <c:v>256.44647043211933</c:v>
                </c:pt>
                <c:pt idx="1">
                  <c:v>257.10018401541737</c:v>
                </c:pt>
                <c:pt idx="2">
                  <c:v>250.39661492758361</c:v>
                </c:pt>
                <c:pt idx="3">
                  <c:v>265.59503704219958</c:v>
                </c:pt>
                <c:pt idx="4">
                  <c:v>271.44574838200407</c:v>
                </c:pt>
                <c:pt idx="5">
                  <c:v>276.67201470043682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2D-184B-8024-9F2FDEAED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818064"/>
        <c:axId val="1089819744"/>
      </c:scatterChart>
      <c:valAx>
        <c:axId val="1089818064"/>
        <c:scaling>
          <c:orientation val="minMax"/>
          <c:max val="44000"/>
          <c:min val="3800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819744"/>
        <c:crosses val="autoZero"/>
        <c:crossBetween val="midCat"/>
      </c:valAx>
      <c:valAx>
        <c:axId val="1089819744"/>
        <c:scaling>
          <c:orientation val="minMax"/>
          <c:max val="300"/>
          <c:min val="5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Transport related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81806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ARIMA!$B$63:$B$218</c:f>
              <c:numCache>
                <c:formatCode>m/d/yy</c:formatCode>
                <c:ptCount val="156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</c:numCache>
            </c:numRef>
          </c:cat>
          <c:val>
            <c:numRef>
              <c:f>ARIMA!$E$63:$E$218</c:f>
              <c:numCache>
                <c:formatCode>0.000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-4.9915857062075162</c:v>
                </c:pt>
                <c:pt idx="14">
                  <c:v>-1.1286457337312612</c:v>
                </c:pt>
                <c:pt idx="15">
                  <c:v>1.0077909156973135</c:v>
                </c:pt>
                <c:pt idx="16">
                  <c:v>1.511690765699953</c:v>
                </c:pt>
                <c:pt idx="17">
                  <c:v>-2.9805303783751214</c:v>
                </c:pt>
                <c:pt idx="18">
                  <c:v>0.73272566952938689</c:v>
                </c:pt>
                <c:pt idx="19">
                  <c:v>1.4107923592615776</c:v>
                </c:pt>
                <c:pt idx="20">
                  <c:v>-2.0732650842651168</c:v>
                </c:pt>
                <c:pt idx="21">
                  <c:v>4.0051941364979342</c:v>
                </c:pt>
                <c:pt idx="22">
                  <c:v>-1.2162290153009394</c:v>
                </c:pt>
                <c:pt idx="23">
                  <c:v>0.17509743997878502</c:v>
                </c:pt>
                <c:pt idx="24">
                  <c:v>1.3799864318613828</c:v>
                </c:pt>
                <c:pt idx="25">
                  <c:v>-5.131785639688772</c:v>
                </c:pt>
                <c:pt idx="26">
                  <c:v>2.4168759803285411</c:v>
                </c:pt>
                <c:pt idx="27">
                  <c:v>-1.4651380256162554</c:v>
                </c:pt>
                <c:pt idx="28">
                  <c:v>0.27154641247813061</c:v>
                </c:pt>
                <c:pt idx="29">
                  <c:v>-2.4750653120312904</c:v>
                </c:pt>
                <c:pt idx="30">
                  <c:v>6.7281230097420348</c:v>
                </c:pt>
                <c:pt idx="31">
                  <c:v>-4.1362937158618678</c:v>
                </c:pt>
                <c:pt idx="32">
                  <c:v>-0.67298658516301657</c:v>
                </c:pt>
                <c:pt idx="33">
                  <c:v>3.0060126498163129</c:v>
                </c:pt>
                <c:pt idx="34">
                  <c:v>-2.1014648741375765</c:v>
                </c:pt>
                <c:pt idx="35">
                  <c:v>0.95084638338808247</c:v>
                </c:pt>
                <c:pt idx="36">
                  <c:v>1.4799981479546176</c:v>
                </c:pt>
                <c:pt idx="37">
                  <c:v>1.7872435430950873</c:v>
                </c:pt>
                <c:pt idx="38">
                  <c:v>-4.695762777031689</c:v>
                </c:pt>
                <c:pt idx="39">
                  <c:v>4.1418289063433917</c:v>
                </c:pt>
                <c:pt idx="40">
                  <c:v>-2.8587507454553673</c:v>
                </c:pt>
                <c:pt idx="41">
                  <c:v>4.8372272001499113</c:v>
                </c:pt>
                <c:pt idx="42">
                  <c:v>0.81590647006959216</c:v>
                </c:pt>
                <c:pt idx="43">
                  <c:v>-6.9708050917436992</c:v>
                </c:pt>
                <c:pt idx="44">
                  <c:v>7.0502268838884419</c:v>
                </c:pt>
                <c:pt idx="45">
                  <c:v>-2.1792788154608331</c:v>
                </c:pt>
                <c:pt idx="46">
                  <c:v>-5.5682638167348841</c:v>
                </c:pt>
                <c:pt idx="47">
                  <c:v>5.9966480170202772</c:v>
                </c:pt>
                <c:pt idx="48">
                  <c:v>-12.06714495687703</c:v>
                </c:pt>
                <c:pt idx="49">
                  <c:v>0.51248260282906699</c:v>
                </c:pt>
                <c:pt idx="50">
                  <c:v>-0.353749803603435</c:v>
                </c:pt>
                <c:pt idx="51">
                  <c:v>2.6893170419637187</c:v>
                </c:pt>
                <c:pt idx="52">
                  <c:v>-3.4865046668212756</c:v>
                </c:pt>
                <c:pt idx="53">
                  <c:v>4.1675047419873295</c:v>
                </c:pt>
                <c:pt idx="54">
                  <c:v>-0.60790312705326244</c:v>
                </c:pt>
                <c:pt idx="55">
                  <c:v>7.7778971402003521</c:v>
                </c:pt>
                <c:pt idx="56">
                  <c:v>40.339881975441585</c:v>
                </c:pt>
                <c:pt idx="57">
                  <c:v>10.768186452673177</c:v>
                </c:pt>
                <c:pt idx="58">
                  <c:v>-2.5329750351394011</c:v>
                </c:pt>
                <c:pt idx="59">
                  <c:v>2.6106930752480366</c:v>
                </c:pt>
                <c:pt idx="60">
                  <c:v>-3.0231987202359392</c:v>
                </c:pt>
                <c:pt idx="61">
                  <c:v>2.0802441672955183</c:v>
                </c:pt>
                <c:pt idx="62">
                  <c:v>1.3692463435786237</c:v>
                </c:pt>
                <c:pt idx="63">
                  <c:v>-6.4838091691825639E-2</c:v>
                </c:pt>
                <c:pt idx="64">
                  <c:v>-3.9307414597862191</c:v>
                </c:pt>
                <c:pt idx="65">
                  <c:v>5.0681326801655189</c:v>
                </c:pt>
                <c:pt idx="66">
                  <c:v>-3.4630295535393145</c:v>
                </c:pt>
                <c:pt idx="67">
                  <c:v>1.9989483407087789</c:v>
                </c:pt>
                <c:pt idx="68">
                  <c:v>-21.322909357300091</c:v>
                </c:pt>
                <c:pt idx="69">
                  <c:v>-9.8564863377213499</c:v>
                </c:pt>
                <c:pt idx="70">
                  <c:v>8.4867224557990824</c:v>
                </c:pt>
                <c:pt idx="71">
                  <c:v>2.8865946352195806</c:v>
                </c:pt>
                <c:pt idx="72">
                  <c:v>-3.5527750888638252</c:v>
                </c:pt>
                <c:pt idx="73">
                  <c:v>-1.2521159651758467</c:v>
                </c:pt>
                <c:pt idx="74">
                  <c:v>-8.8574763402655776</c:v>
                </c:pt>
                <c:pt idx="75">
                  <c:v>3.3605760490061698</c:v>
                </c:pt>
                <c:pt idx="76">
                  <c:v>7.4845117586961862</c:v>
                </c:pt>
                <c:pt idx="77">
                  <c:v>4.2222370188633818</c:v>
                </c:pt>
                <c:pt idx="78">
                  <c:v>-3.2012188318963979</c:v>
                </c:pt>
                <c:pt idx="79">
                  <c:v>6.5347916030167426</c:v>
                </c:pt>
                <c:pt idx="80">
                  <c:v>-7.7105637678767494</c:v>
                </c:pt>
                <c:pt idx="81">
                  <c:v>-8.0538147253930106</c:v>
                </c:pt>
                <c:pt idx="82">
                  <c:v>4.3411835265044942</c:v>
                </c:pt>
                <c:pt idx="83">
                  <c:v>-8.9574111185957861</c:v>
                </c:pt>
                <c:pt idx="84">
                  <c:v>6.100854757980585</c:v>
                </c:pt>
                <c:pt idx="85">
                  <c:v>3.9785370882863731</c:v>
                </c:pt>
                <c:pt idx="86">
                  <c:v>-1.5031270930622043</c:v>
                </c:pt>
                <c:pt idx="87">
                  <c:v>2.3687462435548241</c:v>
                </c:pt>
                <c:pt idx="88">
                  <c:v>0.25626215672707531</c:v>
                </c:pt>
                <c:pt idx="89">
                  <c:v>-5.4684877093642967</c:v>
                </c:pt>
                <c:pt idx="90">
                  <c:v>4.3583965972615317</c:v>
                </c:pt>
                <c:pt idx="91">
                  <c:v>-7.6638435898024113</c:v>
                </c:pt>
                <c:pt idx="92">
                  <c:v>-3.1765959425557071</c:v>
                </c:pt>
                <c:pt idx="93">
                  <c:v>-0.43329478256376319</c:v>
                </c:pt>
                <c:pt idx="94">
                  <c:v>-2.2084138020282182</c:v>
                </c:pt>
                <c:pt idx="95">
                  <c:v>-0.94326457501907157</c:v>
                </c:pt>
                <c:pt idx="96">
                  <c:v>5.399620136449073</c:v>
                </c:pt>
                <c:pt idx="97">
                  <c:v>-6.4791451041440666</c:v>
                </c:pt>
                <c:pt idx="98">
                  <c:v>-9.0070310970747016</c:v>
                </c:pt>
                <c:pt idx="99">
                  <c:v>8.163481377597293</c:v>
                </c:pt>
                <c:pt idx="100">
                  <c:v>3.4977641451712316</c:v>
                </c:pt>
                <c:pt idx="101">
                  <c:v>-1.9040090403841248</c:v>
                </c:pt>
                <c:pt idx="102">
                  <c:v>4.0098152295675789</c:v>
                </c:pt>
                <c:pt idx="103">
                  <c:v>-5.2007785299139755</c:v>
                </c:pt>
                <c:pt idx="104">
                  <c:v>-2.3981920944334831</c:v>
                </c:pt>
                <c:pt idx="105">
                  <c:v>-3.0782523162819473</c:v>
                </c:pt>
                <c:pt idx="106">
                  <c:v>2.0133641392458799</c:v>
                </c:pt>
                <c:pt idx="107">
                  <c:v>0.40289467699949455</c:v>
                </c:pt>
                <c:pt idx="108">
                  <c:v>-1.8013095301499789</c:v>
                </c:pt>
                <c:pt idx="109">
                  <c:v>-1.401963034068558</c:v>
                </c:pt>
                <c:pt idx="110">
                  <c:v>-5.3261233313795344</c:v>
                </c:pt>
                <c:pt idx="111">
                  <c:v>7.3133115520715535</c:v>
                </c:pt>
                <c:pt idx="112">
                  <c:v>0.18530247237291064</c:v>
                </c:pt>
                <c:pt idx="113">
                  <c:v>1.6044286798628775</c:v>
                </c:pt>
                <c:pt idx="114">
                  <c:v>0.29356121934293355</c:v>
                </c:pt>
                <c:pt idx="115">
                  <c:v>3.5356519770224679</c:v>
                </c:pt>
                <c:pt idx="116">
                  <c:v>-6.0770728375931355</c:v>
                </c:pt>
                <c:pt idx="117">
                  <c:v>9.7633735287274703E-3</c:v>
                </c:pt>
                <c:pt idx="118">
                  <c:v>-2.2926905683989673</c:v>
                </c:pt>
                <c:pt idx="119">
                  <c:v>1.584543015781037E-3</c:v>
                </c:pt>
                <c:pt idx="120">
                  <c:v>-1.6685353435015031</c:v>
                </c:pt>
                <c:pt idx="121">
                  <c:v>-2.4352875228038613</c:v>
                </c:pt>
                <c:pt idx="122">
                  <c:v>-8.2598821125556299</c:v>
                </c:pt>
                <c:pt idx="123">
                  <c:v>4.8460906723398978</c:v>
                </c:pt>
                <c:pt idx="124">
                  <c:v>-0.4763979186379288</c:v>
                </c:pt>
                <c:pt idx="125">
                  <c:v>-2.4054223428310877</c:v>
                </c:pt>
                <c:pt idx="126">
                  <c:v>-1.3075134821722258</c:v>
                </c:pt>
                <c:pt idx="127">
                  <c:v>-0.98724955324070152</c:v>
                </c:pt>
                <c:pt idx="128">
                  <c:v>-2.9509676510217275</c:v>
                </c:pt>
                <c:pt idx="129">
                  <c:v>-1.3847094744765513</c:v>
                </c:pt>
                <c:pt idx="130">
                  <c:v>4.033989431115458</c:v>
                </c:pt>
                <c:pt idx="131">
                  <c:v>1.3484173672312636</c:v>
                </c:pt>
                <c:pt idx="132">
                  <c:v>8.6432197995051752</c:v>
                </c:pt>
                <c:pt idx="133">
                  <c:v>5.3155121421322633</c:v>
                </c:pt>
                <c:pt idx="134">
                  <c:v>-0.24540317399927858</c:v>
                </c:pt>
                <c:pt idx="135">
                  <c:v>1.0424718834345583</c:v>
                </c:pt>
                <c:pt idx="136">
                  <c:v>-0.83574468761719345</c:v>
                </c:pt>
                <c:pt idx="137">
                  <c:v>2.4447451602166836</c:v>
                </c:pt>
                <c:pt idx="138">
                  <c:v>-7.371923083800425</c:v>
                </c:pt>
                <c:pt idx="139">
                  <c:v>1.8851437821209629</c:v>
                </c:pt>
                <c:pt idx="140">
                  <c:v>-7.8620186000184731</c:v>
                </c:pt>
                <c:pt idx="141">
                  <c:v>3.9477718126251204</c:v>
                </c:pt>
                <c:pt idx="142">
                  <c:v>7.7913053106591406</c:v>
                </c:pt>
                <c:pt idx="143">
                  <c:v>-8.683007377851709</c:v>
                </c:pt>
                <c:pt idx="144">
                  <c:v>2.4884414117626648</c:v>
                </c:pt>
                <c:pt idx="145">
                  <c:v>-2.4692120218968512</c:v>
                </c:pt>
                <c:pt idx="146">
                  <c:v>-4.9475503861870607</c:v>
                </c:pt>
                <c:pt idx="147">
                  <c:v>-5.1511024352975312</c:v>
                </c:pt>
                <c:pt idx="148">
                  <c:v>8.6747468084083437</c:v>
                </c:pt>
                <c:pt idx="149">
                  <c:v>-5.8493665513730377</c:v>
                </c:pt>
                <c:pt idx="150">
                  <c:v>8.0862607071313732</c:v>
                </c:pt>
                <c:pt idx="151">
                  <c:v>4.583007196215874</c:v>
                </c:pt>
                <c:pt idx="152">
                  <c:v>-6.4371031691338487</c:v>
                </c:pt>
                <c:pt idx="153">
                  <c:v>2.6005378296674451</c:v>
                </c:pt>
                <c:pt idx="154">
                  <c:v>3.7164109788575672</c:v>
                </c:pt>
                <c:pt idx="155">
                  <c:v>5.6499279604428807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F-E84C-8436-FAE582BA4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295184"/>
        <c:axId val="1089054960"/>
      </c:barChart>
      <c:dateAx>
        <c:axId val="1088295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054960"/>
        <c:crosses val="autoZero"/>
        <c:auto val="1"/>
        <c:lblOffset val="100"/>
        <c:baseTimeUnit val="months"/>
      </c:dateAx>
      <c:valAx>
        <c:axId val="10890549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829518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AutocorrelogramTransport related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ARIMA!$C$248:$C$270</c:f>
              <c:numCache>
                <c:formatCode>0.000</c:formatCode>
                <c:ptCount val="23"/>
                <c:pt idx="0">
                  <c:v>1</c:v>
                </c:pt>
                <c:pt idx="1">
                  <c:v>0.96792673884986813</c:v>
                </c:pt>
                <c:pt idx="2">
                  <c:v>0.94705142258769237</c:v>
                </c:pt>
                <c:pt idx="3">
                  <c:v>0.92590568063500878</c:v>
                </c:pt>
                <c:pt idx="4">
                  <c:v>0.90220479162727518</c:v>
                </c:pt>
                <c:pt idx="5">
                  <c:v>0.88384882999377079</c:v>
                </c:pt>
                <c:pt idx="6">
                  <c:v>0.86401610931993589</c:v>
                </c:pt>
                <c:pt idx="7">
                  <c:v>0.84734503667940608</c:v>
                </c:pt>
                <c:pt idx="8">
                  <c:v>0.82843456377698821</c:v>
                </c:pt>
                <c:pt idx="9">
                  <c:v>0.81820607899430065</c:v>
                </c:pt>
                <c:pt idx="10">
                  <c:v>0.80463211948362234</c:v>
                </c:pt>
                <c:pt idx="11">
                  <c:v>0.78965417870328081</c:v>
                </c:pt>
                <c:pt idx="12">
                  <c:v>0.77954068827393619</c:v>
                </c:pt>
                <c:pt idx="13">
                  <c:v>0.75318625115041182</c:v>
                </c:pt>
                <c:pt idx="14">
                  <c:v>0.73437337262244273</c:v>
                </c:pt>
                <c:pt idx="15">
                  <c:v>0.71172552212379159</c:v>
                </c:pt>
                <c:pt idx="16">
                  <c:v>0.68990257436150759</c:v>
                </c:pt>
                <c:pt idx="17">
                  <c:v>0.67259373064859351</c:v>
                </c:pt>
                <c:pt idx="18">
                  <c:v>0.6518050329382723</c:v>
                </c:pt>
                <c:pt idx="19">
                  <c:v>0.63444022475264406</c:v>
                </c:pt>
                <c:pt idx="20">
                  <c:v>0.61661367911082421</c:v>
                </c:pt>
                <c:pt idx="21">
                  <c:v>0.59967488929012858</c:v>
                </c:pt>
                <c:pt idx="22">
                  <c:v>0.58479697272113207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3-A749-860F-C768079AC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9937632"/>
        <c:axId val="108993481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ARIMA!$E$248:$E$270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-0.266018210603857</c:v>
                </c:pt>
                <c:pt idx="3">
                  <c:v>-0.33902485884338451</c:v>
                </c:pt>
                <c:pt idx="4">
                  <c:v>-0.39643346577301336</c:v>
                </c:pt>
                <c:pt idx="5">
                  <c:v>-0.44412527201570329</c:v>
                </c:pt>
                <c:pt idx="6">
                  <c:v>-0.48551044372982316</c:v>
                </c:pt>
                <c:pt idx="7">
                  <c:v>-0.52200219906760459</c:v>
                </c:pt>
                <c:pt idx="8">
                  <c:v>-0.55483970849685071</c:v>
                </c:pt>
                <c:pt idx="9">
                  <c:v>-0.58450594800303413</c:v>
                </c:pt>
                <c:pt idx="10">
                  <c:v>-0.61206030202104378</c:v>
                </c:pt>
                <c:pt idx="11">
                  <c:v>-0.63757630073111071</c:v>
                </c:pt>
                <c:pt idx="12">
                  <c:v>-0.66122101513854559</c:v>
                </c:pt>
                <c:pt idx="13">
                  <c:v>-0.68347738185740892</c:v>
                </c:pt>
                <c:pt idx="14">
                  <c:v>-0.70361924456010738</c:v>
                </c:pt>
                <c:pt idx="15">
                  <c:v>-0.72224683518045152</c:v>
                </c:pt>
                <c:pt idx="16">
                  <c:v>-0.73931587939564181</c:v>
                </c:pt>
                <c:pt idx="17">
                  <c:v>-0.75500266369021996</c:v>
                </c:pt>
                <c:pt idx="18">
                  <c:v>-0.76961588661435032</c:v>
                </c:pt>
                <c:pt idx="19">
                  <c:v>-0.78309146421827758</c:v>
                </c:pt>
                <c:pt idx="20">
                  <c:v>-0.79564807733587106</c:v>
                </c:pt>
                <c:pt idx="21">
                  <c:v>-0.8073296256055309</c:v>
                </c:pt>
                <c:pt idx="22">
                  <c:v>-0.81822474033150894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D3-A749-860F-C768079AC3A9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ARIMA!$F$248:$F$270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0.266018210603857</c:v>
                </c:pt>
                <c:pt idx="3">
                  <c:v>0.33902485884338451</c:v>
                </c:pt>
                <c:pt idx="4">
                  <c:v>0.39643346577301336</c:v>
                </c:pt>
                <c:pt idx="5">
                  <c:v>0.44412527201570329</c:v>
                </c:pt>
                <c:pt idx="6">
                  <c:v>0.48551044372982316</c:v>
                </c:pt>
                <c:pt idx="7">
                  <c:v>0.52200219906760459</c:v>
                </c:pt>
                <c:pt idx="8">
                  <c:v>0.55483970849685071</c:v>
                </c:pt>
                <c:pt idx="9">
                  <c:v>0.58450594800303413</c:v>
                </c:pt>
                <c:pt idx="10">
                  <c:v>0.61206030202104378</c:v>
                </c:pt>
                <c:pt idx="11">
                  <c:v>0.63757630073111071</c:v>
                </c:pt>
                <c:pt idx="12">
                  <c:v>0.66122101513854559</c:v>
                </c:pt>
                <c:pt idx="13">
                  <c:v>0.68347738185740892</c:v>
                </c:pt>
                <c:pt idx="14">
                  <c:v>0.70361924456010738</c:v>
                </c:pt>
                <c:pt idx="15">
                  <c:v>0.72224683518045152</c:v>
                </c:pt>
                <c:pt idx="16">
                  <c:v>0.73931587939564181</c:v>
                </c:pt>
                <c:pt idx="17">
                  <c:v>0.75500266369021996</c:v>
                </c:pt>
                <c:pt idx="18">
                  <c:v>0.76961588661435032</c:v>
                </c:pt>
                <c:pt idx="19">
                  <c:v>0.78309146421827758</c:v>
                </c:pt>
                <c:pt idx="20">
                  <c:v>0.79564807733587106</c:v>
                </c:pt>
                <c:pt idx="21">
                  <c:v>0.8073296256055309</c:v>
                </c:pt>
                <c:pt idx="22">
                  <c:v>0.81822474033150894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D3-A749-860F-C768079AC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937632"/>
        <c:axId val="1089934816"/>
      </c:lineChart>
      <c:catAx>
        <c:axId val="1089937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934816"/>
        <c:crosses val="autoZero"/>
        <c:auto val="1"/>
        <c:lblAlgn val="ctr"/>
        <c:lblOffset val="100"/>
        <c:noMultiLvlLbl val="0"/>
      </c:catAx>
      <c:valAx>
        <c:axId val="108993481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93763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Partial autocorrelogramTransport related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ARIMA!$G$248:$G$270</c:f>
              <c:numCache>
                <c:formatCode>0.000</c:formatCode>
                <c:ptCount val="23"/>
                <c:pt idx="0">
                  <c:v>1</c:v>
                </c:pt>
                <c:pt idx="1">
                  <c:v>0.96792673884986813</c:v>
                </c:pt>
                <c:pt idx="2">
                  <c:v>0.16111534718516227</c:v>
                </c:pt>
                <c:pt idx="3">
                  <c:v>1.5811289790784545E-2</c:v>
                </c:pt>
                <c:pt idx="4">
                  <c:v>-4.8522902781820546E-2</c:v>
                </c:pt>
                <c:pt idx="5">
                  <c:v>6.0791738934388127E-2</c:v>
                </c:pt>
                <c:pt idx="6">
                  <c:v>-6.9970519909836743E-3</c:v>
                </c:pt>
                <c:pt idx="7">
                  <c:v>4.0131941015118855E-2</c:v>
                </c:pt>
                <c:pt idx="8">
                  <c:v>-3.4044070258391068E-2</c:v>
                </c:pt>
                <c:pt idx="9">
                  <c:v>0.12916316240384965</c:v>
                </c:pt>
                <c:pt idx="10">
                  <c:v>-1.9035147508833814E-2</c:v>
                </c:pt>
                <c:pt idx="11">
                  <c:v>-2.9436591687847614E-2</c:v>
                </c:pt>
                <c:pt idx="12">
                  <c:v>4.982173320725574E-2</c:v>
                </c:pt>
                <c:pt idx="13">
                  <c:v>-0.2279486029887583</c:v>
                </c:pt>
                <c:pt idx="14">
                  <c:v>2.9659759203923393E-2</c:v>
                </c:pt>
                <c:pt idx="15">
                  <c:v>-5.3074142893298343E-2</c:v>
                </c:pt>
                <c:pt idx="16">
                  <c:v>4.6887190723633653E-3</c:v>
                </c:pt>
                <c:pt idx="17">
                  <c:v>4.6551413194453842E-2</c:v>
                </c:pt>
                <c:pt idx="18">
                  <c:v>-3.9357638923995852E-2</c:v>
                </c:pt>
                <c:pt idx="19">
                  <c:v>5.2502429311890256E-3</c:v>
                </c:pt>
                <c:pt idx="20">
                  <c:v>1.6164698413878277E-2</c:v>
                </c:pt>
                <c:pt idx="21">
                  <c:v>-5.3402634348283289E-2</c:v>
                </c:pt>
                <c:pt idx="22">
                  <c:v>5.2321744124920765E-2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1-9744-914F-25C1DC528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9159344"/>
        <c:axId val="1089161072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ARIMA!$I$248:$I$270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51-9744-914F-25C1DC5289F2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ARIMA!$B$248:$B$270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ARIMA!$J$248:$J$270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1-9744-914F-25C1DC528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159344"/>
        <c:axId val="1089161072"/>
      </c:lineChart>
      <c:catAx>
        <c:axId val="1089159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161072"/>
        <c:crosses val="autoZero"/>
        <c:auto val="1"/>
        <c:lblAlgn val="ctr"/>
        <c:lblOffset val="100"/>
        <c:noMultiLvlLbl val="0"/>
      </c:catAx>
      <c:valAx>
        <c:axId val="1089161072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15934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ARIMA!$C$294:$C$316</c:f>
              <c:numCache>
                <c:formatCode>0.000</c:formatCode>
                <c:ptCount val="23"/>
                <c:pt idx="0">
                  <c:v>1</c:v>
                </c:pt>
                <c:pt idx="1">
                  <c:v>3.9112760781258799E-3</c:v>
                </c:pt>
                <c:pt idx="2">
                  <c:v>-2.7091870163890086E-2</c:v>
                </c:pt>
                <c:pt idx="3">
                  <c:v>8.5544013385038059E-2</c:v>
                </c:pt>
                <c:pt idx="4">
                  <c:v>-0.13047058710098541</c:v>
                </c:pt>
                <c:pt idx="5">
                  <c:v>2.1591951162731486E-2</c:v>
                </c:pt>
                <c:pt idx="6">
                  <c:v>0.14978532981410961</c:v>
                </c:pt>
                <c:pt idx="7">
                  <c:v>-0.1205491915948273</c:v>
                </c:pt>
                <c:pt idx="8">
                  <c:v>-0.16601364666346313</c:v>
                </c:pt>
                <c:pt idx="9">
                  <c:v>0.13464812151926767</c:v>
                </c:pt>
                <c:pt idx="10">
                  <c:v>-0.15295809116408102</c:v>
                </c:pt>
                <c:pt idx="11">
                  <c:v>-6.8205708712597513E-2</c:v>
                </c:pt>
                <c:pt idx="12">
                  <c:v>-1.7575612747268068E-2</c:v>
                </c:pt>
                <c:pt idx="13">
                  <c:v>-0.23949075119927266</c:v>
                </c:pt>
                <c:pt idx="14">
                  <c:v>0.11649562356216531</c:v>
                </c:pt>
                <c:pt idx="15">
                  <c:v>6.5130060527345254E-2</c:v>
                </c:pt>
                <c:pt idx="16">
                  <c:v>-0.10663507884222359</c:v>
                </c:pt>
                <c:pt idx="17">
                  <c:v>9.8018485677920947E-3</c:v>
                </c:pt>
                <c:pt idx="18">
                  <c:v>-2.1205083748515739E-2</c:v>
                </c:pt>
                <c:pt idx="19">
                  <c:v>-2.3321969699648979E-2</c:v>
                </c:pt>
                <c:pt idx="20">
                  <c:v>0.15967136445108718</c:v>
                </c:pt>
                <c:pt idx="21">
                  <c:v>8.5463863324017161E-2</c:v>
                </c:pt>
                <c:pt idx="22">
                  <c:v>-9.3971711420126919E-2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6-804F-B496-982E1B36A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9924064"/>
        <c:axId val="108998076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ARIMA!$E$294:$E$316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-0.15692510778228455</c:v>
                </c:pt>
                <c:pt idx="3">
                  <c:v>-0.15704024025506028</c:v>
                </c:pt>
                <c:pt idx="4">
                  <c:v>-0.15818354457291695</c:v>
                </c:pt>
                <c:pt idx="5">
                  <c:v>-0.16081164933271236</c:v>
                </c:pt>
                <c:pt idx="6">
                  <c:v>-0.16088302357135018</c:v>
                </c:pt>
                <c:pt idx="7">
                  <c:v>-0.1642811338723795</c:v>
                </c:pt>
                <c:pt idx="8">
                  <c:v>-0.16644515485086706</c:v>
                </c:pt>
                <c:pt idx="9">
                  <c:v>-0.17047384306336741</c:v>
                </c:pt>
                <c:pt idx="10">
                  <c:v>-0.17307290325508784</c:v>
                </c:pt>
                <c:pt idx="11">
                  <c:v>-0.17637029012495206</c:v>
                </c:pt>
                <c:pt idx="12">
                  <c:v>-0.17701861117915679</c:v>
                </c:pt>
                <c:pt idx="13">
                  <c:v>-0.17706157678125781</c:v>
                </c:pt>
                <c:pt idx="14">
                  <c:v>-0.18486629174192676</c:v>
                </c:pt>
                <c:pt idx="15">
                  <c:v>-0.18666526658793095</c:v>
                </c:pt>
                <c:pt idx="16">
                  <c:v>-0.18722402171326438</c:v>
                </c:pt>
                <c:pt idx="17">
                  <c:v>-0.18871367736658273</c:v>
                </c:pt>
                <c:pt idx="18">
                  <c:v>-0.18872621367761022</c:v>
                </c:pt>
                <c:pt idx="19">
                  <c:v>-0.18878487500022983</c:v>
                </c:pt>
                <c:pt idx="20">
                  <c:v>-0.18885580880536601</c:v>
                </c:pt>
                <c:pt idx="21">
                  <c:v>-0.19215131819102063</c:v>
                </c:pt>
                <c:pt idx="22">
                  <c:v>-0.19308508686379447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6-804F-B496-982E1B36A33B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ARIMA!$F$294:$F$316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0.15692510778228455</c:v>
                </c:pt>
                <c:pt idx="3">
                  <c:v>0.15704024025506028</c:v>
                </c:pt>
                <c:pt idx="4">
                  <c:v>0.15818354457291695</c:v>
                </c:pt>
                <c:pt idx="5">
                  <c:v>0.16081164933271236</c:v>
                </c:pt>
                <c:pt idx="6">
                  <c:v>0.16088302357135018</c:v>
                </c:pt>
                <c:pt idx="7">
                  <c:v>0.1642811338723795</c:v>
                </c:pt>
                <c:pt idx="8">
                  <c:v>0.16644515485086706</c:v>
                </c:pt>
                <c:pt idx="9">
                  <c:v>0.17047384306336741</c:v>
                </c:pt>
                <c:pt idx="10">
                  <c:v>0.17307290325508784</c:v>
                </c:pt>
                <c:pt idx="11">
                  <c:v>0.17637029012495206</c:v>
                </c:pt>
                <c:pt idx="12">
                  <c:v>0.17701861117915679</c:v>
                </c:pt>
                <c:pt idx="13">
                  <c:v>0.17706157678125781</c:v>
                </c:pt>
                <c:pt idx="14">
                  <c:v>0.18486629174192676</c:v>
                </c:pt>
                <c:pt idx="15">
                  <c:v>0.18666526658793095</c:v>
                </c:pt>
                <c:pt idx="16">
                  <c:v>0.18722402171326438</c:v>
                </c:pt>
                <c:pt idx="17">
                  <c:v>0.18871367736658273</c:v>
                </c:pt>
                <c:pt idx="18">
                  <c:v>0.18872621367761022</c:v>
                </c:pt>
                <c:pt idx="19">
                  <c:v>0.18878487500022983</c:v>
                </c:pt>
                <c:pt idx="20">
                  <c:v>0.18885580880536601</c:v>
                </c:pt>
                <c:pt idx="21">
                  <c:v>0.19215131819102063</c:v>
                </c:pt>
                <c:pt idx="22">
                  <c:v>0.19308508686379447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D6-804F-B496-982E1B36A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924064"/>
        <c:axId val="1089980768"/>
      </c:lineChart>
      <c:catAx>
        <c:axId val="10899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980768"/>
        <c:crosses val="autoZero"/>
        <c:auto val="1"/>
        <c:lblAlgn val="ctr"/>
        <c:lblOffset val="100"/>
        <c:noMultiLvlLbl val="0"/>
      </c:catAx>
      <c:valAx>
        <c:axId val="108998076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992406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ARIMA!$G$294:$G$316</c:f>
              <c:numCache>
                <c:formatCode>0.000</c:formatCode>
                <c:ptCount val="23"/>
                <c:pt idx="0">
                  <c:v>1</c:v>
                </c:pt>
                <c:pt idx="1">
                  <c:v>3.9112760781258799E-3</c:v>
                </c:pt>
                <c:pt idx="2">
                  <c:v>-2.7107582938436965E-2</c:v>
                </c:pt>
                <c:pt idx="3">
                  <c:v>8.5823251529746514E-2</c:v>
                </c:pt>
                <c:pt idx="4">
                  <c:v>-0.1331727314753792</c:v>
                </c:pt>
                <c:pt idx="5">
                  <c:v>3.0217445872268486E-2</c:v>
                </c:pt>
                <c:pt idx="6">
                  <c:v>0.13733106782996618</c:v>
                </c:pt>
                <c:pt idx="7">
                  <c:v>-0.10654718028270893</c:v>
                </c:pt>
                <c:pt idx="8">
                  <c:v>-0.18574409011201615</c:v>
                </c:pt>
                <c:pt idx="9">
                  <c:v>0.13447387436134051</c:v>
                </c:pt>
                <c:pt idx="10">
                  <c:v>-0.11937546276335458</c:v>
                </c:pt>
                <c:pt idx="11">
                  <c:v>-8.5185967279301708E-2</c:v>
                </c:pt>
                <c:pt idx="12">
                  <c:v>-9.4635309253571845E-2</c:v>
                </c:pt>
                <c:pt idx="13">
                  <c:v>-0.16218589209104387</c:v>
                </c:pt>
                <c:pt idx="14">
                  <c:v>0.14431787244442701</c:v>
                </c:pt>
                <c:pt idx="15">
                  <c:v>-2.5692760007709585E-2</c:v>
                </c:pt>
                <c:pt idx="16">
                  <c:v>-8.6956669770159617E-2</c:v>
                </c:pt>
                <c:pt idx="17">
                  <c:v>-8.4107964110280786E-5</c:v>
                </c:pt>
                <c:pt idx="18">
                  <c:v>-4.9971750632712274E-2</c:v>
                </c:pt>
                <c:pt idx="19">
                  <c:v>3.7440697984720765E-2</c:v>
                </c:pt>
                <c:pt idx="20">
                  <c:v>6.0962838240315897E-2</c:v>
                </c:pt>
                <c:pt idx="21">
                  <c:v>2.1265761727793837E-2</c:v>
                </c:pt>
                <c:pt idx="22">
                  <c:v>-6.0414328764575136E-3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7C-264C-ADA7-A9B979F3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178448"/>
        <c:axId val="109018017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ARIMA!$I$294:$I$316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264C-ADA7-A9B979F395EC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ARIMA!$B$294:$B$316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ARIMA!$J$294:$J$316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264C-ADA7-A9B979F3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178448"/>
        <c:axId val="1090180176"/>
      </c:lineChart>
      <c:catAx>
        <c:axId val="1090178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90180176"/>
        <c:crosses val="autoZero"/>
        <c:auto val="1"/>
        <c:lblAlgn val="ctr"/>
        <c:lblOffset val="100"/>
        <c:noMultiLvlLbl val="0"/>
      </c:catAx>
      <c:valAx>
        <c:axId val="109018017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9017844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Exponential / Double / Transport related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Transport related</c:v>
          </c:tx>
          <c:spPr>
            <a:ln w="635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003CE6"/>
              </a:solidFill>
              <a:ln w="3175">
                <a:solidFill>
                  <a:srgbClr val="003CE6"/>
                </a:solidFill>
                <a:prstDash val="solid"/>
              </a:ln>
            </c:spPr>
          </c:marker>
          <c:xVal>
            <c:numRef>
              <c:f>Exponential!$B$49:$B$204</c:f>
              <c:numCache>
                <c:formatCode>m/d/yy</c:formatCode>
                <c:ptCount val="156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</c:numCache>
            </c:numRef>
          </c:xVal>
          <c:yVal>
            <c:numRef>
              <c:f>Exponential!$C$49:$C$204</c:f>
              <c:numCache>
                <c:formatCode>0.000</c:formatCode>
                <c:ptCount val="156"/>
                <c:pt idx="0">
                  <c:v>93.3</c:v>
                </c:pt>
                <c:pt idx="1">
                  <c:v>95.7</c:v>
                </c:pt>
                <c:pt idx="2">
                  <c:v>93.8</c:v>
                </c:pt>
                <c:pt idx="3">
                  <c:v>99.4</c:v>
                </c:pt>
                <c:pt idx="4">
                  <c:v>100</c:v>
                </c:pt>
                <c:pt idx="5">
                  <c:v>105.6</c:v>
                </c:pt>
                <c:pt idx="6">
                  <c:v>99.4</c:v>
                </c:pt>
                <c:pt idx="7">
                  <c:v>106.3</c:v>
                </c:pt>
                <c:pt idx="8">
                  <c:v>104.2</c:v>
                </c:pt>
                <c:pt idx="9">
                  <c:v>99.5</c:v>
                </c:pt>
                <c:pt idx="10">
                  <c:v>105.7</c:v>
                </c:pt>
                <c:pt idx="11">
                  <c:v>97.1</c:v>
                </c:pt>
                <c:pt idx="12">
                  <c:v>101.4</c:v>
                </c:pt>
                <c:pt idx="13">
                  <c:v>97.7</c:v>
                </c:pt>
                <c:pt idx="14">
                  <c:v>95.8</c:v>
                </c:pt>
                <c:pt idx="15">
                  <c:v>103</c:v>
                </c:pt>
                <c:pt idx="16">
                  <c:v>105</c:v>
                </c:pt>
                <c:pt idx="17">
                  <c:v>106.5</c:v>
                </c:pt>
                <c:pt idx="18">
                  <c:v>102</c:v>
                </c:pt>
                <c:pt idx="19">
                  <c:v>110.5</c:v>
                </c:pt>
                <c:pt idx="20">
                  <c:v>105.5</c:v>
                </c:pt>
                <c:pt idx="21">
                  <c:v>106.2</c:v>
                </c:pt>
                <c:pt idx="22">
                  <c:v>110</c:v>
                </c:pt>
                <c:pt idx="23">
                  <c:v>101.9</c:v>
                </c:pt>
                <c:pt idx="24">
                  <c:v>107.5</c:v>
                </c:pt>
                <c:pt idx="25">
                  <c:v>99.7</c:v>
                </c:pt>
                <c:pt idx="26">
                  <c:v>101.9</c:v>
                </c:pt>
                <c:pt idx="27">
                  <c:v>106.4</c:v>
                </c:pt>
                <c:pt idx="28">
                  <c:v>108.5</c:v>
                </c:pt>
                <c:pt idx="29">
                  <c:v>108.5</c:v>
                </c:pt>
                <c:pt idx="30">
                  <c:v>111.7</c:v>
                </c:pt>
                <c:pt idx="31">
                  <c:v>113.3</c:v>
                </c:pt>
                <c:pt idx="32">
                  <c:v>109.5</c:v>
                </c:pt>
                <c:pt idx="33">
                  <c:v>112.3</c:v>
                </c:pt>
                <c:pt idx="34">
                  <c:v>113.8</c:v>
                </c:pt>
                <c:pt idx="35">
                  <c:v>107.1</c:v>
                </c:pt>
                <c:pt idx="36">
                  <c:v>113.4</c:v>
                </c:pt>
                <c:pt idx="37">
                  <c:v>110.5</c:v>
                </c:pt>
                <c:pt idx="38">
                  <c:v>105.5</c:v>
                </c:pt>
                <c:pt idx="39">
                  <c:v>116.5</c:v>
                </c:pt>
                <c:pt idx="40">
                  <c:v>114.2</c:v>
                </c:pt>
                <c:pt idx="41">
                  <c:v>121.8</c:v>
                </c:pt>
                <c:pt idx="42">
                  <c:v>121.2</c:v>
                </c:pt>
                <c:pt idx="43">
                  <c:v>117.4</c:v>
                </c:pt>
                <c:pt idx="44">
                  <c:v>123.5</c:v>
                </c:pt>
                <c:pt idx="45">
                  <c:v>120.1</c:v>
                </c:pt>
                <c:pt idx="46">
                  <c:v>117.5</c:v>
                </c:pt>
                <c:pt idx="47">
                  <c:v>118.2</c:v>
                </c:pt>
                <c:pt idx="48">
                  <c:v>109</c:v>
                </c:pt>
                <c:pt idx="49">
                  <c:v>109.7</c:v>
                </c:pt>
                <c:pt idx="50">
                  <c:v>106.3</c:v>
                </c:pt>
                <c:pt idx="51">
                  <c:v>117.6</c:v>
                </c:pt>
                <c:pt idx="52">
                  <c:v>112.5</c:v>
                </c:pt>
                <c:pt idx="53">
                  <c:v>123.2</c:v>
                </c:pt>
                <c:pt idx="54">
                  <c:v>119.9</c:v>
                </c:pt>
                <c:pt idx="55">
                  <c:v>129.1</c:v>
                </c:pt>
                <c:pt idx="56">
                  <c:v>172.3</c:v>
                </c:pt>
                <c:pt idx="57">
                  <c:v>171.8</c:v>
                </c:pt>
                <c:pt idx="58">
                  <c:v>167.3</c:v>
                </c:pt>
                <c:pt idx="59">
                  <c:v>169.1</c:v>
                </c:pt>
                <c:pt idx="60">
                  <c:v>163.80000000000001</c:v>
                </c:pt>
                <c:pt idx="61">
                  <c:v>166.3</c:v>
                </c:pt>
                <c:pt idx="62">
                  <c:v>165</c:v>
                </c:pt>
                <c:pt idx="63">
                  <c:v>173.6</c:v>
                </c:pt>
                <c:pt idx="64">
                  <c:v>167.3</c:v>
                </c:pt>
                <c:pt idx="65">
                  <c:v>181</c:v>
                </c:pt>
                <c:pt idx="66">
                  <c:v>173.4</c:v>
                </c:pt>
                <c:pt idx="67">
                  <c:v>182.8</c:v>
                </c:pt>
                <c:pt idx="68">
                  <c:v>181.1</c:v>
                </c:pt>
                <c:pt idx="69">
                  <c:v>174.9</c:v>
                </c:pt>
                <c:pt idx="70">
                  <c:v>185.5</c:v>
                </c:pt>
                <c:pt idx="71">
                  <c:v>183.7</c:v>
                </c:pt>
                <c:pt idx="72">
                  <c:v>176.9</c:v>
                </c:pt>
                <c:pt idx="73">
                  <c:v>176.7</c:v>
                </c:pt>
                <c:pt idx="74">
                  <c:v>166.3</c:v>
                </c:pt>
                <c:pt idx="75">
                  <c:v>180.2</c:v>
                </c:pt>
                <c:pt idx="76">
                  <c:v>184</c:v>
                </c:pt>
                <c:pt idx="77">
                  <c:v>195.6</c:v>
                </c:pt>
                <c:pt idx="78">
                  <c:v>186.2</c:v>
                </c:pt>
                <c:pt idx="79">
                  <c:v>201</c:v>
                </c:pt>
                <c:pt idx="80">
                  <c:v>194.1</c:v>
                </c:pt>
                <c:pt idx="81">
                  <c:v>183.9</c:v>
                </c:pt>
                <c:pt idx="82">
                  <c:v>196.5</c:v>
                </c:pt>
                <c:pt idx="83">
                  <c:v>182.8</c:v>
                </c:pt>
                <c:pt idx="84">
                  <c:v>187.8</c:v>
                </c:pt>
                <c:pt idx="85">
                  <c:v>189.8</c:v>
                </c:pt>
                <c:pt idx="86">
                  <c:v>181.3</c:v>
                </c:pt>
                <c:pt idx="87">
                  <c:v>194.9</c:v>
                </c:pt>
                <c:pt idx="88">
                  <c:v>196</c:v>
                </c:pt>
                <c:pt idx="89">
                  <c:v>199.2</c:v>
                </c:pt>
                <c:pt idx="90">
                  <c:v>199.1</c:v>
                </c:pt>
                <c:pt idx="91">
                  <c:v>200.1</c:v>
                </c:pt>
                <c:pt idx="92">
                  <c:v>198.9</c:v>
                </c:pt>
                <c:pt idx="93">
                  <c:v>193.6</c:v>
                </c:pt>
                <c:pt idx="94">
                  <c:v>198.5</c:v>
                </c:pt>
                <c:pt idx="95">
                  <c:v>189.3</c:v>
                </c:pt>
                <c:pt idx="96">
                  <c:v>197.2</c:v>
                </c:pt>
                <c:pt idx="97">
                  <c:v>189.6</c:v>
                </c:pt>
                <c:pt idx="98">
                  <c:v>176.4</c:v>
                </c:pt>
                <c:pt idx="99">
                  <c:v>198.1</c:v>
                </c:pt>
                <c:pt idx="100">
                  <c:v>199.8</c:v>
                </c:pt>
                <c:pt idx="101">
                  <c:v>202.1</c:v>
                </c:pt>
                <c:pt idx="102">
                  <c:v>204.5</c:v>
                </c:pt>
                <c:pt idx="103">
                  <c:v>202.5</c:v>
                </c:pt>
                <c:pt idx="104">
                  <c:v>202.7</c:v>
                </c:pt>
                <c:pt idx="105">
                  <c:v>196.2</c:v>
                </c:pt>
                <c:pt idx="106">
                  <c:v>203.5</c:v>
                </c:pt>
                <c:pt idx="107">
                  <c:v>196.4</c:v>
                </c:pt>
                <c:pt idx="108">
                  <c:v>197.7</c:v>
                </c:pt>
                <c:pt idx="109">
                  <c:v>193</c:v>
                </c:pt>
                <c:pt idx="110">
                  <c:v>180.1</c:v>
                </c:pt>
                <c:pt idx="111">
                  <c:v>203.7</c:v>
                </c:pt>
                <c:pt idx="112">
                  <c:v>202.8</c:v>
                </c:pt>
                <c:pt idx="113">
                  <c:v>209.1</c:v>
                </c:pt>
                <c:pt idx="114">
                  <c:v>208.2</c:v>
                </c:pt>
                <c:pt idx="115">
                  <c:v>214.7</c:v>
                </c:pt>
                <c:pt idx="116">
                  <c:v>210.1</c:v>
                </c:pt>
                <c:pt idx="117">
                  <c:v>206.9</c:v>
                </c:pt>
                <c:pt idx="118">
                  <c:v>210.4</c:v>
                </c:pt>
                <c:pt idx="119">
                  <c:v>204.4</c:v>
                </c:pt>
                <c:pt idx="120">
                  <c:v>203.9</c:v>
                </c:pt>
                <c:pt idx="121">
                  <c:v>199.1</c:v>
                </c:pt>
                <c:pt idx="122">
                  <c:v>183.1</c:v>
                </c:pt>
                <c:pt idx="123">
                  <c:v>206.2</c:v>
                </c:pt>
                <c:pt idx="124">
                  <c:v>204</c:v>
                </c:pt>
                <c:pt idx="125">
                  <c:v>207.7</c:v>
                </c:pt>
                <c:pt idx="126">
                  <c:v>204.9</c:v>
                </c:pt>
                <c:pt idx="127">
                  <c:v>210</c:v>
                </c:pt>
                <c:pt idx="128">
                  <c:v>206.7</c:v>
                </c:pt>
                <c:pt idx="129">
                  <c:v>202.5</c:v>
                </c:pt>
                <c:pt idx="130">
                  <c:v>211.1</c:v>
                </c:pt>
                <c:pt idx="131">
                  <c:v>205.6</c:v>
                </c:pt>
                <c:pt idx="132">
                  <c:v>214.4</c:v>
                </c:pt>
                <c:pt idx="133">
                  <c:v>214.9</c:v>
                </c:pt>
                <c:pt idx="134">
                  <c:v>203.6</c:v>
                </c:pt>
                <c:pt idx="135">
                  <c:v>221.9</c:v>
                </c:pt>
                <c:pt idx="136">
                  <c:v>220.3</c:v>
                </c:pt>
                <c:pt idx="137">
                  <c:v>228.4</c:v>
                </c:pt>
                <c:pt idx="138">
                  <c:v>217.7</c:v>
                </c:pt>
                <c:pt idx="139">
                  <c:v>226.7</c:v>
                </c:pt>
                <c:pt idx="140">
                  <c:v>218.6</c:v>
                </c:pt>
                <c:pt idx="141">
                  <c:v>220.4</c:v>
                </c:pt>
                <c:pt idx="142">
                  <c:v>233.8</c:v>
                </c:pt>
                <c:pt idx="143">
                  <c:v>217.1</c:v>
                </c:pt>
                <c:pt idx="144">
                  <c:v>226.1</c:v>
                </c:pt>
                <c:pt idx="145">
                  <c:v>222.6</c:v>
                </c:pt>
                <c:pt idx="146">
                  <c:v>209.7</c:v>
                </c:pt>
                <c:pt idx="147">
                  <c:v>220.9</c:v>
                </c:pt>
                <c:pt idx="148">
                  <c:v>230</c:v>
                </c:pt>
                <c:pt idx="149">
                  <c:v>228.9</c:v>
                </c:pt>
                <c:pt idx="150">
                  <c:v>232.2</c:v>
                </c:pt>
                <c:pt idx="151">
                  <c:v>242.1</c:v>
                </c:pt>
                <c:pt idx="152">
                  <c:v>231.9</c:v>
                </c:pt>
                <c:pt idx="153">
                  <c:v>235</c:v>
                </c:pt>
                <c:pt idx="154">
                  <c:v>247</c:v>
                </c:pt>
                <c:pt idx="155">
                  <c:v>241.5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2D-714E-850A-E4D511558888}"/>
            </c:ext>
          </c:extLst>
        </c:ser>
        <c:ser>
          <c:idx val="1"/>
          <c:order val="1"/>
          <c:tx>
            <c:v>Validation</c:v>
          </c:tx>
          <c:spPr>
            <a:ln w="6350">
              <a:solidFill>
                <a:srgbClr val="007800"/>
              </a:solidFill>
              <a:prstDash val="solid"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3175">
                <a:solidFill>
                  <a:srgbClr val="007800"/>
                </a:solidFill>
                <a:prstDash val="solid"/>
              </a:ln>
            </c:spPr>
          </c:marker>
          <c:xVal>
            <c:numRef>
              <c:f>Exponential!$B$204</c:f>
              <c:numCache>
                <c:formatCode>m/d/yy</c:formatCode>
                <c:ptCount val="1"/>
                <c:pt idx="0">
                  <c:v>43070</c:v>
                </c:pt>
              </c:numCache>
            </c:numRef>
          </c:xVal>
          <c:yVal>
            <c:numRef>
              <c:f>Exponential!$C$204</c:f>
              <c:numCache>
                <c:formatCode>0.000</c:formatCode>
                <c:ptCount val="1"/>
                <c:pt idx="0">
                  <c:v>241.5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2D-714E-850A-E4D511558888}"/>
            </c:ext>
          </c:extLst>
        </c:ser>
        <c:ser>
          <c:idx val="2"/>
          <c:order val="2"/>
          <c:tx>
            <c:v>Exponential(Transport related)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3175">
                <a:solidFill>
                  <a:srgbClr val="FF0000"/>
                </a:solidFill>
                <a:prstDash val="solid"/>
              </a:ln>
            </c:spPr>
          </c:marker>
          <c:xVal>
            <c:numRef>
              <c:f>Exponential!$B$49:$B$209</c:f>
              <c:numCache>
                <c:formatCode>m/d/yy</c:formatCode>
                <c:ptCount val="161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  <c:pt idx="156">
                  <c:v>43101</c:v>
                </c:pt>
                <c:pt idx="157">
                  <c:v>43132</c:v>
                </c:pt>
                <c:pt idx="158">
                  <c:v>43160</c:v>
                </c:pt>
                <c:pt idx="159">
                  <c:v>43191</c:v>
                </c:pt>
                <c:pt idx="160">
                  <c:v>43221</c:v>
                </c:pt>
              </c:numCache>
            </c:numRef>
          </c:xVal>
          <c:yVal>
            <c:numRef>
              <c:f>Exponential!$D$49:$D$209</c:f>
              <c:numCache>
                <c:formatCode>0.000</c:formatCode>
                <c:ptCount val="161"/>
                <c:pt idx="1">
                  <c:v>186.6</c:v>
                </c:pt>
                <c:pt idx="2">
                  <c:v>143.51074273648607</c:v>
                </c:pt>
                <c:pt idx="3">
                  <c:v>109.72883077531483</c:v>
                </c:pt>
                <c:pt idx="4">
                  <c:v>106.34042459189544</c:v>
                </c:pt>
                <c:pt idx="5">
                  <c:v>103.68943395279615</c:v>
                </c:pt>
                <c:pt idx="6">
                  <c:v>109.2076625361524</c:v>
                </c:pt>
                <c:pt idx="7">
                  <c:v>99.98737024766659</c:v>
                </c:pt>
                <c:pt idx="8">
                  <c:v>107.86819823734302</c:v>
                </c:pt>
                <c:pt idx="9">
                  <c:v>105.26713682632054</c:v>
                </c:pt>
                <c:pt idx="10">
                  <c:v>98.253110002067856</c:v>
                </c:pt>
                <c:pt idx="11">
                  <c:v>106.26173017059348</c:v>
                </c:pt>
                <c:pt idx="12">
                  <c:v>95.476120477220832</c:v>
                </c:pt>
                <c:pt idx="13">
                  <c:v>100.7012562485407</c:v>
                </c:pt>
                <c:pt idx="14">
                  <c:v>96.676519094550812</c:v>
                </c:pt>
                <c:pt idx="15">
                  <c:v>94.15042929545497</c:v>
                </c:pt>
                <c:pt idx="16">
                  <c:v>104.17082483337975</c:v>
                </c:pt>
                <c:pt idx="17">
                  <c:v>107.43796839751879</c:v>
                </c:pt>
                <c:pt idx="18">
                  <c:v>108.72170515517858</c:v>
                </c:pt>
                <c:pt idx="19">
                  <c:v>101.89939700995521</c:v>
                </c:pt>
                <c:pt idx="20">
                  <c:v>112.48135891244584</c:v>
                </c:pt>
                <c:pt idx="21">
                  <c:v>106.1444341630982</c:v>
                </c:pt>
                <c:pt idx="22">
                  <c:v>106.07887003800144</c:v>
                </c:pt>
                <c:pt idx="23">
                  <c:v>111.17839783718652</c:v>
                </c:pt>
                <c:pt idx="24">
                  <c:v>100.45842362495735</c:v>
                </c:pt>
                <c:pt idx="25">
                  <c:v>107.33910447672363</c:v>
                </c:pt>
                <c:pt idx="26">
                  <c:v>97.810185556391104</c:v>
                </c:pt>
                <c:pt idx="27">
                  <c:v>100.50136557038419</c:v>
                </c:pt>
                <c:pt idx="28">
                  <c:v>107.40610418591906</c:v>
                </c:pt>
                <c:pt idx="29">
                  <c:v>110.52921802746343</c:v>
                </c:pt>
                <c:pt idx="30">
                  <c:v>109.9827565745702</c:v>
                </c:pt>
                <c:pt idx="31">
                  <c:v>113.521299629254</c:v>
                </c:pt>
                <c:pt idx="32">
                  <c:v>115.24112740569495</c:v>
                </c:pt>
                <c:pt idx="33">
                  <c:v>109.52270886421314</c:v>
                </c:pt>
                <c:pt idx="34">
                  <c:v>112.59409665210109</c:v>
                </c:pt>
                <c:pt idx="35">
                  <c:v>114.80367820083269</c:v>
                </c:pt>
                <c:pt idx="36">
                  <c:v>105.69821164263051</c:v>
                </c:pt>
                <c:pt idx="37">
                  <c:v>113.67346221974609</c:v>
                </c:pt>
                <c:pt idx="38">
                  <c:v>110.59155690504122</c:v>
                </c:pt>
                <c:pt idx="39">
                  <c:v>103.55590424364688</c:v>
                </c:pt>
                <c:pt idx="40">
                  <c:v>118.2534995372463</c:v>
                </c:pt>
                <c:pt idx="41">
                  <c:v>116.06995989787461</c:v>
                </c:pt>
                <c:pt idx="42">
                  <c:v>125.10473230964999</c:v>
                </c:pt>
                <c:pt idx="43">
                  <c:v>123.86024074504165</c:v>
                </c:pt>
                <c:pt idx="44">
                  <c:v>117.49105170518327</c:v>
                </c:pt>
                <c:pt idx="45">
                  <c:v>124.84757791535586</c:v>
                </c:pt>
                <c:pt idx="46">
                  <c:v>120.55641114994151</c:v>
                </c:pt>
                <c:pt idx="47">
                  <c:v>116.41525430589229</c:v>
                </c:pt>
                <c:pt idx="48">
                  <c:v>117.36072452951475</c:v>
                </c:pt>
                <c:pt idx="49">
                  <c:v>105.603541756542</c:v>
                </c:pt>
                <c:pt idx="50">
                  <c:v>106.71588706666044</c:v>
                </c:pt>
                <c:pt idx="51">
                  <c:v>103.63868142213134</c:v>
                </c:pt>
                <c:pt idx="52">
                  <c:v>119.49678314921719</c:v>
                </c:pt>
                <c:pt idx="53">
                  <c:v>113.65669080371576</c:v>
                </c:pt>
                <c:pt idx="54">
                  <c:v>126.71869454810158</c:v>
                </c:pt>
                <c:pt idx="55">
                  <c:v>122.24127097252573</c:v>
                </c:pt>
                <c:pt idx="56">
                  <c:v>132.93782810866023</c:v>
                </c:pt>
                <c:pt idx="57">
                  <c:v>189.89059822506852</c:v>
                </c:pt>
                <c:pt idx="58">
                  <c:v>187.84357848057056</c:v>
                </c:pt>
                <c:pt idx="59">
                  <c:v>174.53650729197415</c:v>
                </c:pt>
                <c:pt idx="60">
                  <c:v>172.23670438750827</c:v>
                </c:pt>
                <c:pt idx="61">
                  <c:v>163.543634226682</c:v>
                </c:pt>
                <c:pt idx="62">
                  <c:v>166.0054515779056</c:v>
                </c:pt>
                <c:pt idx="63">
                  <c:v>164.68332229668306</c:v>
                </c:pt>
                <c:pt idx="64">
                  <c:v>176.11137444871858</c:v>
                </c:pt>
                <c:pt idx="65">
                  <c:v>167.90635386215033</c:v>
                </c:pt>
                <c:pt idx="66">
                  <c:v>184.93560069036641</c:v>
                </c:pt>
                <c:pt idx="67">
                  <c:v>175.00106528546152</c:v>
                </c:pt>
                <c:pt idx="68">
                  <c:v>185.67809568179896</c:v>
                </c:pt>
                <c:pt idx="69">
                  <c:v>183.34381435385154</c:v>
                </c:pt>
                <c:pt idx="70">
                  <c:v>173.84478457307702</c:v>
                </c:pt>
                <c:pt idx="71">
                  <c:v>187.34087118425356</c:v>
                </c:pt>
                <c:pt idx="72">
                  <c:v>185.64870695345391</c:v>
                </c:pt>
                <c:pt idx="73">
                  <c:v>175.55435062890467</c:v>
                </c:pt>
                <c:pt idx="74">
                  <c:v>174.74987989884062</c:v>
                </c:pt>
                <c:pt idx="75">
                  <c:v>161.69153146268877</c:v>
                </c:pt>
                <c:pt idx="76">
                  <c:v>180.74731468971777</c:v>
                </c:pt>
                <c:pt idx="77">
                  <c:v>187.69832821153562</c:v>
                </c:pt>
                <c:pt idx="78">
                  <c:v>202.26972387979231</c:v>
                </c:pt>
                <c:pt idx="79">
                  <c:v>188.45674613882449</c:v>
                </c:pt>
                <c:pt idx="80">
                  <c:v>205.58946694573834</c:v>
                </c:pt>
                <c:pt idx="81">
                  <c:v>196.30834767565557</c:v>
                </c:pt>
                <c:pt idx="82">
                  <c:v>180.7256809853348</c:v>
                </c:pt>
                <c:pt idx="83">
                  <c:v>197.1352014917376</c:v>
                </c:pt>
                <c:pt idx="84">
                  <c:v>180.4782815692362</c:v>
                </c:pt>
                <c:pt idx="85">
                  <c:v>186.28356499011704</c:v>
                </c:pt>
                <c:pt idx="86">
                  <c:v>190.2654828480444</c:v>
                </c:pt>
                <c:pt idx="87">
                  <c:v>179.20327542981019</c:v>
                </c:pt>
                <c:pt idx="88">
                  <c:v>196.97378009489151</c:v>
                </c:pt>
                <c:pt idx="89">
                  <c:v>199.51508517521557</c:v>
                </c:pt>
                <c:pt idx="90">
                  <c:v>202.50182264651497</c:v>
                </c:pt>
                <c:pt idx="91">
                  <c:v>201.24443591550201</c:v>
                </c:pt>
                <c:pt idx="92">
                  <c:v>201.4850033329765</c:v>
                </c:pt>
                <c:pt idx="93">
                  <c:v>199.30390207233506</c:v>
                </c:pt>
                <c:pt idx="94">
                  <c:v>191.8323565578292</c:v>
                </c:pt>
                <c:pt idx="95">
                  <c:v>198.29106155380813</c:v>
                </c:pt>
                <c:pt idx="96">
                  <c:v>186.87424622152005</c:v>
                </c:pt>
                <c:pt idx="97">
                  <c:v>197.17039566077833</c:v>
                </c:pt>
                <c:pt idx="98">
                  <c:v>188.23289747252488</c:v>
                </c:pt>
                <c:pt idx="99">
                  <c:v>170.28007583250115</c:v>
                </c:pt>
                <c:pt idx="100">
                  <c:v>199.82715769753182</c:v>
                </c:pt>
                <c:pt idx="101">
                  <c:v>204.64191782309663</c:v>
                </c:pt>
                <c:pt idx="102">
                  <c:v>206.1004791300486</c:v>
                </c:pt>
                <c:pt idx="103">
                  <c:v>207.68718495489026</c:v>
                </c:pt>
                <c:pt idx="104">
                  <c:v>203.7966117121544</c:v>
                </c:pt>
                <c:pt idx="105">
                  <c:v>203.05248610894984</c:v>
                </c:pt>
                <c:pt idx="106">
                  <c:v>194.16923004869292</c:v>
                </c:pt>
                <c:pt idx="107">
                  <c:v>203.77733510040377</c:v>
                </c:pt>
                <c:pt idx="108">
                  <c:v>195.29179297942417</c:v>
                </c:pt>
                <c:pt idx="109">
                  <c:v>196.55772834597576</c:v>
                </c:pt>
                <c:pt idx="110">
                  <c:v>190.95470061731868</c:v>
                </c:pt>
                <c:pt idx="111">
                  <c:v>174.07506943234014</c:v>
                </c:pt>
                <c:pt idx="112">
                  <c:v>206.22732377743031</c:v>
                </c:pt>
                <c:pt idx="113">
                  <c:v>207.52329477393988</c:v>
                </c:pt>
                <c:pt idx="114">
                  <c:v>213.95850059058057</c:v>
                </c:pt>
                <c:pt idx="115">
                  <c:v>211.33623814130817</c:v>
                </c:pt>
                <c:pt idx="116">
                  <c:v>218.29910821088669</c:v>
                </c:pt>
                <c:pt idx="117">
                  <c:v>211.37252802516343</c:v>
                </c:pt>
                <c:pt idx="118">
                  <c:v>205.77674994155339</c:v>
                </c:pt>
                <c:pt idx="119">
                  <c:v>210.29942479718187</c:v>
                </c:pt>
                <c:pt idx="120">
                  <c:v>202.87275855420339</c:v>
                </c:pt>
                <c:pt idx="121">
                  <c:v>202.04916113790998</c:v>
                </c:pt>
                <c:pt idx="122">
                  <c:v>196.39179479964125</c:v>
                </c:pt>
                <c:pt idx="123">
                  <c:v>175.67667982593284</c:v>
                </c:pt>
                <c:pt idx="124">
                  <c:v>207.35160060318714</c:v>
                </c:pt>
                <c:pt idx="125">
                  <c:v>207.47342133013464</c:v>
                </c:pt>
                <c:pt idx="126">
                  <c:v>210.87182343218066</c:v>
                </c:pt>
                <c:pt idx="127">
                  <c:v>206.1276047834283</c:v>
                </c:pt>
                <c:pt idx="128">
                  <c:v>211.83428248034031</c:v>
                </c:pt>
                <c:pt idx="129">
                  <c:v>207.27567110744656</c:v>
                </c:pt>
                <c:pt idx="130">
                  <c:v>200.92403794989633</c:v>
                </c:pt>
                <c:pt idx="131">
                  <c:v>212.34410089388081</c:v>
                </c:pt>
                <c:pt idx="132">
                  <c:v>205.76231666139341</c:v>
                </c:pt>
                <c:pt idx="133">
                  <c:v>216.65399393751983</c:v>
                </c:pt>
                <c:pt idx="134">
                  <c:v>217.54535099706524</c:v>
                </c:pt>
                <c:pt idx="135">
                  <c:v>201.44887403187727</c:v>
                </c:pt>
                <c:pt idx="136">
                  <c:v>224.92834470347859</c:v>
                </c:pt>
                <c:pt idx="137">
                  <c:v>224.09812181545439</c:v>
                </c:pt>
                <c:pt idx="138">
                  <c:v>233.09730439385527</c:v>
                </c:pt>
                <c:pt idx="139">
                  <c:v>217.80191045815567</c:v>
                </c:pt>
                <c:pt idx="140">
                  <c:v>228.00786468675798</c:v>
                </c:pt>
                <c:pt idx="141">
                  <c:v>217.80401926234353</c:v>
                </c:pt>
                <c:pt idx="142">
                  <c:v>219.4038922964312</c:v>
                </c:pt>
                <c:pt idx="143">
                  <c:v>237.84358151426395</c:v>
                </c:pt>
                <c:pt idx="144">
                  <c:v>215.91826406810816</c:v>
                </c:pt>
                <c:pt idx="145">
                  <c:v>225.94729910766466</c:v>
                </c:pt>
                <c:pt idx="146">
                  <c:v>222.48651505521875</c:v>
                </c:pt>
                <c:pt idx="147">
                  <c:v>204.99334991897715</c:v>
                </c:pt>
                <c:pt idx="148">
                  <c:v>220.00405464334307</c:v>
                </c:pt>
                <c:pt idx="149">
                  <c:v>234.18702613693256</c:v>
                </c:pt>
                <c:pt idx="150">
                  <c:v>232.46560942598228</c:v>
                </c:pt>
                <c:pt idx="151">
                  <c:v>235.08435905879435</c:v>
                </c:pt>
                <c:pt idx="152">
                  <c:v>247.26847283737942</c:v>
                </c:pt>
                <c:pt idx="153">
                  <c:v>232.78729896456244</c:v>
                </c:pt>
                <c:pt idx="154">
                  <c:v>234.89147885190269</c:v>
                </c:pt>
                <c:pt idx="155">
                  <c:v>251.13362770382497</c:v>
                </c:pt>
                <c:pt idx="156">
                  <c:v>256.62684209439198</c:v>
                </c:pt>
                <c:pt idx="157">
                  <c:v>262.12005648495898</c:v>
                </c:pt>
                <c:pt idx="158">
                  <c:v>267.61327087552598</c:v>
                </c:pt>
                <c:pt idx="159">
                  <c:v>273.10648526609299</c:v>
                </c:pt>
                <c:pt idx="160">
                  <c:v>278.59969965665999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2D-714E-850A-E4D511558888}"/>
            </c:ext>
          </c:extLst>
        </c:ser>
        <c:ser>
          <c:idx val="3"/>
          <c:order val="3"/>
          <c:tx>
            <c:v>Lower bound (5%)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Exponential!$B$204:$B$210</c:f>
              <c:numCache>
                <c:formatCode>m/d/yy</c:formatCode>
                <c:ptCount val="7"/>
                <c:pt idx="0">
                  <c:v>43070</c:v>
                </c:pt>
                <c:pt idx="1">
                  <c:v>43101</c:v>
                </c:pt>
                <c:pt idx="2">
                  <c:v>43132</c:v>
                </c:pt>
                <c:pt idx="3">
                  <c:v>43160</c:v>
                </c:pt>
                <c:pt idx="4">
                  <c:v>43191</c:v>
                </c:pt>
                <c:pt idx="5">
                  <c:v>43221</c:v>
                </c:pt>
                <c:pt idx="6">
                  <c:v>43252</c:v>
                </c:pt>
              </c:numCache>
            </c:numRef>
          </c:xVal>
          <c:yVal>
            <c:numRef>
              <c:f>Exponential!$F$204:$F$210</c:f>
              <c:numCache>
                <c:formatCode>0.000</c:formatCode>
                <c:ptCount val="7"/>
                <c:pt idx="0">
                  <c:v>250.47654066189801</c:v>
                </c:pt>
                <c:pt idx="1">
                  <c:v>255.53354010802641</c:v>
                </c:pt>
                <c:pt idx="2">
                  <c:v>260.52289053282914</c:v>
                </c:pt>
                <c:pt idx="3">
                  <c:v>265.4528454194226</c:v>
                </c:pt>
                <c:pt idx="4">
                  <c:v>270.32914990885638</c:v>
                </c:pt>
                <c:pt idx="5">
                  <c:v>275.15612812130183</c:v>
                </c:pt>
                <c:pt idx="6">
                  <c:v>279.93719472512976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2D-714E-850A-E4D511558888}"/>
            </c:ext>
          </c:extLst>
        </c:ser>
        <c:ser>
          <c:idx val="4"/>
          <c:order val="4"/>
          <c:tx>
            <c:v>Upper bound (5%)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Exponential!$B$204:$B$210</c:f>
              <c:numCache>
                <c:formatCode>m/d/yy</c:formatCode>
                <c:ptCount val="7"/>
                <c:pt idx="0">
                  <c:v>43070</c:v>
                </c:pt>
                <c:pt idx="1">
                  <c:v>43101</c:v>
                </c:pt>
                <c:pt idx="2">
                  <c:v>43132</c:v>
                </c:pt>
                <c:pt idx="3">
                  <c:v>43160</c:v>
                </c:pt>
                <c:pt idx="4">
                  <c:v>43191</c:v>
                </c:pt>
                <c:pt idx="5">
                  <c:v>43221</c:v>
                </c:pt>
                <c:pt idx="6">
                  <c:v>43252</c:v>
                </c:pt>
              </c:numCache>
            </c:numRef>
          </c:xVal>
          <c:yVal>
            <c:numRef>
              <c:f>Exponential!$G$204:$G$210</c:f>
              <c:numCache>
                <c:formatCode>0.000</c:formatCode>
                <c:ptCount val="7"/>
                <c:pt idx="0">
                  <c:v>251.79071474575193</c:v>
                </c:pt>
                <c:pt idx="1">
                  <c:v>257.72014408075751</c:v>
                </c:pt>
                <c:pt idx="2">
                  <c:v>263.71722243708882</c:v>
                </c:pt>
                <c:pt idx="3">
                  <c:v>269.77369633162937</c:v>
                </c:pt>
                <c:pt idx="4">
                  <c:v>275.8838206233296</c:v>
                </c:pt>
                <c:pt idx="5">
                  <c:v>282.04327119201815</c:v>
                </c:pt>
                <c:pt idx="6">
                  <c:v>288.24863336932424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2D-714E-850A-E4D511558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230176"/>
        <c:axId val="1027361840"/>
      </c:scatterChart>
      <c:valAx>
        <c:axId val="1083230176"/>
        <c:scaling>
          <c:orientation val="minMax"/>
          <c:max val="44000"/>
          <c:min val="3800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027361840"/>
        <c:crosses val="autoZero"/>
        <c:crossBetween val="midCat"/>
      </c:valAx>
      <c:valAx>
        <c:axId val="1027361840"/>
        <c:scaling>
          <c:orientation val="minMax"/>
          <c:max val="300"/>
          <c:min val="5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Transport related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3230176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dPt>
            <c:idx val="155"/>
            <c:invertIfNegative val="0"/>
            <c:bubble3D val="0"/>
            <c:spPr>
              <a:solidFill>
                <a:srgbClr val="007800"/>
              </a:solidFill>
              <a:ln>
                <a:solidFill>
                  <a:srgbClr val="0078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9E-5C80-B64E-9C81-96A619F57871}"/>
              </c:ext>
            </c:extLst>
          </c:dPt>
          <c:cat>
            <c:numRef>
              <c:f>Exponential!$B$49:$B$204</c:f>
              <c:numCache>
                <c:formatCode>m/d/yy</c:formatCode>
                <c:ptCount val="156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</c:numCache>
            </c:numRef>
          </c:cat>
          <c:val>
            <c:numRef>
              <c:f>Exponential!$E$49:$E$204</c:f>
              <c:numCache>
                <c:formatCode>0.000</c:formatCode>
                <c:ptCount val="156"/>
                <c:pt idx="1">
                  <c:v>-90.899999999999991</c:v>
                </c:pt>
                <c:pt idx="2">
                  <c:v>-49.710742736486068</c:v>
                </c:pt>
                <c:pt idx="3">
                  <c:v>-10.328830775314827</c:v>
                </c:pt>
                <c:pt idx="4">
                  <c:v>-6.3404245918954416</c:v>
                </c:pt>
                <c:pt idx="5">
                  <c:v>1.9105660472038437</c:v>
                </c:pt>
                <c:pt idx="6">
                  <c:v>-9.8076625361523924</c:v>
                </c:pt>
                <c:pt idx="7">
                  <c:v>6.3126297523334074</c:v>
                </c:pt>
                <c:pt idx="8">
                  <c:v>-3.6681982373430202</c:v>
                </c:pt>
                <c:pt idx="9">
                  <c:v>-5.767136826320538</c:v>
                </c:pt>
                <c:pt idx="10">
                  <c:v>7.4468899979321463</c:v>
                </c:pt>
                <c:pt idx="11">
                  <c:v>-9.1617301705934864</c:v>
                </c:pt>
                <c:pt idx="12">
                  <c:v>5.9238795227791741</c:v>
                </c:pt>
                <c:pt idx="13">
                  <c:v>-3.0012562485406988</c:v>
                </c:pt>
                <c:pt idx="14">
                  <c:v>-0.87651909455081523</c:v>
                </c:pt>
                <c:pt idx="15">
                  <c:v>8.8495707045450303</c:v>
                </c:pt>
                <c:pt idx="16">
                  <c:v>0.82917516662024582</c:v>
                </c:pt>
                <c:pt idx="17">
                  <c:v>-0.93796839751878736</c:v>
                </c:pt>
                <c:pt idx="18">
                  <c:v>-6.7217051551785829</c:v>
                </c:pt>
                <c:pt idx="19">
                  <c:v>8.6006029900447913</c:v>
                </c:pt>
                <c:pt idx="20">
                  <c:v>-6.9813589124458417</c:v>
                </c:pt>
                <c:pt idx="21">
                  <c:v>5.5565836901806165E-2</c:v>
                </c:pt>
                <c:pt idx="22">
                  <c:v>3.9211299619985596</c:v>
                </c:pt>
                <c:pt idx="23">
                  <c:v>-9.2783978371865174</c:v>
                </c:pt>
                <c:pt idx="24">
                  <c:v>7.0415763750426521</c:v>
                </c:pt>
                <c:pt idx="25">
                  <c:v>-7.6391044767236309</c:v>
                </c:pt>
                <c:pt idx="26">
                  <c:v>4.0898144436089012</c:v>
                </c:pt>
                <c:pt idx="27">
                  <c:v>5.8986344296158109</c:v>
                </c:pt>
                <c:pt idx="28">
                  <c:v>1.0938958140809376</c:v>
                </c:pt>
                <c:pt idx="29">
                  <c:v>-2.0292180274634291</c:v>
                </c:pt>
                <c:pt idx="30">
                  <c:v>1.7172434254297997</c:v>
                </c:pt>
                <c:pt idx="31">
                  <c:v>-0.22129962925400548</c:v>
                </c:pt>
                <c:pt idx="32">
                  <c:v>-5.7411274056949537</c:v>
                </c:pt>
                <c:pt idx="33">
                  <c:v>2.7772911357868537</c:v>
                </c:pt>
                <c:pt idx="34">
                  <c:v>1.2059033478989107</c:v>
                </c:pt>
                <c:pt idx="35">
                  <c:v>-7.7036782008326981</c:v>
                </c:pt>
                <c:pt idx="36">
                  <c:v>7.7017883573694945</c:v>
                </c:pt>
                <c:pt idx="37">
                  <c:v>-3.1734622197460851</c:v>
                </c:pt>
                <c:pt idx="38">
                  <c:v>-5.0915569050412159</c:v>
                </c:pt>
                <c:pt idx="39">
                  <c:v>12.944095756353121</c:v>
                </c:pt>
                <c:pt idx="40">
                  <c:v>-4.0534995372462959</c:v>
                </c:pt>
                <c:pt idx="41">
                  <c:v>5.7300401021253862</c:v>
                </c:pt>
                <c:pt idx="42">
                  <c:v>-3.9047323096499866</c:v>
                </c:pt>
                <c:pt idx="43">
                  <c:v>-6.460240745041645</c:v>
                </c:pt>
                <c:pt idx="44">
                  <c:v>6.008948294816733</c:v>
                </c:pt>
                <c:pt idx="45">
                  <c:v>-4.7475779153558619</c:v>
                </c:pt>
                <c:pt idx="46">
                  <c:v>-3.0564111499415105</c:v>
                </c:pt>
                <c:pt idx="47">
                  <c:v>1.7847456941077127</c:v>
                </c:pt>
                <c:pt idx="48">
                  <c:v>-8.360724529514755</c:v>
                </c:pt>
                <c:pt idx="49">
                  <c:v>4.0964582434580024</c:v>
                </c:pt>
                <c:pt idx="50">
                  <c:v>-0.41588706666044573</c:v>
                </c:pt>
                <c:pt idx="51">
                  <c:v>13.961318577868653</c:v>
                </c:pt>
                <c:pt idx="52">
                  <c:v>-6.9967831492171939</c:v>
                </c:pt>
                <c:pt idx="53">
                  <c:v>9.5433091962842411</c:v>
                </c:pt>
                <c:pt idx="54">
                  <c:v>-6.8186945481015755</c:v>
                </c:pt>
                <c:pt idx="55">
                  <c:v>6.8587290274742685</c:v>
                </c:pt>
                <c:pt idx="56">
                  <c:v>39.362171891339784</c:v>
                </c:pt>
                <c:pt idx="57">
                  <c:v>-18.090598225068504</c:v>
                </c:pt>
                <c:pt idx="58">
                  <c:v>-20.543578480570545</c:v>
                </c:pt>
                <c:pt idx="59">
                  <c:v>-5.4365072919741522</c:v>
                </c:pt>
                <c:pt idx="60">
                  <c:v>-8.4367043875082572</c:v>
                </c:pt>
                <c:pt idx="61">
                  <c:v>2.7563657733180094</c:v>
                </c:pt>
                <c:pt idx="62">
                  <c:v>-1.0054515779056032</c:v>
                </c:pt>
                <c:pt idx="63">
                  <c:v>8.9166777033169353</c:v>
                </c:pt>
                <c:pt idx="64">
                  <c:v>-8.811374448718567</c:v>
                </c:pt>
                <c:pt idx="65">
                  <c:v>13.093646137849674</c:v>
                </c:pt>
                <c:pt idx="66">
                  <c:v>-11.535600690366408</c:v>
                </c:pt>
                <c:pt idx="67">
                  <c:v>7.7989347145384897</c:v>
                </c:pt>
                <c:pt idx="68">
                  <c:v>-4.5780956817989704</c:v>
                </c:pt>
                <c:pt idx="69">
                  <c:v>-8.4438143538515362</c:v>
                </c:pt>
                <c:pt idx="70">
                  <c:v>11.655215426922979</c:v>
                </c:pt>
                <c:pt idx="71">
                  <c:v>-3.6408711842535695</c:v>
                </c:pt>
                <c:pt idx="72">
                  <c:v>-8.7487069534539046</c:v>
                </c:pt>
                <c:pt idx="73">
                  <c:v>1.1456493710953168</c:v>
                </c:pt>
                <c:pt idx="74">
                  <c:v>-8.4498798988406065</c:v>
                </c:pt>
                <c:pt idx="75">
                  <c:v>18.508468537311217</c:v>
                </c:pt>
                <c:pt idx="76">
                  <c:v>3.2526853102822315</c:v>
                </c:pt>
                <c:pt idx="77">
                  <c:v>7.9016717884643697</c:v>
                </c:pt>
                <c:pt idx="78">
                  <c:v>-16.069723879792321</c:v>
                </c:pt>
                <c:pt idx="79">
                  <c:v>12.543253861175515</c:v>
                </c:pt>
                <c:pt idx="80">
                  <c:v>-11.489466945738343</c:v>
                </c:pt>
                <c:pt idx="81">
                  <c:v>-12.408347675655563</c:v>
                </c:pt>
                <c:pt idx="82">
                  <c:v>15.774319014665195</c:v>
                </c:pt>
                <c:pt idx="83">
                  <c:v>-14.335201491737593</c:v>
                </c:pt>
                <c:pt idx="84">
                  <c:v>7.3217184307638092</c:v>
                </c:pt>
                <c:pt idx="85">
                  <c:v>3.5164350098829686</c:v>
                </c:pt>
                <c:pt idx="86">
                  <c:v>-8.9654828480443882</c:v>
                </c:pt>
                <c:pt idx="87">
                  <c:v>15.696724570189815</c:v>
                </c:pt>
                <c:pt idx="88">
                  <c:v>-0.97378009489150941</c:v>
                </c:pt>
                <c:pt idx="89">
                  <c:v>-0.31508517521558588</c:v>
                </c:pt>
                <c:pt idx="90">
                  <c:v>-3.4018226465149723</c:v>
                </c:pt>
                <c:pt idx="91">
                  <c:v>-1.1444359155020152</c:v>
                </c:pt>
                <c:pt idx="92">
                  <c:v>-2.5850033329764983</c:v>
                </c:pt>
                <c:pt idx="93">
                  <c:v>-5.7039020723350689</c:v>
                </c:pt>
                <c:pt idx="94">
                  <c:v>6.6676434421707995</c:v>
                </c:pt>
                <c:pt idx="95">
                  <c:v>-8.9910615538081231</c:v>
                </c:pt>
                <c:pt idx="96">
                  <c:v>10.325753778479935</c:v>
                </c:pt>
                <c:pt idx="97">
                  <c:v>-7.5703956607783311</c:v>
                </c:pt>
                <c:pt idx="98">
                  <c:v>-11.832897472524877</c:v>
                </c:pt>
                <c:pt idx="99">
                  <c:v>27.81992416749884</c:v>
                </c:pt>
                <c:pt idx="100">
                  <c:v>-2.7157697531805525E-2</c:v>
                </c:pt>
                <c:pt idx="101">
                  <c:v>-2.5419178230966395</c:v>
                </c:pt>
                <c:pt idx="102">
                  <c:v>-1.6004791300485977</c:v>
                </c:pt>
                <c:pt idx="103">
                  <c:v>-5.187184954890256</c:v>
                </c:pt>
                <c:pt idx="104">
                  <c:v>-1.096611712154413</c:v>
                </c:pt>
                <c:pt idx="105">
                  <c:v>-6.8524861089498472</c:v>
                </c:pt>
                <c:pt idx="106">
                  <c:v>9.3307699513070759</c:v>
                </c:pt>
                <c:pt idx="107">
                  <c:v>-7.3773351004037693</c:v>
                </c:pt>
                <c:pt idx="108">
                  <c:v>2.4082070205758157</c:v>
                </c:pt>
                <c:pt idx="109">
                  <c:v>-3.5577283459757609</c:v>
                </c:pt>
                <c:pt idx="110">
                  <c:v>-10.854700617318684</c:v>
                </c:pt>
                <c:pt idx="111">
                  <c:v>29.624930567659845</c:v>
                </c:pt>
                <c:pt idx="112">
                  <c:v>-3.4273237774303027</c:v>
                </c:pt>
                <c:pt idx="113">
                  <c:v>1.5767052260601133</c:v>
                </c:pt>
                <c:pt idx="114">
                  <c:v>-5.7585005905805815</c:v>
                </c:pt>
                <c:pt idx="115">
                  <c:v>3.3637618586918165</c:v>
                </c:pt>
                <c:pt idx="116">
                  <c:v>-8.1991082108866919</c:v>
                </c:pt>
                <c:pt idx="117">
                  <c:v>-4.4725280251634274</c:v>
                </c:pt>
                <c:pt idx="118">
                  <c:v>4.6232500584466152</c:v>
                </c:pt>
                <c:pt idx="119">
                  <c:v>-5.8994247971818652</c:v>
                </c:pt>
                <c:pt idx="120">
                  <c:v>1.0272414457966192</c:v>
                </c:pt>
                <c:pt idx="121">
                  <c:v>-2.9491611379099822</c:v>
                </c:pt>
                <c:pt idx="122">
                  <c:v>-13.291794799641252</c:v>
                </c:pt>
                <c:pt idx="123">
                  <c:v>30.523320174067152</c:v>
                </c:pt>
                <c:pt idx="124">
                  <c:v>-3.351600603187137</c:v>
                </c:pt>
                <c:pt idx="125">
                  <c:v>0.22657866986534714</c:v>
                </c:pt>
                <c:pt idx="126">
                  <c:v>-5.9718234321806563</c:v>
                </c:pt>
                <c:pt idx="127">
                  <c:v>3.8723952165717037</c:v>
                </c:pt>
                <c:pt idx="128">
                  <c:v>-5.1342824803403175</c:v>
                </c:pt>
                <c:pt idx="129">
                  <c:v>-4.7756711074465557</c:v>
                </c:pt>
                <c:pt idx="130">
                  <c:v>10.175962050103664</c:v>
                </c:pt>
                <c:pt idx="131">
                  <c:v>-6.7441008938808125</c:v>
                </c:pt>
                <c:pt idx="132">
                  <c:v>8.6376833386065925</c:v>
                </c:pt>
                <c:pt idx="133">
                  <c:v>-1.753993937519823</c:v>
                </c:pt>
                <c:pt idx="134">
                  <c:v>-13.945350997065248</c:v>
                </c:pt>
                <c:pt idx="135">
                  <c:v>20.451125968122739</c:v>
                </c:pt>
                <c:pt idx="136">
                  <c:v>-4.6283447034785752</c:v>
                </c:pt>
                <c:pt idx="137">
                  <c:v>4.3018781845456147</c:v>
                </c:pt>
                <c:pt idx="138">
                  <c:v>-15.397304393855279</c:v>
                </c:pt>
                <c:pt idx="139">
                  <c:v>8.898089541844314</c:v>
                </c:pt>
                <c:pt idx="140">
                  <c:v>-9.4078646867579891</c:v>
                </c:pt>
                <c:pt idx="141">
                  <c:v>2.5959807376564754</c:v>
                </c:pt>
                <c:pt idx="142">
                  <c:v>14.396107703568816</c:v>
                </c:pt>
                <c:pt idx="143">
                  <c:v>-20.743581514263951</c:v>
                </c:pt>
                <c:pt idx="144">
                  <c:v>10.181735931891836</c:v>
                </c:pt>
                <c:pt idx="145">
                  <c:v>-3.3472991076646679</c:v>
                </c:pt>
                <c:pt idx="146">
                  <c:v>-12.786515055218757</c:v>
                </c:pt>
                <c:pt idx="147">
                  <c:v>15.90665008102286</c:v>
                </c:pt>
                <c:pt idx="148">
                  <c:v>9.9959453566569323</c:v>
                </c:pt>
                <c:pt idx="149">
                  <c:v>-5.2870261369325533</c:v>
                </c:pt>
                <c:pt idx="150">
                  <c:v>-0.26560942598229076</c:v>
                </c:pt>
                <c:pt idx="151">
                  <c:v>7.0156409412056462</c:v>
                </c:pt>
                <c:pt idx="152">
                  <c:v>-15.368472837379414</c:v>
                </c:pt>
                <c:pt idx="153">
                  <c:v>2.2127010354375614</c:v>
                </c:pt>
                <c:pt idx="154">
                  <c:v>12.10852114809731</c:v>
                </c:pt>
                <c:pt idx="155">
                  <c:v>-9.6336277038249705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80-B64E-9C81-96A619F57871}"/>
            </c:ext>
          </c:extLst>
        </c:ser>
        <c:ser>
          <c:idx val="1"/>
          <c:order val="1"/>
          <c:tx>
            <c:v>Residuals(Validation)</c:v>
          </c:tx>
          <c:spPr>
            <a:solidFill>
              <a:srgbClr val="007800"/>
            </a:solidFill>
            <a:ln>
              <a:solidFill>
                <a:srgbClr val="007800"/>
              </a:solidFill>
              <a:prstDash val="solid"/>
            </a:ln>
          </c:spPr>
          <c:invertIfNegative val="0"/>
          <c:cat>
            <c:numRef>
              <c:f>Exponential!$B$204</c:f>
              <c:numCache>
                <c:formatCode>m/d/yy</c:formatCode>
                <c:ptCount val="1"/>
                <c:pt idx="0">
                  <c:v>43070</c:v>
                </c:pt>
              </c:numCache>
            </c:numRef>
          </c:cat>
          <c:val>
            <c:numRef>
              <c:f>Exponential!$H$204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80-B64E-9C81-96A619F57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83230176"/>
        <c:axId val="1064602416"/>
      </c:barChart>
      <c:dateAx>
        <c:axId val="1083230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064602416"/>
        <c:crosses val="autoZero"/>
        <c:auto val="1"/>
        <c:lblOffset val="100"/>
        <c:baseTimeUnit val="months"/>
      </c:dateAx>
      <c:valAx>
        <c:axId val="1064602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8323017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Holt-Winters / Linear (Holt) / Transport related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Transport related</c:v>
          </c:tx>
          <c:spPr>
            <a:ln w="635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003CE6"/>
              </a:solidFill>
              <a:ln w="3175">
                <a:solidFill>
                  <a:srgbClr val="003CE6"/>
                </a:solidFill>
                <a:prstDash val="solid"/>
              </a:ln>
            </c:spPr>
          </c:marker>
          <c:xVal>
            <c:numRef>
              <c:f>'Holt-Winters'!$B$50:$B$205</c:f>
              <c:numCache>
                <c:formatCode>m/d/yy</c:formatCode>
                <c:ptCount val="156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</c:numCache>
            </c:numRef>
          </c:xVal>
          <c:yVal>
            <c:numRef>
              <c:f>'Holt-Winters'!$C$50:$C$205</c:f>
              <c:numCache>
                <c:formatCode>0.000</c:formatCode>
                <c:ptCount val="156"/>
                <c:pt idx="0">
                  <c:v>93.3</c:v>
                </c:pt>
                <c:pt idx="1">
                  <c:v>95.7</c:v>
                </c:pt>
                <c:pt idx="2">
                  <c:v>93.8</c:v>
                </c:pt>
                <c:pt idx="3">
                  <c:v>99.4</c:v>
                </c:pt>
                <c:pt idx="4">
                  <c:v>100</c:v>
                </c:pt>
                <c:pt idx="5">
                  <c:v>105.6</c:v>
                </c:pt>
                <c:pt idx="6">
                  <c:v>99.4</c:v>
                </c:pt>
                <c:pt idx="7">
                  <c:v>106.3</c:v>
                </c:pt>
                <c:pt idx="8">
                  <c:v>104.2</c:v>
                </c:pt>
                <c:pt idx="9">
                  <c:v>99.5</c:v>
                </c:pt>
                <c:pt idx="10">
                  <c:v>105.7</c:v>
                </c:pt>
                <c:pt idx="11">
                  <c:v>97.1</c:v>
                </c:pt>
                <c:pt idx="12">
                  <c:v>101.4</c:v>
                </c:pt>
                <c:pt idx="13">
                  <c:v>97.7</c:v>
                </c:pt>
                <c:pt idx="14">
                  <c:v>95.8</c:v>
                </c:pt>
                <c:pt idx="15">
                  <c:v>103</c:v>
                </c:pt>
                <c:pt idx="16">
                  <c:v>105</c:v>
                </c:pt>
                <c:pt idx="17">
                  <c:v>106.5</c:v>
                </c:pt>
                <c:pt idx="18">
                  <c:v>102</c:v>
                </c:pt>
                <c:pt idx="19">
                  <c:v>110.5</c:v>
                </c:pt>
                <c:pt idx="20">
                  <c:v>105.5</c:v>
                </c:pt>
                <c:pt idx="21">
                  <c:v>106.2</c:v>
                </c:pt>
                <c:pt idx="22">
                  <c:v>110</c:v>
                </c:pt>
                <c:pt idx="23">
                  <c:v>101.9</c:v>
                </c:pt>
                <c:pt idx="24">
                  <c:v>107.5</c:v>
                </c:pt>
                <c:pt idx="25">
                  <c:v>99.7</c:v>
                </c:pt>
                <c:pt idx="26">
                  <c:v>101.9</c:v>
                </c:pt>
                <c:pt idx="27">
                  <c:v>106.4</c:v>
                </c:pt>
                <c:pt idx="28">
                  <c:v>108.5</c:v>
                </c:pt>
                <c:pt idx="29">
                  <c:v>108.5</c:v>
                </c:pt>
                <c:pt idx="30">
                  <c:v>111.7</c:v>
                </c:pt>
                <c:pt idx="31">
                  <c:v>113.3</c:v>
                </c:pt>
                <c:pt idx="32">
                  <c:v>109.5</c:v>
                </c:pt>
                <c:pt idx="33">
                  <c:v>112.3</c:v>
                </c:pt>
                <c:pt idx="34">
                  <c:v>113.8</c:v>
                </c:pt>
                <c:pt idx="35">
                  <c:v>107.1</c:v>
                </c:pt>
                <c:pt idx="36">
                  <c:v>113.4</c:v>
                </c:pt>
                <c:pt idx="37">
                  <c:v>110.5</c:v>
                </c:pt>
                <c:pt idx="38">
                  <c:v>105.5</c:v>
                </c:pt>
                <c:pt idx="39">
                  <c:v>116.5</c:v>
                </c:pt>
                <c:pt idx="40">
                  <c:v>114.2</c:v>
                </c:pt>
                <c:pt idx="41">
                  <c:v>121.8</c:v>
                </c:pt>
                <c:pt idx="42">
                  <c:v>121.2</c:v>
                </c:pt>
                <c:pt idx="43">
                  <c:v>117.4</c:v>
                </c:pt>
                <c:pt idx="44">
                  <c:v>123.5</c:v>
                </c:pt>
                <c:pt idx="45">
                  <c:v>120.1</c:v>
                </c:pt>
                <c:pt idx="46">
                  <c:v>117.5</c:v>
                </c:pt>
                <c:pt idx="47">
                  <c:v>118.2</c:v>
                </c:pt>
                <c:pt idx="48">
                  <c:v>109</c:v>
                </c:pt>
                <c:pt idx="49">
                  <c:v>109.7</c:v>
                </c:pt>
                <c:pt idx="50">
                  <c:v>106.3</c:v>
                </c:pt>
                <c:pt idx="51">
                  <c:v>117.6</c:v>
                </c:pt>
                <c:pt idx="52">
                  <c:v>112.5</c:v>
                </c:pt>
                <c:pt idx="53">
                  <c:v>123.2</c:v>
                </c:pt>
                <c:pt idx="54">
                  <c:v>119.9</c:v>
                </c:pt>
                <c:pt idx="55">
                  <c:v>129.1</c:v>
                </c:pt>
                <c:pt idx="56">
                  <c:v>172.3</c:v>
                </c:pt>
                <c:pt idx="57">
                  <c:v>171.8</c:v>
                </c:pt>
                <c:pt idx="58">
                  <c:v>167.3</c:v>
                </c:pt>
                <c:pt idx="59">
                  <c:v>169.1</c:v>
                </c:pt>
                <c:pt idx="60">
                  <c:v>163.80000000000001</c:v>
                </c:pt>
                <c:pt idx="61">
                  <c:v>166.3</c:v>
                </c:pt>
                <c:pt idx="62">
                  <c:v>165</c:v>
                </c:pt>
                <c:pt idx="63">
                  <c:v>173.6</c:v>
                </c:pt>
                <c:pt idx="64">
                  <c:v>167.3</c:v>
                </c:pt>
                <c:pt idx="65">
                  <c:v>181</c:v>
                </c:pt>
                <c:pt idx="66">
                  <c:v>173.4</c:v>
                </c:pt>
                <c:pt idx="67">
                  <c:v>182.8</c:v>
                </c:pt>
                <c:pt idx="68">
                  <c:v>181.1</c:v>
                </c:pt>
                <c:pt idx="69">
                  <c:v>174.9</c:v>
                </c:pt>
                <c:pt idx="70">
                  <c:v>185.5</c:v>
                </c:pt>
                <c:pt idx="71">
                  <c:v>183.7</c:v>
                </c:pt>
                <c:pt idx="72">
                  <c:v>176.9</c:v>
                </c:pt>
                <c:pt idx="73">
                  <c:v>176.7</c:v>
                </c:pt>
                <c:pt idx="74">
                  <c:v>166.3</c:v>
                </c:pt>
                <c:pt idx="75">
                  <c:v>180.2</c:v>
                </c:pt>
                <c:pt idx="76">
                  <c:v>184</c:v>
                </c:pt>
                <c:pt idx="77">
                  <c:v>195.6</c:v>
                </c:pt>
                <c:pt idx="78">
                  <c:v>186.2</c:v>
                </c:pt>
                <c:pt idx="79">
                  <c:v>201</c:v>
                </c:pt>
                <c:pt idx="80">
                  <c:v>194.1</c:v>
                </c:pt>
                <c:pt idx="81">
                  <c:v>183.9</c:v>
                </c:pt>
                <c:pt idx="82">
                  <c:v>196.5</c:v>
                </c:pt>
                <c:pt idx="83">
                  <c:v>182.8</c:v>
                </c:pt>
                <c:pt idx="84">
                  <c:v>187.8</c:v>
                </c:pt>
                <c:pt idx="85">
                  <c:v>189.8</c:v>
                </c:pt>
                <c:pt idx="86">
                  <c:v>181.3</c:v>
                </c:pt>
                <c:pt idx="87">
                  <c:v>194.9</c:v>
                </c:pt>
                <c:pt idx="88">
                  <c:v>196</c:v>
                </c:pt>
                <c:pt idx="89">
                  <c:v>199.2</c:v>
                </c:pt>
                <c:pt idx="90">
                  <c:v>199.1</c:v>
                </c:pt>
                <c:pt idx="91">
                  <c:v>200.1</c:v>
                </c:pt>
                <c:pt idx="92">
                  <c:v>198.9</c:v>
                </c:pt>
                <c:pt idx="93">
                  <c:v>193.6</c:v>
                </c:pt>
                <c:pt idx="94">
                  <c:v>198.5</c:v>
                </c:pt>
                <c:pt idx="95">
                  <c:v>189.3</c:v>
                </c:pt>
                <c:pt idx="96">
                  <c:v>197.2</c:v>
                </c:pt>
                <c:pt idx="97">
                  <c:v>189.6</c:v>
                </c:pt>
                <c:pt idx="98">
                  <c:v>176.4</c:v>
                </c:pt>
                <c:pt idx="99">
                  <c:v>198.1</c:v>
                </c:pt>
                <c:pt idx="100">
                  <c:v>199.8</c:v>
                </c:pt>
                <c:pt idx="101">
                  <c:v>202.1</c:v>
                </c:pt>
                <c:pt idx="102">
                  <c:v>204.5</c:v>
                </c:pt>
                <c:pt idx="103">
                  <c:v>202.5</c:v>
                </c:pt>
                <c:pt idx="104">
                  <c:v>202.7</c:v>
                </c:pt>
                <c:pt idx="105">
                  <c:v>196.2</c:v>
                </c:pt>
                <c:pt idx="106">
                  <c:v>203.5</c:v>
                </c:pt>
                <c:pt idx="107">
                  <c:v>196.4</c:v>
                </c:pt>
                <c:pt idx="108">
                  <c:v>197.7</c:v>
                </c:pt>
                <c:pt idx="109">
                  <c:v>193</c:v>
                </c:pt>
                <c:pt idx="110">
                  <c:v>180.1</c:v>
                </c:pt>
                <c:pt idx="111">
                  <c:v>203.7</c:v>
                </c:pt>
                <c:pt idx="112">
                  <c:v>202.8</c:v>
                </c:pt>
                <c:pt idx="113">
                  <c:v>209.1</c:v>
                </c:pt>
                <c:pt idx="114">
                  <c:v>208.2</c:v>
                </c:pt>
                <c:pt idx="115">
                  <c:v>214.7</c:v>
                </c:pt>
                <c:pt idx="116">
                  <c:v>210.1</c:v>
                </c:pt>
                <c:pt idx="117">
                  <c:v>206.9</c:v>
                </c:pt>
                <c:pt idx="118">
                  <c:v>210.4</c:v>
                </c:pt>
                <c:pt idx="119">
                  <c:v>204.4</c:v>
                </c:pt>
                <c:pt idx="120">
                  <c:v>203.9</c:v>
                </c:pt>
                <c:pt idx="121">
                  <c:v>199.1</c:v>
                </c:pt>
                <c:pt idx="122">
                  <c:v>183.1</c:v>
                </c:pt>
                <c:pt idx="123">
                  <c:v>206.2</c:v>
                </c:pt>
                <c:pt idx="124">
                  <c:v>204</c:v>
                </c:pt>
                <c:pt idx="125">
                  <c:v>207.7</c:v>
                </c:pt>
                <c:pt idx="126">
                  <c:v>204.9</c:v>
                </c:pt>
                <c:pt idx="127">
                  <c:v>210</c:v>
                </c:pt>
                <c:pt idx="128">
                  <c:v>206.7</c:v>
                </c:pt>
                <c:pt idx="129">
                  <c:v>202.5</c:v>
                </c:pt>
                <c:pt idx="130">
                  <c:v>211.1</c:v>
                </c:pt>
                <c:pt idx="131">
                  <c:v>205.6</c:v>
                </c:pt>
                <c:pt idx="132">
                  <c:v>214.4</c:v>
                </c:pt>
                <c:pt idx="133">
                  <c:v>214.9</c:v>
                </c:pt>
                <c:pt idx="134">
                  <c:v>203.6</c:v>
                </c:pt>
                <c:pt idx="135">
                  <c:v>221.9</c:v>
                </c:pt>
                <c:pt idx="136">
                  <c:v>220.3</c:v>
                </c:pt>
                <c:pt idx="137">
                  <c:v>228.4</c:v>
                </c:pt>
                <c:pt idx="138">
                  <c:v>217.7</c:v>
                </c:pt>
                <c:pt idx="139">
                  <c:v>226.7</c:v>
                </c:pt>
                <c:pt idx="140">
                  <c:v>218.6</c:v>
                </c:pt>
                <c:pt idx="141">
                  <c:v>220.4</c:v>
                </c:pt>
                <c:pt idx="142">
                  <c:v>233.8</c:v>
                </c:pt>
                <c:pt idx="143">
                  <c:v>217.1</c:v>
                </c:pt>
                <c:pt idx="144">
                  <c:v>226.1</c:v>
                </c:pt>
                <c:pt idx="145">
                  <c:v>222.6</c:v>
                </c:pt>
                <c:pt idx="146">
                  <c:v>209.7</c:v>
                </c:pt>
                <c:pt idx="147">
                  <c:v>220.9</c:v>
                </c:pt>
                <c:pt idx="148">
                  <c:v>230</c:v>
                </c:pt>
                <c:pt idx="149">
                  <c:v>228.9</c:v>
                </c:pt>
                <c:pt idx="150">
                  <c:v>232.2</c:v>
                </c:pt>
                <c:pt idx="151">
                  <c:v>242.1</c:v>
                </c:pt>
                <c:pt idx="152">
                  <c:v>231.9</c:v>
                </c:pt>
                <c:pt idx="153">
                  <c:v>235</c:v>
                </c:pt>
                <c:pt idx="154">
                  <c:v>247</c:v>
                </c:pt>
                <c:pt idx="155">
                  <c:v>241.5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1-C146-9680-3CBD5167F540}"/>
            </c:ext>
          </c:extLst>
        </c:ser>
        <c:ser>
          <c:idx val="1"/>
          <c:order val="1"/>
          <c:tx>
            <c:v>Validation</c:v>
          </c:tx>
          <c:spPr>
            <a:ln w="6350">
              <a:solidFill>
                <a:srgbClr val="007800"/>
              </a:solidFill>
              <a:prstDash val="solid"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3175">
                <a:solidFill>
                  <a:srgbClr val="007800"/>
                </a:solidFill>
                <a:prstDash val="solid"/>
              </a:ln>
            </c:spPr>
          </c:marker>
          <c:xVal>
            <c:numRef>
              <c:f>'Holt-Winters'!$B$205</c:f>
              <c:numCache>
                <c:formatCode>m/d/yy</c:formatCode>
                <c:ptCount val="1"/>
                <c:pt idx="0">
                  <c:v>43070</c:v>
                </c:pt>
              </c:numCache>
            </c:numRef>
          </c:xVal>
          <c:yVal>
            <c:numRef>
              <c:f>'Holt-Winters'!$C$205</c:f>
              <c:numCache>
                <c:formatCode>0.000</c:formatCode>
                <c:ptCount val="1"/>
                <c:pt idx="0">
                  <c:v>241.5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61-C146-9680-3CBD5167F540}"/>
            </c:ext>
          </c:extLst>
        </c:ser>
        <c:ser>
          <c:idx val="2"/>
          <c:order val="2"/>
          <c:tx>
            <c:v>Holt-Winters(Transport related)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3175">
                <a:solidFill>
                  <a:srgbClr val="FF0000"/>
                </a:solidFill>
                <a:prstDash val="solid"/>
              </a:ln>
            </c:spPr>
          </c:marker>
          <c:xVal>
            <c:numRef>
              <c:f>'Holt-Winters'!$B$50:$B$207</c:f>
              <c:numCache>
                <c:formatCode>m/d/yy</c:formatCode>
                <c:ptCount val="158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  <c:pt idx="156">
                  <c:v>43101</c:v>
                </c:pt>
                <c:pt idx="157">
                  <c:v>43132</c:v>
                </c:pt>
              </c:numCache>
            </c:numRef>
          </c:xVal>
          <c:yVal>
            <c:numRef>
              <c:f>'Holt-Winters'!$D$50:$D$207</c:f>
              <c:numCache>
                <c:formatCode>0.000</c:formatCode>
                <c:ptCount val="158"/>
                <c:pt idx="1">
                  <c:v>93.3</c:v>
                </c:pt>
                <c:pt idx="2">
                  <c:v>94.828668697896859</c:v>
                </c:pt>
                <c:pt idx="3">
                  <c:v>94.191281669889264</c:v>
                </c:pt>
                <c:pt idx="4">
                  <c:v>97.519131647651534</c:v>
                </c:pt>
                <c:pt idx="5">
                  <c:v>99.148162242429748</c:v>
                </c:pt>
                <c:pt idx="6">
                  <c:v>103.32490215683075</c:v>
                </c:pt>
                <c:pt idx="7">
                  <c:v>100.94012772836481</c:v>
                </c:pt>
                <c:pt idx="8">
                  <c:v>104.44010644938858</c:v>
                </c:pt>
                <c:pt idx="9">
                  <c:v>104.4129991431647</c:v>
                </c:pt>
                <c:pt idx="10">
                  <c:v>101.40773218545425</c:v>
                </c:pt>
                <c:pt idx="11">
                  <c:v>104.22924040181628</c:v>
                </c:pt>
                <c:pt idx="12">
                  <c:v>99.807740428931112</c:v>
                </c:pt>
                <c:pt idx="13">
                  <c:v>100.88842817805836</c:v>
                </c:pt>
                <c:pt idx="14">
                  <c:v>98.935901013560709</c:v>
                </c:pt>
                <c:pt idx="15">
                  <c:v>96.993158486885775</c:v>
                </c:pt>
                <c:pt idx="16">
                  <c:v>100.8505604499997</c:v>
                </c:pt>
                <c:pt idx="17">
                  <c:v>103.56949641125712</c:v>
                </c:pt>
                <c:pt idx="18">
                  <c:v>105.54284411528958</c:v>
                </c:pt>
                <c:pt idx="19">
                  <c:v>103.41478083031278</c:v>
                </c:pt>
                <c:pt idx="20">
                  <c:v>108.02990877298249</c:v>
                </c:pt>
                <c:pt idx="21">
                  <c:v>106.57333003359048</c:v>
                </c:pt>
                <c:pt idx="22">
                  <c:v>106.47159081174054</c:v>
                </c:pt>
                <c:pt idx="23">
                  <c:v>108.85227424687631</c:v>
                </c:pt>
                <c:pt idx="24">
                  <c:v>104.58353218443615</c:v>
                </c:pt>
                <c:pt idx="25">
                  <c:v>106.54902216486531</c:v>
                </c:pt>
                <c:pt idx="26">
                  <c:v>102.31608242897308</c:v>
                </c:pt>
                <c:pt idx="27">
                  <c:v>102.12972321280938</c:v>
                </c:pt>
                <c:pt idx="28">
                  <c:v>104.92522925149467</c:v>
                </c:pt>
                <c:pt idx="29">
                  <c:v>107.30944040595806</c:v>
                </c:pt>
                <c:pt idx="30">
                  <c:v>108.20158016263562</c:v>
                </c:pt>
                <c:pt idx="31">
                  <c:v>110.57253987082706</c:v>
                </c:pt>
                <c:pt idx="32">
                  <c:v>112.47841423007259</c:v>
                </c:pt>
                <c:pt idx="33">
                  <c:v>110.77020864918801</c:v>
                </c:pt>
                <c:pt idx="34">
                  <c:v>111.91137032657988</c:v>
                </c:pt>
                <c:pt idx="35">
                  <c:v>113.29245022710839</c:v>
                </c:pt>
                <c:pt idx="36">
                  <c:v>109.54034635732253</c:v>
                </c:pt>
                <c:pt idx="37">
                  <c:v>112.14490723760312</c:v>
                </c:pt>
                <c:pt idx="38">
                  <c:v>111.27201975244401</c:v>
                </c:pt>
                <c:pt idx="39">
                  <c:v>107.75817487205694</c:v>
                </c:pt>
                <c:pt idx="40">
                  <c:v>113.4460011278058</c:v>
                </c:pt>
                <c:pt idx="41">
                  <c:v>114.1109222184547</c:v>
                </c:pt>
                <c:pt idx="42">
                  <c:v>119.19870718071583</c:v>
                </c:pt>
                <c:pt idx="43">
                  <c:v>120.72077138936083</c:v>
                </c:pt>
                <c:pt idx="44">
                  <c:v>118.8678303405685</c:v>
                </c:pt>
                <c:pt idx="45">
                  <c:v>122.05582277432401</c:v>
                </c:pt>
                <c:pt idx="46">
                  <c:v>121.08201571522207</c:v>
                </c:pt>
                <c:pt idx="47">
                  <c:v>119.05789183255536</c:v>
                </c:pt>
                <c:pt idx="48">
                  <c:v>118.74229136936592</c:v>
                </c:pt>
                <c:pt idx="49">
                  <c:v>112.76144509366038</c:v>
                </c:pt>
                <c:pt idx="50">
                  <c:v>110.96360133848546</c:v>
                </c:pt>
                <c:pt idx="51">
                  <c:v>108.12254219404922</c:v>
                </c:pt>
                <c:pt idx="52">
                  <c:v>114.25393945226308</c:v>
                </c:pt>
                <c:pt idx="53">
                  <c:v>113.30191593035589</c:v>
                </c:pt>
                <c:pt idx="54">
                  <c:v>119.75857190148197</c:v>
                </c:pt>
                <c:pt idx="55">
                  <c:v>120.0742595246963</c:v>
                </c:pt>
                <c:pt idx="56">
                  <c:v>126.04981810258181</c:v>
                </c:pt>
                <c:pt idx="57">
                  <c:v>155.8023204110672</c:v>
                </c:pt>
                <c:pt idx="58">
                  <c:v>166.6290155188513</c:v>
                </c:pt>
                <c:pt idx="59">
                  <c:v>167.81221815927614</c:v>
                </c:pt>
                <c:pt idx="60">
                  <c:v>169.39326865696833</c:v>
                </c:pt>
                <c:pt idx="61">
                  <c:v>166.60102750288482</c:v>
                </c:pt>
                <c:pt idx="62">
                  <c:v>167.13812754463481</c:v>
                </c:pt>
                <c:pt idx="63">
                  <c:v>166.50286040558566</c:v>
                </c:pt>
                <c:pt idx="64">
                  <c:v>171.73407878125619</c:v>
                </c:pt>
                <c:pt idx="65">
                  <c:v>169.67323419930938</c:v>
                </c:pt>
                <c:pt idx="66">
                  <c:v>177.61826480287556</c:v>
                </c:pt>
                <c:pt idx="67">
                  <c:v>175.7460562562041</c:v>
                </c:pt>
                <c:pt idx="68">
                  <c:v>181.02230960813992</c:v>
                </c:pt>
                <c:pt idx="69">
                  <c:v>181.90744281905964</c:v>
                </c:pt>
                <c:pt idx="70">
                  <c:v>178.28031060427904</c:v>
                </c:pt>
                <c:pt idx="71">
                  <c:v>183.66305691959926</c:v>
                </c:pt>
                <c:pt idx="72">
                  <c:v>184.52438894186642</c:v>
                </c:pt>
                <c:pt idx="73">
                  <c:v>180.50614589303606</c:v>
                </c:pt>
                <c:pt idx="74">
                  <c:v>178.86330795850614</c:v>
                </c:pt>
                <c:pt idx="75">
                  <c:v>171.61437838561545</c:v>
                </c:pt>
                <c:pt idx="76">
                  <c:v>177.74288438904654</c:v>
                </c:pt>
                <c:pt idx="77">
                  <c:v>182.45200288762328</c:v>
                </c:pt>
                <c:pt idx="78">
                  <c:v>191.59669148448805</c:v>
                </c:pt>
                <c:pt idx="79">
                  <c:v>189.02704452006793</c:v>
                </c:pt>
                <c:pt idx="80">
                  <c:v>197.48084498267181</c:v>
                </c:pt>
                <c:pt idx="81">
                  <c:v>196.24400702898748</c:v>
                </c:pt>
                <c:pt idx="82">
                  <c:v>189.27302434013612</c:v>
                </c:pt>
                <c:pt idx="83">
                  <c:v>194.67603957719308</c:v>
                </c:pt>
                <c:pt idx="84">
                  <c:v>187.9651354629697</c:v>
                </c:pt>
                <c:pt idx="85">
                  <c:v>188.62526363735677</c:v>
                </c:pt>
                <c:pt idx="86">
                  <c:v>190.13759082306959</c:v>
                </c:pt>
                <c:pt idx="87">
                  <c:v>185.28133511709282</c:v>
                </c:pt>
                <c:pt idx="88">
                  <c:v>192.11509040989608</c:v>
                </c:pt>
                <c:pt idx="89">
                  <c:v>195.36817046630381</c:v>
                </c:pt>
                <c:pt idx="90">
                  <c:v>198.61628470712634</c:v>
                </c:pt>
                <c:pt idx="91">
                  <c:v>199.76028253593779</c:v>
                </c:pt>
                <c:pt idx="92">
                  <c:v>200.81615294075129</c:v>
                </c:pt>
                <c:pt idx="93">
                  <c:v>200.43767952635889</c:v>
                </c:pt>
                <c:pt idx="94">
                  <c:v>196.91023656810194</c:v>
                </c:pt>
                <c:pt idx="95">
                  <c:v>198.69984777725875</c:v>
                </c:pt>
                <c:pt idx="96">
                  <c:v>193.50148098161273</c:v>
                </c:pt>
                <c:pt idx="97">
                  <c:v>196.57626863197012</c:v>
                </c:pt>
                <c:pt idx="98">
                  <c:v>192.87925998909299</c:v>
                </c:pt>
                <c:pt idx="99">
                  <c:v>183.07757086818677</c:v>
                </c:pt>
                <c:pt idx="100">
                  <c:v>193.2183850152945</c:v>
                </c:pt>
                <c:pt idx="101">
                  <c:v>198.09439545783141</c:v>
                </c:pt>
                <c:pt idx="102">
                  <c:v>201.3784929825116</c:v>
                </c:pt>
                <c:pt idx="103">
                  <c:v>204.12920812100057</c:v>
                </c:pt>
                <c:pt idx="104">
                  <c:v>203.87715306427447</c:v>
                </c:pt>
                <c:pt idx="105">
                  <c:v>203.90093638991198</c:v>
                </c:pt>
                <c:pt idx="106">
                  <c:v>199.76068694639034</c:v>
                </c:pt>
                <c:pt idx="107">
                  <c:v>202.85007537474166</c:v>
                </c:pt>
                <c:pt idx="108">
                  <c:v>199.47714313131672</c:v>
                </c:pt>
                <c:pt idx="109">
                  <c:v>199.03272487986132</c:v>
                </c:pt>
                <c:pt idx="110">
                  <c:v>195.86453958236075</c:v>
                </c:pt>
                <c:pt idx="111">
                  <c:v>186.45293113811354</c:v>
                </c:pt>
                <c:pt idx="112">
                  <c:v>197.95086836280507</c:v>
                </c:pt>
                <c:pt idx="113">
                  <c:v>201.68004767676004</c:v>
                </c:pt>
                <c:pt idx="114">
                  <c:v>207.08270120483033</c:v>
                </c:pt>
                <c:pt idx="115">
                  <c:v>208.52599823614287</c:v>
                </c:pt>
                <c:pt idx="116">
                  <c:v>213.1984337276418</c:v>
                </c:pt>
                <c:pt idx="117">
                  <c:v>212.01067360150228</c:v>
                </c:pt>
                <c:pt idx="118">
                  <c:v>209.51822262988037</c:v>
                </c:pt>
                <c:pt idx="119">
                  <c:v>210.80469119775088</c:v>
                </c:pt>
                <c:pt idx="120">
                  <c:v>207.45662462759842</c:v>
                </c:pt>
                <c:pt idx="121">
                  <c:v>205.87506940457789</c:v>
                </c:pt>
                <c:pt idx="122">
                  <c:v>202.21713499266957</c:v>
                </c:pt>
                <c:pt idx="123">
                  <c:v>190.64767893261202</c:v>
                </c:pt>
                <c:pt idx="124">
                  <c:v>201.01883563129834</c:v>
                </c:pt>
                <c:pt idx="125">
                  <c:v>203.49832053847436</c:v>
                </c:pt>
                <c:pt idx="126">
                  <c:v>206.77734026098395</c:v>
                </c:pt>
                <c:pt idx="127">
                  <c:v>206.21555211375716</c:v>
                </c:pt>
                <c:pt idx="128">
                  <c:v>209.24607506509133</c:v>
                </c:pt>
                <c:pt idx="129">
                  <c:v>208.2724986388649</c:v>
                </c:pt>
                <c:pt idx="130">
                  <c:v>205.22496373083774</c:v>
                </c:pt>
                <c:pt idx="131">
                  <c:v>209.55341376464312</c:v>
                </c:pt>
                <c:pt idx="132">
                  <c:v>207.66529768523642</c:v>
                </c:pt>
                <c:pt idx="133">
                  <c:v>212.55557492854771</c:v>
                </c:pt>
                <c:pt idx="134">
                  <c:v>214.6994871466384</c:v>
                </c:pt>
                <c:pt idx="135">
                  <c:v>208.29776882982145</c:v>
                </c:pt>
                <c:pt idx="136">
                  <c:v>217.54728619806144</c:v>
                </c:pt>
                <c:pt idx="137">
                  <c:v>219.98724351421473</c:v>
                </c:pt>
                <c:pt idx="138">
                  <c:v>226.05277572071608</c:v>
                </c:pt>
                <c:pt idx="139">
                  <c:v>221.50204114260418</c:v>
                </c:pt>
                <c:pt idx="140">
                  <c:v>225.52036846242279</c:v>
                </c:pt>
                <c:pt idx="141">
                  <c:v>221.85857619490633</c:v>
                </c:pt>
                <c:pt idx="142">
                  <c:v>221.6242669342007</c:v>
                </c:pt>
                <c:pt idx="143">
                  <c:v>230.06343763950414</c:v>
                </c:pt>
                <c:pt idx="144">
                  <c:v>222.58072994371852</c:v>
                </c:pt>
                <c:pt idx="145">
                  <c:v>225.50035903522405</c:v>
                </c:pt>
                <c:pt idx="146">
                  <c:v>224.35716421603988</c:v>
                </c:pt>
                <c:pt idx="147">
                  <c:v>215.70399416188764</c:v>
                </c:pt>
                <c:pt idx="148">
                  <c:v>219.58738605140584</c:v>
                </c:pt>
                <c:pt idx="149">
                  <c:v>226.83204934200018</c:v>
                </c:pt>
                <c:pt idx="150">
                  <c:v>228.83892646915686</c:v>
                </c:pt>
                <c:pt idx="151">
                  <c:v>231.68480549522096</c:v>
                </c:pt>
                <c:pt idx="152">
                  <c:v>239.04872774352563</c:v>
                </c:pt>
                <c:pt idx="153">
                  <c:v>235.30271940988558</c:v>
                </c:pt>
                <c:pt idx="154">
                  <c:v>235.8641685481337</c:v>
                </c:pt>
                <c:pt idx="155">
                  <c:v>243.70910126928376</c:v>
                </c:pt>
                <c:pt idx="156">
                  <c:v>244.54379589549885</c:v>
                </c:pt>
                <c:pt idx="157">
                  <c:v>245.37849052171396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61-C146-9680-3CBD5167F540}"/>
            </c:ext>
          </c:extLst>
        </c:ser>
        <c:ser>
          <c:idx val="3"/>
          <c:order val="3"/>
          <c:tx>
            <c:v>Lower bound (5%)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'Holt-Winters'!$B$205:$B$208</c:f>
              <c:numCache>
                <c:formatCode>m/d/yy</c:formatCode>
                <c:ptCount val="4"/>
                <c:pt idx="0">
                  <c:v>43070</c:v>
                </c:pt>
                <c:pt idx="1">
                  <c:v>43101</c:v>
                </c:pt>
                <c:pt idx="2">
                  <c:v>43132</c:v>
                </c:pt>
                <c:pt idx="3">
                  <c:v>43160</c:v>
                </c:pt>
              </c:numCache>
            </c:numRef>
          </c:xVal>
          <c:yVal>
            <c:numRef>
              <c:f>'Holt-Winters'!$F$205:$F$208</c:f>
              <c:numCache>
                <c:formatCode>0.000</c:formatCode>
                <c:ptCount val="4"/>
                <c:pt idx="0">
                  <c:v>243.21489079200299</c:v>
                </c:pt>
                <c:pt idx="1">
                  <c:v>243.95784912756989</c:v>
                </c:pt>
                <c:pt idx="2">
                  <c:v>244.71159717328095</c:v>
                </c:pt>
                <c:pt idx="3">
                  <c:v>245.4725703408597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461-C146-9680-3CBD5167F540}"/>
            </c:ext>
          </c:extLst>
        </c:ser>
        <c:ser>
          <c:idx val="4"/>
          <c:order val="4"/>
          <c:tx>
            <c:v>Upper bound (5%)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'Holt-Winters'!$B$205:$B$208</c:f>
              <c:numCache>
                <c:formatCode>m/d/yy</c:formatCode>
                <c:ptCount val="4"/>
                <c:pt idx="0">
                  <c:v>43070</c:v>
                </c:pt>
                <c:pt idx="1">
                  <c:v>43101</c:v>
                </c:pt>
                <c:pt idx="2">
                  <c:v>43132</c:v>
                </c:pt>
                <c:pt idx="3">
                  <c:v>43160</c:v>
                </c:pt>
              </c:numCache>
            </c:numRef>
          </c:xVal>
          <c:yVal>
            <c:numRef>
              <c:f>'Holt-Winters'!$G$205:$G$208</c:f>
              <c:numCache>
                <c:formatCode>0.000</c:formatCode>
                <c:ptCount val="4"/>
                <c:pt idx="0">
                  <c:v>244.20331174656454</c:v>
                </c:pt>
                <c:pt idx="1">
                  <c:v>245.12974266342781</c:v>
                </c:pt>
                <c:pt idx="2">
                  <c:v>246.04538387014696</c:v>
                </c:pt>
                <c:pt idx="3">
                  <c:v>246.95379995499843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461-C146-9680-3CBD5167F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4031280"/>
        <c:axId val="1064045008"/>
      </c:scatterChart>
      <c:valAx>
        <c:axId val="1064031280"/>
        <c:scaling>
          <c:orientation val="minMax"/>
          <c:max val="44000"/>
          <c:min val="3800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064045008"/>
        <c:crosses val="autoZero"/>
        <c:crossBetween val="midCat"/>
      </c:valAx>
      <c:valAx>
        <c:axId val="1064045008"/>
        <c:scaling>
          <c:orientation val="minMax"/>
          <c:max val="250"/>
          <c:min val="5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Transport related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6403128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dPt>
            <c:idx val="155"/>
            <c:invertIfNegative val="0"/>
            <c:bubble3D val="0"/>
            <c:spPr>
              <a:solidFill>
                <a:srgbClr val="007800"/>
              </a:solidFill>
              <a:ln>
                <a:solidFill>
                  <a:srgbClr val="0078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9E-A822-D645-80C0-DB971E1AB7C0}"/>
              </c:ext>
            </c:extLst>
          </c:dPt>
          <c:cat>
            <c:numRef>
              <c:f>'Holt-Winters'!$B$50:$B$205</c:f>
              <c:numCache>
                <c:formatCode>m/d/yy</c:formatCode>
                <c:ptCount val="156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</c:numCache>
            </c:numRef>
          </c:cat>
          <c:val>
            <c:numRef>
              <c:f>'Holt-Winters'!$E$50:$E$205</c:f>
              <c:numCache>
                <c:formatCode>0.000</c:formatCode>
                <c:ptCount val="156"/>
                <c:pt idx="1">
                  <c:v>2.4000000000000057</c:v>
                </c:pt>
                <c:pt idx="2">
                  <c:v>-1.0286686978968618</c:v>
                </c:pt>
                <c:pt idx="3">
                  <c:v>5.2087183301107416</c:v>
                </c:pt>
                <c:pt idx="4">
                  <c:v>2.480868352348466</c:v>
                </c:pt>
                <c:pt idx="5">
                  <c:v>6.4518377575702459</c:v>
                </c:pt>
                <c:pt idx="6">
                  <c:v>-3.9249021568307398</c:v>
                </c:pt>
                <c:pt idx="7">
                  <c:v>5.359872271635183</c:v>
                </c:pt>
                <c:pt idx="8">
                  <c:v>-0.24010644938857695</c:v>
                </c:pt>
                <c:pt idx="9">
                  <c:v>-4.9129991431646971</c:v>
                </c:pt>
                <c:pt idx="10">
                  <c:v>4.2922678145457525</c:v>
                </c:pt>
                <c:pt idx="11">
                  <c:v>-7.1292404018162898</c:v>
                </c:pt>
                <c:pt idx="12">
                  <c:v>1.5922595710688938</c:v>
                </c:pt>
                <c:pt idx="13">
                  <c:v>-3.1884281780583592</c:v>
                </c:pt>
                <c:pt idx="14">
                  <c:v>-3.1359010135607122</c:v>
                </c:pt>
                <c:pt idx="15">
                  <c:v>6.0068415131142245</c:v>
                </c:pt>
                <c:pt idx="16">
                  <c:v>4.1494395500002952</c:v>
                </c:pt>
                <c:pt idx="17">
                  <c:v>2.9305035887428801</c:v>
                </c:pt>
                <c:pt idx="18">
                  <c:v>-3.5428441152895829</c:v>
                </c:pt>
                <c:pt idx="19">
                  <c:v>7.0852191696872211</c:v>
                </c:pt>
                <c:pt idx="20">
                  <c:v>-2.5299087729824947</c:v>
                </c:pt>
                <c:pt idx="21">
                  <c:v>-0.37333003359047723</c:v>
                </c:pt>
                <c:pt idx="22">
                  <c:v>3.5284091882594595</c:v>
                </c:pt>
                <c:pt idx="23">
                  <c:v>-6.9522742468762999</c:v>
                </c:pt>
                <c:pt idx="24">
                  <c:v>2.9164678155638484</c:v>
                </c:pt>
                <c:pt idx="25">
                  <c:v>-6.8490221648653034</c:v>
                </c:pt>
                <c:pt idx="26">
                  <c:v>-0.4160824289730698</c:v>
                </c:pt>
                <c:pt idx="27">
                  <c:v>4.2702767871906246</c:v>
                </c:pt>
                <c:pt idx="28">
                  <c:v>3.5747707485053297</c:v>
                </c:pt>
                <c:pt idx="29">
                  <c:v>1.1905595940419431</c:v>
                </c:pt>
                <c:pt idx="30">
                  <c:v>3.4984198373643807</c:v>
                </c:pt>
                <c:pt idx="31">
                  <c:v>2.7274601291729397</c:v>
                </c:pt>
                <c:pt idx="32">
                  <c:v>-2.9784142300725875</c:v>
                </c:pt>
                <c:pt idx="33">
                  <c:v>1.5297913508119905</c:v>
                </c:pt>
                <c:pt idx="34">
                  <c:v>1.8886296734201125</c:v>
                </c:pt>
                <c:pt idx="35">
                  <c:v>-6.1924502271083952</c:v>
                </c:pt>
                <c:pt idx="36">
                  <c:v>3.8596536426774719</c:v>
                </c:pt>
                <c:pt idx="37">
                  <c:v>-1.6449072376031211</c:v>
                </c:pt>
                <c:pt idx="38">
                  <c:v>-5.7720197524440096</c:v>
                </c:pt>
                <c:pt idx="39">
                  <c:v>8.7418251279430592</c:v>
                </c:pt>
                <c:pt idx="40">
                  <c:v>0.75399887219420236</c:v>
                </c:pt>
                <c:pt idx="41">
                  <c:v>7.6890777815452935</c:v>
                </c:pt>
                <c:pt idx="42">
                  <c:v>2.0012928192841741</c:v>
                </c:pt>
                <c:pt idx="43">
                  <c:v>-3.3207713893608286</c:v>
                </c:pt>
                <c:pt idx="44">
                  <c:v>4.6321696594314972</c:v>
                </c:pt>
                <c:pt idx="45">
                  <c:v>-1.9558227743240195</c:v>
                </c:pt>
                <c:pt idx="46">
                  <c:v>-3.5820157152220702</c:v>
                </c:pt>
                <c:pt idx="47">
                  <c:v>-0.85789183255535306</c:v>
                </c:pt>
                <c:pt idx="48">
                  <c:v>-9.7422913693659154</c:v>
                </c:pt>
                <c:pt idx="49">
                  <c:v>-3.0614450936603816</c:v>
                </c:pt>
                <c:pt idx="50">
                  <c:v>-4.6636013384854635</c:v>
                </c:pt>
                <c:pt idx="51">
                  <c:v>9.4774578059507775</c:v>
                </c:pt>
                <c:pt idx="52">
                  <c:v>-1.7539394522630829</c:v>
                </c:pt>
                <c:pt idx="53">
                  <c:v>9.8980840696441135</c:v>
                </c:pt>
                <c:pt idx="54">
                  <c:v>0.14142809851803406</c:v>
                </c:pt>
                <c:pt idx="55">
                  <c:v>9.0257404753036923</c:v>
                </c:pt>
                <c:pt idx="56">
                  <c:v>46.250181897418202</c:v>
                </c:pt>
                <c:pt idx="57">
                  <c:v>15.997679588932812</c:v>
                </c:pt>
                <c:pt idx="58">
                  <c:v>0.67098448114870735</c:v>
                </c:pt>
                <c:pt idx="59">
                  <c:v>1.2877818407238522</c:v>
                </c:pt>
                <c:pt idx="60">
                  <c:v>-5.5932686569683199</c:v>
                </c:pt>
                <c:pt idx="61">
                  <c:v>-0.30102750288480706</c:v>
                </c:pt>
                <c:pt idx="62">
                  <c:v>-2.1381275446348127</c:v>
                </c:pt>
                <c:pt idx="63">
                  <c:v>7.0971395944143296</c:v>
                </c:pt>
                <c:pt idx="64">
                  <c:v>-4.4340787812561757</c:v>
                </c:pt>
                <c:pt idx="65">
                  <c:v>11.326765800690623</c:v>
                </c:pt>
                <c:pt idx="66">
                  <c:v>-4.2182648028755523</c:v>
                </c:pt>
                <c:pt idx="67">
                  <c:v>7.0539437437959123</c:v>
                </c:pt>
                <c:pt idx="68">
                  <c:v>7.769039186007376E-2</c:v>
                </c:pt>
                <c:pt idx="69">
                  <c:v>-7.0074428190596336</c:v>
                </c:pt>
                <c:pt idx="70">
                  <c:v>7.2196893957209625</c:v>
                </c:pt>
                <c:pt idx="71">
                  <c:v>3.6943080400732242E-2</c:v>
                </c:pt>
                <c:pt idx="72">
                  <c:v>-7.6243889418664139</c:v>
                </c:pt>
                <c:pt idx="73">
                  <c:v>-3.8061458930360743</c:v>
                </c:pt>
                <c:pt idx="74">
                  <c:v>-12.56330795850613</c:v>
                </c:pt>
                <c:pt idx="75">
                  <c:v>8.5856216143845359</c:v>
                </c:pt>
                <c:pt idx="76">
                  <c:v>6.2571156109534627</c:v>
                </c:pt>
                <c:pt idx="77">
                  <c:v>13.147997112376714</c:v>
                </c:pt>
                <c:pt idx="78">
                  <c:v>-5.3966914844880591</c:v>
                </c:pt>
                <c:pt idx="79">
                  <c:v>11.972955479932068</c:v>
                </c:pt>
                <c:pt idx="80">
                  <c:v>-3.3808449826718174</c:v>
                </c:pt>
                <c:pt idx="81">
                  <c:v>-12.344007028987477</c:v>
                </c:pt>
                <c:pt idx="82">
                  <c:v>7.2269756598638821</c:v>
                </c:pt>
                <c:pt idx="83">
                  <c:v>-11.876039577193069</c:v>
                </c:pt>
                <c:pt idx="84">
                  <c:v>-0.16513546296968684</c:v>
                </c:pt>
                <c:pt idx="85">
                  <c:v>1.1747363626432445</c:v>
                </c:pt>
                <c:pt idx="86">
                  <c:v>-8.8375908230695757</c:v>
                </c:pt>
                <c:pt idx="87">
                  <c:v>9.6186648829071828</c:v>
                </c:pt>
                <c:pt idx="88">
                  <c:v>3.8849095901039163</c:v>
                </c:pt>
                <c:pt idx="89">
                  <c:v>3.8318295336961796</c:v>
                </c:pt>
                <c:pt idx="90">
                  <c:v>0.48371529287365433</c:v>
                </c:pt>
                <c:pt idx="91">
                  <c:v>0.33971746406220404</c:v>
                </c:pt>
                <c:pt idx="92">
                  <c:v>-1.9161529407512887</c:v>
                </c:pt>
                <c:pt idx="93">
                  <c:v>-6.8376795263588974</c:v>
                </c:pt>
                <c:pt idx="94">
                  <c:v>1.5897634318980636</c:v>
                </c:pt>
                <c:pt idx="95">
                  <c:v>-9.3998477772587421</c:v>
                </c:pt>
                <c:pt idx="96">
                  <c:v>3.6985190183872589</c:v>
                </c:pt>
                <c:pt idx="97">
                  <c:v>-6.9762686319701288</c:v>
                </c:pt>
                <c:pt idx="98">
                  <c:v>-16.479259989092981</c:v>
                </c:pt>
                <c:pt idx="99">
                  <c:v>15.022429131813226</c:v>
                </c:pt>
                <c:pt idx="100">
                  <c:v>6.5816149847055101</c:v>
                </c:pt>
                <c:pt idx="101">
                  <c:v>4.0056045421685837</c:v>
                </c:pt>
                <c:pt idx="102">
                  <c:v>3.1215070174883977</c:v>
                </c:pt>
                <c:pt idx="103">
                  <c:v>-1.6292081210005733</c:v>
                </c:pt>
                <c:pt idx="104">
                  <c:v>-1.1771530642744779</c:v>
                </c:pt>
                <c:pt idx="105">
                  <c:v>-7.7009363899119876</c:v>
                </c:pt>
                <c:pt idx="106">
                  <c:v>3.7393130536096635</c:v>
                </c:pt>
                <c:pt idx="107">
                  <c:v>-6.4500753747416582</c:v>
                </c:pt>
                <c:pt idx="108">
                  <c:v>-1.7771431313167341</c:v>
                </c:pt>
                <c:pt idx="109">
                  <c:v>-6.0327248798613198</c:v>
                </c:pt>
                <c:pt idx="110">
                  <c:v>-15.764539582360754</c:v>
                </c:pt>
                <c:pt idx="111">
                  <c:v>17.247068861886447</c:v>
                </c:pt>
                <c:pt idx="112">
                  <c:v>4.8491316371949438</c:v>
                </c:pt>
                <c:pt idx="113">
                  <c:v>7.4199523232399542</c:v>
                </c:pt>
                <c:pt idx="114">
                  <c:v>1.1172987951696598</c:v>
                </c:pt>
                <c:pt idx="115">
                  <c:v>6.1740017638571203</c:v>
                </c:pt>
                <c:pt idx="116">
                  <c:v>-3.0984337276418046</c:v>
                </c:pt>
                <c:pt idx="117">
                  <c:v>-5.1106736015022705</c:v>
                </c:pt>
                <c:pt idx="118">
                  <c:v>0.88177737011963586</c:v>
                </c:pt>
                <c:pt idx="119">
                  <c:v>-6.4046911977508785</c:v>
                </c:pt>
                <c:pt idx="120">
                  <c:v>-3.5566246275984099</c:v>
                </c:pt>
                <c:pt idx="121">
                  <c:v>-6.7750694045778914</c:v>
                </c:pt>
                <c:pt idx="122">
                  <c:v>-19.117134992669577</c:v>
                </c:pt>
                <c:pt idx="123">
                  <c:v>15.552321067387965</c:v>
                </c:pt>
                <c:pt idx="124">
                  <c:v>2.9811643687016556</c:v>
                </c:pt>
                <c:pt idx="125">
                  <c:v>4.2016794615256288</c:v>
                </c:pt>
                <c:pt idx="126">
                  <c:v>-1.8773402609839422</c:v>
                </c:pt>
                <c:pt idx="127">
                  <c:v>3.7844478862428446</c:v>
                </c:pt>
                <c:pt idx="128">
                  <c:v>-2.546075065091344</c:v>
                </c:pt>
                <c:pt idx="129">
                  <c:v>-5.7724986388649029</c:v>
                </c:pt>
                <c:pt idx="130">
                  <c:v>5.8750362691622513</c:v>
                </c:pt>
                <c:pt idx="131">
                  <c:v>-3.9534137646431304</c:v>
                </c:pt>
                <c:pt idx="132">
                  <c:v>6.7347023147635809</c:v>
                </c:pt>
                <c:pt idx="133">
                  <c:v>2.3444250714522923</c:v>
                </c:pt>
                <c:pt idx="134">
                  <c:v>-11.09948714663841</c:v>
                </c:pt>
                <c:pt idx="135">
                  <c:v>13.602231170178555</c:v>
                </c:pt>
                <c:pt idx="136">
                  <c:v>2.7527138019385688</c:v>
                </c:pt>
                <c:pt idx="137">
                  <c:v>8.4127564857852803</c:v>
                </c:pt>
                <c:pt idx="138">
                  <c:v>-8.352775720716096</c:v>
                </c:pt>
                <c:pt idx="139">
                  <c:v>5.197958857395804</c:v>
                </c:pt>
                <c:pt idx="140">
                  <c:v>-6.9203684624228003</c:v>
                </c:pt>
                <c:pt idx="141">
                  <c:v>-1.4585761949063283</c:v>
                </c:pt>
                <c:pt idx="142">
                  <c:v>12.175733065799307</c:v>
                </c:pt>
                <c:pt idx="143">
                  <c:v>-12.96343763950415</c:v>
                </c:pt>
                <c:pt idx="144">
                  <c:v>3.5192700562814707</c:v>
                </c:pt>
                <c:pt idx="145">
                  <c:v>-2.9003590352240565</c:v>
                </c:pt>
                <c:pt idx="146">
                  <c:v>-14.657164216039888</c:v>
                </c:pt>
                <c:pt idx="147">
                  <c:v>5.1960058381123702</c:v>
                </c:pt>
                <c:pt idx="148">
                  <c:v>10.412613948594156</c:v>
                </c:pt>
                <c:pt idx="149">
                  <c:v>2.0679506579998304</c:v>
                </c:pt>
                <c:pt idx="150">
                  <c:v>3.3610735308431288</c:v>
                </c:pt>
                <c:pt idx="151">
                  <c:v>10.415194504779038</c:v>
                </c:pt>
                <c:pt idx="152">
                  <c:v>-7.148727743525626</c:v>
                </c:pt>
                <c:pt idx="153">
                  <c:v>-0.30271940988558299</c:v>
                </c:pt>
                <c:pt idx="154">
                  <c:v>11.135831451866295</c:v>
                </c:pt>
                <c:pt idx="155">
                  <c:v>-2.2091012692837637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22-D645-80C0-DB971E1AB7C0}"/>
            </c:ext>
          </c:extLst>
        </c:ser>
        <c:ser>
          <c:idx val="1"/>
          <c:order val="1"/>
          <c:tx>
            <c:v>Residuals(Validation)</c:v>
          </c:tx>
          <c:spPr>
            <a:solidFill>
              <a:srgbClr val="007800"/>
            </a:solidFill>
            <a:ln>
              <a:solidFill>
                <a:srgbClr val="007800"/>
              </a:solidFill>
              <a:prstDash val="solid"/>
            </a:ln>
          </c:spPr>
          <c:invertIfNegative val="0"/>
          <c:cat>
            <c:numRef>
              <c:f>'Holt-Winters'!$B$205</c:f>
              <c:numCache>
                <c:formatCode>m/d/yy</c:formatCode>
                <c:ptCount val="1"/>
                <c:pt idx="0">
                  <c:v>43070</c:v>
                </c:pt>
              </c:numCache>
            </c:numRef>
          </c:cat>
          <c:val>
            <c:numRef>
              <c:f>'Holt-Winters'!$H$205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22-D645-80C0-DB971E1AB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4763776"/>
        <c:axId val="1064765456"/>
      </c:barChart>
      <c:dateAx>
        <c:axId val="1064763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064765456"/>
        <c:crosses val="autoZero"/>
        <c:auto val="1"/>
        <c:lblOffset val="100"/>
        <c:baseTimeUnit val="months"/>
      </c:dateAx>
      <c:valAx>
        <c:axId val="1064765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6476377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Date / Transport related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Transport related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'Dickey-Fuller_HID'!$A$2:$A$157</c:f>
              <c:numCache>
                <c:formatCode>m/d/yy</c:formatCode>
                <c:ptCount val="156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  <c:pt idx="115">
                  <c:v>41852</c:v>
                </c:pt>
                <c:pt idx="116">
                  <c:v>41883</c:v>
                </c:pt>
                <c:pt idx="117">
                  <c:v>41913</c:v>
                </c:pt>
                <c:pt idx="118">
                  <c:v>41944</c:v>
                </c:pt>
                <c:pt idx="119">
                  <c:v>41974</c:v>
                </c:pt>
                <c:pt idx="120">
                  <c:v>42005</c:v>
                </c:pt>
                <c:pt idx="121">
                  <c:v>42036</c:v>
                </c:pt>
                <c:pt idx="122">
                  <c:v>42064</c:v>
                </c:pt>
                <c:pt idx="123">
                  <c:v>42095</c:v>
                </c:pt>
                <c:pt idx="124">
                  <c:v>42125</c:v>
                </c:pt>
                <c:pt idx="125">
                  <c:v>42156</c:v>
                </c:pt>
                <c:pt idx="126">
                  <c:v>42186</c:v>
                </c:pt>
                <c:pt idx="127">
                  <c:v>42217</c:v>
                </c:pt>
                <c:pt idx="128">
                  <c:v>42248</c:v>
                </c:pt>
                <c:pt idx="129">
                  <c:v>42278</c:v>
                </c:pt>
                <c:pt idx="130">
                  <c:v>42309</c:v>
                </c:pt>
                <c:pt idx="131">
                  <c:v>42339</c:v>
                </c:pt>
                <c:pt idx="132">
                  <c:v>42370</c:v>
                </c:pt>
                <c:pt idx="133">
                  <c:v>42401</c:v>
                </c:pt>
                <c:pt idx="134">
                  <c:v>42430</c:v>
                </c:pt>
                <c:pt idx="135">
                  <c:v>42461</c:v>
                </c:pt>
                <c:pt idx="136">
                  <c:v>42491</c:v>
                </c:pt>
                <c:pt idx="137">
                  <c:v>42522</c:v>
                </c:pt>
                <c:pt idx="138">
                  <c:v>42552</c:v>
                </c:pt>
                <c:pt idx="139">
                  <c:v>42583</c:v>
                </c:pt>
                <c:pt idx="140">
                  <c:v>42614</c:v>
                </c:pt>
                <c:pt idx="141">
                  <c:v>42644</c:v>
                </c:pt>
                <c:pt idx="142">
                  <c:v>42675</c:v>
                </c:pt>
                <c:pt idx="143">
                  <c:v>42705</c:v>
                </c:pt>
                <c:pt idx="144">
                  <c:v>42736</c:v>
                </c:pt>
                <c:pt idx="145">
                  <c:v>42767</c:v>
                </c:pt>
                <c:pt idx="146">
                  <c:v>42795</c:v>
                </c:pt>
                <c:pt idx="147">
                  <c:v>42826</c:v>
                </c:pt>
                <c:pt idx="148">
                  <c:v>42856</c:v>
                </c:pt>
                <c:pt idx="149">
                  <c:v>42887</c:v>
                </c:pt>
                <c:pt idx="150">
                  <c:v>42917</c:v>
                </c:pt>
                <c:pt idx="151">
                  <c:v>42948</c:v>
                </c:pt>
                <c:pt idx="152">
                  <c:v>42979</c:v>
                </c:pt>
                <c:pt idx="153">
                  <c:v>43009</c:v>
                </c:pt>
                <c:pt idx="154">
                  <c:v>43040</c:v>
                </c:pt>
                <c:pt idx="155">
                  <c:v>43070</c:v>
                </c:pt>
              </c:numCache>
            </c:numRef>
          </c:xVal>
          <c:yVal>
            <c:numRef>
              <c:f>'Dickey-Fuller_HID'!$B$2:$B$157</c:f>
              <c:numCache>
                <c:formatCode>0</c:formatCode>
                <c:ptCount val="156"/>
                <c:pt idx="0">
                  <c:v>93.3</c:v>
                </c:pt>
                <c:pt idx="1">
                  <c:v>95.7</c:v>
                </c:pt>
                <c:pt idx="2">
                  <c:v>93.8</c:v>
                </c:pt>
                <c:pt idx="3">
                  <c:v>99.4</c:v>
                </c:pt>
                <c:pt idx="4">
                  <c:v>100</c:v>
                </c:pt>
                <c:pt idx="5">
                  <c:v>105.6</c:v>
                </c:pt>
                <c:pt idx="6">
                  <c:v>99.4</c:v>
                </c:pt>
                <c:pt idx="7">
                  <c:v>106.3</c:v>
                </c:pt>
                <c:pt idx="8">
                  <c:v>104.2</c:v>
                </c:pt>
                <c:pt idx="9">
                  <c:v>99.5</c:v>
                </c:pt>
                <c:pt idx="10">
                  <c:v>105.7</c:v>
                </c:pt>
                <c:pt idx="11">
                  <c:v>97.1</c:v>
                </c:pt>
                <c:pt idx="12">
                  <c:v>101.4</c:v>
                </c:pt>
                <c:pt idx="13">
                  <c:v>97.7</c:v>
                </c:pt>
                <c:pt idx="14">
                  <c:v>95.8</c:v>
                </c:pt>
                <c:pt idx="15">
                  <c:v>103</c:v>
                </c:pt>
                <c:pt idx="16">
                  <c:v>105</c:v>
                </c:pt>
                <c:pt idx="17">
                  <c:v>106.5</c:v>
                </c:pt>
                <c:pt idx="18">
                  <c:v>102</c:v>
                </c:pt>
                <c:pt idx="19">
                  <c:v>110.5</c:v>
                </c:pt>
                <c:pt idx="20">
                  <c:v>105.5</c:v>
                </c:pt>
                <c:pt idx="21">
                  <c:v>106.2</c:v>
                </c:pt>
                <c:pt idx="22">
                  <c:v>110</c:v>
                </c:pt>
                <c:pt idx="23">
                  <c:v>101.9</c:v>
                </c:pt>
                <c:pt idx="24">
                  <c:v>107.5</c:v>
                </c:pt>
                <c:pt idx="25">
                  <c:v>99.7</c:v>
                </c:pt>
                <c:pt idx="26">
                  <c:v>101.9</c:v>
                </c:pt>
                <c:pt idx="27">
                  <c:v>106.4</c:v>
                </c:pt>
                <c:pt idx="28">
                  <c:v>108.5</c:v>
                </c:pt>
                <c:pt idx="29">
                  <c:v>108.5</c:v>
                </c:pt>
                <c:pt idx="30">
                  <c:v>111.7</c:v>
                </c:pt>
                <c:pt idx="31">
                  <c:v>113.3</c:v>
                </c:pt>
                <c:pt idx="32">
                  <c:v>109.5</c:v>
                </c:pt>
                <c:pt idx="33">
                  <c:v>112.3</c:v>
                </c:pt>
                <c:pt idx="34">
                  <c:v>113.8</c:v>
                </c:pt>
                <c:pt idx="35">
                  <c:v>107.1</c:v>
                </c:pt>
                <c:pt idx="36">
                  <c:v>113.4</c:v>
                </c:pt>
                <c:pt idx="37">
                  <c:v>110.5</c:v>
                </c:pt>
                <c:pt idx="38">
                  <c:v>105.5</c:v>
                </c:pt>
                <c:pt idx="39">
                  <c:v>116.5</c:v>
                </c:pt>
                <c:pt idx="40">
                  <c:v>114.2</c:v>
                </c:pt>
                <c:pt idx="41">
                  <c:v>121.8</c:v>
                </c:pt>
                <c:pt idx="42">
                  <c:v>121.2</c:v>
                </c:pt>
                <c:pt idx="43">
                  <c:v>117.4</c:v>
                </c:pt>
                <c:pt idx="44">
                  <c:v>123.5</c:v>
                </c:pt>
                <c:pt idx="45">
                  <c:v>120.1</c:v>
                </c:pt>
                <c:pt idx="46">
                  <c:v>117.5</c:v>
                </c:pt>
                <c:pt idx="47">
                  <c:v>118.2</c:v>
                </c:pt>
                <c:pt idx="48">
                  <c:v>109</c:v>
                </c:pt>
                <c:pt idx="49">
                  <c:v>109.7</c:v>
                </c:pt>
                <c:pt idx="50">
                  <c:v>106.3</c:v>
                </c:pt>
                <c:pt idx="51">
                  <c:v>117.6</c:v>
                </c:pt>
                <c:pt idx="52">
                  <c:v>112.5</c:v>
                </c:pt>
                <c:pt idx="53">
                  <c:v>123.2</c:v>
                </c:pt>
                <c:pt idx="54">
                  <c:v>119.9</c:v>
                </c:pt>
                <c:pt idx="55">
                  <c:v>129.1</c:v>
                </c:pt>
                <c:pt idx="56">
                  <c:v>172.3</c:v>
                </c:pt>
                <c:pt idx="57">
                  <c:v>171.8</c:v>
                </c:pt>
                <c:pt idx="58">
                  <c:v>167.3</c:v>
                </c:pt>
                <c:pt idx="59">
                  <c:v>169.1</c:v>
                </c:pt>
                <c:pt idx="60">
                  <c:v>163.80000000000001</c:v>
                </c:pt>
                <c:pt idx="61">
                  <c:v>166.3</c:v>
                </c:pt>
                <c:pt idx="62">
                  <c:v>165</c:v>
                </c:pt>
                <c:pt idx="63">
                  <c:v>173.6</c:v>
                </c:pt>
                <c:pt idx="64">
                  <c:v>167.3</c:v>
                </c:pt>
                <c:pt idx="65">
                  <c:v>181</c:v>
                </c:pt>
                <c:pt idx="66">
                  <c:v>173.4</c:v>
                </c:pt>
                <c:pt idx="67">
                  <c:v>182.8</c:v>
                </c:pt>
                <c:pt idx="68">
                  <c:v>181.1</c:v>
                </c:pt>
                <c:pt idx="69">
                  <c:v>174.9</c:v>
                </c:pt>
                <c:pt idx="70">
                  <c:v>185.5</c:v>
                </c:pt>
                <c:pt idx="71">
                  <c:v>183.7</c:v>
                </c:pt>
                <c:pt idx="72">
                  <c:v>176.9</c:v>
                </c:pt>
                <c:pt idx="73">
                  <c:v>176.7</c:v>
                </c:pt>
                <c:pt idx="74">
                  <c:v>166.3</c:v>
                </c:pt>
                <c:pt idx="75">
                  <c:v>180.2</c:v>
                </c:pt>
                <c:pt idx="76">
                  <c:v>184</c:v>
                </c:pt>
                <c:pt idx="77">
                  <c:v>195.6</c:v>
                </c:pt>
                <c:pt idx="78">
                  <c:v>186.2</c:v>
                </c:pt>
                <c:pt idx="79">
                  <c:v>201</c:v>
                </c:pt>
                <c:pt idx="80">
                  <c:v>194.1</c:v>
                </c:pt>
                <c:pt idx="81">
                  <c:v>183.9</c:v>
                </c:pt>
                <c:pt idx="82">
                  <c:v>196.5</c:v>
                </c:pt>
                <c:pt idx="83">
                  <c:v>182.8</c:v>
                </c:pt>
                <c:pt idx="84">
                  <c:v>187.8</c:v>
                </c:pt>
                <c:pt idx="85">
                  <c:v>189.8</c:v>
                </c:pt>
                <c:pt idx="86">
                  <c:v>181.3</c:v>
                </c:pt>
                <c:pt idx="87">
                  <c:v>194.9</c:v>
                </c:pt>
                <c:pt idx="88">
                  <c:v>196</c:v>
                </c:pt>
                <c:pt idx="89">
                  <c:v>199.2</c:v>
                </c:pt>
                <c:pt idx="90">
                  <c:v>199.1</c:v>
                </c:pt>
                <c:pt idx="91">
                  <c:v>200.1</c:v>
                </c:pt>
                <c:pt idx="92">
                  <c:v>198.9</c:v>
                </c:pt>
                <c:pt idx="93">
                  <c:v>193.6</c:v>
                </c:pt>
                <c:pt idx="94">
                  <c:v>198.5</c:v>
                </c:pt>
                <c:pt idx="95">
                  <c:v>189.3</c:v>
                </c:pt>
                <c:pt idx="96">
                  <c:v>197.2</c:v>
                </c:pt>
                <c:pt idx="97">
                  <c:v>189.6</c:v>
                </c:pt>
                <c:pt idx="98">
                  <c:v>176.4</c:v>
                </c:pt>
                <c:pt idx="99">
                  <c:v>198.1</c:v>
                </c:pt>
                <c:pt idx="100">
                  <c:v>199.8</c:v>
                </c:pt>
                <c:pt idx="101">
                  <c:v>202.1</c:v>
                </c:pt>
                <c:pt idx="102">
                  <c:v>204.5</c:v>
                </c:pt>
                <c:pt idx="103">
                  <c:v>202.5</c:v>
                </c:pt>
                <c:pt idx="104">
                  <c:v>202.7</c:v>
                </c:pt>
                <c:pt idx="105">
                  <c:v>196.2</c:v>
                </c:pt>
                <c:pt idx="106">
                  <c:v>203.5</c:v>
                </c:pt>
                <c:pt idx="107">
                  <c:v>196.4</c:v>
                </c:pt>
                <c:pt idx="108">
                  <c:v>197.7</c:v>
                </c:pt>
                <c:pt idx="109">
                  <c:v>193</c:v>
                </c:pt>
                <c:pt idx="110">
                  <c:v>180.1</c:v>
                </c:pt>
                <c:pt idx="111">
                  <c:v>203.7</c:v>
                </c:pt>
                <c:pt idx="112">
                  <c:v>202.8</c:v>
                </c:pt>
                <c:pt idx="113">
                  <c:v>209.1</c:v>
                </c:pt>
                <c:pt idx="114">
                  <c:v>208.2</c:v>
                </c:pt>
                <c:pt idx="115">
                  <c:v>214.7</c:v>
                </c:pt>
                <c:pt idx="116">
                  <c:v>210.1</c:v>
                </c:pt>
                <c:pt idx="117">
                  <c:v>206.9</c:v>
                </c:pt>
                <c:pt idx="118">
                  <c:v>210.4</c:v>
                </c:pt>
                <c:pt idx="119">
                  <c:v>204.4</c:v>
                </c:pt>
                <c:pt idx="120">
                  <c:v>203.9</c:v>
                </c:pt>
                <c:pt idx="121">
                  <c:v>199.1</c:v>
                </c:pt>
                <c:pt idx="122">
                  <c:v>183.1</c:v>
                </c:pt>
                <c:pt idx="123">
                  <c:v>206.2</c:v>
                </c:pt>
                <c:pt idx="124">
                  <c:v>204</c:v>
                </c:pt>
                <c:pt idx="125">
                  <c:v>207.7</c:v>
                </c:pt>
                <c:pt idx="126">
                  <c:v>204.9</c:v>
                </c:pt>
                <c:pt idx="127">
                  <c:v>210</c:v>
                </c:pt>
                <c:pt idx="128">
                  <c:v>206.7</c:v>
                </c:pt>
                <c:pt idx="129">
                  <c:v>202.5</c:v>
                </c:pt>
                <c:pt idx="130">
                  <c:v>211.1</c:v>
                </c:pt>
                <c:pt idx="131">
                  <c:v>205.6</c:v>
                </c:pt>
                <c:pt idx="132">
                  <c:v>214.4</c:v>
                </c:pt>
                <c:pt idx="133">
                  <c:v>214.9</c:v>
                </c:pt>
                <c:pt idx="134">
                  <c:v>203.6</c:v>
                </c:pt>
                <c:pt idx="135">
                  <c:v>221.9</c:v>
                </c:pt>
                <c:pt idx="136">
                  <c:v>220.3</c:v>
                </c:pt>
                <c:pt idx="137">
                  <c:v>228.4</c:v>
                </c:pt>
                <c:pt idx="138">
                  <c:v>217.7</c:v>
                </c:pt>
                <c:pt idx="139">
                  <c:v>226.7</c:v>
                </c:pt>
                <c:pt idx="140">
                  <c:v>218.6</c:v>
                </c:pt>
                <c:pt idx="141">
                  <c:v>220.4</c:v>
                </c:pt>
                <c:pt idx="142">
                  <c:v>233.8</c:v>
                </c:pt>
                <c:pt idx="143">
                  <c:v>217.1</c:v>
                </c:pt>
                <c:pt idx="144">
                  <c:v>226.1</c:v>
                </c:pt>
                <c:pt idx="145">
                  <c:v>222.6</c:v>
                </c:pt>
                <c:pt idx="146">
                  <c:v>209.7</c:v>
                </c:pt>
                <c:pt idx="147">
                  <c:v>220.9</c:v>
                </c:pt>
                <c:pt idx="148">
                  <c:v>230</c:v>
                </c:pt>
                <c:pt idx="149">
                  <c:v>228.9</c:v>
                </c:pt>
                <c:pt idx="150">
                  <c:v>232.2</c:v>
                </c:pt>
                <c:pt idx="151">
                  <c:v>242.1</c:v>
                </c:pt>
                <c:pt idx="152">
                  <c:v>231.9</c:v>
                </c:pt>
                <c:pt idx="153">
                  <c:v>235</c:v>
                </c:pt>
                <c:pt idx="154">
                  <c:v>247</c:v>
                </c:pt>
                <c:pt idx="155">
                  <c:v>241.5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5D-394A-93A6-56E93FB29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472576"/>
        <c:axId val="1058473392"/>
      </c:scatterChart>
      <c:valAx>
        <c:axId val="1058472576"/>
        <c:scaling>
          <c:orientation val="minMax"/>
          <c:max val="44000"/>
          <c:min val="3800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58473392"/>
        <c:crosses val="autoZero"/>
        <c:crossBetween val="midCat"/>
      </c:valAx>
      <c:valAx>
        <c:axId val="1058473392"/>
        <c:scaling>
          <c:orientation val="minMax"/>
          <c:max val="250"/>
          <c:min val="5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Transport related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5847257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Autocorrelogram (Transport related)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analysis'!$D$32:$D$54</c:f>
              <c:numCache>
                <c:formatCode>0.000</c:formatCode>
                <c:ptCount val="23"/>
                <c:pt idx="0">
                  <c:v>1</c:v>
                </c:pt>
                <c:pt idx="1">
                  <c:v>0.96792673884986813</c:v>
                </c:pt>
                <c:pt idx="2">
                  <c:v>0.94705142258769237</c:v>
                </c:pt>
                <c:pt idx="3">
                  <c:v>0.92590568063500878</c:v>
                </c:pt>
                <c:pt idx="4">
                  <c:v>0.90220479162727518</c:v>
                </c:pt>
                <c:pt idx="5">
                  <c:v>0.88384882999377079</c:v>
                </c:pt>
                <c:pt idx="6">
                  <c:v>0.86401610931993589</c:v>
                </c:pt>
                <c:pt idx="7">
                  <c:v>0.84734503667940608</c:v>
                </c:pt>
                <c:pt idx="8">
                  <c:v>0.82843456377698821</c:v>
                </c:pt>
                <c:pt idx="9">
                  <c:v>0.81820607899430065</c:v>
                </c:pt>
                <c:pt idx="10">
                  <c:v>0.80463211948362234</c:v>
                </c:pt>
                <c:pt idx="11">
                  <c:v>0.78965417870328081</c:v>
                </c:pt>
                <c:pt idx="12">
                  <c:v>0.77954068827393619</c:v>
                </c:pt>
                <c:pt idx="13">
                  <c:v>0.75318625115041182</c:v>
                </c:pt>
                <c:pt idx="14">
                  <c:v>0.73437337262244273</c:v>
                </c:pt>
                <c:pt idx="15">
                  <c:v>0.71172552212379159</c:v>
                </c:pt>
                <c:pt idx="16">
                  <c:v>0.68990257436150759</c:v>
                </c:pt>
                <c:pt idx="17">
                  <c:v>0.67259373064859351</c:v>
                </c:pt>
                <c:pt idx="18">
                  <c:v>0.6518050329382723</c:v>
                </c:pt>
                <c:pt idx="19">
                  <c:v>0.63444022475264406</c:v>
                </c:pt>
                <c:pt idx="20">
                  <c:v>0.61661367911082421</c:v>
                </c:pt>
                <c:pt idx="21">
                  <c:v>0.59967488929012858</c:v>
                </c:pt>
                <c:pt idx="22">
                  <c:v>0.58479697272113207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9-2D40-9E25-1810D37CF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0938176"/>
        <c:axId val="103064190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analysis'!$F$32:$F$54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-0.266018210603857</c:v>
                </c:pt>
                <c:pt idx="3">
                  <c:v>-0.33902485884338451</c:v>
                </c:pt>
                <c:pt idx="4">
                  <c:v>-0.39643346577301336</c:v>
                </c:pt>
                <c:pt idx="5">
                  <c:v>-0.44412527201570329</c:v>
                </c:pt>
                <c:pt idx="6">
                  <c:v>-0.48551044372982316</c:v>
                </c:pt>
                <c:pt idx="7">
                  <c:v>-0.52200219906760459</c:v>
                </c:pt>
                <c:pt idx="8">
                  <c:v>-0.55483970849685071</c:v>
                </c:pt>
                <c:pt idx="9">
                  <c:v>-0.58450594800303413</c:v>
                </c:pt>
                <c:pt idx="10">
                  <c:v>-0.61206030202104378</c:v>
                </c:pt>
                <c:pt idx="11">
                  <c:v>-0.63757630073111071</c:v>
                </c:pt>
                <c:pt idx="12">
                  <c:v>-0.66122101513854559</c:v>
                </c:pt>
                <c:pt idx="13">
                  <c:v>-0.68347738185740892</c:v>
                </c:pt>
                <c:pt idx="14">
                  <c:v>-0.70361924456010738</c:v>
                </c:pt>
                <c:pt idx="15">
                  <c:v>-0.72224683518045152</c:v>
                </c:pt>
                <c:pt idx="16">
                  <c:v>-0.73931587939564181</c:v>
                </c:pt>
                <c:pt idx="17">
                  <c:v>-0.75500266369021996</c:v>
                </c:pt>
                <c:pt idx="18">
                  <c:v>-0.76961588661435032</c:v>
                </c:pt>
                <c:pt idx="19">
                  <c:v>-0.78309146421827758</c:v>
                </c:pt>
                <c:pt idx="20">
                  <c:v>-0.79564807733587106</c:v>
                </c:pt>
                <c:pt idx="21">
                  <c:v>-0.8073296256055309</c:v>
                </c:pt>
                <c:pt idx="22">
                  <c:v>-0.81822474033150894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D9-2D40-9E25-1810D37CF263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analysis'!$G$32:$G$54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0.266018210603857</c:v>
                </c:pt>
                <c:pt idx="3">
                  <c:v>0.33902485884338451</c:v>
                </c:pt>
                <c:pt idx="4">
                  <c:v>0.39643346577301336</c:v>
                </c:pt>
                <c:pt idx="5">
                  <c:v>0.44412527201570329</c:v>
                </c:pt>
                <c:pt idx="6">
                  <c:v>0.48551044372982316</c:v>
                </c:pt>
                <c:pt idx="7">
                  <c:v>0.52200219906760459</c:v>
                </c:pt>
                <c:pt idx="8">
                  <c:v>0.55483970849685071</c:v>
                </c:pt>
                <c:pt idx="9">
                  <c:v>0.58450594800303413</c:v>
                </c:pt>
                <c:pt idx="10">
                  <c:v>0.61206030202104378</c:v>
                </c:pt>
                <c:pt idx="11">
                  <c:v>0.63757630073111071</c:v>
                </c:pt>
                <c:pt idx="12">
                  <c:v>0.66122101513854559</c:v>
                </c:pt>
                <c:pt idx="13">
                  <c:v>0.68347738185740892</c:v>
                </c:pt>
                <c:pt idx="14">
                  <c:v>0.70361924456010738</c:v>
                </c:pt>
                <c:pt idx="15">
                  <c:v>0.72224683518045152</c:v>
                </c:pt>
                <c:pt idx="16">
                  <c:v>0.73931587939564181</c:v>
                </c:pt>
                <c:pt idx="17">
                  <c:v>0.75500266369021996</c:v>
                </c:pt>
                <c:pt idx="18">
                  <c:v>0.76961588661435032</c:v>
                </c:pt>
                <c:pt idx="19">
                  <c:v>0.78309146421827758</c:v>
                </c:pt>
                <c:pt idx="20">
                  <c:v>0.79564807733587106</c:v>
                </c:pt>
                <c:pt idx="21">
                  <c:v>0.8073296256055309</c:v>
                </c:pt>
                <c:pt idx="22">
                  <c:v>0.81822474033150894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D9-2D40-9E25-1810D37CF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0938176"/>
        <c:axId val="1030641904"/>
      </c:lineChart>
      <c:catAx>
        <c:axId val="103093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30641904"/>
        <c:crosses val="autoZero"/>
        <c:auto val="1"/>
        <c:lblAlgn val="ctr"/>
        <c:lblOffset val="100"/>
        <c:noMultiLvlLbl val="0"/>
      </c:catAx>
      <c:valAx>
        <c:axId val="103064190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3093817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Partial autocorrelogram (Transport related)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analysis'!$H$32:$H$54</c:f>
              <c:numCache>
                <c:formatCode>0.000</c:formatCode>
                <c:ptCount val="23"/>
                <c:pt idx="0">
                  <c:v>1</c:v>
                </c:pt>
                <c:pt idx="1">
                  <c:v>0.96792673884986813</c:v>
                </c:pt>
                <c:pt idx="2">
                  <c:v>0.16111534718516227</c:v>
                </c:pt>
                <c:pt idx="3">
                  <c:v>1.5811289790784545E-2</c:v>
                </c:pt>
                <c:pt idx="4">
                  <c:v>-4.8522902781820546E-2</c:v>
                </c:pt>
                <c:pt idx="5">
                  <c:v>6.0791738934388127E-2</c:v>
                </c:pt>
                <c:pt idx="6">
                  <c:v>-6.9970519909836743E-3</c:v>
                </c:pt>
                <c:pt idx="7">
                  <c:v>4.0131941015118855E-2</c:v>
                </c:pt>
                <c:pt idx="8">
                  <c:v>-3.4044070258391068E-2</c:v>
                </c:pt>
                <c:pt idx="9">
                  <c:v>0.12916316240384965</c:v>
                </c:pt>
                <c:pt idx="10">
                  <c:v>-1.9035147508833814E-2</c:v>
                </c:pt>
                <c:pt idx="11">
                  <c:v>-2.9436591687847614E-2</c:v>
                </c:pt>
                <c:pt idx="12">
                  <c:v>4.982173320725574E-2</c:v>
                </c:pt>
                <c:pt idx="13">
                  <c:v>-0.2279486029887583</c:v>
                </c:pt>
                <c:pt idx="14">
                  <c:v>2.9659759203923393E-2</c:v>
                </c:pt>
                <c:pt idx="15">
                  <c:v>-5.3074142893298343E-2</c:v>
                </c:pt>
                <c:pt idx="16">
                  <c:v>4.6887190723633653E-3</c:v>
                </c:pt>
                <c:pt idx="17">
                  <c:v>4.6551413194453842E-2</c:v>
                </c:pt>
                <c:pt idx="18">
                  <c:v>-3.9357638923995852E-2</c:v>
                </c:pt>
                <c:pt idx="19">
                  <c:v>5.2502429311890256E-3</c:v>
                </c:pt>
                <c:pt idx="20">
                  <c:v>1.6164698413878277E-2</c:v>
                </c:pt>
                <c:pt idx="21">
                  <c:v>-5.3402634348283289E-2</c:v>
                </c:pt>
                <c:pt idx="22">
                  <c:v>5.2321744124920765E-2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5F-1045-A897-41B7758DA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891968"/>
        <c:axId val="102689364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analysis'!$J$32:$J$54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5F-1045-A897-41B7758DAEE0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analysis'!$K$32:$K$54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5F-1045-A897-41B7758DA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891968"/>
        <c:axId val="1026893648"/>
      </c:lineChart>
      <c:catAx>
        <c:axId val="1026891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26893648"/>
        <c:crosses val="autoZero"/>
        <c:auto val="1"/>
        <c:lblAlgn val="ctr"/>
        <c:lblOffset val="100"/>
        <c:noMultiLvlLbl val="0"/>
      </c:catAx>
      <c:valAx>
        <c:axId val="102689364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2689196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93.3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93.3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transformation'!$B$21:$B$175</c:f>
              <c:numCache>
                <c:formatCode>General</c:formatCode>
                <c:ptCount val="15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</c:numCache>
            </c:numRef>
          </c:xVal>
          <c:yVal>
            <c:numRef>
              <c:f>'Time series transformation'!$C$21:$C$175</c:f>
              <c:numCache>
                <c:formatCode>0.000</c:formatCode>
                <c:ptCount val="155"/>
                <c:pt idx="0">
                  <c:v>95.7</c:v>
                </c:pt>
                <c:pt idx="1">
                  <c:v>93.8</c:v>
                </c:pt>
                <c:pt idx="2">
                  <c:v>99.4</c:v>
                </c:pt>
                <c:pt idx="3">
                  <c:v>100</c:v>
                </c:pt>
                <c:pt idx="4">
                  <c:v>105.6</c:v>
                </c:pt>
                <c:pt idx="5">
                  <c:v>99.4</c:v>
                </c:pt>
                <c:pt idx="6">
                  <c:v>106.3</c:v>
                </c:pt>
                <c:pt idx="7">
                  <c:v>104.2</c:v>
                </c:pt>
                <c:pt idx="8">
                  <c:v>99.5</c:v>
                </c:pt>
                <c:pt idx="9">
                  <c:v>105.7</c:v>
                </c:pt>
                <c:pt idx="10">
                  <c:v>97.1</c:v>
                </c:pt>
                <c:pt idx="11">
                  <c:v>101.4</c:v>
                </c:pt>
                <c:pt idx="12">
                  <c:v>97.7</c:v>
                </c:pt>
                <c:pt idx="13">
                  <c:v>95.8</c:v>
                </c:pt>
                <c:pt idx="14">
                  <c:v>103</c:v>
                </c:pt>
                <c:pt idx="15">
                  <c:v>105</c:v>
                </c:pt>
                <c:pt idx="16">
                  <c:v>106.5</c:v>
                </c:pt>
                <c:pt idx="17">
                  <c:v>102</c:v>
                </c:pt>
                <c:pt idx="18">
                  <c:v>110.5</c:v>
                </c:pt>
                <c:pt idx="19">
                  <c:v>105.5</c:v>
                </c:pt>
                <c:pt idx="20">
                  <c:v>106.2</c:v>
                </c:pt>
                <c:pt idx="21">
                  <c:v>110</c:v>
                </c:pt>
                <c:pt idx="22">
                  <c:v>101.9</c:v>
                </c:pt>
                <c:pt idx="23">
                  <c:v>107.5</c:v>
                </c:pt>
                <c:pt idx="24">
                  <c:v>99.7</c:v>
                </c:pt>
                <c:pt idx="25">
                  <c:v>101.9</c:v>
                </c:pt>
                <c:pt idx="26">
                  <c:v>106.4</c:v>
                </c:pt>
                <c:pt idx="27">
                  <c:v>108.5</c:v>
                </c:pt>
                <c:pt idx="28">
                  <c:v>108.5</c:v>
                </c:pt>
                <c:pt idx="29">
                  <c:v>111.7</c:v>
                </c:pt>
                <c:pt idx="30">
                  <c:v>113.3</c:v>
                </c:pt>
                <c:pt idx="31">
                  <c:v>109.5</c:v>
                </c:pt>
                <c:pt idx="32">
                  <c:v>112.3</c:v>
                </c:pt>
                <c:pt idx="33">
                  <c:v>113.8</c:v>
                </c:pt>
                <c:pt idx="34">
                  <c:v>107.1</c:v>
                </c:pt>
                <c:pt idx="35">
                  <c:v>113.4</c:v>
                </c:pt>
                <c:pt idx="36">
                  <c:v>110.5</c:v>
                </c:pt>
                <c:pt idx="37">
                  <c:v>105.5</c:v>
                </c:pt>
                <c:pt idx="38">
                  <c:v>116.5</c:v>
                </c:pt>
                <c:pt idx="39">
                  <c:v>114.2</c:v>
                </c:pt>
                <c:pt idx="40">
                  <c:v>121.8</c:v>
                </c:pt>
                <c:pt idx="41">
                  <c:v>121.2</c:v>
                </c:pt>
                <c:pt idx="42">
                  <c:v>117.4</c:v>
                </c:pt>
                <c:pt idx="43">
                  <c:v>123.5</c:v>
                </c:pt>
                <c:pt idx="44">
                  <c:v>120.1</c:v>
                </c:pt>
                <c:pt idx="45">
                  <c:v>117.5</c:v>
                </c:pt>
                <c:pt idx="46">
                  <c:v>118.2</c:v>
                </c:pt>
                <c:pt idx="47">
                  <c:v>109</c:v>
                </c:pt>
                <c:pt idx="48">
                  <c:v>109.7</c:v>
                </c:pt>
                <c:pt idx="49">
                  <c:v>106.3</c:v>
                </c:pt>
                <c:pt idx="50">
                  <c:v>117.6</c:v>
                </c:pt>
                <c:pt idx="51">
                  <c:v>112.5</c:v>
                </c:pt>
                <c:pt idx="52">
                  <c:v>123.2</c:v>
                </c:pt>
                <c:pt idx="53">
                  <c:v>119.9</c:v>
                </c:pt>
                <c:pt idx="54">
                  <c:v>129.1</c:v>
                </c:pt>
                <c:pt idx="55">
                  <c:v>172.3</c:v>
                </c:pt>
                <c:pt idx="56">
                  <c:v>171.8</c:v>
                </c:pt>
                <c:pt idx="57">
                  <c:v>167.3</c:v>
                </c:pt>
                <c:pt idx="58">
                  <c:v>169.1</c:v>
                </c:pt>
                <c:pt idx="59">
                  <c:v>163.80000000000001</c:v>
                </c:pt>
                <c:pt idx="60">
                  <c:v>166.3</c:v>
                </c:pt>
                <c:pt idx="61">
                  <c:v>165</c:v>
                </c:pt>
                <c:pt idx="62">
                  <c:v>173.6</c:v>
                </c:pt>
                <c:pt idx="63">
                  <c:v>167.3</c:v>
                </c:pt>
                <c:pt idx="64">
                  <c:v>181</c:v>
                </c:pt>
                <c:pt idx="65">
                  <c:v>173.4</c:v>
                </c:pt>
                <c:pt idx="66">
                  <c:v>182.8</c:v>
                </c:pt>
                <c:pt idx="67">
                  <c:v>181.1</c:v>
                </c:pt>
                <c:pt idx="68">
                  <c:v>174.9</c:v>
                </c:pt>
                <c:pt idx="69">
                  <c:v>185.5</c:v>
                </c:pt>
                <c:pt idx="70">
                  <c:v>183.7</c:v>
                </c:pt>
                <c:pt idx="71">
                  <c:v>176.9</c:v>
                </c:pt>
                <c:pt idx="72">
                  <c:v>176.7</c:v>
                </c:pt>
                <c:pt idx="73">
                  <c:v>166.3</c:v>
                </c:pt>
                <c:pt idx="74">
                  <c:v>180.2</c:v>
                </c:pt>
                <c:pt idx="75">
                  <c:v>184</c:v>
                </c:pt>
                <c:pt idx="76">
                  <c:v>195.6</c:v>
                </c:pt>
                <c:pt idx="77">
                  <c:v>186.2</c:v>
                </c:pt>
                <c:pt idx="78">
                  <c:v>201</c:v>
                </c:pt>
                <c:pt idx="79">
                  <c:v>194.1</c:v>
                </c:pt>
                <c:pt idx="80">
                  <c:v>183.9</c:v>
                </c:pt>
                <c:pt idx="81">
                  <c:v>196.5</c:v>
                </c:pt>
                <c:pt idx="82">
                  <c:v>182.8</c:v>
                </c:pt>
                <c:pt idx="83">
                  <c:v>187.8</c:v>
                </c:pt>
                <c:pt idx="84">
                  <c:v>189.8</c:v>
                </c:pt>
                <c:pt idx="85">
                  <c:v>181.3</c:v>
                </c:pt>
                <c:pt idx="86">
                  <c:v>194.9</c:v>
                </c:pt>
                <c:pt idx="87">
                  <c:v>196</c:v>
                </c:pt>
                <c:pt idx="88">
                  <c:v>199.2</c:v>
                </c:pt>
                <c:pt idx="89">
                  <c:v>199.1</c:v>
                </c:pt>
                <c:pt idx="90">
                  <c:v>200.1</c:v>
                </c:pt>
                <c:pt idx="91">
                  <c:v>198.9</c:v>
                </c:pt>
                <c:pt idx="92">
                  <c:v>193.6</c:v>
                </c:pt>
                <c:pt idx="93">
                  <c:v>198.5</c:v>
                </c:pt>
                <c:pt idx="94">
                  <c:v>189.3</c:v>
                </c:pt>
                <c:pt idx="95">
                  <c:v>197.2</c:v>
                </c:pt>
                <c:pt idx="96">
                  <c:v>189.6</c:v>
                </c:pt>
                <c:pt idx="97">
                  <c:v>176.4</c:v>
                </c:pt>
                <c:pt idx="98">
                  <c:v>198.1</c:v>
                </c:pt>
                <c:pt idx="99">
                  <c:v>199.8</c:v>
                </c:pt>
                <c:pt idx="100">
                  <c:v>202.1</c:v>
                </c:pt>
                <c:pt idx="101">
                  <c:v>204.5</c:v>
                </c:pt>
                <c:pt idx="102">
                  <c:v>202.5</c:v>
                </c:pt>
                <c:pt idx="103">
                  <c:v>202.7</c:v>
                </c:pt>
                <c:pt idx="104">
                  <c:v>196.2</c:v>
                </c:pt>
                <c:pt idx="105">
                  <c:v>203.5</c:v>
                </c:pt>
                <c:pt idx="106">
                  <c:v>196.4</c:v>
                </c:pt>
                <c:pt idx="107">
                  <c:v>197.7</c:v>
                </c:pt>
                <c:pt idx="108">
                  <c:v>193</c:v>
                </c:pt>
                <c:pt idx="109">
                  <c:v>180.1</c:v>
                </c:pt>
                <c:pt idx="110">
                  <c:v>203.7</c:v>
                </c:pt>
                <c:pt idx="111">
                  <c:v>202.8</c:v>
                </c:pt>
                <c:pt idx="112">
                  <c:v>209.1</c:v>
                </c:pt>
                <c:pt idx="113">
                  <c:v>208.2</c:v>
                </c:pt>
                <c:pt idx="114">
                  <c:v>214.7</c:v>
                </c:pt>
                <c:pt idx="115">
                  <c:v>210.1</c:v>
                </c:pt>
                <c:pt idx="116">
                  <c:v>206.9</c:v>
                </c:pt>
                <c:pt idx="117">
                  <c:v>210.4</c:v>
                </c:pt>
                <c:pt idx="118">
                  <c:v>204.4</c:v>
                </c:pt>
                <c:pt idx="119">
                  <c:v>203.9</c:v>
                </c:pt>
                <c:pt idx="120">
                  <c:v>199.1</c:v>
                </c:pt>
                <c:pt idx="121">
                  <c:v>183.1</c:v>
                </c:pt>
                <c:pt idx="122">
                  <c:v>206.2</c:v>
                </c:pt>
                <c:pt idx="123">
                  <c:v>204</c:v>
                </c:pt>
                <c:pt idx="124">
                  <c:v>207.7</c:v>
                </c:pt>
                <c:pt idx="125">
                  <c:v>204.9</c:v>
                </c:pt>
                <c:pt idx="126">
                  <c:v>210</c:v>
                </c:pt>
                <c:pt idx="127">
                  <c:v>206.7</c:v>
                </c:pt>
                <c:pt idx="128">
                  <c:v>202.5</c:v>
                </c:pt>
                <c:pt idx="129">
                  <c:v>211.1</c:v>
                </c:pt>
                <c:pt idx="130">
                  <c:v>205.6</c:v>
                </c:pt>
                <c:pt idx="131">
                  <c:v>214.4</c:v>
                </c:pt>
                <c:pt idx="132">
                  <c:v>214.9</c:v>
                </c:pt>
                <c:pt idx="133">
                  <c:v>203.6</c:v>
                </c:pt>
                <c:pt idx="134">
                  <c:v>221.9</c:v>
                </c:pt>
                <c:pt idx="135">
                  <c:v>220.3</c:v>
                </c:pt>
                <c:pt idx="136">
                  <c:v>228.4</c:v>
                </c:pt>
                <c:pt idx="137">
                  <c:v>217.7</c:v>
                </c:pt>
                <c:pt idx="138">
                  <c:v>226.7</c:v>
                </c:pt>
                <c:pt idx="139">
                  <c:v>218.6</c:v>
                </c:pt>
                <c:pt idx="140">
                  <c:v>220.4</c:v>
                </c:pt>
                <c:pt idx="141">
                  <c:v>233.8</c:v>
                </c:pt>
                <c:pt idx="142">
                  <c:v>217.1</c:v>
                </c:pt>
                <c:pt idx="143">
                  <c:v>226.1</c:v>
                </c:pt>
                <c:pt idx="144">
                  <c:v>222.6</c:v>
                </c:pt>
                <c:pt idx="145">
                  <c:v>209.7</c:v>
                </c:pt>
                <c:pt idx="146">
                  <c:v>220.9</c:v>
                </c:pt>
                <c:pt idx="147">
                  <c:v>230</c:v>
                </c:pt>
                <c:pt idx="148">
                  <c:v>228.9</c:v>
                </c:pt>
                <c:pt idx="149">
                  <c:v>232.2</c:v>
                </c:pt>
                <c:pt idx="150">
                  <c:v>242.1</c:v>
                </c:pt>
                <c:pt idx="151">
                  <c:v>231.9</c:v>
                </c:pt>
                <c:pt idx="152">
                  <c:v>235</c:v>
                </c:pt>
                <c:pt idx="153">
                  <c:v>247</c:v>
                </c:pt>
                <c:pt idx="154">
                  <c:v>241.5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7E-414D-978E-47659B455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691088"/>
        <c:axId val="1028911504"/>
      </c:scatterChart>
      <c:valAx>
        <c:axId val="1028691088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28911504"/>
        <c:crosses val="autoZero"/>
        <c:crossBetween val="midCat"/>
      </c:valAx>
      <c:valAx>
        <c:axId val="1028911504"/>
        <c:scaling>
          <c:orientation val="minMax"/>
          <c:max val="250"/>
          <c:min val="5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93.3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2869108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Box-Cox transformation (93.3)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93.3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'Time series transformation'!$B$21:$B$175</c:f>
              <c:numCache>
                <c:formatCode>General</c:formatCode>
                <c:ptCount val="15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</c:numCache>
            </c:numRef>
          </c:xVal>
          <c:yVal>
            <c:numRef>
              <c:f>'Time series transformation'!$D$21:$D$175</c:f>
              <c:numCache>
                <c:formatCode>0.000</c:formatCode>
                <c:ptCount val="155"/>
                <c:pt idx="0">
                  <c:v>4.5612182984589085</c:v>
                </c:pt>
                <c:pt idx="1">
                  <c:v>4.5411648560121787</c:v>
                </c:pt>
                <c:pt idx="2">
                  <c:v>4.5991521136625284</c:v>
                </c:pt>
                <c:pt idx="3">
                  <c:v>4.6051701859880918</c:v>
                </c:pt>
                <c:pt idx="4">
                  <c:v>4.6596583712721609</c:v>
                </c:pt>
                <c:pt idx="5">
                  <c:v>4.5991521136625284</c:v>
                </c:pt>
                <c:pt idx="6">
                  <c:v>4.6662652853479019</c:v>
                </c:pt>
                <c:pt idx="7">
                  <c:v>4.6463121293192664</c:v>
                </c:pt>
                <c:pt idx="8">
                  <c:v>4.6001576441645469</c:v>
                </c:pt>
                <c:pt idx="9">
                  <c:v>4.6606048928761918</c:v>
                </c:pt>
                <c:pt idx="10">
                  <c:v>4.5757413752972793</c:v>
                </c:pt>
                <c:pt idx="11">
                  <c:v>4.619073091157083</c:v>
                </c:pt>
                <c:pt idx="12">
                  <c:v>4.5819015590487373</c:v>
                </c:pt>
                <c:pt idx="13">
                  <c:v>4.5622626849768144</c:v>
                </c:pt>
                <c:pt idx="14">
                  <c:v>4.6347289882296359</c:v>
                </c:pt>
                <c:pt idx="15">
                  <c:v>4.6539603501575231</c:v>
                </c:pt>
                <c:pt idx="16">
                  <c:v>4.6681449851494801</c:v>
                </c:pt>
                <c:pt idx="17">
                  <c:v>4.6249728132842707</c:v>
                </c:pt>
                <c:pt idx="18">
                  <c:v>4.705015520957808</c:v>
                </c:pt>
                <c:pt idx="19">
                  <c:v>4.6587109529161213</c:v>
                </c:pt>
                <c:pt idx="20">
                  <c:v>4.6653241088078383</c:v>
                </c:pt>
                <c:pt idx="21">
                  <c:v>4.7004803657924166</c:v>
                </c:pt>
                <c:pt idx="22">
                  <c:v>4.6239919402286791</c:v>
                </c:pt>
                <c:pt idx="23">
                  <c:v>4.677490847567717</c:v>
                </c:pt>
                <c:pt idx="24">
                  <c:v>4.6021656769677923</c:v>
                </c:pt>
                <c:pt idx="25">
                  <c:v>4.6239919402286791</c:v>
                </c:pt>
                <c:pt idx="26">
                  <c:v>4.667205576907544</c:v>
                </c:pt>
                <c:pt idx="27">
                  <c:v>4.6867501729805143</c:v>
                </c:pt>
                <c:pt idx="28">
                  <c:v>4.6867501729805143</c:v>
                </c:pt>
                <c:pt idx="29">
                  <c:v>4.715816706075155</c:v>
                </c:pt>
                <c:pt idx="30">
                  <c:v>4.7300391680339606</c:v>
                </c:pt>
                <c:pt idx="31">
                  <c:v>4.6959245492565556</c:v>
                </c:pt>
                <c:pt idx="32">
                  <c:v>4.7211738617443979</c:v>
                </c:pt>
                <c:pt idx="33">
                  <c:v>4.7344425216922303</c:v>
                </c:pt>
                <c:pt idx="34">
                  <c:v>4.6737629774537028</c:v>
                </c:pt>
                <c:pt idx="35">
                  <c:v>4.7309213912936521</c:v>
                </c:pt>
                <c:pt idx="36">
                  <c:v>4.705015520957808</c:v>
                </c:pt>
                <c:pt idx="37">
                  <c:v>4.6587109529161213</c:v>
                </c:pt>
                <c:pt idx="38">
                  <c:v>4.7578912730057557</c:v>
                </c:pt>
                <c:pt idx="39">
                  <c:v>4.73795129722191</c:v>
                </c:pt>
                <c:pt idx="40">
                  <c:v>4.8023803552757967</c:v>
                </c:pt>
                <c:pt idx="41">
                  <c:v>4.7974420736352137</c:v>
                </c:pt>
                <c:pt idx="42">
                  <c:v>4.7655869073939963</c:v>
                </c:pt>
                <c:pt idx="43">
                  <c:v>4.816241156068032</c:v>
                </c:pt>
                <c:pt idx="44">
                  <c:v>4.7883247290859376</c:v>
                </c:pt>
                <c:pt idx="45">
                  <c:v>4.7664383335842135</c:v>
                </c:pt>
                <c:pt idx="46">
                  <c:v>4.772378104971998</c:v>
                </c:pt>
                <c:pt idx="47">
                  <c:v>4.6913478822291435</c:v>
                </c:pt>
                <c:pt idx="48">
                  <c:v>4.697749367281185</c:v>
                </c:pt>
                <c:pt idx="49">
                  <c:v>4.6662652853479019</c:v>
                </c:pt>
                <c:pt idx="50">
                  <c:v>4.7672890354645263</c:v>
                </c:pt>
                <c:pt idx="51">
                  <c:v>4.7229532216444747</c:v>
                </c:pt>
                <c:pt idx="52">
                  <c:v>4.8138090510994198</c:v>
                </c:pt>
                <c:pt idx="53">
                  <c:v>4.7866580620334682</c:v>
                </c:pt>
                <c:pt idx="54">
                  <c:v>4.8605872978525966</c:v>
                </c:pt>
                <c:pt idx="55">
                  <c:v>5.1492371435338837</c:v>
                </c:pt>
                <c:pt idx="56">
                  <c:v>5.1463310095501553</c:v>
                </c:pt>
                <c:pt idx="57">
                  <c:v>5.1197886079927786</c:v>
                </c:pt>
                <c:pt idx="58">
                  <c:v>5.1304902559045349</c:v>
                </c:pt>
                <c:pt idx="59">
                  <c:v>5.0986461714189693</c:v>
                </c:pt>
                <c:pt idx="60">
                  <c:v>5.113793386198882</c:v>
                </c:pt>
                <c:pt idx="61">
                  <c:v>5.1059454739005803</c:v>
                </c:pt>
                <c:pt idx="62">
                  <c:v>5.15675380222625</c:v>
                </c:pt>
                <c:pt idx="63">
                  <c:v>5.1197886079927786</c:v>
                </c:pt>
                <c:pt idx="64">
                  <c:v>5.1984970312658261</c:v>
                </c:pt>
                <c:pt idx="65">
                  <c:v>5.1556010643464418</c:v>
                </c:pt>
                <c:pt idx="66">
                  <c:v>5.20839265902005</c:v>
                </c:pt>
                <c:pt idx="67">
                  <c:v>5.1990493648893681</c:v>
                </c:pt>
                <c:pt idx="68">
                  <c:v>5.1642143820245563</c:v>
                </c:pt>
                <c:pt idx="69">
                  <c:v>5.2230548820474896</c:v>
                </c:pt>
                <c:pt idx="70">
                  <c:v>5.2133039922210802</c:v>
                </c:pt>
                <c:pt idx="71">
                  <c:v>5.17558460116574</c:v>
                </c:pt>
                <c:pt idx="72">
                  <c:v>5.1744533793256506</c:v>
                </c:pt>
                <c:pt idx="73">
                  <c:v>5.113793386198882</c:v>
                </c:pt>
                <c:pt idx="74">
                  <c:v>5.1940673451742372</c:v>
                </c:pt>
                <c:pt idx="75">
                  <c:v>5.2149357576089859</c:v>
                </c:pt>
                <c:pt idx="76">
                  <c:v>5.2760717576007172</c:v>
                </c:pt>
                <c:pt idx="77">
                  <c:v>5.2268213648429667</c:v>
                </c:pt>
                <c:pt idx="78">
                  <c:v>5.3033049080590757</c:v>
                </c:pt>
                <c:pt idx="79">
                  <c:v>5.2683734901749641</c:v>
                </c:pt>
                <c:pt idx="80">
                  <c:v>5.2143921316102757</c:v>
                </c:pt>
                <c:pt idx="81">
                  <c:v>5.2806624313093158</c:v>
                </c:pt>
                <c:pt idx="82">
                  <c:v>5.20839265902005</c:v>
                </c:pt>
                <c:pt idx="83">
                  <c:v>5.2353775667741624</c:v>
                </c:pt>
                <c:pt idx="84">
                  <c:v>5.2459708861758276</c:v>
                </c:pt>
                <c:pt idx="85">
                  <c:v>5.2001531177608058</c:v>
                </c:pt>
                <c:pt idx="86">
                  <c:v>5.2724866065135148</c:v>
                </c:pt>
                <c:pt idx="87">
                  <c:v>5.2781146592305168</c:v>
                </c:pt>
                <c:pt idx="88">
                  <c:v>5.2943093451504977</c:v>
                </c:pt>
                <c:pt idx="89">
                  <c:v>5.2938072110701508</c:v>
                </c:pt>
                <c:pt idx="90">
                  <c:v>5.2988172415896875</c:v>
                </c:pt>
                <c:pt idx="91">
                  <c:v>5.2928021858599266</c:v>
                </c:pt>
                <c:pt idx="92">
                  <c:v>5.265794174842477</c:v>
                </c:pt>
                <c:pt idx="93">
                  <c:v>5.2907891001272453</c:v>
                </c:pt>
                <c:pt idx="94">
                  <c:v>5.2433330582152768</c:v>
                </c:pt>
                <c:pt idx="95">
                  <c:v>5.2842184421685348</c:v>
                </c:pt>
                <c:pt idx="96">
                  <c:v>5.2449165898209218</c:v>
                </c:pt>
                <c:pt idx="97">
                  <c:v>5.1727541435726909</c:v>
                </c:pt>
                <c:pt idx="98">
                  <c:v>5.2887719537045053</c:v>
                </c:pt>
                <c:pt idx="99">
                  <c:v>5.2973168662144534</c:v>
                </c:pt>
                <c:pt idx="100">
                  <c:v>5.3087626244095754</c:v>
                </c:pt>
                <c:pt idx="101">
                  <c:v>5.3205679754828568</c:v>
                </c:pt>
                <c:pt idx="102">
                  <c:v>5.3107398865465942</c:v>
                </c:pt>
                <c:pt idx="103">
                  <c:v>5.3117270534579539</c:v>
                </c:pt>
                <c:pt idx="104">
                  <c:v>5.279134547131263</c:v>
                </c:pt>
                <c:pt idx="105">
                  <c:v>5.3156660048826501</c:v>
                </c:pt>
                <c:pt idx="106">
                  <c:v>5.2801533959203653</c:v>
                </c:pt>
                <c:pt idx="107">
                  <c:v>5.2867507301765713</c:v>
                </c:pt>
                <c:pt idx="108">
                  <c:v>5.2626901889048856</c:v>
                </c:pt>
                <c:pt idx="109">
                  <c:v>5.1935122521819101</c:v>
                </c:pt>
                <c:pt idx="110">
                  <c:v>5.3166483232327604</c:v>
                </c:pt>
                <c:pt idx="111">
                  <c:v>5.3122202717170284</c:v>
                </c:pt>
                <c:pt idx="112">
                  <c:v>5.3428126064345882</c:v>
                </c:pt>
                <c:pt idx="113">
                  <c:v>5.3384991561808688</c:v>
                </c:pt>
                <c:pt idx="114">
                  <c:v>5.3692417048847352</c:v>
                </c:pt>
                <c:pt idx="115">
                  <c:v>5.3475836078509547</c:v>
                </c:pt>
                <c:pt idx="116">
                  <c:v>5.3322355847514977</c:v>
                </c:pt>
                <c:pt idx="117">
                  <c:v>5.349010480863555</c:v>
                </c:pt>
                <c:pt idx="118">
                  <c:v>5.3200788583295493</c:v>
                </c:pt>
                <c:pt idx="119">
                  <c:v>5.3176296775804097</c:v>
                </c:pt>
                <c:pt idx="120">
                  <c:v>5.2938072110701508</c:v>
                </c:pt>
                <c:pt idx="121">
                  <c:v>5.2100324516804646</c:v>
                </c:pt>
                <c:pt idx="122">
                  <c:v>5.3288465715828597</c:v>
                </c:pt>
                <c:pt idx="123">
                  <c:v>5.3181199938442161</c:v>
                </c:pt>
                <c:pt idx="124">
                  <c:v>5.336094730882067</c:v>
                </c:pt>
                <c:pt idx="125">
                  <c:v>5.3225220552448542</c:v>
                </c:pt>
                <c:pt idx="126">
                  <c:v>5.3471075307174685</c:v>
                </c:pt>
                <c:pt idx="127">
                  <c:v>5.3312684666877228</c:v>
                </c:pt>
                <c:pt idx="128">
                  <c:v>5.3107398865465942</c:v>
                </c:pt>
                <c:pt idx="129">
                  <c:v>5.3523319548542752</c:v>
                </c:pt>
                <c:pt idx="130">
                  <c:v>5.3259325335810104</c:v>
                </c:pt>
                <c:pt idx="131">
                  <c:v>5.3678434291966468</c:v>
                </c:pt>
                <c:pt idx="132">
                  <c:v>5.3701728036484644</c:v>
                </c:pt>
                <c:pt idx="133">
                  <c:v>5.3161572846763674</c:v>
                </c:pt>
                <c:pt idx="134">
                  <c:v>5.4022268299385479</c:v>
                </c:pt>
                <c:pt idx="135">
                  <c:v>5.3949902538082979</c:v>
                </c:pt>
                <c:pt idx="136">
                  <c:v>5.4310984777818554</c:v>
                </c:pt>
                <c:pt idx="137">
                  <c:v>5.3831179682405015</c:v>
                </c:pt>
                <c:pt idx="138">
                  <c:v>5.4236275575134831</c:v>
                </c:pt>
                <c:pt idx="139">
                  <c:v>5.3872435757424384</c:v>
                </c:pt>
                <c:pt idx="140">
                  <c:v>5.3954440772787597</c:v>
                </c:pt>
                <c:pt idx="141">
                  <c:v>5.4544660490379684</c:v>
                </c:pt>
                <c:pt idx="142">
                  <c:v>5.3803580768842458</c:v>
                </c:pt>
                <c:pt idx="143">
                  <c:v>5.420977379283924</c:v>
                </c:pt>
                <c:pt idx="144">
                  <c:v>5.4053764388414445</c:v>
                </c:pt>
                <c:pt idx="145">
                  <c:v>5.3456779379078743</c:v>
                </c:pt>
                <c:pt idx="146">
                  <c:v>5.3977101104260719</c:v>
                </c:pt>
                <c:pt idx="147">
                  <c:v>5.4380793089231956</c:v>
                </c:pt>
                <c:pt idx="148">
                  <c:v>5.433285226958521</c:v>
                </c:pt>
                <c:pt idx="149">
                  <c:v>5.4475990692637914</c:v>
                </c:pt>
                <c:pt idx="150">
                  <c:v>5.4893508639440132</c:v>
                </c:pt>
                <c:pt idx="151">
                  <c:v>5.4463062442614856</c:v>
                </c:pt>
                <c:pt idx="152">
                  <c:v>5.4595855141441589</c:v>
                </c:pt>
                <c:pt idx="153">
                  <c:v>5.5093883366279774</c:v>
                </c:pt>
                <c:pt idx="154">
                  <c:v>5.4868694730926277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2-574B-9239-08B055868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104912"/>
        <c:axId val="1030806784"/>
      </c:scatterChart>
      <c:valAx>
        <c:axId val="1059104912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30806784"/>
        <c:crosses val="autoZero"/>
        <c:crossBetween val="midCat"/>
      </c:valAx>
      <c:valAx>
        <c:axId val="1030806784"/>
        <c:scaling>
          <c:orientation val="minMax"/>
          <c:max val="5.7"/>
          <c:min val="4.5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Box-Cox(93.3)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5910491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93.3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'Time series1_HID'!$B$1</c:f>
              <c:strCache>
                <c:ptCount val="1"/>
                <c:pt idx="0">
                  <c:v>93.3</c:v>
                </c:pt>
              </c:strCache>
            </c:strRef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series1_HID'!$A$2:$A$156</c:f>
              <c:numCache>
                <c:formatCode>General</c:formatCode>
                <c:ptCount val="15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</c:numCache>
            </c:numRef>
          </c:xVal>
          <c:yVal>
            <c:numRef>
              <c:f>'Time series1_HID'!$B$2:$B$156</c:f>
              <c:numCache>
                <c:formatCode>0.000</c:formatCode>
                <c:ptCount val="155"/>
                <c:pt idx="0">
                  <c:v>95.7</c:v>
                </c:pt>
                <c:pt idx="1">
                  <c:v>93.8</c:v>
                </c:pt>
                <c:pt idx="2">
                  <c:v>99.4</c:v>
                </c:pt>
                <c:pt idx="3">
                  <c:v>100</c:v>
                </c:pt>
                <c:pt idx="4">
                  <c:v>105.6</c:v>
                </c:pt>
                <c:pt idx="5">
                  <c:v>99.4</c:v>
                </c:pt>
                <c:pt idx="6">
                  <c:v>106.3</c:v>
                </c:pt>
                <c:pt idx="7">
                  <c:v>104.2</c:v>
                </c:pt>
                <c:pt idx="8">
                  <c:v>99.5</c:v>
                </c:pt>
                <c:pt idx="9">
                  <c:v>105.7</c:v>
                </c:pt>
                <c:pt idx="10">
                  <c:v>97.1</c:v>
                </c:pt>
                <c:pt idx="11">
                  <c:v>101.4</c:v>
                </c:pt>
                <c:pt idx="12">
                  <c:v>97.7</c:v>
                </c:pt>
                <c:pt idx="13">
                  <c:v>95.8</c:v>
                </c:pt>
                <c:pt idx="14">
                  <c:v>103</c:v>
                </c:pt>
                <c:pt idx="15">
                  <c:v>105</c:v>
                </c:pt>
                <c:pt idx="16">
                  <c:v>106.5</c:v>
                </c:pt>
                <c:pt idx="17">
                  <c:v>102</c:v>
                </c:pt>
                <c:pt idx="18">
                  <c:v>110.5</c:v>
                </c:pt>
                <c:pt idx="19">
                  <c:v>105.5</c:v>
                </c:pt>
                <c:pt idx="20">
                  <c:v>106.2</c:v>
                </c:pt>
                <c:pt idx="21">
                  <c:v>110</c:v>
                </c:pt>
                <c:pt idx="22">
                  <c:v>101.9</c:v>
                </c:pt>
                <c:pt idx="23">
                  <c:v>107.5</c:v>
                </c:pt>
                <c:pt idx="24">
                  <c:v>99.7</c:v>
                </c:pt>
                <c:pt idx="25">
                  <c:v>101.9</c:v>
                </c:pt>
                <c:pt idx="26">
                  <c:v>106.4</c:v>
                </c:pt>
                <c:pt idx="27">
                  <c:v>108.5</c:v>
                </c:pt>
                <c:pt idx="28">
                  <c:v>108.5</c:v>
                </c:pt>
                <c:pt idx="29">
                  <c:v>111.7</c:v>
                </c:pt>
                <c:pt idx="30">
                  <c:v>113.3</c:v>
                </c:pt>
                <c:pt idx="31">
                  <c:v>109.5</c:v>
                </c:pt>
                <c:pt idx="32">
                  <c:v>112.3</c:v>
                </c:pt>
                <c:pt idx="33">
                  <c:v>113.8</c:v>
                </c:pt>
                <c:pt idx="34">
                  <c:v>107.1</c:v>
                </c:pt>
                <c:pt idx="35">
                  <c:v>113.4</c:v>
                </c:pt>
                <c:pt idx="36">
                  <c:v>110.5</c:v>
                </c:pt>
                <c:pt idx="37">
                  <c:v>105.5</c:v>
                </c:pt>
                <c:pt idx="38">
                  <c:v>116.5</c:v>
                </c:pt>
                <c:pt idx="39">
                  <c:v>114.2</c:v>
                </c:pt>
                <c:pt idx="40">
                  <c:v>121.8</c:v>
                </c:pt>
                <c:pt idx="41">
                  <c:v>121.2</c:v>
                </c:pt>
                <c:pt idx="42">
                  <c:v>117.4</c:v>
                </c:pt>
                <c:pt idx="43">
                  <c:v>123.5</c:v>
                </c:pt>
                <c:pt idx="44">
                  <c:v>120.1</c:v>
                </c:pt>
                <c:pt idx="45">
                  <c:v>117.5</c:v>
                </c:pt>
                <c:pt idx="46">
                  <c:v>118.2</c:v>
                </c:pt>
                <c:pt idx="47">
                  <c:v>109</c:v>
                </c:pt>
                <c:pt idx="48">
                  <c:v>109.7</c:v>
                </c:pt>
                <c:pt idx="49">
                  <c:v>106.3</c:v>
                </c:pt>
                <c:pt idx="50">
                  <c:v>117.6</c:v>
                </c:pt>
                <c:pt idx="51">
                  <c:v>112.5</c:v>
                </c:pt>
                <c:pt idx="52">
                  <c:v>123.2</c:v>
                </c:pt>
                <c:pt idx="53">
                  <c:v>119.9</c:v>
                </c:pt>
                <c:pt idx="54">
                  <c:v>129.1</c:v>
                </c:pt>
                <c:pt idx="55">
                  <c:v>172.3</c:v>
                </c:pt>
                <c:pt idx="56">
                  <c:v>171.8</c:v>
                </c:pt>
                <c:pt idx="57">
                  <c:v>167.3</c:v>
                </c:pt>
                <c:pt idx="58">
                  <c:v>169.1</c:v>
                </c:pt>
                <c:pt idx="59">
                  <c:v>163.80000000000001</c:v>
                </c:pt>
                <c:pt idx="60">
                  <c:v>166.3</c:v>
                </c:pt>
                <c:pt idx="61">
                  <c:v>165</c:v>
                </c:pt>
                <c:pt idx="62">
                  <c:v>173.6</c:v>
                </c:pt>
                <c:pt idx="63">
                  <c:v>167.3</c:v>
                </c:pt>
                <c:pt idx="64">
                  <c:v>181</c:v>
                </c:pt>
                <c:pt idx="65">
                  <c:v>173.4</c:v>
                </c:pt>
                <c:pt idx="66">
                  <c:v>182.8</c:v>
                </c:pt>
                <c:pt idx="67">
                  <c:v>181.1</c:v>
                </c:pt>
                <c:pt idx="68">
                  <c:v>174.9</c:v>
                </c:pt>
                <c:pt idx="69">
                  <c:v>185.5</c:v>
                </c:pt>
                <c:pt idx="70">
                  <c:v>183.7</c:v>
                </c:pt>
                <c:pt idx="71">
                  <c:v>176.9</c:v>
                </c:pt>
                <c:pt idx="72">
                  <c:v>176.7</c:v>
                </c:pt>
                <c:pt idx="73">
                  <c:v>166.3</c:v>
                </c:pt>
                <c:pt idx="74">
                  <c:v>180.2</c:v>
                </c:pt>
                <c:pt idx="75">
                  <c:v>184</c:v>
                </c:pt>
                <c:pt idx="76">
                  <c:v>195.6</c:v>
                </c:pt>
                <c:pt idx="77">
                  <c:v>186.2</c:v>
                </c:pt>
                <c:pt idx="78">
                  <c:v>201</c:v>
                </c:pt>
                <c:pt idx="79">
                  <c:v>194.1</c:v>
                </c:pt>
                <c:pt idx="80">
                  <c:v>183.9</c:v>
                </c:pt>
                <c:pt idx="81">
                  <c:v>196.5</c:v>
                </c:pt>
                <c:pt idx="82">
                  <c:v>182.8</c:v>
                </c:pt>
                <c:pt idx="83">
                  <c:v>187.8</c:v>
                </c:pt>
                <c:pt idx="84">
                  <c:v>189.8</c:v>
                </c:pt>
                <c:pt idx="85">
                  <c:v>181.3</c:v>
                </c:pt>
                <c:pt idx="86">
                  <c:v>194.9</c:v>
                </c:pt>
                <c:pt idx="87">
                  <c:v>196</c:v>
                </c:pt>
                <c:pt idx="88">
                  <c:v>199.2</c:v>
                </c:pt>
                <c:pt idx="89">
                  <c:v>199.1</c:v>
                </c:pt>
                <c:pt idx="90">
                  <c:v>200.1</c:v>
                </c:pt>
                <c:pt idx="91">
                  <c:v>198.9</c:v>
                </c:pt>
                <c:pt idx="92">
                  <c:v>193.6</c:v>
                </c:pt>
                <c:pt idx="93">
                  <c:v>198.5</c:v>
                </c:pt>
                <c:pt idx="94">
                  <c:v>189.3</c:v>
                </c:pt>
                <c:pt idx="95">
                  <c:v>197.2</c:v>
                </c:pt>
                <c:pt idx="96">
                  <c:v>189.6</c:v>
                </c:pt>
                <c:pt idx="97">
                  <c:v>176.4</c:v>
                </c:pt>
                <c:pt idx="98">
                  <c:v>198.1</c:v>
                </c:pt>
                <c:pt idx="99">
                  <c:v>199.8</c:v>
                </c:pt>
                <c:pt idx="100">
                  <c:v>202.1</c:v>
                </c:pt>
                <c:pt idx="101">
                  <c:v>204.5</c:v>
                </c:pt>
                <c:pt idx="102">
                  <c:v>202.5</c:v>
                </c:pt>
                <c:pt idx="103">
                  <c:v>202.7</c:v>
                </c:pt>
                <c:pt idx="104">
                  <c:v>196.2</c:v>
                </c:pt>
                <c:pt idx="105">
                  <c:v>203.5</c:v>
                </c:pt>
                <c:pt idx="106">
                  <c:v>196.4</c:v>
                </c:pt>
                <c:pt idx="107">
                  <c:v>197.7</c:v>
                </c:pt>
                <c:pt idx="108">
                  <c:v>193</c:v>
                </c:pt>
                <c:pt idx="109">
                  <c:v>180.1</c:v>
                </c:pt>
                <c:pt idx="110">
                  <c:v>203.7</c:v>
                </c:pt>
                <c:pt idx="111">
                  <c:v>202.8</c:v>
                </c:pt>
                <c:pt idx="112">
                  <c:v>209.1</c:v>
                </c:pt>
                <c:pt idx="113">
                  <c:v>208.2</c:v>
                </c:pt>
                <c:pt idx="114">
                  <c:v>214.7</c:v>
                </c:pt>
                <c:pt idx="115">
                  <c:v>210.1</c:v>
                </c:pt>
                <c:pt idx="116">
                  <c:v>206.9</c:v>
                </c:pt>
                <c:pt idx="117">
                  <c:v>210.4</c:v>
                </c:pt>
                <c:pt idx="118">
                  <c:v>204.4</c:v>
                </c:pt>
                <c:pt idx="119">
                  <c:v>203.9</c:v>
                </c:pt>
                <c:pt idx="120">
                  <c:v>199.1</c:v>
                </c:pt>
                <c:pt idx="121">
                  <c:v>183.1</c:v>
                </c:pt>
                <c:pt idx="122">
                  <c:v>206.2</c:v>
                </c:pt>
                <c:pt idx="123">
                  <c:v>204</c:v>
                </c:pt>
                <c:pt idx="124">
                  <c:v>207.7</c:v>
                </c:pt>
                <c:pt idx="125">
                  <c:v>204.9</c:v>
                </c:pt>
                <c:pt idx="126">
                  <c:v>210</c:v>
                </c:pt>
                <c:pt idx="127">
                  <c:v>206.7</c:v>
                </c:pt>
                <c:pt idx="128">
                  <c:v>202.5</c:v>
                </c:pt>
                <c:pt idx="129">
                  <c:v>211.1</c:v>
                </c:pt>
                <c:pt idx="130">
                  <c:v>205.6</c:v>
                </c:pt>
                <c:pt idx="131">
                  <c:v>214.4</c:v>
                </c:pt>
                <c:pt idx="132">
                  <c:v>214.9</c:v>
                </c:pt>
                <c:pt idx="133">
                  <c:v>203.6</c:v>
                </c:pt>
                <c:pt idx="134">
                  <c:v>221.9</c:v>
                </c:pt>
                <c:pt idx="135">
                  <c:v>220.3</c:v>
                </c:pt>
                <c:pt idx="136">
                  <c:v>228.4</c:v>
                </c:pt>
                <c:pt idx="137">
                  <c:v>217.7</c:v>
                </c:pt>
                <c:pt idx="138">
                  <c:v>226.7</c:v>
                </c:pt>
                <c:pt idx="139">
                  <c:v>218.6</c:v>
                </c:pt>
                <c:pt idx="140">
                  <c:v>220.4</c:v>
                </c:pt>
                <c:pt idx="141">
                  <c:v>233.8</c:v>
                </c:pt>
                <c:pt idx="142">
                  <c:v>217.1</c:v>
                </c:pt>
                <c:pt idx="143">
                  <c:v>226.1</c:v>
                </c:pt>
                <c:pt idx="144">
                  <c:v>222.6</c:v>
                </c:pt>
                <c:pt idx="145">
                  <c:v>209.7</c:v>
                </c:pt>
                <c:pt idx="146">
                  <c:v>220.9</c:v>
                </c:pt>
                <c:pt idx="147">
                  <c:v>230</c:v>
                </c:pt>
                <c:pt idx="148">
                  <c:v>228.9</c:v>
                </c:pt>
                <c:pt idx="149">
                  <c:v>232.2</c:v>
                </c:pt>
                <c:pt idx="150">
                  <c:v>242.1</c:v>
                </c:pt>
                <c:pt idx="151">
                  <c:v>231.9</c:v>
                </c:pt>
                <c:pt idx="152">
                  <c:v>235</c:v>
                </c:pt>
                <c:pt idx="153">
                  <c:v>247</c:v>
                </c:pt>
                <c:pt idx="154">
                  <c:v>241.5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B-B146-985E-134CE5601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7416608"/>
        <c:axId val="953236080"/>
      </c:scatterChart>
      <c:valAx>
        <c:axId val="1027416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953236080"/>
        <c:crosses val="autoZero"/>
        <c:crossBetween val="midCat"/>
      </c:valAx>
      <c:valAx>
        <c:axId val="9532360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93.3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2741660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5" sel="1" val="0">
  <itemLst>
    <item val="Summary statistics"/>
    <item val="Results of ARIMA modeling of the Transport related series"/>
    <item val="Results after optimization (Transport related)"/>
    <item val="Goodness of fit statistics"/>
    <item val="Model parameters"/>
    <item val="Predictions and residuals"/>
    <item val="Descriptive analysis (Transport related)"/>
    <item val="Descriptive analysis (Residuals)"/>
  </itemLst>
</formControlPr>
</file>

<file path=xl/ctrlProps/ctrlProp2.xml><?xml version="1.0" encoding="utf-8"?>
<formControlPr xmlns="http://schemas.microsoft.com/office/spreadsheetml/2009/9/main" objectType="Drop" dropStyle="combo" dx="15" sel="1" val="0">
  <itemLst>
    <item val="Summary statistics"/>
    <item val="Goodness of fit statistics (Transport related)"/>
    <item val="Model parameters (Transport related)"/>
    <item val="Series before and after smoothing (Transport related)"/>
  </itemLst>
</formControlPr>
</file>

<file path=xl/ctrlProps/ctrlProp3.xml><?xml version="1.0" encoding="utf-8"?>
<formControlPr xmlns="http://schemas.microsoft.com/office/spreadsheetml/2009/9/main" objectType="Drop" dropStyle="combo" dx="15" sel="1" val="0">
  <itemLst>
    <item val="Summary statistics"/>
    <item val="Goodness of fit statistics (Transport related)"/>
    <item val="Model parameters (Transport related)"/>
    <item val="Series before and after smoothing (Transport related)"/>
  </itemLst>
</formControlPr>
</file>

<file path=xl/ctrlProps/ctrlProp4.xml><?xml version="1.0" encoding="utf-8"?>
<formControlPr xmlns="http://schemas.microsoft.com/office/spreadsheetml/2009/9/main" objectType="Drop" dropStyle="combo" dx="15" sel="1" val="0">
  <itemLst>
    <item val="Summary statistics"/>
    <item val="Dickey-Fuller test (ADF(stationary) / k: 5 / Transport related)"/>
  </itemLst>
</formControlPr>
</file>

<file path=xl/ctrlProps/ctrlProp5.xml><?xml version="1.0" encoding="utf-8"?>
<formControlPr xmlns="http://schemas.microsoft.com/office/spreadsheetml/2009/9/main" objectType="Drop" dropStyle="combo" dx="15" sel="1" val="0">
  <itemLst>
    <item val="Summary statistics"/>
    <item val="Results of the analysis of the Transport related series"/>
    <item val="Normality test and white noise tests (Transport related)"/>
    <item val="Descriptive analysis (Transport related)"/>
  </itemLst>
</formControlPr>
</file>

<file path=xl/ctrlProps/ctrlProp6.xml><?xml version="1.0" encoding="utf-8"?>
<formControlPr xmlns="http://schemas.microsoft.com/office/spreadsheetml/2009/9/main" objectType="Drop" dropStyle="combo" dx="15" sel="1" val="0">
  <itemLst>
    <item val="Summary statistics"/>
    <item val="Box-Cox transformation (93.3)"/>
    <item val="Series before and after transformation (93.3)"/>
  </itemLst>
</formControlPr>
</file>

<file path=xl/ctrlProps/ctrlProp7.xml><?xml version="1.0" encoding="utf-8"?>
<formControlPr xmlns="http://schemas.microsoft.com/office/spreadsheetml/2009/9/main" objectType="Drop" dropStyle="combo" dx="15" sel="1" val="0">
  <itemLst>
    <item val="Summary statistics"/>
    <item val="Time series (93.3)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10</xdr:row>
      <xdr:rowOff>0</xdr:rowOff>
    </xdr:from>
    <xdr:to>
      <xdr:col>2</xdr:col>
      <xdr:colOff>38100</xdr:colOff>
      <xdr:row>10</xdr:row>
      <xdr:rowOff>25400</xdr:rowOff>
    </xdr:to>
    <xdr:sp macro="" textlink="">
      <xdr:nvSpPr>
        <xdr:cNvPr id="2" name="TX703446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82700" y="2032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RunProcARI
Form48.txt
OptionButton_R,OptionButton,False,True,000000000003_General,True,Range,False,
OptionButton_S,OptionButton,True,True,000000000203_General,True,Sheet,False,
OptionButton_W,OptionButton,False,True,000000000303_General,True,Workbook,False,
RefEdit_R,RefEdit,,True,000000000103_General,True,Range:,False,
RefEditT,RefEdit0,'Sheet1'!$D:$D,True,000000000002_General,True,,False,
CheckBoxVarLabels,CheckBox,True,True,000000000004_General,True,Series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CheckBoxDate,CheckBox,True,True,000000000502_General,True,Date data,False,
RefEditDate,RefEdit0,'Sheet1'!$C:$C,True,000000000602_General,True,Date data:,False,
CheckBoxCheckInt,CheckBox,False,True,000000000702_General,True,Check intervals,False,
CheckBoxCenter,CheckBox,True,True,000000000202_General,True,Center,False,
CheckBoxVar,CheckBox,False,True,000000000302_General,True,Variance,False,
TextBoxVar,TextBox,1,True,000000000402_General,True,Variance:,False,
TextBox_GQ,TextBox,2,True,000000001106_General,True,Q:,False,
TextBox_p,TextBox,2,True,000000000006_General,True,p:,False,
TextBox_d,TextBox,1,True,000000000306_General,True,d:,False,
TextBox_q,TextBox,2,True,000000000506_General,True,q:,False,
TextBox_Gd,TextBox,1,True,000000000906_General,True,D:,False,
TextBox_s,TextBox,12,True,000000001306_General,True,s:,False,
TextBox_GP,TextBox,2,True,000000000706_General,True,P:,False,
OptionButtonHR,OptionButton,False,True,100000000400_Options,True,Hannan-Rissanen,False,
OptionButtonInnov,OptionButton,False,True,100000000300_Options,True,Innovations,False,
CheckBoxPre,CheckBox,True,True,100000000000_Options,True,Preliminary estimation,False,
TextBox_m,TextBox,,True,100000000700_Options,True,m:,False,
CheckBoxAuto,CheckBox,True,True,100000000500_Options,True,Automatic,False,
OptionButtonYW,OptionButton,False,True,100000000100_Options,True,Yule-Walker,False,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OptionButtonLike,OptionButton,True,True,100000000102_Options,True,Likelihood,False,
OptionButtonLeast,OptionButton,False,True,100000000202_Options,True,Least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TextBoxTestNumber,TextBox,1,True,200000000000_Validation,True,,False,
CheckBox_Validation,CheckBox,False,True,200000000001_Validation,True,Validation,False,
CheckBox_Prediction,CheckBox,True,True,300000000001_Prediction,True,Prediction,False,
TextboxPredNumber,TextBox,6,True,300000000000_Prediction,True,,False,
CheckBoxTrans,CheckBox,False,False,06,False,Trans,False,
CheckBox_X,CheckBox,False,True,000000000802_General,True,X / Explanatory variables,False,
RefEdit_X,RefEdit,,True,000000000902_General,True,X / Explanatory variables:,False,
RefEdit_XPred,RefEdit,,True,300000000002_Prediction,True,X / Explanatory variables:,False,
CheckBox_XPred,CheckBox,False,True,300000000003_Prediction,True,X / Explanatory variables,False,
ComboBoxMode,ComboBox,0,True,000000000008_General,True,Mode:,False,
TextBox_Conf,TextBox,95,True,500000000101_Outputs,True,Confidence intervals (%):,False,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</a:t>
          </a:r>
        </a:p>
      </xdr:txBody>
    </xdr:sp>
    <xdr:clientData/>
  </xdr:twoCellAnchor>
  <xdr:twoCellAnchor editAs="absolute">
    <xdr:from>
      <xdr:col>1</xdr:col>
      <xdr:colOff>6350</xdr:colOff>
      <xdr:row>10</xdr:row>
      <xdr:rowOff>6350</xdr:rowOff>
    </xdr:from>
    <xdr:to>
      <xdr:col>2</xdr:col>
      <xdr:colOff>136398</xdr:colOff>
      <xdr:row>11</xdr:row>
      <xdr:rowOff>0</xdr:rowOff>
    </xdr:to>
    <xdr:sp macro="" textlink="">
      <xdr:nvSpPr>
        <xdr:cNvPr id="3" name="BK70344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50850" y="2038350"/>
          <a:ext cx="95554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10</xdr:row>
      <xdr:rowOff>43434</xdr:rowOff>
    </xdr:from>
    <xdr:to>
      <xdr:col>1</xdr:col>
      <xdr:colOff>392684</xdr:colOff>
      <xdr:row>10</xdr:row>
      <xdr:rowOff>386334</xdr:rowOff>
    </xdr:to>
    <xdr:pic macro="[1]!RelaunchCall">
      <xdr:nvPicPr>
        <xdr:cNvPr id="4" name="BT70344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207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10</xdr:row>
      <xdr:rowOff>43434</xdr:rowOff>
    </xdr:from>
    <xdr:to>
      <xdr:col>2</xdr:col>
      <xdr:colOff>44958</xdr:colOff>
      <xdr:row>10</xdr:row>
      <xdr:rowOff>386334</xdr:rowOff>
    </xdr:to>
    <xdr:pic macro="[1]!AddRemovGrid">
      <xdr:nvPicPr>
        <xdr:cNvPr id="5" name="RM70344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207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10</xdr:row>
      <xdr:rowOff>43434</xdr:rowOff>
    </xdr:from>
    <xdr:to>
      <xdr:col>2</xdr:col>
      <xdr:colOff>44958</xdr:colOff>
      <xdr:row>10</xdr:row>
      <xdr:rowOff>386334</xdr:rowOff>
    </xdr:to>
    <xdr:pic macro="AddRemovGrid">
      <xdr:nvPicPr>
        <xdr:cNvPr id="6" name="AD703446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207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226</xdr:row>
      <xdr:rowOff>0</xdr:rowOff>
    </xdr:from>
    <xdr:to>
      <xdr:col>6</xdr:col>
      <xdr:colOff>0</xdr:colOff>
      <xdr:row>242</xdr:row>
      <xdr:rowOff>0</xdr:rowOff>
    </xdr:to>
    <xdr:graphicFrame macro="">
      <xdr:nvGraphicFramePr>
        <xdr:cNvPr id="7" name="Chart 6-XLSTAT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226</xdr:row>
      <xdr:rowOff>0</xdr:rowOff>
    </xdr:from>
    <xdr:to>
      <xdr:col>11</xdr:col>
      <xdr:colOff>127000</xdr:colOff>
      <xdr:row>242</xdr:row>
      <xdr:rowOff>0</xdr:rowOff>
    </xdr:to>
    <xdr:graphicFrame macro="">
      <xdr:nvGraphicFramePr>
        <xdr:cNvPr id="8" name="Chart 7-XLSTAT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6</xdr:col>
      <xdr:colOff>0</xdr:colOff>
      <xdr:row>288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127000</xdr:colOff>
      <xdr:row>272</xdr:row>
      <xdr:rowOff>0</xdr:rowOff>
    </xdr:from>
    <xdr:to>
      <xdr:col>11</xdr:col>
      <xdr:colOff>127000</xdr:colOff>
      <xdr:row>288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318</xdr:row>
      <xdr:rowOff>0</xdr:rowOff>
    </xdr:from>
    <xdr:to>
      <xdr:col>6</xdr:col>
      <xdr:colOff>0</xdr:colOff>
      <xdr:row>334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127000</xdr:colOff>
      <xdr:row>318</xdr:row>
      <xdr:rowOff>0</xdr:rowOff>
    </xdr:from>
    <xdr:to>
      <xdr:col>11</xdr:col>
      <xdr:colOff>127000</xdr:colOff>
      <xdr:row>334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5361" name="DD72625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560815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82700" y="22352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RunProcTSM
Form47.txt
RefEditT,RefEdit0,'Sheet1'!$D:$D,True,000000000100_General,True,,False,
CheckBoxDate,CheckBox,True,True,000000000300_General,True,Date data,False,
RefEditDate,RefEdit0,'Sheet1'!$C:$C,True,000000000400_General,True,Date data:,False,
CheckBoxCheckInt,CheckBox,False,True,000000000500_General,True,Check intervals,False,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ComboBoxModel,ComboBox,0,True,000000010301_General,True,Choose this option to smooth the time series using the exponential smoothing method,False,
CheckBoxVarLabels,CheckBox,True,True,000000000201_General,True,Series labels,False,
TextBoxA,TextBox,0.2,True,100000000100_Options,True,Alpha:,False,
CheckBoxOptA,CheckBox,True,True,100000000300_Options,True,Optimize,False,
CheckBoxOptC,CheckBox,True,False,100000000500_Options,False,Optimize,False,
TextBoxC,TextBox,0.2,False,100000000700_Options,False,Gamma:,False,
CheckBoxOptB,CheckBox,True,False,100000000600_Options,False,Optimize,False,
TextBoxB,TextBox,0.2,False,100000000400_Options,False,Beta:,False,
TextBoxPeriod,TextBox,12,False,100000000800_Options,False,Period:,False,
ComboBoxS1,ComboBox,0,True,100000000000_Options,True,Choose the method to compute the initial values,False,
CheckBoxLeft,CheckBox,False,True,100000000101_Options,True,Left side,False,
TextBoxq,TextBox,2,True,100000000301_Options,True,q:,False,
RefEdit_W,RefEdit,,False,100000000201_Options,False,Workbook,False,
CheckBoxStrictly,CheckBox,False,True,100000000501_Options,True,Strictly,False,
TextBoxp,TextBox,0.5,True,100000000002_Options,True,p:,False,
ScrollBarp,ScrollBar,40,True,100000000102_Options,False,,,
ComboBoxMethod,ComboBox,1,True,100000000003_Options,True,Series with a trend, but no seasonal component,False,
TextBoxMaxIter,TextBox,500,True,100000000103_Options,True,Iterations:,False,
TextBoxConv,TextBox,0.00001,True,100000020103_Options,True,Convergence:,False,
TextBox_Conf,TextBox,5,True,100000010203_Options,True,Confidence intervals (%):,False,
TextBoxTestNumber,TextBox,1,True,200000000100_Validation,True,,False,
CheckBox_Validation,CheckBox,True,True,200000000000_Validation,True,Validation,False,
TextboxPredNumber,TextBox,6,True,300000000100_Prediction,True,,False,
CheckBox_Prediction,CheckBox,True,True,300000000000_Prediction,True,Prediction,False,
OptionButtonEachY,OptionButton,True,True,400000000100_Missing data,True,Check for each series separately,False,
OptionButtonAcrossAll,OptionButton,False,True,400000010100_Missing data,True,Across all series,False,
OptionButtonMVRemove,OptionButton,False,True,400000000400_Missing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OptionButtonMVIgnore,OptionButton,False,True,400000000300_Missing data,True,Ignore missing data,False,
CheckBoxGood,CheckBox,True,True,500000000100_Outputs,True,Goodness of fit statistics,False,
CheckBoxResiduals,CheckBox,True,True,500000000200_Outputs,True,Predictions and residuals,False,
CheckboxParam,CheckBox,True,True,500000000300_Outputs,True,Model parameters,False,
CheckBox_Desc,CheckBox,True,True,500000000000_Outputs,True,Descriptive statistics,False,
CheckBoxCharts,CheckBox,True,True,600000000000_Charts,True,Display charts,False,
CheckBoxTrans,CheckBox,False,False,02,False,Trans,False,
ScrollBarSelect,ScrollBar,0,False,03,False,,,
TextBoxList,TextBox,,False,04,False,,False,
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2</xdr:col>
      <xdr:colOff>136398</xdr:colOff>
      <xdr:row>12</xdr:row>
      <xdr:rowOff>0</xdr:rowOff>
    </xdr:to>
    <xdr:sp macro="" textlink="">
      <xdr:nvSpPr>
        <xdr:cNvPr id="3" name="BK56081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50850" y="2241550"/>
          <a:ext cx="95554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11</xdr:row>
      <xdr:rowOff>43434</xdr:rowOff>
    </xdr:from>
    <xdr:to>
      <xdr:col>1</xdr:col>
      <xdr:colOff>392684</xdr:colOff>
      <xdr:row>11</xdr:row>
      <xdr:rowOff>386334</xdr:rowOff>
    </xdr:to>
    <xdr:pic macro="[1]!RelaunchCall">
      <xdr:nvPicPr>
        <xdr:cNvPr id="4" name="BT56081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11</xdr:row>
      <xdr:rowOff>43434</xdr:rowOff>
    </xdr:from>
    <xdr:to>
      <xdr:col>2</xdr:col>
      <xdr:colOff>44958</xdr:colOff>
      <xdr:row>11</xdr:row>
      <xdr:rowOff>386334</xdr:rowOff>
    </xdr:to>
    <xdr:pic macro="[1]!AddRemovGrid">
      <xdr:nvPicPr>
        <xdr:cNvPr id="5" name="RM56081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11</xdr:row>
      <xdr:rowOff>43434</xdr:rowOff>
    </xdr:from>
    <xdr:to>
      <xdr:col>2</xdr:col>
      <xdr:colOff>44958</xdr:colOff>
      <xdr:row>11</xdr:row>
      <xdr:rowOff>386334</xdr:rowOff>
    </xdr:to>
    <xdr:pic macro="AddRemovGrid">
      <xdr:nvPicPr>
        <xdr:cNvPr id="6" name="AD560815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212</xdr:row>
      <xdr:rowOff>0</xdr:rowOff>
    </xdr:from>
    <xdr:to>
      <xdr:col>6</xdr:col>
      <xdr:colOff>0</xdr:colOff>
      <xdr:row>228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212</xdr:row>
      <xdr:rowOff>0</xdr:rowOff>
    </xdr:from>
    <xdr:to>
      <xdr:col>11</xdr:col>
      <xdr:colOff>127000</xdr:colOff>
      <xdr:row>228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2289" name="DD286567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981273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82700" y="22352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RunProcTSM
Form47.txt
RefEditT,RefEdit0,'Sheet1'!$D:$D,True,000000000100_General,True,,False,
CheckBoxDate,CheckBox,True,True,000000000300_General,True,Date data,False,
RefEditDate,RefEdit0,'Sheet1'!$C:$C,True,000000000400_General,True,Date data:,False,
CheckBoxCheckInt,CheckBox,False,True,000000000500_General,True,Check intervals,False,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ComboBoxModel,ComboBox,1,True,000000010301_General,True,Choose this option to smooth the time series using the exponential smoothing method,False,
CheckBoxVarLabels,CheckBox,True,True,000000000201_General,True,Series labels,False,
TextBoxA,TextBox,0.2,True,100000000100_Options,True,Alpha:,False,
CheckBoxOptA,CheckBox,True,True,100000000300_Options,True,Optimize,False,
CheckBoxOptC,CheckBox,True,False,100000000500_Options,False,Optimize,False,
TextBoxC,TextBox,0.2,False,100000000700_Options,False,Gamma:,False,
CheckBoxOptB,CheckBox,True,True,100000000600_Options,True,Optimize,False,
TextBoxB,TextBox,0.2,True,100000000400_Options,True,Beta:,False,
TextBoxPeriod,TextBox,12,False,100000000800_Options,False,Period:,False,
ComboBoxS1,ComboBox,0,True,100000000000_Options,True,Choose the method to compute the initial values,False,
CheckBoxLeft,CheckBox,False,True,100000000101_Options,True,Left side,False,
TextBoxq,TextBox,2,True,100000000301_Options,True,q:,False,
RefEdit_W,RefEdit,,False,100000000201_Options,False,Workbook,False,
CheckBoxStrictly,CheckBox,False,True,100000000501_Options,True,Strictly,False,
TextBoxp,TextBox,0.5,True,100000000002_Options,True,p:,False,
ScrollBarp,ScrollBar,40,True,100000000102_Options,False,,,
ComboBoxMethod,ComboBox,0,True,100000000003_Options,True,Series with a trend, but no seasonal component,False,
TextBoxMaxIter,TextBox,500,True,100000000103_Options,True,Iterations:,False,
TextBoxConv,TextBox,0.00001,True,100000020103_Options,True,Convergence:,False,
TextBox_Conf,TextBox,5,True,100000010203_Options,True,Confidence intervals (%):,False,
TextBoxTestNumber,TextBox,1,True,200000000100_Validation,True,,False,
CheckBox_Validation,CheckBox,True,True,200000000000_Validation,True,Validation,False,
TextboxPredNumber,TextBox,3,True,300000000100_Prediction,True,,False,
CheckBox_Prediction,CheckBox,True,True,300000000000_Prediction,True,Prediction,False,
OptionButtonEachY,OptionButton,True,True,400000000100_Missing data,True,Check for each series separately,False,
OptionButtonAcrossAll,OptionButton,False,True,400000010100_Missing data,True,Across all series,False,
OptionButtonMVRemove,OptionButton,False,True,400000000400_Missing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OptionButtonMVIgnore,OptionButton,False,True,400000000300_Missing data,True,Ignore missing data,False,
CheckBoxGood,CheckBox,True,True,500000000100_Outputs,True,Goodness of fit statistics,False,
CheckBoxResiduals,CheckBox,True,True,500000000200_Outputs,True,Predictions and residuals,False,
CheckboxParam,CheckBox,True,True,500000000300_Outputs,True,Model parameters,False,
CheckBox_Desc,CheckBox,True,True,500000000000_Outputs,True,Descriptive statistics,False,
CheckBoxCharts,CheckBox,True,True,600000000000_Charts,True,Display charts,False,
CheckBoxTrans,CheckBox,False,False,02,False,Trans,False,
ScrollBarSelect,ScrollBar,0,False,03,False,,,
TextBoxList,TextBox,,False,04,False,,False,
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2</xdr:col>
      <xdr:colOff>136398</xdr:colOff>
      <xdr:row>12</xdr:row>
      <xdr:rowOff>0</xdr:rowOff>
    </xdr:to>
    <xdr:sp macro="" textlink="">
      <xdr:nvSpPr>
        <xdr:cNvPr id="3" name="BK98127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50850" y="2241550"/>
          <a:ext cx="95554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11</xdr:row>
      <xdr:rowOff>43434</xdr:rowOff>
    </xdr:from>
    <xdr:to>
      <xdr:col>1</xdr:col>
      <xdr:colOff>392684</xdr:colOff>
      <xdr:row>11</xdr:row>
      <xdr:rowOff>386334</xdr:rowOff>
    </xdr:to>
    <xdr:pic macro="[1]!RelaunchCall">
      <xdr:nvPicPr>
        <xdr:cNvPr id="4" name="BT98127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11</xdr:row>
      <xdr:rowOff>43434</xdr:rowOff>
    </xdr:from>
    <xdr:to>
      <xdr:col>2</xdr:col>
      <xdr:colOff>44958</xdr:colOff>
      <xdr:row>11</xdr:row>
      <xdr:rowOff>386334</xdr:rowOff>
    </xdr:to>
    <xdr:pic macro="[1]!AddRemovGrid">
      <xdr:nvPicPr>
        <xdr:cNvPr id="5" name="RM981273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11</xdr:row>
      <xdr:rowOff>43434</xdr:rowOff>
    </xdr:from>
    <xdr:to>
      <xdr:col>2</xdr:col>
      <xdr:colOff>44958</xdr:colOff>
      <xdr:row>11</xdr:row>
      <xdr:rowOff>386334</xdr:rowOff>
    </xdr:to>
    <xdr:pic macro="AddRemovGrid">
      <xdr:nvPicPr>
        <xdr:cNvPr id="6" name="AD981273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210</xdr:row>
      <xdr:rowOff>0</xdr:rowOff>
    </xdr:from>
    <xdr:to>
      <xdr:col>6</xdr:col>
      <xdr:colOff>0</xdr:colOff>
      <xdr:row>226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210</xdr:row>
      <xdr:rowOff>0</xdr:rowOff>
    </xdr:from>
    <xdr:to>
      <xdr:col>11</xdr:col>
      <xdr:colOff>127000</xdr:colOff>
      <xdr:row>226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265" name="DD71998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980345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82700" y="1016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RunProcURT
Form186.txt
CheckBoxVarLabels,CheckBox,True,True,000000000003_General,True,Series labels,False,
RefEditT,RefEdit,'Sheet1'!$D:$D,True,000000000001_General,True,,False,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CheckBoxDFuller,CheckBox,True,True,000000000004_General,True,Dickey-Fuller test,False,
CheckBoxPP,CheckBox,False,True,000000000006_General,True,Phillips-Perron test,False,
ComboBoxPP,ComboBox,0,True,000000000007_General,True,PP test:,False,
ComboBoxDF,ComboBox,0,True,000000000008_General,True,,False,
CheckBox_Desc,CheckBox,True,True,300000000000_Outputs,True,Descriptive statistics,False,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OptionButtonMVIgnore,OptionButton,False,True,200000000300_Missing data,True,Ignore missing data,False,
CheckBoxCharts,CheckBox,True,True,400000000000_Charts,True,Display charts,False,
CheckBoxNW,CheckBox,True,True,100000000104_Options,True,Newey-West,False,
TextBox_conf,TextBox,5,True,100000010000_Options,True,Significance level (%):,False,
RefEditDate,RefEdit,'Sheet1'!$C:$C,True,000000000009_General,True,Date data:,False,
CheckBoxDate,CheckBox,True,True,000000000010_General,True,Date data,False,
CheckBoxKPSS,CheckBox,False,True,000000000005_General,True,KPSS test,False,
ComboBoxKPSS,ComboBox,0,True,000000000011_General,True,KPSS test:,False,
OptionButton1,OptionButton,True,True,100001010100_Options,True,Automatic,False,
OptionButton2,OptionButton,False,True,100002010100_Options,True,User defined,False,
TextBox1,TextBox,2,True,100003010100_Options,True,Automatic,False,
OptionButton3,OptionButton,True,True,100001010200_Options,True,Automatic,False,
OptionButton4,OptionButton,False,True,100002010200_Options,True,User defined,False,
TextBox2,TextBox,2,True,100003010200_Options,True,User defined:,False,
TextBoxUDFk,TextBox,2,True,100000010102_Options,True,,False,
ComboBoxPpTruncation,ComboBox,0,True,100000010103_Options,True,,False,
ComboBoxADFk,ComboBox,0,True,100000020102_Options,True,k:,False,
TextboxUDFLag,TextBox,2,True,100000000204_Options,True,,False,
ComboBoxKPSSLag,ComboBox,0,True,100000000304_Options,True,,False,
OptionButtonMc,OptionButton,False,True,100000000201_Options,True,Monte Carlo method,False,
OptionButtonMk,OptionButton,True,True,100000000001_Options,True,Surface regression,False,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2</xdr:col>
      <xdr:colOff>136398</xdr:colOff>
      <xdr:row>6</xdr:row>
      <xdr:rowOff>0</xdr:rowOff>
    </xdr:to>
    <xdr:sp macro="" textlink="">
      <xdr:nvSpPr>
        <xdr:cNvPr id="3" name="BK98034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50850" y="1022350"/>
          <a:ext cx="95554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5</xdr:row>
      <xdr:rowOff>43434</xdr:rowOff>
    </xdr:from>
    <xdr:to>
      <xdr:col>1</xdr:col>
      <xdr:colOff>392684</xdr:colOff>
      <xdr:row>5</xdr:row>
      <xdr:rowOff>386334</xdr:rowOff>
    </xdr:to>
    <xdr:pic macro="[1]!RelaunchCall">
      <xdr:nvPicPr>
        <xdr:cNvPr id="4" name="BT98034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1]!AddRemovGrid">
      <xdr:nvPicPr>
        <xdr:cNvPr id="5" name="RM980345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AddRemovGrid">
      <xdr:nvPicPr>
        <xdr:cNvPr id="6" name="AD980345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29</xdr:row>
      <xdr:rowOff>0</xdr:rowOff>
    </xdr:from>
    <xdr:to>
      <xdr:col>6</xdr:col>
      <xdr:colOff>0</xdr:colOff>
      <xdr:row>45</xdr:row>
      <xdr:rowOff>0</xdr:rowOff>
    </xdr:to>
    <xdr:graphicFrame macro="">
      <xdr:nvGraphicFramePr>
        <xdr:cNvPr id="7" name="Chart 6-XLSTAT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9217" name="DD655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4</xdr:row>
      <xdr:rowOff>0</xdr:rowOff>
    </xdr:from>
    <xdr:to>
      <xdr:col>2</xdr:col>
      <xdr:colOff>38100</xdr:colOff>
      <xdr:row>4</xdr:row>
      <xdr:rowOff>25400</xdr:rowOff>
    </xdr:to>
    <xdr:sp macro="" textlink="">
      <xdr:nvSpPr>
        <xdr:cNvPr id="2" name="TX967092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82700" y="8128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RunProcTDS
Form45.txt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RefEditT,RefEdit,'Sheet1'!$C:$C,True,000000000001_General,True,,False,
CheckBoxVarLabels,CheckBox,True,True,000000000003_General,True,Series labels,False,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CheckBoxCross,CheckBox,True,True,300000000400_Outputs,True,Cross-correlations,False,
CheckBoxAutocorr,CheckBox,True,True,300000000100_Outputs,True,Autocorrelations,False,
CheckBoxPartial,CheckBox,True,True,300000000300_Outputs,True,Partial autocorrelations,False,
CheckBoxAutocov,CheckBox,True,True,300000000200_Outputs,True,Autocovariances,False,
TextBoxs,TextBox,6,True,300000000601_Outputs,True,,False,
CheckBoxWNTest,CheckBox,True,True,300000000301_Outputs,True,White noise tests,False,
CheckBox_conf,CheckBox,True,True,300000000001_Outputs,True,Confidence intervals (%),False,
CheckBoxWNHyp,CheckBox,False,True,300000000201_Outputs,True,White noise assumption,False,
TextBoxh1,TextBox,6,True,300000000501_Outputs,True,,False,
TextBoxh2,TextBox,12,True,300000000801_Outputs,True,,False,
OptionButtonUDF,OptionButton,False,True,100000000200_Options,True,User defined,False,
OptionButtonAuto,OptionButton,True,True,100000000100_Options,True,Automatic,False,
TextBoxLags,TextBox,5,True,100000000300_Options,True,Time steps:,False,
TextBox_Conf,TextBox,95,True,300000000101_Outputs,True,Confidence intervals (%):,False,
CheckBox_Desc,CheckBox,True,True,300000000000_Outputs,True,Descriptive statistics,False,
CheckBoxAutoGram,CheckBox,True,True,400000000000_Charts,True,Autocorrelogram,False,
CheckBoxPartAutoGram,CheckBox,True,True,400000000100_Charts,True,Partial autocorrelogram,False,
CheckBoxCrossGram,CheckBox,True,True,400000000200_Charts,True,Cross-correlations,False,
OptionButtonMVIgnore,OptionButton,False,True,200000000300_Missing data,True,Ignore missing data,False,
</a:t>
          </a:r>
        </a:p>
      </xdr:txBody>
    </xdr:sp>
    <xdr:clientData/>
  </xdr:twoCellAnchor>
  <xdr:twoCellAnchor editAs="absolute">
    <xdr:from>
      <xdr:col>1</xdr:col>
      <xdr:colOff>6350</xdr:colOff>
      <xdr:row>4</xdr:row>
      <xdr:rowOff>6350</xdr:rowOff>
    </xdr:from>
    <xdr:to>
      <xdr:col>2</xdr:col>
      <xdr:colOff>136398</xdr:colOff>
      <xdr:row>5</xdr:row>
      <xdr:rowOff>0</xdr:rowOff>
    </xdr:to>
    <xdr:sp macro="" textlink="">
      <xdr:nvSpPr>
        <xdr:cNvPr id="3" name="BK96709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50850" y="819150"/>
          <a:ext cx="95554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4</xdr:row>
      <xdr:rowOff>43434</xdr:rowOff>
    </xdr:from>
    <xdr:to>
      <xdr:col>1</xdr:col>
      <xdr:colOff>392684</xdr:colOff>
      <xdr:row>4</xdr:row>
      <xdr:rowOff>386334</xdr:rowOff>
    </xdr:to>
    <xdr:pic macro="[1]!RelaunchCall">
      <xdr:nvPicPr>
        <xdr:cNvPr id="4" name="BT96709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856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4</xdr:row>
      <xdr:rowOff>43434</xdr:rowOff>
    </xdr:from>
    <xdr:to>
      <xdr:col>2</xdr:col>
      <xdr:colOff>44958</xdr:colOff>
      <xdr:row>4</xdr:row>
      <xdr:rowOff>386334</xdr:rowOff>
    </xdr:to>
    <xdr:pic macro="[1]!AddRemovGrid">
      <xdr:nvPicPr>
        <xdr:cNvPr id="5" name="RM967092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856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4</xdr:row>
      <xdr:rowOff>43434</xdr:rowOff>
    </xdr:from>
    <xdr:to>
      <xdr:col>2</xdr:col>
      <xdr:colOff>44958</xdr:colOff>
      <xdr:row>4</xdr:row>
      <xdr:rowOff>386334</xdr:rowOff>
    </xdr:to>
    <xdr:pic macro="AddRemovGrid">
      <xdr:nvPicPr>
        <xdr:cNvPr id="6" name="AD967092" hidden="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856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56</xdr:row>
      <xdr:rowOff>0</xdr:rowOff>
    </xdr:from>
    <xdr:to>
      <xdr:col>6</xdr:col>
      <xdr:colOff>0</xdr:colOff>
      <xdr:row>72</xdr:row>
      <xdr:rowOff>0</xdr:rowOff>
    </xdr:to>
    <xdr:graphicFrame macro="">
      <xdr:nvGraphicFramePr>
        <xdr:cNvPr id="7" name="Chart 6-XLSTAT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56</xdr:row>
      <xdr:rowOff>0</xdr:rowOff>
    </xdr:from>
    <xdr:to>
      <xdr:col>11</xdr:col>
      <xdr:colOff>127000</xdr:colOff>
      <xdr:row>72</xdr:row>
      <xdr:rowOff>0</xdr:rowOff>
    </xdr:to>
    <xdr:graphicFrame macro="">
      <xdr:nvGraphicFramePr>
        <xdr:cNvPr id="8" name="Chart 7-XLSTAT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4097" name="DD919870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924843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82700" y="406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RunProcTTR
Form46.txt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CheckBoxVarLabels,CheckBox,True,True,000000000003_General,True,Series labels,False,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CheckBox_Desc,CheckBox,True,True,300000000000_Outputs,True,Descriptive statistics,False,
CheckBoxCharts,CheckBox,True,True,400000000000_Charts,True,Display charts,False,
CheckBoxBoxCox,CheckBox,True,True,100000000000_Options,True,Box-Cox transformation,False,
TextBoxLambda,TextBox,0,True,100000000100_Options,True,Lambda:,False,
CheckBoxOpt,CheckBox,False,True,100000000200_Options,True,Optimize,False,
RefEditT,RefEdit,'Sheet1'!$C$2:$C$157,True,000000000001_General,True,,False,
CheckBoxDate,CheckBox,False,True,000000000201_General,True,Date data,False,
RefEditDate,RefEdit,,True,000000000301_General,True,Date data:,False,
CheckBoxCheckInt,CheckBox,False,True,000000000401_General,True,Check intervals,False,
TextBox_d,TextBox,0,True,100000000101_Options,True,d:,False,
TextBox_Gd,TextBox,0,True,100000000201_Options,True,D:,False,
TextBox_s,TextBox,0,True,100000000301_Options,True,s:,False,
CheckboxDiff,CheckBox,False,True,100000000001_Options,True,Differencing,False,
CheckBoxPoly,CheckBox,False,True,100000000002_Options,True,Polynomial regression,False,
TextBoxPoly,TextBox,1,True,100000000202_Options,True,Polynomial degree:,False,
CheckBoxSeason,CheckBox,False,True,100000000003_Options,True,Seasonal fitting,False,
TextBoxPeriod,TextBox,12,True,100000000103_Options,True,Period:,False,
OptionButtonEachY,OptionButton,True,True,200000000300_Missing data,True,Check for each series separately,False,
OptionButtonAcrossAll,OptionButton,False,True,200000010300_Missing data,True,Across all series,False,
CheckBoxSeasonDecomp,CheckBox,False,True,100000000004_Options,True,Seasonal decomposition,False,
TextBoxPeriodDecomp,TextBox,12,True,100000000104_Options,True,Period:,False,
ComboBoxDecomp,ComboBox,0,True,100000000304_Options,True,,False,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2</xdr:col>
      <xdr:colOff>136398</xdr:colOff>
      <xdr:row>3</xdr:row>
      <xdr:rowOff>0</xdr:rowOff>
    </xdr:to>
    <xdr:sp macro="" textlink="">
      <xdr:nvSpPr>
        <xdr:cNvPr id="3" name="BK92484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50850" y="412750"/>
          <a:ext cx="95554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2</xdr:row>
      <xdr:rowOff>43434</xdr:rowOff>
    </xdr:from>
    <xdr:to>
      <xdr:col>1</xdr:col>
      <xdr:colOff>392684</xdr:colOff>
      <xdr:row>2</xdr:row>
      <xdr:rowOff>386334</xdr:rowOff>
    </xdr:to>
    <xdr:pic macro="[1]!RelaunchCall">
      <xdr:nvPicPr>
        <xdr:cNvPr id="4" name="BT92484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4498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2</xdr:row>
      <xdr:rowOff>43434</xdr:rowOff>
    </xdr:from>
    <xdr:to>
      <xdr:col>2</xdr:col>
      <xdr:colOff>44958</xdr:colOff>
      <xdr:row>2</xdr:row>
      <xdr:rowOff>386334</xdr:rowOff>
    </xdr:to>
    <xdr:pic macro="[1]!AddRemovGrid">
      <xdr:nvPicPr>
        <xdr:cNvPr id="5" name="RM924843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4498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2</xdr:row>
      <xdr:rowOff>43434</xdr:rowOff>
    </xdr:from>
    <xdr:to>
      <xdr:col>2</xdr:col>
      <xdr:colOff>44958</xdr:colOff>
      <xdr:row>2</xdr:row>
      <xdr:rowOff>386334</xdr:rowOff>
    </xdr:to>
    <xdr:pic macro="AddRemovGrid">
      <xdr:nvPicPr>
        <xdr:cNvPr id="6" name="AD924843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4498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177</xdr:row>
      <xdr:rowOff>0</xdr:rowOff>
    </xdr:from>
    <xdr:to>
      <xdr:col>6</xdr:col>
      <xdr:colOff>0</xdr:colOff>
      <xdr:row>193</xdr:row>
      <xdr:rowOff>0</xdr:rowOff>
    </xdr:to>
    <xdr:graphicFrame macro="">
      <xdr:nvGraphicFramePr>
        <xdr:cNvPr id="7" name="Chart 6-XLSTAT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177</xdr:row>
      <xdr:rowOff>0</xdr:rowOff>
    </xdr:from>
    <xdr:to>
      <xdr:col>11</xdr:col>
      <xdr:colOff>127000</xdr:colOff>
      <xdr:row>193</xdr:row>
      <xdr:rowOff>0</xdr:rowOff>
    </xdr:to>
    <xdr:graphicFrame macro="">
      <xdr:nvGraphicFramePr>
        <xdr:cNvPr id="8" name="Chart 7-XLSTAT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073" name="DD96272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B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951539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82700" y="406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RunProcVTS
Form199.txt
CheckBoxVarLabels,CheckBox,True,True,000000000003_General,True,Series labels,False,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RefEditT,RefEdit0,'Sheet1'!$C$2:$C$157,True,000000000001_General,True,,False,
RefEditDate,RefEdit0,'Sheet1'!$B$2:$B$157,True,000000000201_General,True,Date data:,False,
CheckBoxDate,CheckBox,False,True,000000000301_General,True,Date data,False,
CheckBoxLink,CheckBox,False,True,100000000000_Charts,True,Link the chart to the input data,False,
CheckBoxSingleChart,CheckBox,False,True,100000000100_Charts,True,Display all series on a single chart,False,
CheckBoxTrans,CheckBox,False,False,01,False,Trans,False,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2</xdr:col>
      <xdr:colOff>136398</xdr:colOff>
      <xdr:row>3</xdr:row>
      <xdr:rowOff>0</xdr:rowOff>
    </xdr:to>
    <xdr:sp macro="" textlink="">
      <xdr:nvSpPr>
        <xdr:cNvPr id="3" name="BK951539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50850" y="412750"/>
          <a:ext cx="95554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2</xdr:row>
      <xdr:rowOff>43434</xdr:rowOff>
    </xdr:from>
    <xdr:to>
      <xdr:col>1</xdr:col>
      <xdr:colOff>392684</xdr:colOff>
      <xdr:row>2</xdr:row>
      <xdr:rowOff>386334</xdr:rowOff>
    </xdr:to>
    <xdr:pic macro="[1]!RelaunchCall">
      <xdr:nvPicPr>
        <xdr:cNvPr id="4" name="BT951539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4498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2</xdr:row>
      <xdr:rowOff>43434</xdr:rowOff>
    </xdr:from>
    <xdr:to>
      <xdr:col>2</xdr:col>
      <xdr:colOff>44958</xdr:colOff>
      <xdr:row>2</xdr:row>
      <xdr:rowOff>386334</xdr:rowOff>
    </xdr:to>
    <xdr:pic macro="[1]!AddRemovGrid">
      <xdr:nvPicPr>
        <xdr:cNvPr id="5" name="RM951539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4498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2</xdr:row>
      <xdr:rowOff>43434</xdr:rowOff>
    </xdr:from>
    <xdr:to>
      <xdr:col>2</xdr:col>
      <xdr:colOff>44958</xdr:colOff>
      <xdr:row>2</xdr:row>
      <xdr:rowOff>386334</xdr:rowOff>
    </xdr:to>
    <xdr:pic macro="AddRemovGrid">
      <xdr:nvPicPr>
        <xdr:cNvPr id="6" name="AD951539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4498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12</xdr:col>
      <xdr:colOff>812800</xdr:colOff>
      <xdr:row>52</xdr:row>
      <xdr:rowOff>127000</xdr:rowOff>
    </xdr:to>
    <xdr:graphicFrame macro="">
      <xdr:nvGraphicFramePr>
        <xdr:cNvPr id="7" name="Chart 6-XLSTAT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2049" name="DD190535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XLSTAT.app/Contents/Library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STAT"/>
    </sheetNames>
    <definedNames>
      <definedName name="AddRemovGrid"/>
      <definedName name="RelaunchCall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06D36-EA8A-B648-8919-6365BC9D9DC8}">
  <sheetPr codeName="Sheet1"/>
  <dimension ref="A1:D157"/>
  <sheetViews>
    <sheetView workbookViewId="0">
      <selection activeCell="D1" sqref="D1"/>
    </sheetView>
  </sheetViews>
  <sheetFormatPr baseColWidth="10" defaultRowHeight="16"/>
  <cols>
    <col min="1" max="1" width="18" bestFit="1" customWidth="1"/>
    <col min="4" max="4" width="11.5" bestFit="1" customWidth="1"/>
  </cols>
  <sheetData>
    <row r="1" spans="1:4">
      <c r="A1" t="s">
        <v>2</v>
      </c>
      <c r="B1" t="s">
        <v>3</v>
      </c>
      <c r="C1" t="s">
        <v>1</v>
      </c>
      <c r="D1" t="s">
        <v>0</v>
      </c>
    </row>
    <row r="2" spans="1:4">
      <c r="A2">
        <v>2005</v>
      </c>
      <c r="B2">
        <v>1</v>
      </c>
      <c r="C2" s="27">
        <f>DATE(A2,B2,"1")</f>
        <v>38353</v>
      </c>
      <c r="D2">
        <v>93.3</v>
      </c>
    </row>
    <row r="3" spans="1:4">
      <c r="A3">
        <v>2005</v>
      </c>
      <c r="B3">
        <v>2</v>
      </c>
      <c r="C3" s="27">
        <f t="shared" ref="C3:C66" si="0">DATE(A3,B3,"1")</f>
        <v>38384</v>
      </c>
      <c r="D3">
        <v>95.7</v>
      </c>
    </row>
    <row r="4" spans="1:4">
      <c r="A4">
        <v>2005</v>
      </c>
      <c r="B4">
        <v>3</v>
      </c>
      <c r="C4" s="27">
        <f t="shared" si="0"/>
        <v>38412</v>
      </c>
      <c r="D4">
        <v>93.8</v>
      </c>
    </row>
    <row r="5" spans="1:4">
      <c r="A5">
        <v>2005</v>
      </c>
      <c r="B5">
        <v>4</v>
      </c>
      <c r="C5" s="27">
        <f t="shared" si="0"/>
        <v>38443</v>
      </c>
      <c r="D5">
        <v>99.4</v>
      </c>
    </row>
    <row r="6" spans="1:4">
      <c r="A6">
        <v>2005</v>
      </c>
      <c r="B6">
        <v>5</v>
      </c>
      <c r="C6" s="27">
        <f t="shared" si="0"/>
        <v>38473</v>
      </c>
      <c r="D6">
        <v>100</v>
      </c>
    </row>
    <row r="7" spans="1:4">
      <c r="A7">
        <v>2005</v>
      </c>
      <c r="B7">
        <v>6</v>
      </c>
      <c r="C7" s="27">
        <f t="shared" si="0"/>
        <v>38504</v>
      </c>
      <c r="D7">
        <v>105.6</v>
      </c>
    </row>
    <row r="8" spans="1:4">
      <c r="A8">
        <v>2005</v>
      </c>
      <c r="B8">
        <v>7</v>
      </c>
      <c r="C8" s="27">
        <f t="shared" si="0"/>
        <v>38534</v>
      </c>
      <c r="D8">
        <v>99.4</v>
      </c>
    </row>
    <row r="9" spans="1:4">
      <c r="A9">
        <v>2005</v>
      </c>
      <c r="B9">
        <v>8</v>
      </c>
      <c r="C9" s="27">
        <f t="shared" si="0"/>
        <v>38565</v>
      </c>
      <c r="D9">
        <v>106.3</v>
      </c>
    </row>
    <row r="10" spans="1:4">
      <c r="A10">
        <v>2005</v>
      </c>
      <c r="B10">
        <v>9</v>
      </c>
      <c r="C10" s="27">
        <f t="shared" si="0"/>
        <v>38596</v>
      </c>
      <c r="D10">
        <v>104.2</v>
      </c>
    </row>
    <row r="11" spans="1:4">
      <c r="A11">
        <v>2005</v>
      </c>
      <c r="B11">
        <v>10</v>
      </c>
      <c r="C11" s="27">
        <f t="shared" si="0"/>
        <v>38626</v>
      </c>
      <c r="D11">
        <v>99.5</v>
      </c>
    </row>
    <row r="12" spans="1:4">
      <c r="A12">
        <v>2005</v>
      </c>
      <c r="B12">
        <v>11</v>
      </c>
      <c r="C12" s="27">
        <f t="shared" si="0"/>
        <v>38657</v>
      </c>
      <c r="D12">
        <v>105.7</v>
      </c>
    </row>
    <row r="13" spans="1:4">
      <c r="A13">
        <v>2005</v>
      </c>
      <c r="B13">
        <v>12</v>
      </c>
      <c r="C13" s="27">
        <f t="shared" si="0"/>
        <v>38687</v>
      </c>
      <c r="D13">
        <v>97.1</v>
      </c>
    </row>
    <row r="14" spans="1:4">
      <c r="A14">
        <v>2006</v>
      </c>
      <c r="B14">
        <v>1</v>
      </c>
      <c r="C14" s="27">
        <f t="shared" si="0"/>
        <v>38718</v>
      </c>
      <c r="D14">
        <v>101.4</v>
      </c>
    </row>
    <row r="15" spans="1:4">
      <c r="A15">
        <v>2006</v>
      </c>
      <c r="B15">
        <v>2</v>
      </c>
      <c r="C15" s="27">
        <f t="shared" si="0"/>
        <v>38749</v>
      </c>
      <c r="D15">
        <v>97.7</v>
      </c>
    </row>
    <row r="16" spans="1:4">
      <c r="A16">
        <v>2006</v>
      </c>
      <c r="B16">
        <v>3</v>
      </c>
      <c r="C16" s="27">
        <f t="shared" si="0"/>
        <v>38777</v>
      </c>
      <c r="D16">
        <v>95.8</v>
      </c>
    </row>
    <row r="17" spans="1:4">
      <c r="A17">
        <v>2006</v>
      </c>
      <c r="B17">
        <v>4</v>
      </c>
      <c r="C17" s="27">
        <f t="shared" si="0"/>
        <v>38808</v>
      </c>
      <c r="D17">
        <v>103</v>
      </c>
    </row>
    <row r="18" spans="1:4">
      <c r="A18">
        <v>2006</v>
      </c>
      <c r="B18">
        <v>5</v>
      </c>
      <c r="C18" s="27">
        <f t="shared" si="0"/>
        <v>38838</v>
      </c>
      <c r="D18">
        <v>105</v>
      </c>
    </row>
    <row r="19" spans="1:4">
      <c r="A19">
        <v>2006</v>
      </c>
      <c r="B19">
        <v>6</v>
      </c>
      <c r="C19" s="27">
        <f t="shared" si="0"/>
        <v>38869</v>
      </c>
      <c r="D19">
        <v>106.5</v>
      </c>
    </row>
    <row r="20" spans="1:4">
      <c r="A20">
        <v>2006</v>
      </c>
      <c r="B20">
        <v>7</v>
      </c>
      <c r="C20" s="27">
        <f t="shared" si="0"/>
        <v>38899</v>
      </c>
      <c r="D20">
        <v>102</v>
      </c>
    </row>
    <row r="21" spans="1:4">
      <c r="A21">
        <v>2006</v>
      </c>
      <c r="B21">
        <v>8</v>
      </c>
      <c r="C21" s="27">
        <f t="shared" si="0"/>
        <v>38930</v>
      </c>
      <c r="D21">
        <v>110.5</v>
      </c>
    </row>
    <row r="22" spans="1:4">
      <c r="A22">
        <v>2006</v>
      </c>
      <c r="B22">
        <v>9</v>
      </c>
      <c r="C22" s="27">
        <f t="shared" si="0"/>
        <v>38961</v>
      </c>
      <c r="D22">
        <v>105.5</v>
      </c>
    </row>
    <row r="23" spans="1:4">
      <c r="A23">
        <v>2006</v>
      </c>
      <c r="B23">
        <v>10</v>
      </c>
      <c r="C23" s="27">
        <f t="shared" si="0"/>
        <v>38991</v>
      </c>
      <c r="D23">
        <v>106.2</v>
      </c>
    </row>
    <row r="24" spans="1:4">
      <c r="A24">
        <v>2006</v>
      </c>
      <c r="B24">
        <v>11</v>
      </c>
      <c r="C24" s="27">
        <f t="shared" si="0"/>
        <v>39022</v>
      </c>
      <c r="D24">
        <v>110</v>
      </c>
    </row>
    <row r="25" spans="1:4">
      <c r="A25">
        <v>2006</v>
      </c>
      <c r="B25">
        <v>12</v>
      </c>
      <c r="C25" s="27">
        <f t="shared" si="0"/>
        <v>39052</v>
      </c>
      <c r="D25">
        <v>101.9</v>
      </c>
    </row>
    <row r="26" spans="1:4">
      <c r="A26">
        <v>2007</v>
      </c>
      <c r="B26">
        <v>1</v>
      </c>
      <c r="C26" s="27">
        <f t="shared" si="0"/>
        <v>39083</v>
      </c>
      <c r="D26">
        <v>107.5</v>
      </c>
    </row>
    <row r="27" spans="1:4">
      <c r="A27">
        <v>2007</v>
      </c>
      <c r="B27">
        <v>2</v>
      </c>
      <c r="C27" s="27">
        <f t="shared" si="0"/>
        <v>39114</v>
      </c>
      <c r="D27">
        <v>99.7</v>
      </c>
    </row>
    <row r="28" spans="1:4">
      <c r="A28">
        <v>2007</v>
      </c>
      <c r="B28">
        <v>3</v>
      </c>
      <c r="C28" s="27">
        <f t="shared" si="0"/>
        <v>39142</v>
      </c>
      <c r="D28">
        <v>101.9</v>
      </c>
    </row>
    <row r="29" spans="1:4">
      <c r="A29">
        <v>2007</v>
      </c>
      <c r="B29">
        <v>4</v>
      </c>
      <c r="C29" s="27">
        <f t="shared" si="0"/>
        <v>39173</v>
      </c>
      <c r="D29">
        <v>106.4</v>
      </c>
    </row>
    <row r="30" spans="1:4">
      <c r="A30">
        <v>2007</v>
      </c>
      <c r="B30">
        <v>5</v>
      </c>
      <c r="C30" s="27">
        <f t="shared" si="0"/>
        <v>39203</v>
      </c>
      <c r="D30">
        <v>108.5</v>
      </c>
    </row>
    <row r="31" spans="1:4">
      <c r="A31">
        <v>2007</v>
      </c>
      <c r="B31">
        <v>6</v>
      </c>
      <c r="C31" s="27">
        <f t="shared" si="0"/>
        <v>39234</v>
      </c>
      <c r="D31">
        <v>108.5</v>
      </c>
    </row>
    <row r="32" spans="1:4">
      <c r="A32">
        <v>2007</v>
      </c>
      <c r="B32">
        <v>7</v>
      </c>
      <c r="C32" s="27">
        <f t="shared" si="0"/>
        <v>39264</v>
      </c>
      <c r="D32">
        <v>111.7</v>
      </c>
    </row>
    <row r="33" spans="1:4">
      <c r="A33">
        <v>2007</v>
      </c>
      <c r="B33">
        <v>8</v>
      </c>
      <c r="C33" s="27">
        <f t="shared" si="0"/>
        <v>39295</v>
      </c>
      <c r="D33">
        <v>113.3</v>
      </c>
    </row>
    <row r="34" spans="1:4">
      <c r="A34">
        <v>2007</v>
      </c>
      <c r="B34">
        <v>9</v>
      </c>
      <c r="C34" s="27">
        <f t="shared" si="0"/>
        <v>39326</v>
      </c>
      <c r="D34">
        <v>109.5</v>
      </c>
    </row>
    <row r="35" spans="1:4">
      <c r="A35">
        <v>2007</v>
      </c>
      <c r="B35">
        <v>10</v>
      </c>
      <c r="C35" s="27">
        <f t="shared" si="0"/>
        <v>39356</v>
      </c>
      <c r="D35">
        <v>112.3</v>
      </c>
    </row>
    <row r="36" spans="1:4">
      <c r="A36">
        <v>2007</v>
      </c>
      <c r="B36">
        <v>11</v>
      </c>
      <c r="C36" s="27">
        <f t="shared" si="0"/>
        <v>39387</v>
      </c>
      <c r="D36">
        <v>113.8</v>
      </c>
    </row>
    <row r="37" spans="1:4">
      <c r="A37">
        <v>2007</v>
      </c>
      <c r="B37">
        <v>12</v>
      </c>
      <c r="C37" s="27">
        <f t="shared" si="0"/>
        <v>39417</v>
      </c>
      <c r="D37">
        <v>107.1</v>
      </c>
    </row>
    <row r="38" spans="1:4">
      <c r="A38">
        <v>2008</v>
      </c>
      <c r="B38">
        <v>1</v>
      </c>
      <c r="C38" s="27">
        <f t="shared" si="0"/>
        <v>39448</v>
      </c>
      <c r="D38">
        <v>113.4</v>
      </c>
    </row>
    <row r="39" spans="1:4">
      <c r="A39">
        <v>2008</v>
      </c>
      <c r="B39">
        <v>2</v>
      </c>
      <c r="C39" s="27">
        <f t="shared" si="0"/>
        <v>39479</v>
      </c>
      <c r="D39">
        <v>110.5</v>
      </c>
    </row>
    <row r="40" spans="1:4">
      <c r="A40">
        <v>2008</v>
      </c>
      <c r="B40">
        <v>3</v>
      </c>
      <c r="C40" s="27">
        <f t="shared" si="0"/>
        <v>39508</v>
      </c>
      <c r="D40">
        <v>105.5</v>
      </c>
    </row>
    <row r="41" spans="1:4">
      <c r="A41">
        <v>2008</v>
      </c>
      <c r="B41">
        <v>4</v>
      </c>
      <c r="C41" s="27">
        <f t="shared" si="0"/>
        <v>39539</v>
      </c>
      <c r="D41">
        <v>116.5</v>
      </c>
    </row>
    <row r="42" spans="1:4">
      <c r="A42">
        <v>2008</v>
      </c>
      <c r="B42">
        <v>5</v>
      </c>
      <c r="C42" s="27">
        <f t="shared" si="0"/>
        <v>39569</v>
      </c>
      <c r="D42">
        <v>114.2</v>
      </c>
    </row>
    <row r="43" spans="1:4">
      <c r="A43">
        <v>2008</v>
      </c>
      <c r="B43">
        <v>6</v>
      </c>
      <c r="C43" s="27">
        <f t="shared" si="0"/>
        <v>39600</v>
      </c>
      <c r="D43">
        <v>121.8</v>
      </c>
    </row>
    <row r="44" spans="1:4">
      <c r="A44">
        <v>2008</v>
      </c>
      <c r="B44">
        <v>7</v>
      </c>
      <c r="C44" s="27">
        <f t="shared" si="0"/>
        <v>39630</v>
      </c>
      <c r="D44">
        <v>121.2</v>
      </c>
    </row>
    <row r="45" spans="1:4">
      <c r="A45">
        <v>2008</v>
      </c>
      <c r="B45">
        <v>8</v>
      </c>
      <c r="C45" s="27">
        <f t="shared" si="0"/>
        <v>39661</v>
      </c>
      <c r="D45">
        <v>117.4</v>
      </c>
    </row>
    <row r="46" spans="1:4">
      <c r="A46">
        <v>2008</v>
      </c>
      <c r="B46">
        <v>9</v>
      </c>
      <c r="C46" s="27">
        <f t="shared" si="0"/>
        <v>39692</v>
      </c>
      <c r="D46">
        <v>123.5</v>
      </c>
    </row>
    <row r="47" spans="1:4">
      <c r="A47">
        <v>2008</v>
      </c>
      <c r="B47">
        <v>10</v>
      </c>
      <c r="C47" s="27">
        <f t="shared" si="0"/>
        <v>39722</v>
      </c>
      <c r="D47">
        <v>120.1</v>
      </c>
    </row>
    <row r="48" spans="1:4">
      <c r="A48">
        <v>2008</v>
      </c>
      <c r="B48">
        <v>11</v>
      </c>
      <c r="C48" s="27">
        <f t="shared" si="0"/>
        <v>39753</v>
      </c>
      <c r="D48">
        <v>117.5</v>
      </c>
    </row>
    <row r="49" spans="1:4">
      <c r="A49">
        <v>2008</v>
      </c>
      <c r="B49">
        <v>12</v>
      </c>
      <c r="C49" s="27">
        <f t="shared" si="0"/>
        <v>39783</v>
      </c>
      <c r="D49">
        <v>118.2</v>
      </c>
    </row>
    <row r="50" spans="1:4">
      <c r="A50">
        <v>2009</v>
      </c>
      <c r="B50">
        <v>1</v>
      </c>
      <c r="C50" s="27">
        <f t="shared" si="0"/>
        <v>39814</v>
      </c>
      <c r="D50">
        <v>109</v>
      </c>
    </row>
    <row r="51" spans="1:4">
      <c r="A51">
        <v>2009</v>
      </c>
      <c r="B51">
        <v>2</v>
      </c>
      <c r="C51" s="27">
        <f t="shared" si="0"/>
        <v>39845</v>
      </c>
      <c r="D51">
        <v>109.7</v>
      </c>
    </row>
    <row r="52" spans="1:4">
      <c r="A52">
        <v>2009</v>
      </c>
      <c r="B52">
        <v>3</v>
      </c>
      <c r="C52" s="27">
        <f t="shared" si="0"/>
        <v>39873</v>
      </c>
      <c r="D52">
        <v>106.3</v>
      </c>
    </row>
    <row r="53" spans="1:4">
      <c r="A53">
        <v>2009</v>
      </c>
      <c r="B53">
        <v>4</v>
      </c>
      <c r="C53" s="27">
        <f t="shared" si="0"/>
        <v>39904</v>
      </c>
      <c r="D53">
        <v>117.6</v>
      </c>
    </row>
    <row r="54" spans="1:4">
      <c r="A54">
        <v>2009</v>
      </c>
      <c r="B54">
        <v>5</v>
      </c>
      <c r="C54" s="27">
        <f t="shared" si="0"/>
        <v>39934</v>
      </c>
      <c r="D54">
        <v>112.5</v>
      </c>
    </row>
    <row r="55" spans="1:4">
      <c r="A55">
        <v>2009</v>
      </c>
      <c r="B55">
        <v>6</v>
      </c>
      <c r="C55" s="27">
        <f t="shared" si="0"/>
        <v>39965</v>
      </c>
      <c r="D55">
        <v>123.2</v>
      </c>
    </row>
    <row r="56" spans="1:4">
      <c r="A56">
        <v>2009</v>
      </c>
      <c r="B56">
        <v>7</v>
      </c>
      <c r="C56" s="27">
        <f t="shared" si="0"/>
        <v>39995</v>
      </c>
      <c r="D56">
        <v>119.9</v>
      </c>
    </row>
    <row r="57" spans="1:4">
      <c r="A57">
        <v>2009</v>
      </c>
      <c r="B57">
        <v>8</v>
      </c>
      <c r="C57" s="27">
        <f t="shared" si="0"/>
        <v>40026</v>
      </c>
      <c r="D57">
        <v>129.1</v>
      </c>
    </row>
    <row r="58" spans="1:4">
      <c r="A58">
        <v>2009</v>
      </c>
      <c r="B58">
        <v>9</v>
      </c>
      <c r="C58" s="27">
        <f t="shared" si="0"/>
        <v>40057</v>
      </c>
      <c r="D58">
        <v>172.3</v>
      </c>
    </row>
    <row r="59" spans="1:4">
      <c r="A59">
        <v>2009</v>
      </c>
      <c r="B59">
        <v>10</v>
      </c>
      <c r="C59" s="27">
        <f t="shared" si="0"/>
        <v>40087</v>
      </c>
      <c r="D59">
        <v>171.8</v>
      </c>
    </row>
    <row r="60" spans="1:4">
      <c r="A60">
        <v>2009</v>
      </c>
      <c r="B60">
        <v>11</v>
      </c>
      <c r="C60" s="27">
        <f t="shared" si="0"/>
        <v>40118</v>
      </c>
      <c r="D60">
        <v>167.3</v>
      </c>
    </row>
    <row r="61" spans="1:4">
      <c r="A61">
        <v>2009</v>
      </c>
      <c r="B61">
        <v>12</v>
      </c>
      <c r="C61" s="27">
        <f t="shared" si="0"/>
        <v>40148</v>
      </c>
      <c r="D61">
        <v>169.1</v>
      </c>
    </row>
    <row r="62" spans="1:4">
      <c r="A62">
        <v>2010</v>
      </c>
      <c r="B62">
        <v>1</v>
      </c>
      <c r="C62" s="27">
        <f t="shared" si="0"/>
        <v>40179</v>
      </c>
      <c r="D62">
        <v>163.80000000000001</v>
      </c>
    </row>
    <row r="63" spans="1:4">
      <c r="A63">
        <v>2010</v>
      </c>
      <c r="B63">
        <v>2</v>
      </c>
      <c r="C63" s="27">
        <f t="shared" si="0"/>
        <v>40210</v>
      </c>
      <c r="D63">
        <v>166.3</v>
      </c>
    </row>
    <row r="64" spans="1:4">
      <c r="A64">
        <v>2010</v>
      </c>
      <c r="B64">
        <v>3</v>
      </c>
      <c r="C64" s="27">
        <f t="shared" si="0"/>
        <v>40238</v>
      </c>
      <c r="D64">
        <v>165</v>
      </c>
    </row>
    <row r="65" spans="1:4">
      <c r="A65">
        <v>2010</v>
      </c>
      <c r="B65">
        <v>4</v>
      </c>
      <c r="C65" s="27">
        <f t="shared" si="0"/>
        <v>40269</v>
      </c>
      <c r="D65">
        <v>173.6</v>
      </c>
    </row>
    <row r="66" spans="1:4">
      <c r="A66">
        <v>2010</v>
      </c>
      <c r="B66">
        <v>5</v>
      </c>
      <c r="C66" s="27">
        <f t="shared" si="0"/>
        <v>40299</v>
      </c>
      <c r="D66">
        <v>167.3</v>
      </c>
    </row>
    <row r="67" spans="1:4">
      <c r="A67">
        <v>2010</v>
      </c>
      <c r="B67">
        <v>6</v>
      </c>
      <c r="C67" s="27">
        <f t="shared" ref="C67:C130" si="1">DATE(A67,B67,"1")</f>
        <v>40330</v>
      </c>
      <c r="D67">
        <v>181</v>
      </c>
    </row>
    <row r="68" spans="1:4">
      <c r="A68">
        <v>2010</v>
      </c>
      <c r="B68">
        <v>7</v>
      </c>
      <c r="C68" s="27">
        <f t="shared" si="1"/>
        <v>40360</v>
      </c>
      <c r="D68">
        <v>173.4</v>
      </c>
    </row>
    <row r="69" spans="1:4">
      <c r="A69">
        <v>2010</v>
      </c>
      <c r="B69">
        <v>8</v>
      </c>
      <c r="C69" s="27">
        <f t="shared" si="1"/>
        <v>40391</v>
      </c>
      <c r="D69">
        <v>182.8</v>
      </c>
    </row>
    <row r="70" spans="1:4">
      <c r="A70">
        <v>2010</v>
      </c>
      <c r="B70">
        <v>9</v>
      </c>
      <c r="C70" s="27">
        <f t="shared" si="1"/>
        <v>40422</v>
      </c>
      <c r="D70">
        <v>181.1</v>
      </c>
    </row>
    <row r="71" spans="1:4">
      <c r="A71">
        <v>2010</v>
      </c>
      <c r="B71">
        <v>10</v>
      </c>
      <c r="C71" s="27">
        <f t="shared" si="1"/>
        <v>40452</v>
      </c>
      <c r="D71">
        <v>174.9</v>
      </c>
    </row>
    <row r="72" spans="1:4">
      <c r="A72">
        <v>2010</v>
      </c>
      <c r="B72">
        <v>11</v>
      </c>
      <c r="C72" s="27">
        <f t="shared" si="1"/>
        <v>40483</v>
      </c>
      <c r="D72">
        <v>185.5</v>
      </c>
    </row>
    <row r="73" spans="1:4">
      <c r="A73">
        <v>2010</v>
      </c>
      <c r="B73">
        <v>12</v>
      </c>
      <c r="C73" s="27">
        <f t="shared" si="1"/>
        <v>40513</v>
      </c>
      <c r="D73">
        <v>183.7</v>
      </c>
    </row>
    <row r="74" spans="1:4">
      <c r="A74">
        <v>2011</v>
      </c>
      <c r="B74">
        <v>1</v>
      </c>
      <c r="C74" s="27">
        <f t="shared" si="1"/>
        <v>40544</v>
      </c>
      <c r="D74">
        <v>176.9</v>
      </c>
    </row>
    <row r="75" spans="1:4">
      <c r="A75">
        <v>2011</v>
      </c>
      <c r="B75">
        <v>2</v>
      </c>
      <c r="C75" s="27">
        <f t="shared" si="1"/>
        <v>40575</v>
      </c>
      <c r="D75">
        <v>176.7</v>
      </c>
    </row>
    <row r="76" spans="1:4">
      <c r="A76">
        <v>2011</v>
      </c>
      <c r="B76">
        <v>3</v>
      </c>
      <c r="C76" s="27">
        <f t="shared" si="1"/>
        <v>40603</v>
      </c>
      <c r="D76">
        <v>166.3</v>
      </c>
    </row>
    <row r="77" spans="1:4">
      <c r="A77">
        <v>2011</v>
      </c>
      <c r="B77">
        <v>4</v>
      </c>
      <c r="C77" s="27">
        <f t="shared" si="1"/>
        <v>40634</v>
      </c>
      <c r="D77">
        <v>180.2</v>
      </c>
    </row>
    <row r="78" spans="1:4">
      <c r="A78">
        <v>2011</v>
      </c>
      <c r="B78">
        <v>5</v>
      </c>
      <c r="C78" s="27">
        <f t="shared" si="1"/>
        <v>40664</v>
      </c>
      <c r="D78">
        <v>184</v>
      </c>
    </row>
    <row r="79" spans="1:4">
      <c r="A79">
        <v>2011</v>
      </c>
      <c r="B79">
        <v>6</v>
      </c>
      <c r="C79" s="27">
        <f t="shared" si="1"/>
        <v>40695</v>
      </c>
      <c r="D79">
        <v>195.6</v>
      </c>
    </row>
    <row r="80" spans="1:4">
      <c r="A80">
        <v>2011</v>
      </c>
      <c r="B80">
        <v>7</v>
      </c>
      <c r="C80" s="27">
        <f t="shared" si="1"/>
        <v>40725</v>
      </c>
      <c r="D80">
        <v>186.2</v>
      </c>
    </row>
    <row r="81" spans="1:4">
      <c r="A81">
        <v>2011</v>
      </c>
      <c r="B81">
        <v>8</v>
      </c>
      <c r="C81" s="27">
        <f t="shared" si="1"/>
        <v>40756</v>
      </c>
      <c r="D81">
        <v>201</v>
      </c>
    </row>
    <row r="82" spans="1:4">
      <c r="A82">
        <v>2011</v>
      </c>
      <c r="B82">
        <v>9</v>
      </c>
      <c r="C82" s="27">
        <f t="shared" si="1"/>
        <v>40787</v>
      </c>
      <c r="D82">
        <v>194.1</v>
      </c>
    </row>
    <row r="83" spans="1:4">
      <c r="A83">
        <v>2011</v>
      </c>
      <c r="B83">
        <v>10</v>
      </c>
      <c r="C83" s="27">
        <f t="shared" si="1"/>
        <v>40817</v>
      </c>
      <c r="D83">
        <v>183.9</v>
      </c>
    </row>
    <row r="84" spans="1:4">
      <c r="A84">
        <v>2011</v>
      </c>
      <c r="B84">
        <v>11</v>
      </c>
      <c r="C84" s="27">
        <f t="shared" si="1"/>
        <v>40848</v>
      </c>
      <c r="D84">
        <v>196.5</v>
      </c>
    </row>
    <row r="85" spans="1:4">
      <c r="A85">
        <v>2011</v>
      </c>
      <c r="B85">
        <v>12</v>
      </c>
      <c r="C85" s="27">
        <f t="shared" si="1"/>
        <v>40878</v>
      </c>
      <c r="D85">
        <v>182.8</v>
      </c>
    </row>
    <row r="86" spans="1:4">
      <c r="A86">
        <v>2012</v>
      </c>
      <c r="B86">
        <v>1</v>
      </c>
      <c r="C86" s="27">
        <f t="shared" si="1"/>
        <v>40909</v>
      </c>
      <c r="D86">
        <v>187.8</v>
      </c>
    </row>
    <row r="87" spans="1:4">
      <c r="A87">
        <v>2012</v>
      </c>
      <c r="B87">
        <v>2</v>
      </c>
      <c r="C87" s="27">
        <f t="shared" si="1"/>
        <v>40940</v>
      </c>
      <c r="D87">
        <v>189.8</v>
      </c>
    </row>
    <row r="88" spans="1:4">
      <c r="A88">
        <v>2012</v>
      </c>
      <c r="B88">
        <v>3</v>
      </c>
      <c r="C88" s="27">
        <f t="shared" si="1"/>
        <v>40969</v>
      </c>
      <c r="D88">
        <v>181.3</v>
      </c>
    </row>
    <row r="89" spans="1:4">
      <c r="A89">
        <v>2012</v>
      </c>
      <c r="B89">
        <v>4</v>
      </c>
      <c r="C89" s="27">
        <f t="shared" si="1"/>
        <v>41000</v>
      </c>
      <c r="D89">
        <v>194.9</v>
      </c>
    </row>
    <row r="90" spans="1:4">
      <c r="A90">
        <v>2012</v>
      </c>
      <c r="B90">
        <v>5</v>
      </c>
      <c r="C90" s="27">
        <f t="shared" si="1"/>
        <v>41030</v>
      </c>
      <c r="D90">
        <v>196</v>
      </c>
    </row>
    <row r="91" spans="1:4">
      <c r="A91">
        <v>2012</v>
      </c>
      <c r="B91">
        <v>6</v>
      </c>
      <c r="C91" s="27">
        <f t="shared" si="1"/>
        <v>41061</v>
      </c>
      <c r="D91">
        <v>199.2</v>
      </c>
    </row>
    <row r="92" spans="1:4">
      <c r="A92">
        <v>2012</v>
      </c>
      <c r="B92">
        <v>7</v>
      </c>
      <c r="C92" s="27">
        <f t="shared" si="1"/>
        <v>41091</v>
      </c>
      <c r="D92">
        <v>199.1</v>
      </c>
    </row>
    <row r="93" spans="1:4">
      <c r="A93">
        <v>2012</v>
      </c>
      <c r="B93">
        <v>8</v>
      </c>
      <c r="C93" s="27">
        <f t="shared" si="1"/>
        <v>41122</v>
      </c>
      <c r="D93">
        <v>200.1</v>
      </c>
    </row>
    <row r="94" spans="1:4">
      <c r="A94">
        <v>2012</v>
      </c>
      <c r="B94">
        <v>9</v>
      </c>
      <c r="C94" s="27">
        <f t="shared" si="1"/>
        <v>41153</v>
      </c>
      <c r="D94">
        <v>198.9</v>
      </c>
    </row>
    <row r="95" spans="1:4">
      <c r="A95">
        <v>2012</v>
      </c>
      <c r="B95">
        <v>10</v>
      </c>
      <c r="C95" s="27">
        <f t="shared" si="1"/>
        <v>41183</v>
      </c>
      <c r="D95">
        <v>193.6</v>
      </c>
    </row>
    <row r="96" spans="1:4">
      <c r="A96">
        <v>2012</v>
      </c>
      <c r="B96">
        <v>11</v>
      </c>
      <c r="C96" s="27">
        <f t="shared" si="1"/>
        <v>41214</v>
      </c>
      <c r="D96">
        <v>198.5</v>
      </c>
    </row>
    <row r="97" spans="1:4">
      <c r="A97">
        <v>2012</v>
      </c>
      <c r="B97">
        <v>12</v>
      </c>
      <c r="C97" s="27">
        <f t="shared" si="1"/>
        <v>41244</v>
      </c>
      <c r="D97">
        <v>189.3</v>
      </c>
    </row>
    <row r="98" spans="1:4">
      <c r="A98">
        <v>2013</v>
      </c>
      <c r="B98">
        <v>1</v>
      </c>
      <c r="C98" s="27">
        <f t="shared" si="1"/>
        <v>41275</v>
      </c>
      <c r="D98">
        <v>197.2</v>
      </c>
    </row>
    <row r="99" spans="1:4">
      <c r="A99">
        <v>2013</v>
      </c>
      <c r="B99">
        <v>2</v>
      </c>
      <c r="C99" s="27">
        <f t="shared" si="1"/>
        <v>41306</v>
      </c>
      <c r="D99">
        <v>189.6</v>
      </c>
    </row>
    <row r="100" spans="1:4">
      <c r="A100">
        <v>2013</v>
      </c>
      <c r="B100">
        <v>3</v>
      </c>
      <c r="C100" s="27">
        <f t="shared" si="1"/>
        <v>41334</v>
      </c>
      <c r="D100">
        <v>176.4</v>
      </c>
    </row>
    <row r="101" spans="1:4">
      <c r="A101">
        <v>2013</v>
      </c>
      <c r="B101">
        <v>4</v>
      </c>
      <c r="C101" s="27">
        <f t="shared" si="1"/>
        <v>41365</v>
      </c>
      <c r="D101">
        <v>198.1</v>
      </c>
    </row>
    <row r="102" spans="1:4">
      <c r="A102">
        <v>2013</v>
      </c>
      <c r="B102">
        <v>5</v>
      </c>
      <c r="C102" s="27">
        <f t="shared" si="1"/>
        <v>41395</v>
      </c>
      <c r="D102">
        <v>199.8</v>
      </c>
    </row>
    <row r="103" spans="1:4">
      <c r="A103">
        <v>2013</v>
      </c>
      <c r="B103">
        <v>6</v>
      </c>
      <c r="C103" s="27">
        <f t="shared" si="1"/>
        <v>41426</v>
      </c>
      <c r="D103">
        <v>202.1</v>
      </c>
    </row>
    <row r="104" spans="1:4">
      <c r="A104">
        <v>2013</v>
      </c>
      <c r="B104">
        <v>7</v>
      </c>
      <c r="C104" s="27">
        <f t="shared" si="1"/>
        <v>41456</v>
      </c>
      <c r="D104">
        <v>204.5</v>
      </c>
    </row>
    <row r="105" spans="1:4">
      <c r="A105">
        <v>2013</v>
      </c>
      <c r="B105">
        <v>8</v>
      </c>
      <c r="C105" s="27">
        <f t="shared" si="1"/>
        <v>41487</v>
      </c>
      <c r="D105">
        <v>202.5</v>
      </c>
    </row>
    <row r="106" spans="1:4">
      <c r="A106">
        <v>2013</v>
      </c>
      <c r="B106">
        <v>9</v>
      </c>
      <c r="C106" s="27">
        <f t="shared" si="1"/>
        <v>41518</v>
      </c>
      <c r="D106">
        <v>202.7</v>
      </c>
    </row>
    <row r="107" spans="1:4">
      <c r="A107">
        <v>2013</v>
      </c>
      <c r="B107">
        <v>10</v>
      </c>
      <c r="C107" s="27">
        <f t="shared" si="1"/>
        <v>41548</v>
      </c>
      <c r="D107">
        <v>196.2</v>
      </c>
    </row>
    <row r="108" spans="1:4">
      <c r="A108">
        <v>2013</v>
      </c>
      <c r="B108">
        <v>11</v>
      </c>
      <c r="C108" s="27">
        <f t="shared" si="1"/>
        <v>41579</v>
      </c>
      <c r="D108">
        <v>203.5</v>
      </c>
    </row>
    <row r="109" spans="1:4">
      <c r="A109">
        <v>2013</v>
      </c>
      <c r="B109">
        <v>12</v>
      </c>
      <c r="C109" s="27">
        <f t="shared" si="1"/>
        <v>41609</v>
      </c>
      <c r="D109">
        <v>196.4</v>
      </c>
    </row>
    <row r="110" spans="1:4">
      <c r="A110">
        <v>2014</v>
      </c>
      <c r="B110">
        <v>1</v>
      </c>
      <c r="C110" s="27">
        <f t="shared" si="1"/>
        <v>41640</v>
      </c>
      <c r="D110">
        <v>197.7</v>
      </c>
    </row>
    <row r="111" spans="1:4">
      <c r="A111">
        <v>2014</v>
      </c>
      <c r="B111">
        <v>2</v>
      </c>
      <c r="C111" s="27">
        <f t="shared" si="1"/>
        <v>41671</v>
      </c>
      <c r="D111">
        <v>193</v>
      </c>
    </row>
    <row r="112" spans="1:4">
      <c r="A112">
        <v>2014</v>
      </c>
      <c r="B112">
        <v>3</v>
      </c>
      <c r="C112" s="27">
        <f t="shared" si="1"/>
        <v>41699</v>
      </c>
      <c r="D112">
        <v>180.1</v>
      </c>
    </row>
    <row r="113" spans="1:4">
      <c r="A113">
        <v>2014</v>
      </c>
      <c r="B113">
        <v>4</v>
      </c>
      <c r="C113" s="27">
        <f t="shared" si="1"/>
        <v>41730</v>
      </c>
      <c r="D113">
        <v>203.7</v>
      </c>
    </row>
    <row r="114" spans="1:4">
      <c r="A114">
        <v>2014</v>
      </c>
      <c r="B114">
        <v>5</v>
      </c>
      <c r="C114" s="27">
        <f t="shared" si="1"/>
        <v>41760</v>
      </c>
      <c r="D114">
        <v>202.8</v>
      </c>
    </row>
    <row r="115" spans="1:4">
      <c r="A115">
        <v>2014</v>
      </c>
      <c r="B115">
        <v>6</v>
      </c>
      <c r="C115" s="27">
        <f t="shared" si="1"/>
        <v>41791</v>
      </c>
      <c r="D115">
        <v>209.1</v>
      </c>
    </row>
    <row r="116" spans="1:4">
      <c r="A116">
        <v>2014</v>
      </c>
      <c r="B116">
        <v>7</v>
      </c>
      <c r="C116" s="27">
        <f t="shared" si="1"/>
        <v>41821</v>
      </c>
      <c r="D116">
        <v>208.2</v>
      </c>
    </row>
    <row r="117" spans="1:4">
      <c r="A117">
        <v>2014</v>
      </c>
      <c r="B117">
        <v>8</v>
      </c>
      <c r="C117" s="27">
        <f t="shared" si="1"/>
        <v>41852</v>
      </c>
      <c r="D117">
        <v>214.7</v>
      </c>
    </row>
    <row r="118" spans="1:4">
      <c r="A118">
        <v>2014</v>
      </c>
      <c r="B118">
        <v>9</v>
      </c>
      <c r="C118" s="27">
        <f t="shared" si="1"/>
        <v>41883</v>
      </c>
      <c r="D118">
        <v>210.1</v>
      </c>
    </row>
    <row r="119" spans="1:4">
      <c r="A119">
        <v>2014</v>
      </c>
      <c r="B119">
        <v>10</v>
      </c>
      <c r="C119" s="27">
        <f t="shared" si="1"/>
        <v>41913</v>
      </c>
      <c r="D119">
        <v>206.9</v>
      </c>
    </row>
    <row r="120" spans="1:4">
      <c r="A120">
        <v>2014</v>
      </c>
      <c r="B120">
        <v>11</v>
      </c>
      <c r="C120" s="27">
        <f t="shared" si="1"/>
        <v>41944</v>
      </c>
      <c r="D120">
        <v>210.4</v>
      </c>
    </row>
    <row r="121" spans="1:4">
      <c r="A121">
        <v>2014</v>
      </c>
      <c r="B121">
        <v>12</v>
      </c>
      <c r="C121" s="27">
        <f t="shared" si="1"/>
        <v>41974</v>
      </c>
      <c r="D121">
        <v>204.4</v>
      </c>
    </row>
    <row r="122" spans="1:4">
      <c r="A122">
        <v>2015</v>
      </c>
      <c r="B122">
        <v>1</v>
      </c>
      <c r="C122" s="27">
        <f t="shared" si="1"/>
        <v>42005</v>
      </c>
      <c r="D122">
        <v>203.9</v>
      </c>
    </row>
    <row r="123" spans="1:4">
      <c r="A123">
        <v>2015</v>
      </c>
      <c r="B123">
        <v>2</v>
      </c>
      <c r="C123" s="27">
        <f t="shared" si="1"/>
        <v>42036</v>
      </c>
      <c r="D123">
        <v>199.1</v>
      </c>
    </row>
    <row r="124" spans="1:4">
      <c r="A124">
        <v>2015</v>
      </c>
      <c r="B124">
        <v>3</v>
      </c>
      <c r="C124" s="27">
        <f t="shared" si="1"/>
        <v>42064</v>
      </c>
      <c r="D124">
        <v>183.1</v>
      </c>
    </row>
    <row r="125" spans="1:4">
      <c r="A125">
        <v>2015</v>
      </c>
      <c r="B125">
        <v>4</v>
      </c>
      <c r="C125" s="27">
        <f t="shared" si="1"/>
        <v>42095</v>
      </c>
      <c r="D125">
        <v>206.2</v>
      </c>
    </row>
    <row r="126" spans="1:4">
      <c r="A126">
        <v>2015</v>
      </c>
      <c r="B126">
        <v>5</v>
      </c>
      <c r="C126" s="27">
        <f t="shared" si="1"/>
        <v>42125</v>
      </c>
      <c r="D126">
        <v>204</v>
      </c>
    </row>
    <row r="127" spans="1:4">
      <c r="A127">
        <v>2015</v>
      </c>
      <c r="B127">
        <v>6</v>
      </c>
      <c r="C127" s="27">
        <f t="shared" si="1"/>
        <v>42156</v>
      </c>
      <c r="D127">
        <v>207.7</v>
      </c>
    </row>
    <row r="128" spans="1:4">
      <c r="A128">
        <v>2015</v>
      </c>
      <c r="B128">
        <v>7</v>
      </c>
      <c r="C128" s="27">
        <f t="shared" si="1"/>
        <v>42186</v>
      </c>
      <c r="D128">
        <v>204.9</v>
      </c>
    </row>
    <row r="129" spans="1:4">
      <c r="A129">
        <v>2015</v>
      </c>
      <c r="B129">
        <v>8</v>
      </c>
      <c r="C129" s="27">
        <f t="shared" si="1"/>
        <v>42217</v>
      </c>
      <c r="D129">
        <v>210</v>
      </c>
    </row>
    <row r="130" spans="1:4">
      <c r="A130">
        <v>2015</v>
      </c>
      <c r="B130">
        <v>9</v>
      </c>
      <c r="C130" s="27">
        <f t="shared" si="1"/>
        <v>42248</v>
      </c>
      <c r="D130">
        <v>206.7</v>
      </c>
    </row>
    <row r="131" spans="1:4">
      <c r="A131">
        <v>2015</v>
      </c>
      <c r="B131">
        <v>10</v>
      </c>
      <c r="C131" s="27">
        <f t="shared" ref="C131:C157" si="2">DATE(A131,B131,"1")</f>
        <v>42278</v>
      </c>
      <c r="D131">
        <v>202.5</v>
      </c>
    </row>
    <row r="132" spans="1:4">
      <c r="A132">
        <v>2015</v>
      </c>
      <c r="B132">
        <v>11</v>
      </c>
      <c r="C132" s="27">
        <f t="shared" si="2"/>
        <v>42309</v>
      </c>
      <c r="D132">
        <v>211.1</v>
      </c>
    </row>
    <row r="133" spans="1:4">
      <c r="A133">
        <v>2015</v>
      </c>
      <c r="B133">
        <v>12</v>
      </c>
      <c r="C133" s="27">
        <f t="shared" si="2"/>
        <v>42339</v>
      </c>
      <c r="D133">
        <v>205.6</v>
      </c>
    </row>
    <row r="134" spans="1:4">
      <c r="A134">
        <v>2016</v>
      </c>
      <c r="B134">
        <v>1</v>
      </c>
      <c r="C134" s="27">
        <f t="shared" si="2"/>
        <v>42370</v>
      </c>
      <c r="D134">
        <v>214.4</v>
      </c>
    </row>
    <row r="135" spans="1:4">
      <c r="A135">
        <v>2016</v>
      </c>
      <c r="B135">
        <v>2</v>
      </c>
      <c r="C135" s="27">
        <f t="shared" si="2"/>
        <v>42401</v>
      </c>
      <c r="D135">
        <v>214.9</v>
      </c>
    </row>
    <row r="136" spans="1:4">
      <c r="A136">
        <v>2016</v>
      </c>
      <c r="B136">
        <v>3</v>
      </c>
      <c r="C136" s="27">
        <f t="shared" si="2"/>
        <v>42430</v>
      </c>
      <c r="D136">
        <v>203.6</v>
      </c>
    </row>
    <row r="137" spans="1:4">
      <c r="A137">
        <v>2016</v>
      </c>
      <c r="B137">
        <v>4</v>
      </c>
      <c r="C137" s="27">
        <f t="shared" si="2"/>
        <v>42461</v>
      </c>
      <c r="D137">
        <v>221.9</v>
      </c>
    </row>
    <row r="138" spans="1:4">
      <c r="A138">
        <v>2016</v>
      </c>
      <c r="B138">
        <v>5</v>
      </c>
      <c r="C138" s="27">
        <f t="shared" si="2"/>
        <v>42491</v>
      </c>
      <c r="D138">
        <v>220.3</v>
      </c>
    </row>
    <row r="139" spans="1:4">
      <c r="A139">
        <v>2016</v>
      </c>
      <c r="B139">
        <v>6</v>
      </c>
      <c r="C139" s="27">
        <f t="shared" si="2"/>
        <v>42522</v>
      </c>
      <c r="D139">
        <v>228.4</v>
      </c>
    </row>
    <row r="140" spans="1:4">
      <c r="A140">
        <v>2016</v>
      </c>
      <c r="B140">
        <v>7</v>
      </c>
      <c r="C140" s="27">
        <f t="shared" si="2"/>
        <v>42552</v>
      </c>
      <c r="D140">
        <v>217.7</v>
      </c>
    </row>
    <row r="141" spans="1:4">
      <c r="A141">
        <v>2016</v>
      </c>
      <c r="B141">
        <v>8</v>
      </c>
      <c r="C141" s="27">
        <f t="shared" si="2"/>
        <v>42583</v>
      </c>
      <c r="D141">
        <v>226.7</v>
      </c>
    </row>
    <row r="142" spans="1:4">
      <c r="A142">
        <v>2016</v>
      </c>
      <c r="B142">
        <v>9</v>
      </c>
      <c r="C142" s="27">
        <f t="shared" si="2"/>
        <v>42614</v>
      </c>
      <c r="D142">
        <v>218.6</v>
      </c>
    </row>
    <row r="143" spans="1:4">
      <c r="A143">
        <v>2016</v>
      </c>
      <c r="B143">
        <v>10</v>
      </c>
      <c r="C143" s="27">
        <f t="shared" si="2"/>
        <v>42644</v>
      </c>
      <c r="D143">
        <v>220.4</v>
      </c>
    </row>
    <row r="144" spans="1:4">
      <c r="A144">
        <v>2016</v>
      </c>
      <c r="B144">
        <v>11</v>
      </c>
      <c r="C144" s="27">
        <f t="shared" si="2"/>
        <v>42675</v>
      </c>
      <c r="D144">
        <v>233.8</v>
      </c>
    </row>
    <row r="145" spans="1:4">
      <c r="A145">
        <v>2016</v>
      </c>
      <c r="B145">
        <v>12</v>
      </c>
      <c r="C145" s="27">
        <f t="shared" si="2"/>
        <v>42705</v>
      </c>
      <c r="D145">
        <v>217.1</v>
      </c>
    </row>
    <row r="146" spans="1:4">
      <c r="A146">
        <v>2017</v>
      </c>
      <c r="B146">
        <v>1</v>
      </c>
      <c r="C146" s="27">
        <f t="shared" si="2"/>
        <v>42736</v>
      </c>
      <c r="D146">
        <v>226.1</v>
      </c>
    </row>
    <row r="147" spans="1:4">
      <c r="A147">
        <v>2017</v>
      </c>
      <c r="B147">
        <v>2</v>
      </c>
      <c r="C147" s="27">
        <f t="shared" si="2"/>
        <v>42767</v>
      </c>
      <c r="D147">
        <v>222.6</v>
      </c>
    </row>
    <row r="148" spans="1:4">
      <c r="A148">
        <v>2017</v>
      </c>
      <c r="B148">
        <v>3</v>
      </c>
      <c r="C148" s="27">
        <f t="shared" si="2"/>
        <v>42795</v>
      </c>
      <c r="D148">
        <v>209.7</v>
      </c>
    </row>
    <row r="149" spans="1:4">
      <c r="A149">
        <v>2017</v>
      </c>
      <c r="B149">
        <v>4</v>
      </c>
      <c r="C149" s="27">
        <f t="shared" si="2"/>
        <v>42826</v>
      </c>
      <c r="D149">
        <v>220.9</v>
      </c>
    </row>
    <row r="150" spans="1:4">
      <c r="A150">
        <v>2017</v>
      </c>
      <c r="B150">
        <v>5</v>
      </c>
      <c r="C150" s="27">
        <f t="shared" si="2"/>
        <v>42856</v>
      </c>
      <c r="D150">
        <v>230</v>
      </c>
    </row>
    <row r="151" spans="1:4">
      <c r="A151">
        <v>2017</v>
      </c>
      <c r="B151">
        <v>6</v>
      </c>
      <c r="C151" s="27">
        <f t="shared" si="2"/>
        <v>42887</v>
      </c>
      <c r="D151">
        <v>228.9</v>
      </c>
    </row>
    <row r="152" spans="1:4">
      <c r="A152">
        <v>2017</v>
      </c>
      <c r="B152">
        <v>7</v>
      </c>
      <c r="C152" s="27">
        <f t="shared" si="2"/>
        <v>42917</v>
      </c>
      <c r="D152">
        <v>232.2</v>
      </c>
    </row>
    <row r="153" spans="1:4">
      <c r="A153">
        <v>2017</v>
      </c>
      <c r="B153">
        <v>8</v>
      </c>
      <c r="C153" s="27">
        <f t="shared" si="2"/>
        <v>42948</v>
      </c>
      <c r="D153">
        <v>242.1</v>
      </c>
    </row>
    <row r="154" spans="1:4">
      <c r="A154">
        <v>2017</v>
      </c>
      <c r="B154">
        <v>9</v>
      </c>
      <c r="C154" s="27">
        <f t="shared" si="2"/>
        <v>42979</v>
      </c>
      <c r="D154">
        <v>231.9</v>
      </c>
    </row>
    <row r="155" spans="1:4">
      <c r="A155">
        <v>2017</v>
      </c>
      <c r="B155">
        <v>10</v>
      </c>
      <c r="C155" s="27">
        <f t="shared" si="2"/>
        <v>43009</v>
      </c>
      <c r="D155">
        <v>235</v>
      </c>
    </row>
    <row r="156" spans="1:4">
      <c r="A156">
        <v>2017</v>
      </c>
      <c r="B156">
        <v>11</v>
      </c>
      <c r="C156" s="27">
        <f t="shared" si="2"/>
        <v>43040</v>
      </c>
      <c r="D156">
        <v>247</v>
      </c>
    </row>
    <row r="157" spans="1:4">
      <c r="A157">
        <v>2017</v>
      </c>
      <c r="B157">
        <v>12</v>
      </c>
      <c r="C157" s="27">
        <f t="shared" si="2"/>
        <v>43070</v>
      </c>
      <c r="D157">
        <v>241.5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097AF-2A74-6846-A9E9-830C170F5CFC}">
  <sheetPr codeName="Sheet4"/>
  <dimension ref="A1:B156"/>
  <sheetViews>
    <sheetView workbookViewId="0"/>
  </sheetViews>
  <sheetFormatPr baseColWidth="10" defaultRowHeight="16"/>
  <sheetData>
    <row r="1" spans="1:2">
      <c r="A1" s="13" t="s">
        <v>14</v>
      </c>
      <c r="B1" s="5" t="s">
        <v>15</v>
      </c>
    </row>
    <row r="2" spans="1:2">
      <c r="A2" s="14">
        <v>1</v>
      </c>
      <c r="B2" s="10">
        <v>95.7</v>
      </c>
    </row>
    <row r="3" spans="1:2">
      <c r="A3" s="15">
        <v>2</v>
      </c>
      <c r="B3" s="11">
        <v>93.8</v>
      </c>
    </row>
    <row r="4" spans="1:2">
      <c r="A4" s="15">
        <v>3</v>
      </c>
      <c r="B4" s="11">
        <v>99.4</v>
      </c>
    </row>
    <row r="5" spans="1:2">
      <c r="A5" s="15">
        <v>4</v>
      </c>
      <c r="B5" s="11">
        <v>100</v>
      </c>
    </row>
    <row r="6" spans="1:2">
      <c r="A6" s="15">
        <v>5</v>
      </c>
      <c r="B6" s="11">
        <v>105.6</v>
      </c>
    </row>
    <row r="7" spans="1:2">
      <c r="A7" s="15">
        <v>6</v>
      </c>
      <c r="B7" s="11">
        <v>99.4</v>
      </c>
    </row>
    <row r="8" spans="1:2">
      <c r="A8" s="15">
        <v>7</v>
      </c>
      <c r="B8" s="11">
        <v>106.3</v>
      </c>
    </row>
    <row r="9" spans="1:2">
      <c r="A9" s="15">
        <v>8</v>
      </c>
      <c r="B9" s="11">
        <v>104.2</v>
      </c>
    </row>
    <row r="10" spans="1:2">
      <c r="A10" s="15">
        <v>9</v>
      </c>
      <c r="B10" s="11">
        <v>99.5</v>
      </c>
    </row>
    <row r="11" spans="1:2">
      <c r="A11" s="15">
        <v>10</v>
      </c>
      <c r="B11" s="11">
        <v>105.7</v>
      </c>
    </row>
    <row r="12" spans="1:2">
      <c r="A12" s="15">
        <v>11</v>
      </c>
      <c r="B12" s="11">
        <v>97.1</v>
      </c>
    </row>
    <row r="13" spans="1:2">
      <c r="A13" s="15">
        <v>12</v>
      </c>
      <c r="B13" s="11">
        <v>101.4</v>
      </c>
    </row>
    <row r="14" spans="1:2">
      <c r="A14" s="15">
        <v>13</v>
      </c>
      <c r="B14" s="11">
        <v>97.7</v>
      </c>
    </row>
    <row r="15" spans="1:2">
      <c r="A15" s="15">
        <v>14</v>
      </c>
      <c r="B15" s="11">
        <v>95.8</v>
      </c>
    </row>
    <row r="16" spans="1:2">
      <c r="A16" s="15">
        <v>15</v>
      </c>
      <c r="B16" s="11">
        <v>103</v>
      </c>
    </row>
    <row r="17" spans="1:2">
      <c r="A17" s="15">
        <v>16</v>
      </c>
      <c r="B17" s="11">
        <v>105</v>
      </c>
    </row>
    <row r="18" spans="1:2">
      <c r="A18" s="15">
        <v>17</v>
      </c>
      <c r="B18" s="11">
        <v>106.5</v>
      </c>
    </row>
    <row r="19" spans="1:2">
      <c r="A19" s="15">
        <v>18</v>
      </c>
      <c r="B19" s="11">
        <v>102</v>
      </c>
    </row>
    <row r="20" spans="1:2">
      <c r="A20" s="15">
        <v>19</v>
      </c>
      <c r="B20" s="11">
        <v>110.5</v>
      </c>
    </row>
    <row r="21" spans="1:2">
      <c r="A21" s="15">
        <v>20</v>
      </c>
      <c r="B21" s="11">
        <v>105.5</v>
      </c>
    </row>
    <row r="22" spans="1:2">
      <c r="A22" s="15">
        <v>21</v>
      </c>
      <c r="B22" s="11">
        <v>106.2</v>
      </c>
    </row>
    <row r="23" spans="1:2">
      <c r="A23" s="15">
        <v>22</v>
      </c>
      <c r="B23" s="11">
        <v>110</v>
      </c>
    </row>
    <row r="24" spans="1:2">
      <c r="A24" s="15">
        <v>23</v>
      </c>
      <c r="B24" s="11">
        <v>101.9</v>
      </c>
    </row>
    <row r="25" spans="1:2">
      <c r="A25" s="15">
        <v>24</v>
      </c>
      <c r="B25" s="11">
        <v>107.5</v>
      </c>
    </row>
    <row r="26" spans="1:2">
      <c r="A26" s="15">
        <v>25</v>
      </c>
      <c r="B26" s="11">
        <v>99.7</v>
      </c>
    </row>
    <row r="27" spans="1:2">
      <c r="A27" s="15">
        <v>26</v>
      </c>
      <c r="B27" s="11">
        <v>101.9</v>
      </c>
    </row>
    <row r="28" spans="1:2">
      <c r="A28" s="15">
        <v>27</v>
      </c>
      <c r="B28" s="11">
        <v>106.4</v>
      </c>
    </row>
    <row r="29" spans="1:2">
      <c r="A29" s="15">
        <v>28</v>
      </c>
      <c r="B29" s="11">
        <v>108.5</v>
      </c>
    </row>
    <row r="30" spans="1:2">
      <c r="A30" s="15">
        <v>29</v>
      </c>
      <c r="B30" s="11">
        <v>108.5</v>
      </c>
    </row>
    <row r="31" spans="1:2">
      <c r="A31" s="15">
        <v>30</v>
      </c>
      <c r="B31" s="11">
        <v>111.7</v>
      </c>
    </row>
    <row r="32" spans="1:2">
      <c r="A32" s="15">
        <v>31</v>
      </c>
      <c r="B32" s="11">
        <v>113.3</v>
      </c>
    </row>
    <row r="33" spans="1:2">
      <c r="A33" s="15">
        <v>32</v>
      </c>
      <c r="B33" s="11">
        <v>109.5</v>
      </c>
    </row>
    <row r="34" spans="1:2">
      <c r="A34" s="15">
        <v>33</v>
      </c>
      <c r="B34" s="11">
        <v>112.3</v>
      </c>
    </row>
    <row r="35" spans="1:2">
      <c r="A35" s="15">
        <v>34</v>
      </c>
      <c r="B35" s="11">
        <v>113.8</v>
      </c>
    </row>
    <row r="36" spans="1:2">
      <c r="A36" s="15">
        <v>35</v>
      </c>
      <c r="B36" s="11">
        <v>107.1</v>
      </c>
    </row>
    <row r="37" spans="1:2">
      <c r="A37" s="15">
        <v>36</v>
      </c>
      <c r="B37" s="11">
        <v>113.4</v>
      </c>
    </row>
    <row r="38" spans="1:2">
      <c r="A38" s="15">
        <v>37</v>
      </c>
      <c r="B38" s="11">
        <v>110.5</v>
      </c>
    </row>
    <row r="39" spans="1:2">
      <c r="A39" s="15">
        <v>38</v>
      </c>
      <c r="B39" s="11">
        <v>105.5</v>
      </c>
    </row>
    <row r="40" spans="1:2">
      <c r="A40" s="15">
        <v>39</v>
      </c>
      <c r="B40" s="11">
        <v>116.5</v>
      </c>
    </row>
    <row r="41" spans="1:2">
      <c r="A41" s="15">
        <v>40</v>
      </c>
      <c r="B41" s="11">
        <v>114.2</v>
      </c>
    </row>
    <row r="42" spans="1:2">
      <c r="A42" s="15">
        <v>41</v>
      </c>
      <c r="B42" s="11">
        <v>121.8</v>
      </c>
    </row>
    <row r="43" spans="1:2">
      <c r="A43" s="15">
        <v>42</v>
      </c>
      <c r="B43" s="11">
        <v>121.2</v>
      </c>
    </row>
    <row r="44" spans="1:2">
      <c r="A44" s="15">
        <v>43</v>
      </c>
      <c r="B44" s="11">
        <v>117.4</v>
      </c>
    </row>
    <row r="45" spans="1:2">
      <c r="A45" s="15">
        <v>44</v>
      </c>
      <c r="B45" s="11">
        <v>123.5</v>
      </c>
    </row>
    <row r="46" spans="1:2">
      <c r="A46" s="15">
        <v>45</v>
      </c>
      <c r="B46" s="11">
        <v>120.1</v>
      </c>
    </row>
    <row r="47" spans="1:2">
      <c r="A47" s="15">
        <v>46</v>
      </c>
      <c r="B47" s="11">
        <v>117.5</v>
      </c>
    </row>
    <row r="48" spans="1:2">
      <c r="A48" s="15">
        <v>47</v>
      </c>
      <c r="B48" s="11">
        <v>118.2</v>
      </c>
    </row>
    <row r="49" spans="1:2">
      <c r="A49" s="15">
        <v>48</v>
      </c>
      <c r="B49" s="11">
        <v>109</v>
      </c>
    </row>
    <row r="50" spans="1:2">
      <c r="A50" s="15">
        <v>49</v>
      </c>
      <c r="B50" s="11">
        <v>109.7</v>
      </c>
    </row>
    <row r="51" spans="1:2">
      <c r="A51" s="15">
        <v>50</v>
      </c>
      <c r="B51" s="11">
        <v>106.3</v>
      </c>
    </row>
    <row r="52" spans="1:2">
      <c r="A52" s="15">
        <v>51</v>
      </c>
      <c r="B52" s="11">
        <v>117.6</v>
      </c>
    </row>
    <row r="53" spans="1:2">
      <c r="A53" s="15">
        <v>52</v>
      </c>
      <c r="B53" s="11">
        <v>112.5</v>
      </c>
    </row>
    <row r="54" spans="1:2">
      <c r="A54" s="15">
        <v>53</v>
      </c>
      <c r="B54" s="11">
        <v>123.2</v>
      </c>
    </row>
    <row r="55" spans="1:2">
      <c r="A55" s="15">
        <v>54</v>
      </c>
      <c r="B55" s="11">
        <v>119.9</v>
      </c>
    </row>
    <row r="56" spans="1:2">
      <c r="A56" s="15">
        <v>55</v>
      </c>
      <c r="B56" s="11">
        <v>129.1</v>
      </c>
    </row>
    <row r="57" spans="1:2">
      <c r="A57" s="15">
        <v>56</v>
      </c>
      <c r="B57" s="11">
        <v>172.3</v>
      </c>
    </row>
    <row r="58" spans="1:2">
      <c r="A58" s="15">
        <v>57</v>
      </c>
      <c r="B58" s="11">
        <v>171.8</v>
      </c>
    </row>
    <row r="59" spans="1:2">
      <c r="A59" s="15">
        <v>58</v>
      </c>
      <c r="B59" s="11">
        <v>167.3</v>
      </c>
    </row>
    <row r="60" spans="1:2">
      <c r="A60" s="15">
        <v>59</v>
      </c>
      <c r="B60" s="11">
        <v>169.1</v>
      </c>
    </row>
    <row r="61" spans="1:2">
      <c r="A61" s="15">
        <v>60</v>
      </c>
      <c r="B61" s="11">
        <v>163.80000000000001</v>
      </c>
    </row>
    <row r="62" spans="1:2">
      <c r="A62" s="15">
        <v>61</v>
      </c>
      <c r="B62" s="11">
        <v>166.3</v>
      </c>
    </row>
    <row r="63" spans="1:2">
      <c r="A63" s="15">
        <v>62</v>
      </c>
      <c r="B63" s="11">
        <v>165</v>
      </c>
    </row>
    <row r="64" spans="1:2">
      <c r="A64" s="15">
        <v>63</v>
      </c>
      <c r="B64" s="11">
        <v>173.6</v>
      </c>
    </row>
    <row r="65" spans="1:2">
      <c r="A65" s="15">
        <v>64</v>
      </c>
      <c r="B65" s="11">
        <v>167.3</v>
      </c>
    </row>
    <row r="66" spans="1:2">
      <c r="A66" s="15">
        <v>65</v>
      </c>
      <c r="B66" s="11">
        <v>181</v>
      </c>
    </row>
    <row r="67" spans="1:2">
      <c r="A67" s="15">
        <v>66</v>
      </c>
      <c r="B67" s="11">
        <v>173.4</v>
      </c>
    </row>
    <row r="68" spans="1:2">
      <c r="A68" s="15">
        <v>67</v>
      </c>
      <c r="B68" s="11">
        <v>182.8</v>
      </c>
    </row>
    <row r="69" spans="1:2">
      <c r="A69" s="15">
        <v>68</v>
      </c>
      <c r="B69" s="11">
        <v>181.1</v>
      </c>
    </row>
    <row r="70" spans="1:2">
      <c r="A70" s="15">
        <v>69</v>
      </c>
      <c r="B70" s="11">
        <v>174.9</v>
      </c>
    </row>
    <row r="71" spans="1:2">
      <c r="A71" s="15">
        <v>70</v>
      </c>
      <c r="B71" s="11">
        <v>185.5</v>
      </c>
    </row>
    <row r="72" spans="1:2">
      <c r="A72" s="15">
        <v>71</v>
      </c>
      <c r="B72" s="11">
        <v>183.7</v>
      </c>
    </row>
    <row r="73" spans="1:2">
      <c r="A73" s="15">
        <v>72</v>
      </c>
      <c r="B73" s="11">
        <v>176.9</v>
      </c>
    </row>
    <row r="74" spans="1:2">
      <c r="A74" s="15">
        <v>73</v>
      </c>
      <c r="B74" s="11">
        <v>176.7</v>
      </c>
    </row>
    <row r="75" spans="1:2">
      <c r="A75" s="15">
        <v>74</v>
      </c>
      <c r="B75" s="11">
        <v>166.3</v>
      </c>
    </row>
    <row r="76" spans="1:2">
      <c r="A76" s="15">
        <v>75</v>
      </c>
      <c r="B76" s="11">
        <v>180.2</v>
      </c>
    </row>
    <row r="77" spans="1:2">
      <c r="A77" s="15">
        <v>76</v>
      </c>
      <c r="B77" s="11">
        <v>184</v>
      </c>
    </row>
    <row r="78" spans="1:2">
      <c r="A78" s="15">
        <v>77</v>
      </c>
      <c r="B78" s="11">
        <v>195.6</v>
      </c>
    </row>
    <row r="79" spans="1:2">
      <c r="A79" s="15">
        <v>78</v>
      </c>
      <c r="B79" s="11">
        <v>186.2</v>
      </c>
    </row>
    <row r="80" spans="1:2">
      <c r="A80" s="15">
        <v>79</v>
      </c>
      <c r="B80" s="11">
        <v>201</v>
      </c>
    </row>
    <row r="81" spans="1:2">
      <c r="A81" s="15">
        <v>80</v>
      </c>
      <c r="B81" s="11">
        <v>194.1</v>
      </c>
    </row>
    <row r="82" spans="1:2">
      <c r="A82" s="15">
        <v>81</v>
      </c>
      <c r="B82" s="11">
        <v>183.9</v>
      </c>
    </row>
    <row r="83" spans="1:2">
      <c r="A83" s="15">
        <v>82</v>
      </c>
      <c r="B83" s="11">
        <v>196.5</v>
      </c>
    </row>
    <row r="84" spans="1:2">
      <c r="A84" s="15">
        <v>83</v>
      </c>
      <c r="B84" s="11">
        <v>182.8</v>
      </c>
    </row>
    <row r="85" spans="1:2">
      <c r="A85" s="15">
        <v>84</v>
      </c>
      <c r="B85" s="11">
        <v>187.8</v>
      </c>
    </row>
    <row r="86" spans="1:2">
      <c r="A86" s="15">
        <v>85</v>
      </c>
      <c r="B86" s="11">
        <v>189.8</v>
      </c>
    </row>
    <row r="87" spans="1:2">
      <c r="A87" s="15">
        <v>86</v>
      </c>
      <c r="B87" s="11">
        <v>181.3</v>
      </c>
    </row>
    <row r="88" spans="1:2">
      <c r="A88" s="15">
        <v>87</v>
      </c>
      <c r="B88" s="11">
        <v>194.9</v>
      </c>
    </row>
    <row r="89" spans="1:2">
      <c r="A89" s="15">
        <v>88</v>
      </c>
      <c r="B89" s="11">
        <v>196</v>
      </c>
    </row>
    <row r="90" spans="1:2">
      <c r="A90" s="15">
        <v>89</v>
      </c>
      <c r="B90" s="11">
        <v>199.2</v>
      </c>
    </row>
    <row r="91" spans="1:2">
      <c r="A91" s="15">
        <v>90</v>
      </c>
      <c r="B91" s="11">
        <v>199.1</v>
      </c>
    </row>
    <row r="92" spans="1:2">
      <c r="A92" s="15">
        <v>91</v>
      </c>
      <c r="B92" s="11">
        <v>200.1</v>
      </c>
    </row>
    <row r="93" spans="1:2">
      <c r="A93" s="15">
        <v>92</v>
      </c>
      <c r="B93" s="11">
        <v>198.9</v>
      </c>
    </row>
    <row r="94" spans="1:2">
      <c r="A94" s="15">
        <v>93</v>
      </c>
      <c r="B94" s="11">
        <v>193.6</v>
      </c>
    </row>
    <row r="95" spans="1:2">
      <c r="A95" s="15">
        <v>94</v>
      </c>
      <c r="B95" s="11">
        <v>198.5</v>
      </c>
    </row>
    <row r="96" spans="1:2">
      <c r="A96" s="15">
        <v>95</v>
      </c>
      <c r="B96" s="11">
        <v>189.3</v>
      </c>
    </row>
    <row r="97" spans="1:2">
      <c r="A97" s="15">
        <v>96</v>
      </c>
      <c r="B97" s="11">
        <v>197.2</v>
      </c>
    </row>
    <row r="98" spans="1:2">
      <c r="A98" s="15">
        <v>97</v>
      </c>
      <c r="B98" s="11">
        <v>189.6</v>
      </c>
    </row>
    <row r="99" spans="1:2">
      <c r="A99" s="15">
        <v>98</v>
      </c>
      <c r="B99" s="11">
        <v>176.4</v>
      </c>
    </row>
    <row r="100" spans="1:2">
      <c r="A100" s="15">
        <v>99</v>
      </c>
      <c r="B100" s="11">
        <v>198.1</v>
      </c>
    </row>
    <row r="101" spans="1:2">
      <c r="A101" s="15">
        <v>100</v>
      </c>
      <c r="B101" s="11">
        <v>199.8</v>
      </c>
    </row>
    <row r="102" spans="1:2">
      <c r="A102" s="15">
        <v>101</v>
      </c>
      <c r="B102" s="11">
        <v>202.1</v>
      </c>
    </row>
    <row r="103" spans="1:2">
      <c r="A103" s="15">
        <v>102</v>
      </c>
      <c r="B103" s="11">
        <v>204.5</v>
      </c>
    </row>
    <row r="104" spans="1:2">
      <c r="A104" s="15">
        <v>103</v>
      </c>
      <c r="B104" s="11">
        <v>202.5</v>
      </c>
    </row>
    <row r="105" spans="1:2">
      <c r="A105" s="15">
        <v>104</v>
      </c>
      <c r="B105" s="11">
        <v>202.7</v>
      </c>
    </row>
    <row r="106" spans="1:2">
      <c r="A106" s="15">
        <v>105</v>
      </c>
      <c r="B106" s="11">
        <v>196.2</v>
      </c>
    </row>
    <row r="107" spans="1:2">
      <c r="A107" s="15">
        <v>106</v>
      </c>
      <c r="B107" s="11">
        <v>203.5</v>
      </c>
    </row>
    <row r="108" spans="1:2">
      <c r="A108" s="15">
        <v>107</v>
      </c>
      <c r="B108" s="11">
        <v>196.4</v>
      </c>
    </row>
    <row r="109" spans="1:2">
      <c r="A109" s="15">
        <v>108</v>
      </c>
      <c r="B109" s="11">
        <v>197.7</v>
      </c>
    </row>
    <row r="110" spans="1:2">
      <c r="A110" s="15">
        <v>109</v>
      </c>
      <c r="B110" s="11">
        <v>193</v>
      </c>
    </row>
    <row r="111" spans="1:2">
      <c r="A111" s="15">
        <v>110</v>
      </c>
      <c r="B111" s="11">
        <v>180.1</v>
      </c>
    </row>
    <row r="112" spans="1:2">
      <c r="A112" s="15">
        <v>111</v>
      </c>
      <c r="B112" s="11">
        <v>203.7</v>
      </c>
    </row>
    <row r="113" spans="1:2">
      <c r="A113" s="15">
        <v>112</v>
      </c>
      <c r="B113" s="11">
        <v>202.8</v>
      </c>
    </row>
    <row r="114" spans="1:2">
      <c r="A114" s="15">
        <v>113</v>
      </c>
      <c r="B114" s="11">
        <v>209.1</v>
      </c>
    </row>
    <row r="115" spans="1:2">
      <c r="A115" s="15">
        <v>114</v>
      </c>
      <c r="B115" s="11">
        <v>208.2</v>
      </c>
    </row>
    <row r="116" spans="1:2">
      <c r="A116" s="15">
        <v>115</v>
      </c>
      <c r="B116" s="11">
        <v>214.7</v>
      </c>
    </row>
    <row r="117" spans="1:2">
      <c r="A117" s="15">
        <v>116</v>
      </c>
      <c r="B117" s="11">
        <v>210.1</v>
      </c>
    </row>
    <row r="118" spans="1:2">
      <c r="A118" s="15">
        <v>117</v>
      </c>
      <c r="B118" s="11">
        <v>206.9</v>
      </c>
    </row>
    <row r="119" spans="1:2">
      <c r="A119" s="15">
        <v>118</v>
      </c>
      <c r="B119" s="11">
        <v>210.4</v>
      </c>
    </row>
    <row r="120" spans="1:2">
      <c r="A120" s="15">
        <v>119</v>
      </c>
      <c r="B120" s="11">
        <v>204.4</v>
      </c>
    </row>
    <row r="121" spans="1:2">
      <c r="A121" s="15">
        <v>120</v>
      </c>
      <c r="B121" s="11">
        <v>203.9</v>
      </c>
    </row>
    <row r="122" spans="1:2">
      <c r="A122" s="15">
        <v>121</v>
      </c>
      <c r="B122" s="11">
        <v>199.1</v>
      </c>
    </row>
    <row r="123" spans="1:2">
      <c r="A123" s="15">
        <v>122</v>
      </c>
      <c r="B123" s="11">
        <v>183.1</v>
      </c>
    </row>
    <row r="124" spans="1:2">
      <c r="A124" s="15">
        <v>123</v>
      </c>
      <c r="B124" s="11">
        <v>206.2</v>
      </c>
    </row>
    <row r="125" spans="1:2">
      <c r="A125" s="15">
        <v>124</v>
      </c>
      <c r="B125" s="11">
        <v>204</v>
      </c>
    </row>
    <row r="126" spans="1:2">
      <c r="A126" s="15">
        <v>125</v>
      </c>
      <c r="B126" s="11">
        <v>207.7</v>
      </c>
    </row>
    <row r="127" spans="1:2">
      <c r="A127" s="15">
        <v>126</v>
      </c>
      <c r="B127" s="11">
        <v>204.9</v>
      </c>
    </row>
    <row r="128" spans="1:2">
      <c r="A128" s="15">
        <v>127</v>
      </c>
      <c r="B128" s="11">
        <v>210</v>
      </c>
    </row>
    <row r="129" spans="1:2">
      <c r="A129" s="15">
        <v>128</v>
      </c>
      <c r="B129" s="11">
        <v>206.7</v>
      </c>
    </row>
    <row r="130" spans="1:2">
      <c r="A130" s="15">
        <v>129</v>
      </c>
      <c r="B130" s="11">
        <v>202.5</v>
      </c>
    </row>
    <row r="131" spans="1:2">
      <c r="A131" s="15">
        <v>130</v>
      </c>
      <c r="B131" s="11">
        <v>211.1</v>
      </c>
    </row>
    <row r="132" spans="1:2">
      <c r="A132" s="15">
        <v>131</v>
      </c>
      <c r="B132" s="11">
        <v>205.6</v>
      </c>
    </row>
    <row r="133" spans="1:2">
      <c r="A133" s="15">
        <v>132</v>
      </c>
      <c r="B133" s="11">
        <v>214.4</v>
      </c>
    </row>
    <row r="134" spans="1:2">
      <c r="A134" s="15">
        <v>133</v>
      </c>
      <c r="B134" s="11">
        <v>214.9</v>
      </c>
    </row>
    <row r="135" spans="1:2">
      <c r="A135" s="15">
        <v>134</v>
      </c>
      <c r="B135" s="11">
        <v>203.6</v>
      </c>
    </row>
    <row r="136" spans="1:2">
      <c r="A136" s="15">
        <v>135</v>
      </c>
      <c r="B136" s="11">
        <v>221.9</v>
      </c>
    </row>
    <row r="137" spans="1:2">
      <c r="A137" s="15">
        <v>136</v>
      </c>
      <c r="B137" s="11">
        <v>220.3</v>
      </c>
    </row>
    <row r="138" spans="1:2">
      <c r="A138" s="15">
        <v>137</v>
      </c>
      <c r="B138" s="11">
        <v>228.4</v>
      </c>
    </row>
    <row r="139" spans="1:2">
      <c r="A139" s="15">
        <v>138</v>
      </c>
      <c r="B139" s="11">
        <v>217.7</v>
      </c>
    </row>
    <row r="140" spans="1:2">
      <c r="A140" s="15">
        <v>139</v>
      </c>
      <c r="B140" s="11">
        <v>226.7</v>
      </c>
    </row>
    <row r="141" spans="1:2">
      <c r="A141" s="15">
        <v>140</v>
      </c>
      <c r="B141" s="11">
        <v>218.6</v>
      </c>
    </row>
    <row r="142" spans="1:2">
      <c r="A142" s="15">
        <v>141</v>
      </c>
      <c r="B142" s="11">
        <v>220.4</v>
      </c>
    </row>
    <row r="143" spans="1:2">
      <c r="A143" s="15">
        <v>142</v>
      </c>
      <c r="B143" s="11">
        <v>233.8</v>
      </c>
    </row>
    <row r="144" spans="1:2">
      <c r="A144" s="15">
        <v>143</v>
      </c>
      <c r="B144" s="11">
        <v>217.1</v>
      </c>
    </row>
    <row r="145" spans="1:2">
      <c r="A145" s="15">
        <v>144</v>
      </c>
      <c r="B145" s="11">
        <v>226.1</v>
      </c>
    </row>
    <row r="146" spans="1:2">
      <c r="A146" s="15">
        <v>145</v>
      </c>
      <c r="B146" s="11">
        <v>222.6</v>
      </c>
    </row>
    <row r="147" spans="1:2">
      <c r="A147" s="15">
        <v>146</v>
      </c>
      <c r="B147" s="11">
        <v>209.7</v>
      </c>
    </row>
    <row r="148" spans="1:2">
      <c r="A148" s="15">
        <v>147</v>
      </c>
      <c r="B148" s="11">
        <v>220.9</v>
      </c>
    </row>
    <row r="149" spans="1:2">
      <c r="A149" s="15">
        <v>148</v>
      </c>
      <c r="B149" s="11">
        <v>230</v>
      </c>
    </row>
    <row r="150" spans="1:2">
      <c r="A150" s="15">
        <v>149</v>
      </c>
      <c r="B150" s="11">
        <v>228.9</v>
      </c>
    </row>
    <row r="151" spans="1:2">
      <c r="A151" s="15">
        <v>150</v>
      </c>
      <c r="B151" s="11">
        <v>232.2</v>
      </c>
    </row>
    <row r="152" spans="1:2">
      <c r="A152" s="15">
        <v>151</v>
      </c>
      <c r="B152" s="11">
        <v>242.1</v>
      </c>
    </row>
    <row r="153" spans="1:2">
      <c r="A153" s="15">
        <v>152</v>
      </c>
      <c r="B153" s="11">
        <v>231.9</v>
      </c>
    </row>
    <row r="154" spans="1:2">
      <c r="A154" s="15">
        <v>153</v>
      </c>
      <c r="B154" s="11">
        <v>235</v>
      </c>
    </row>
    <row r="155" spans="1:2">
      <c r="A155" s="15">
        <v>154</v>
      </c>
      <c r="B155" s="11">
        <v>247</v>
      </c>
    </row>
    <row r="156" spans="1:2" ht="17" thickBot="1">
      <c r="A156" s="16">
        <v>155</v>
      </c>
      <c r="B156" s="12">
        <v>241.5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82034-35AB-AD4E-B0DD-AD9DA7BF7184}">
  <sheetPr codeName="Sheet6"/>
  <dimension ref="A1:B156"/>
  <sheetViews>
    <sheetView workbookViewId="0"/>
  </sheetViews>
  <sheetFormatPr baseColWidth="10" defaultRowHeight="16"/>
  <sheetData>
    <row r="1" spans="1:2">
      <c r="A1" s="13" t="s">
        <v>14</v>
      </c>
      <c r="B1" s="5" t="s">
        <v>15</v>
      </c>
    </row>
    <row r="2" spans="1:2">
      <c r="A2" s="14">
        <v>1</v>
      </c>
      <c r="B2" s="10">
        <v>95.7</v>
      </c>
    </row>
    <row r="3" spans="1:2">
      <c r="A3" s="15">
        <v>2</v>
      </c>
      <c r="B3" s="11">
        <v>93.8</v>
      </c>
    </row>
    <row r="4" spans="1:2">
      <c r="A4" s="15">
        <v>3</v>
      </c>
      <c r="B4" s="11">
        <v>99.4</v>
      </c>
    </row>
    <row r="5" spans="1:2">
      <c r="A5" s="15">
        <v>4</v>
      </c>
      <c r="B5" s="11">
        <v>100</v>
      </c>
    </row>
    <row r="6" spans="1:2">
      <c r="A6" s="15">
        <v>5</v>
      </c>
      <c r="B6" s="11">
        <v>105.6</v>
      </c>
    </row>
    <row r="7" spans="1:2">
      <c r="A7" s="15">
        <v>6</v>
      </c>
      <c r="B7" s="11">
        <v>99.4</v>
      </c>
    </row>
    <row r="8" spans="1:2">
      <c r="A8" s="15">
        <v>7</v>
      </c>
      <c r="B8" s="11">
        <v>106.3</v>
      </c>
    </row>
    <row r="9" spans="1:2">
      <c r="A9" s="15">
        <v>8</v>
      </c>
      <c r="B9" s="11">
        <v>104.2</v>
      </c>
    </row>
    <row r="10" spans="1:2">
      <c r="A10" s="15">
        <v>9</v>
      </c>
      <c r="B10" s="11">
        <v>99.5</v>
      </c>
    </row>
    <row r="11" spans="1:2">
      <c r="A11" s="15">
        <v>10</v>
      </c>
      <c r="B11" s="11">
        <v>105.7</v>
      </c>
    </row>
    <row r="12" spans="1:2">
      <c r="A12" s="15">
        <v>11</v>
      </c>
      <c r="B12" s="11">
        <v>97.1</v>
      </c>
    </row>
    <row r="13" spans="1:2">
      <c r="A13" s="15">
        <v>12</v>
      </c>
      <c r="B13" s="11">
        <v>101.4</v>
      </c>
    </row>
    <row r="14" spans="1:2">
      <c r="A14" s="15">
        <v>13</v>
      </c>
      <c r="B14" s="11">
        <v>97.7</v>
      </c>
    </row>
    <row r="15" spans="1:2">
      <c r="A15" s="15">
        <v>14</v>
      </c>
      <c r="B15" s="11">
        <v>95.8</v>
      </c>
    </row>
    <row r="16" spans="1:2">
      <c r="A16" s="15">
        <v>15</v>
      </c>
      <c r="B16" s="11">
        <v>103</v>
      </c>
    </row>
    <row r="17" spans="1:2">
      <c r="A17" s="15">
        <v>16</v>
      </c>
      <c r="B17" s="11">
        <v>105</v>
      </c>
    </row>
    <row r="18" spans="1:2">
      <c r="A18" s="15">
        <v>17</v>
      </c>
      <c r="B18" s="11">
        <v>106.5</v>
      </c>
    </row>
    <row r="19" spans="1:2">
      <c r="A19" s="15">
        <v>18</v>
      </c>
      <c r="B19" s="11">
        <v>102</v>
      </c>
    </row>
    <row r="20" spans="1:2">
      <c r="A20" s="15">
        <v>19</v>
      </c>
      <c r="B20" s="11">
        <v>110.5</v>
      </c>
    </row>
    <row r="21" spans="1:2">
      <c r="A21" s="15">
        <v>20</v>
      </c>
      <c r="B21" s="11">
        <v>105.5</v>
      </c>
    </row>
    <row r="22" spans="1:2">
      <c r="A22" s="15">
        <v>21</v>
      </c>
      <c r="B22" s="11">
        <v>106.2</v>
      </c>
    </row>
    <row r="23" spans="1:2">
      <c r="A23" s="15">
        <v>22</v>
      </c>
      <c r="B23" s="11">
        <v>110</v>
      </c>
    </row>
    <row r="24" spans="1:2">
      <c r="A24" s="15">
        <v>23</v>
      </c>
      <c r="B24" s="11">
        <v>101.9</v>
      </c>
    </row>
    <row r="25" spans="1:2">
      <c r="A25" s="15">
        <v>24</v>
      </c>
      <c r="B25" s="11">
        <v>107.5</v>
      </c>
    </row>
    <row r="26" spans="1:2">
      <c r="A26" s="15">
        <v>25</v>
      </c>
      <c r="B26" s="11">
        <v>99.7</v>
      </c>
    </row>
    <row r="27" spans="1:2">
      <c r="A27" s="15">
        <v>26</v>
      </c>
      <c r="B27" s="11">
        <v>101.9</v>
      </c>
    </row>
    <row r="28" spans="1:2">
      <c r="A28" s="15">
        <v>27</v>
      </c>
      <c r="B28" s="11">
        <v>106.4</v>
      </c>
    </row>
    <row r="29" spans="1:2">
      <c r="A29" s="15">
        <v>28</v>
      </c>
      <c r="B29" s="11">
        <v>108.5</v>
      </c>
    </row>
    <row r="30" spans="1:2">
      <c r="A30" s="15">
        <v>29</v>
      </c>
      <c r="B30" s="11">
        <v>108.5</v>
      </c>
    </row>
    <row r="31" spans="1:2">
      <c r="A31" s="15">
        <v>30</v>
      </c>
      <c r="B31" s="11">
        <v>111.7</v>
      </c>
    </row>
    <row r="32" spans="1:2">
      <c r="A32" s="15">
        <v>31</v>
      </c>
      <c r="B32" s="11">
        <v>113.3</v>
      </c>
    </row>
    <row r="33" spans="1:2">
      <c r="A33" s="15">
        <v>32</v>
      </c>
      <c r="B33" s="11">
        <v>109.5</v>
      </c>
    </row>
    <row r="34" spans="1:2">
      <c r="A34" s="15">
        <v>33</v>
      </c>
      <c r="B34" s="11">
        <v>112.3</v>
      </c>
    </row>
    <row r="35" spans="1:2">
      <c r="A35" s="15">
        <v>34</v>
      </c>
      <c r="B35" s="11">
        <v>113.8</v>
      </c>
    </row>
    <row r="36" spans="1:2">
      <c r="A36" s="15">
        <v>35</v>
      </c>
      <c r="B36" s="11">
        <v>107.1</v>
      </c>
    </row>
    <row r="37" spans="1:2">
      <c r="A37" s="15">
        <v>36</v>
      </c>
      <c r="B37" s="11">
        <v>113.4</v>
      </c>
    </row>
    <row r="38" spans="1:2">
      <c r="A38" s="15">
        <v>37</v>
      </c>
      <c r="B38" s="11">
        <v>110.5</v>
      </c>
    </row>
    <row r="39" spans="1:2">
      <c r="A39" s="15">
        <v>38</v>
      </c>
      <c r="B39" s="11">
        <v>105.5</v>
      </c>
    </row>
    <row r="40" spans="1:2">
      <c r="A40" s="15">
        <v>39</v>
      </c>
      <c r="B40" s="11">
        <v>116.5</v>
      </c>
    </row>
    <row r="41" spans="1:2">
      <c r="A41" s="15">
        <v>40</v>
      </c>
      <c r="B41" s="11">
        <v>114.2</v>
      </c>
    </row>
    <row r="42" spans="1:2">
      <c r="A42" s="15">
        <v>41</v>
      </c>
      <c r="B42" s="11">
        <v>121.8</v>
      </c>
    </row>
    <row r="43" spans="1:2">
      <c r="A43" s="15">
        <v>42</v>
      </c>
      <c r="B43" s="11">
        <v>121.2</v>
      </c>
    </row>
    <row r="44" spans="1:2">
      <c r="A44" s="15">
        <v>43</v>
      </c>
      <c r="B44" s="11">
        <v>117.4</v>
      </c>
    </row>
    <row r="45" spans="1:2">
      <c r="A45" s="15">
        <v>44</v>
      </c>
      <c r="B45" s="11">
        <v>123.5</v>
      </c>
    </row>
    <row r="46" spans="1:2">
      <c r="A46" s="15">
        <v>45</v>
      </c>
      <c r="B46" s="11">
        <v>120.1</v>
      </c>
    </row>
    <row r="47" spans="1:2">
      <c r="A47" s="15">
        <v>46</v>
      </c>
      <c r="B47" s="11">
        <v>117.5</v>
      </c>
    </row>
    <row r="48" spans="1:2">
      <c r="A48" s="15">
        <v>47</v>
      </c>
      <c r="B48" s="11">
        <v>118.2</v>
      </c>
    </row>
    <row r="49" spans="1:2">
      <c r="A49" s="15">
        <v>48</v>
      </c>
      <c r="B49" s="11">
        <v>109</v>
      </c>
    </row>
    <row r="50" spans="1:2">
      <c r="A50" s="15">
        <v>49</v>
      </c>
      <c r="B50" s="11">
        <v>109.7</v>
      </c>
    </row>
    <row r="51" spans="1:2">
      <c r="A51" s="15">
        <v>50</v>
      </c>
      <c r="B51" s="11">
        <v>106.3</v>
      </c>
    </row>
    <row r="52" spans="1:2">
      <c r="A52" s="15">
        <v>51</v>
      </c>
      <c r="B52" s="11">
        <v>117.6</v>
      </c>
    </row>
    <row r="53" spans="1:2">
      <c r="A53" s="15">
        <v>52</v>
      </c>
      <c r="B53" s="11">
        <v>112.5</v>
      </c>
    </row>
    <row r="54" spans="1:2">
      <c r="A54" s="15">
        <v>53</v>
      </c>
      <c r="B54" s="11">
        <v>123.2</v>
      </c>
    </row>
    <row r="55" spans="1:2">
      <c r="A55" s="15">
        <v>54</v>
      </c>
      <c r="B55" s="11">
        <v>119.9</v>
      </c>
    </row>
    <row r="56" spans="1:2">
      <c r="A56" s="15">
        <v>55</v>
      </c>
      <c r="B56" s="11">
        <v>129.1</v>
      </c>
    </row>
    <row r="57" spans="1:2">
      <c r="A57" s="15">
        <v>56</v>
      </c>
      <c r="B57" s="11">
        <v>172.3</v>
      </c>
    </row>
    <row r="58" spans="1:2">
      <c r="A58" s="15">
        <v>57</v>
      </c>
      <c r="B58" s="11">
        <v>171.8</v>
      </c>
    </row>
    <row r="59" spans="1:2">
      <c r="A59" s="15">
        <v>58</v>
      </c>
      <c r="B59" s="11">
        <v>167.3</v>
      </c>
    </row>
    <row r="60" spans="1:2">
      <c r="A60" s="15">
        <v>59</v>
      </c>
      <c r="B60" s="11">
        <v>169.1</v>
      </c>
    </row>
    <row r="61" spans="1:2">
      <c r="A61" s="15">
        <v>60</v>
      </c>
      <c r="B61" s="11">
        <v>163.80000000000001</v>
      </c>
    </row>
    <row r="62" spans="1:2">
      <c r="A62" s="15">
        <v>61</v>
      </c>
      <c r="B62" s="11">
        <v>166.3</v>
      </c>
    </row>
    <row r="63" spans="1:2">
      <c r="A63" s="15">
        <v>62</v>
      </c>
      <c r="B63" s="11">
        <v>165</v>
      </c>
    </row>
    <row r="64" spans="1:2">
      <c r="A64" s="15">
        <v>63</v>
      </c>
      <c r="B64" s="11">
        <v>173.6</v>
      </c>
    </row>
    <row r="65" spans="1:2">
      <c r="A65" s="15">
        <v>64</v>
      </c>
      <c r="B65" s="11">
        <v>167.3</v>
      </c>
    </row>
    <row r="66" spans="1:2">
      <c r="A66" s="15">
        <v>65</v>
      </c>
      <c r="B66" s="11">
        <v>181</v>
      </c>
    </row>
    <row r="67" spans="1:2">
      <c r="A67" s="15">
        <v>66</v>
      </c>
      <c r="B67" s="11">
        <v>173.4</v>
      </c>
    </row>
    <row r="68" spans="1:2">
      <c r="A68" s="15">
        <v>67</v>
      </c>
      <c r="B68" s="11">
        <v>182.8</v>
      </c>
    </row>
    <row r="69" spans="1:2">
      <c r="A69" s="15">
        <v>68</v>
      </c>
      <c r="B69" s="11">
        <v>181.1</v>
      </c>
    </row>
    <row r="70" spans="1:2">
      <c r="A70" s="15">
        <v>69</v>
      </c>
      <c r="B70" s="11">
        <v>174.9</v>
      </c>
    </row>
    <row r="71" spans="1:2">
      <c r="A71" s="15">
        <v>70</v>
      </c>
      <c r="B71" s="11">
        <v>185.5</v>
      </c>
    </row>
    <row r="72" spans="1:2">
      <c r="A72" s="15">
        <v>71</v>
      </c>
      <c r="B72" s="11">
        <v>183.7</v>
      </c>
    </row>
    <row r="73" spans="1:2">
      <c r="A73" s="15">
        <v>72</v>
      </c>
      <c r="B73" s="11">
        <v>176.9</v>
      </c>
    </row>
    <row r="74" spans="1:2">
      <c r="A74" s="15">
        <v>73</v>
      </c>
      <c r="B74" s="11">
        <v>176.7</v>
      </c>
    </row>
    <row r="75" spans="1:2">
      <c r="A75" s="15">
        <v>74</v>
      </c>
      <c r="B75" s="11">
        <v>166.3</v>
      </c>
    </row>
    <row r="76" spans="1:2">
      <c r="A76" s="15">
        <v>75</v>
      </c>
      <c r="B76" s="11">
        <v>180.2</v>
      </c>
    </row>
    <row r="77" spans="1:2">
      <c r="A77" s="15">
        <v>76</v>
      </c>
      <c r="B77" s="11">
        <v>184</v>
      </c>
    </row>
    <row r="78" spans="1:2">
      <c r="A78" s="15">
        <v>77</v>
      </c>
      <c r="B78" s="11">
        <v>195.6</v>
      </c>
    </row>
    <row r="79" spans="1:2">
      <c r="A79" s="15">
        <v>78</v>
      </c>
      <c r="B79" s="11">
        <v>186.2</v>
      </c>
    </row>
    <row r="80" spans="1:2">
      <c r="A80" s="15">
        <v>79</v>
      </c>
      <c r="B80" s="11">
        <v>201</v>
      </c>
    </row>
    <row r="81" spans="1:2">
      <c r="A81" s="15">
        <v>80</v>
      </c>
      <c r="B81" s="11">
        <v>194.1</v>
      </c>
    </row>
    <row r="82" spans="1:2">
      <c r="A82" s="15">
        <v>81</v>
      </c>
      <c r="B82" s="11">
        <v>183.9</v>
      </c>
    </row>
    <row r="83" spans="1:2">
      <c r="A83" s="15">
        <v>82</v>
      </c>
      <c r="B83" s="11">
        <v>196.5</v>
      </c>
    </row>
    <row r="84" spans="1:2">
      <c r="A84" s="15">
        <v>83</v>
      </c>
      <c r="B84" s="11">
        <v>182.8</v>
      </c>
    </row>
    <row r="85" spans="1:2">
      <c r="A85" s="15">
        <v>84</v>
      </c>
      <c r="B85" s="11">
        <v>187.8</v>
      </c>
    </row>
    <row r="86" spans="1:2">
      <c r="A86" s="15">
        <v>85</v>
      </c>
      <c r="B86" s="11">
        <v>189.8</v>
      </c>
    </row>
    <row r="87" spans="1:2">
      <c r="A87" s="15">
        <v>86</v>
      </c>
      <c r="B87" s="11">
        <v>181.3</v>
      </c>
    </row>
    <row r="88" spans="1:2">
      <c r="A88" s="15">
        <v>87</v>
      </c>
      <c r="B88" s="11">
        <v>194.9</v>
      </c>
    </row>
    <row r="89" spans="1:2">
      <c r="A89" s="15">
        <v>88</v>
      </c>
      <c r="B89" s="11">
        <v>196</v>
      </c>
    </row>
    <row r="90" spans="1:2">
      <c r="A90" s="15">
        <v>89</v>
      </c>
      <c r="B90" s="11">
        <v>199.2</v>
      </c>
    </row>
    <row r="91" spans="1:2">
      <c r="A91" s="15">
        <v>90</v>
      </c>
      <c r="B91" s="11">
        <v>199.1</v>
      </c>
    </row>
    <row r="92" spans="1:2">
      <c r="A92" s="15">
        <v>91</v>
      </c>
      <c r="B92" s="11">
        <v>200.1</v>
      </c>
    </row>
    <row r="93" spans="1:2">
      <c r="A93" s="15">
        <v>92</v>
      </c>
      <c r="B93" s="11">
        <v>198.9</v>
      </c>
    </row>
    <row r="94" spans="1:2">
      <c r="A94" s="15">
        <v>93</v>
      </c>
      <c r="B94" s="11">
        <v>193.6</v>
      </c>
    </row>
    <row r="95" spans="1:2">
      <c r="A95" s="15">
        <v>94</v>
      </c>
      <c r="B95" s="11">
        <v>198.5</v>
      </c>
    </row>
    <row r="96" spans="1:2">
      <c r="A96" s="15">
        <v>95</v>
      </c>
      <c r="B96" s="11">
        <v>189.3</v>
      </c>
    </row>
    <row r="97" spans="1:2">
      <c r="A97" s="15">
        <v>96</v>
      </c>
      <c r="B97" s="11">
        <v>197.2</v>
      </c>
    </row>
    <row r="98" spans="1:2">
      <c r="A98" s="15">
        <v>97</v>
      </c>
      <c r="B98" s="11">
        <v>189.6</v>
      </c>
    </row>
    <row r="99" spans="1:2">
      <c r="A99" s="15">
        <v>98</v>
      </c>
      <c r="B99" s="11">
        <v>176.4</v>
      </c>
    </row>
    <row r="100" spans="1:2">
      <c r="A100" s="15">
        <v>99</v>
      </c>
      <c r="B100" s="11">
        <v>198.1</v>
      </c>
    </row>
    <row r="101" spans="1:2">
      <c r="A101" s="15">
        <v>100</v>
      </c>
      <c r="B101" s="11">
        <v>199.8</v>
      </c>
    </row>
    <row r="102" spans="1:2">
      <c r="A102" s="15">
        <v>101</v>
      </c>
      <c r="B102" s="11">
        <v>202.1</v>
      </c>
    </row>
    <row r="103" spans="1:2">
      <c r="A103" s="15">
        <v>102</v>
      </c>
      <c r="B103" s="11">
        <v>204.5</v>
      </c>
    </row>
    <row r="104" spans="1:2">
      <c r="A104" s="15">
        <v>103</v>
      </c>
      <c r="B104" s="11">
        <v>202.5</v>
      </c>
    </row>
    <row r="105" spans="1:2">
      <c r="A105" s="15">
        <v>104</v>
      </c>
      <c r="B105" s="11">
        <v>202.7</v>
      </c>
    </row>
    <row r="106" spans="1:2">
      <c r="A106" s="15">
        <v>105</v>
      </c>
      <c r="B106" s="11">
        <v>196.2</v>
      </c>
    </row>
    <row r="107" spans="1:2">
      <c r="A107" s="15">
        <v>106</v>
      </c>
      <c r="B107" s="11">
        <v>203.5</v>
      </c>
    </row>
    <row r="108" spans="1:2">
      <c r="A108" s="15">
        <v>107</v>
      </c>
      <c r="B108" s="11">
        <v>196.4</v>
      </c>
    </row>
    <row r="109" spans="1:2">
      <c r="A109" s="15">
        <v>108</v>
      </c>
      <c r="B109" s="11">
        <v>197.7</v>
      </c>
    </row>
    <row r="110" spans="1:2">
      <c r="A110" s="15">
        <v>109</v>
      </c>
      <c r="B110" s="11">
        <v>193</v>
      </c>
    </row>
    <row r="111" spans="1:2">
      <c r="A111" s="15">
        <v>110</v>
      </c>
      <c r="B111" s="11">
        <v>180.1</v>
      </c>
    </row>
    <row r="112" spans="1:2">
      <c r="A112" s="15">
        <v>111</v>
      </c>
      <c r="B112" s="11">
        <v>203.7</v>
      </c>
    </row>
    <row r="113" spans="1:2">
      <c r="A113" s="15">
        <v>112</v>
      </c>
      <c r="B113" s="11">
        <v>202.8</v>
      </c>
    </row>
    <row r="114" spans="1:2">
      <c r="A114" s="15">
        <v>113</v>
      </c>
      <c r="B114" s="11">
        <v>209.1</v>
      </c>
    </row>
    <row r="115" spans="1:2">
      <c r="A115" s="15">
        <v>114</v>
      </c>
      <c r="B115" s="11">
        <v>208.2</v>
      </c>
    </row>
    <row r="116" spans="1:2">
      <c r="A116" s="15">
        <v>115</v>
      </c>
      <c r="B116" s="11">
        <v>214.7</v>
      </c>
    </row>
    <row r="117" spans="1:2">
      <c r="A117" s="15">
        <v>116</v>
      </c>
      <c r="B117" s="11">
        <v>210.1</v>
      </c>
    </row>
    <row r="118" spans="1:2">
      <c r="A118" s="15">
        <v>117</v>
      </c>
      <c r="B118" s="11">
        <v>206.9</v>
      </c>
    </row>
    <row r="119" spans="1:2">
      <c r="A119" s="15">
        <v>118</v>
      </c>
      <c r="B119" s="11">
        <v>210.4</v>
      </c>
    </row>
    <row r="120" spans="1:2">
      <c r="A120" s="15">
        <v>119</v>
      </c>
      <c r="B120" s="11">
        <v>204.4</v>
      </c>
    </row>
    <row r="121" spans="1:2">
      <c r="A121" s="15">
        <v>120</v>
      </c>
      <c r="B121" s="11">
        <v>203.9</v>
      </c>
    </row>
    <row r="122" spans="1:2">
      <c r="A122" s="15">
        <v>121</v>
      </c>
      <c r="B122" s="11">
        <v>199.1</v>
      </c>
    </row>
    <row r="123" spans="1:2">
      <c r="A123" s="15">
        <v>122</v>
      </c>
      <c r="B123" s="11">
        <v>183.1</v>
      </c>
    </row>
    <row r="124" spans="1:2">
      <c r="A124" s="15">
        <v>123</v>
      </c>
      <c r="B124" s="11">
        <v>206.2</v>
      </c>
    </row>
    <row r="125" spans="1:2">
      <c r="A125" s="15">
        <v>124</v>
      </c>
      <c r="B125" s="11">
        <v>204</v>
      </c>
    </row>
    <row r="126" spans="1:2">
      <c r="A126" s="15">
        <v>125</v>
      </c>
      <c r="B126" s="11">
        <v>207.7</v>
      </c>
    </row>
    <row r="127" spans="1:2">
      <c r="A127" s="15">
        <v>126</v>
      </c>
      <c r="B127" s="11">
        <v>204.9</v>
      </c>
    </row>
    <row r="128" spans="1:2">
      <c r="A128" s="15">
        <v>127</v>
      </c>
      <c r="B128" s="11">
        <v>210</v>
      </c>
    </row>
    <row r="129" spans="1:2">
      <c r="A129" s="15">
        <v>128</v>
      </c>
      <c r="B129" s="11">
        <v>206.7</v>
      </c>
    </row>
    <row r="130" spans="1:2">
      <c r="A130" s="15">
        <v>129</v>
      </c>
      <c r="B130" s="11">
        <v>202.5</v>
      </c>
    </row>
    <row r="131" spans="1:2">
      <c r="A131" s="15">
        <v>130</v>
      </c>
      <c r="B131" s="11">
        <v>211.1</v>
      </c>
    </row>
    <row r="132" spans="1:2">
      <c r="A132" s="15">
        <v>131</v>
      </c>
      <c r="B132" s="11">
        <v>205.6</v>
      </c>
    </row>
    <row r="133" spans="1:2">
      <c r="A133" s="15">
        <v>132</v>
      </c>
      <c r="B133" s="11">
        <v>214.4</v>
      </c>
    </row>
    <row r="134" spans="1:2">
      <c r="A134" s="15">
        <v>133</v>
      </c>
      <c r="B134" s="11">
        <v>214.9</v>
      </c>
    </row>
    <row r="135" spans="1:2">
      <c r="A135" s="15">
        <v>134</v>
      </c>
      <c r="B135" s="11">
        <v>203.6</v>
      </c>
    </row>
    <row r="136" spans="1:2">
      <c r="A136" s="15">
        <v>135</v>
      </c>
      <c r="B136" s="11">
        <v>221.9</v>
      </c>
    </row>
    <row r="137" spans="1:2">
      <c r="A137" s="15">
        <v>136</v>
      </c>
      <c r="B137" s="11">
        <v>220.3</v>
      </c>
    </row>
    <row r="138" spans="1:2">
      <c r="A138" s="15">
        <v>137</v>
      </c>
      <c r="B138" s="11">
        <v>228.4</v>
      </c>
    </row>
    <row r="139" spans="1:2">
      <c r="A139" s="15">
        <v>138</v>
      </c>
      <c r="B139" s="11">
        <v>217.7</v>
      </c>
    </row>
    <row r="140" spans="1:2">
      <c r="A140" s="15">
        <v>139</v>
      </c>
      <c r="B140" s="11">
        <v>226.7</v>
      </c>
    </row>
    <row r="141" spans="1:2">
      <c r="A141" s="15">
        <v>140</v>
      </c>
      <c r="B141" s="11">
        <v>218.6</v>
      </c>
    </row>
    <row r="142" spans="1:2">
      <c r="A142" s="15">
        <v>141</v>
      </c>
      <c r="B142" s="11">
        <v>220.4</v>
      </c>
    </row>
    <row r="143" spans="1:2">
      <c r="A143" s="15">
        <v>142</v>
      </c>
      <c r="B143" s="11">
        <v>233.8</v>
      </c>
    </row>
    <row r="144" spans="1:2">
      <c r="A144" s="15">
        <v>143</v>
      </c>
      <c r="B144" s="11">
        <v>217.1</v>
      </c>
    </row>
    <row r="145" spans="1:2">
      <c r="A145" s="15">
        <v>144</v>
      </c>
      <c r="B145" s="11">
        <v>226.1</v>
      </c>
    </row>
    <row r="146" spans="1:2">
      <c r="A146" s="15">
        <v>145</v>
      </c>
      <c r="B146" s="11">
        <v>222.6</v>
      </c>
    </row>
    <row r="147" spans="1:2">
      <c r="A147" s="15">
        <v>146</v>
      </c>
      <c r="B147" s="11">
        <v>209.7</v>
      </c>
    </row>
    <row r="148" spans="1:2">
      <c r="A148" s="15">
        <v>147</v>
      </c>
      <c r="B148" s="11">
        <v>220.9</v>
      </c>
    </row>
    <row r="149" spans="1:2">
      <c r="A149" s="15">
        <v>148</v>
      </c>
      <c r="B149" s="11">
        <v>230</v>
      </c>
    </row>
    <row r="150" spans="1:2">
      <c r="A150" s="15">
        <v>149</v>
      </c>
      <c r="B150" s="11">
        <v>228.9</v>
      </c>
    </row>
    <row r="151" spans="1:2">
      <c r="A151" s="15">
        <v>150</v>
      </c>
      <c r="B151" s="11">
        <v>232.2</v>
      </c>
    </row>
    <row r="152" spans="1:2">
      <c r="A152" s="15">
        <v>151</v>
      </c>
      <c r="B152" s="11">
        <v>242.1</v>
      </c>
    </row>
    <row r="153" spans="1:2">
      <c r="A153" s="15">
        <v>152</v>
      </c>
      <c r="B153" s="11">
        <v>231.9</v>
      </c>
    </row>
    <row r="154" spans="1:2">
      <c r="A154" s="15">
        <v>153</v>
      </c>
      <c r="B154" s="11">
        <v>235</v>
      </c>
    </row>
    <row r="155" spans="1:2">
      <c r="A155" s="15">
        <v>154</v>
      </c>
      <c r="B155" s="11">
        <v>247</v>
      </c>
    </row>
    <row r="156" spans="1:2" ht="17" thickBot="1">
      <c r="A156" s="16">
        <v>155</v>
      </c>
      <c r="B156" s="12">
        <v>241.5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2ADC1-BF77-1347-AE46-69D867C840AD}">
  <sheetPr codeName="Sheet10"/>
  <dimension ref="A1:B157"/>
  <sheetViews>
    <sheetView workbookViewId="0"/>
  </sheetViews>
  <sheetFormatPr baseColWidth="10" defaultRowHeight="16"/>
  <sheetData>
    <row r="1" spans="1:2">
      <c r="A1" s="27" t="s">
        <v>7</v>
      </c>
      <c r="B1" s="1" t="s">
        <v>0</v>
      </c>
    </row>
    <row r="2" spans="1:2">
      <c r="A2" s="27">
        <v>38353</v>
      </c>
      <c r="B2" s="2">
        <v>93.3</v>
      </c>
    </row>
    <row r="3" spans="1:2">
      <c r="A3" s="27">
        <v>38384</v>
      </c>
      <c r="B3" s="2">
        <v>95.7</v>
      </c>
    </row>
    <row r="4" spans="1:2">
      <c r="A4" s="27">
        <v>38412</v>
      </c>
      <c r="B4" s="2">
        <v>93.8</v>
      </c>
    </row>
    <row r="5" spans="1:2">
      <c r="A5" s="27">
        <v>38443</v>
      </c>
      <c r="B5" s="2">
        <v>99.4</v>
      </c>
    </row>
    <row r="6" spans="1:2">
      <c r="A6" s="27">
        <v>38473</v>
      </c>
      <c r="B6" s="2">
        <v>100</v>
      </c>
    </row>
    <row r="7" spans="1:2">
      <c r="A7" s="27">
        <v>38504</v>
      </c>
      <c r="B7" s="2">
        <v>105.6</v>
      </c>
    </row>
    <row r="8" spans="1:2">
      <c r="A8" s="27">
        <v>38534</v>
      </c>
      <c r="B8" s="2">
        <v>99.4</v>
      </c>
    </row>
    <row r="9" spans="1:2">
      <c r="A9" s="27">
        <v>38565</v>
      </c>
      <c r="B9" s="2">
        <v>106.3</v>
      </c>
    </row>
    <row r="10" spans="1:2">
      <c r="A10" s="27">
        <v>38596</v>
      </c>
      <c r="B10" s="2">
        <v>104.2</v>
      </c>
    </row>
    <row r="11" spans="1:2">
      <c r="A11" s="27">
        <v>38626</v>
      </c>
      <c r="B11" s="2">
        <v>99.5</v>
      </c>
    </row>
    <row r="12" spans="1:2">
      <c r="A12" s="27">
        <v>38657</v>
      </c>
      <c r="B12" s="2">
        <v>105.7</v>
      </c>
    </row>
    <row r="13" spans="1:2">
      <c r="A13" s="27">
        <v>38687</v>
      </c>
      <c r="B13" s="2">
        <v>97.1</v>
      </c>
    </row>
    <row r="14" spans="1:2">
      <c r="A14" s="27">
        <v>38718</v>
      </c>
      <c r="B14" s="2">
        <v>101.4</v>
      </c>
    </row>
    <row r="15" spans="1:2">
      <c r="A15" s="27">
        <v>38749</v>
      </c>
      <c r="B15" s="2">
        <v>97.7</v>
      </c>
    </row>
    <row r="16" spans="1:2">
      <c r="A16" s="27">
        <v>38777</v>
      </c>
      <c r="B16" s="2">
        <v>95.8</v>
      </c>
    </row>
    <row r="17" spans="1:2">
      <c r="A17" s="27">
        <v>38808</v>
      </c>
      <c r="B17" s="2">
        <v>103</v>
      </c>
    </row>
    <row r="18" spans="1:2">
      <c r="A18" s="27">
        <v>38838</v>
      </c>
      <c r="B18" s="2">
        <v>105</v>
      </c>
    </row>
    <row r="19" spans="1:2">
      <c r="A19" s="27">
        <v>38869</v>
      </c>
      <c r="B19" s="2">
        <v>106.5</v>
      </c>
    </row>
    <row r="20" spans="1:2">
      <c r="A20" s="27">
        <v>38899</v>
      </c>
      <c r="B20" s="2">
        <v>102</v>
      </c>
    </row>
    <row r="21" spans="1:2">
      <c r="A21" s="27">
        <v>38930</v>
      </c>
      <c r="B21" s="2">
        <v>110.5</v>
      </c>
    </row>
    <row r="22" spans="1:2">
      <c r="A22" s="27">
        <v>38961</v>
      </c>
      <c r="B22" s="2">
        <v>105.5</v>
      </c>
    </row>
    <row r="23" spans="1:2">
      <c r="A23" s="27">
        <v>38991</v>
      </c>
      <c r="B23" s="2">
        <v>106.2</v>
      </c>
    </row>
    <row r="24" spans="1:2">
      <c r="A24" s="27">
        <v>39022</v>
      </c>
      <c r="B24" s="2">
        <v>110</v>
      </c>
    </row>
    <row r="25" spans="1:2">
      <c r="A25" s="27">
        <v>39052</v>
      </c>
      <c r="B25" s="2">
        <v>101.9</v>
      </c>
    </row>
    <row r="26" spans="1:2">
      <c r="A26" s="27">
        <v>39083</v>
      </c>
      <c r="B26" s="2">
        <v>107.5</v>
      </c>
    </row>
    <row r="27" spans="1:2">
      <c r="A27" s="27">
        <v>39114</v>
      </c>
      <c r="B27" s="2">
        <v>99.7</v>
      </c>
    </row>
    <row r="28" spans="1:2">
      <c r="A28" s="27">
        <v>39142</v>
      </c>
      <c r="B28" s="2">
        <v>101.9</v>
      </c>
    </row>
    <row r="29" spans="1:2">
      <c r="A29" s="27">
        <v>39173</v>
      </c>
      <c r="B29" s="2">
        <v>106.4</v>
      </c>
    </row>
    <row r="30" spans="1:2">
      <c r="A30" s="27">
        <v>39203</v>
      </c>
      <c r="B30" s="2">
        <v>108.5</v>
      </c>
    </row>
    <row r="31" spans="1:2">
      <c r="A31" s="27">
        <v>39234</v>
      </c>
      <c r="B31" s="2">
        <v>108.5</v>
      </c>
    </row>
    <row r="32" spans="1:2">
      <c r="A32" s="27">
        <v>39264</v>
      </c>
      <c r="B32" s="2">
        <v>111.7</v>
      </c>
    </row>
    <row r="33" spans="1:2">
      <c r="A33" s="27">
        <v>39295</v>
      </c>
      <c r="B33" s="2">
        <v>113.3</v>
      </c>
    </row>
    <row r="34" spans="1:2">
      <c r="A34" s="27">
        <v>39326</v>
      </c>
      <c r="B34" s="2">
        <v>109.5</v>
      </c>
    </row>
    <row r="35" spans="1:2">
      <c r="A35" s="27">
        <v>39356</v>
      </c>
      <c r="B35" s="2">
        <v>112.3</v>
      </c>
    </row>
    <row r="36" spans="1:2">
      <c r="A36" s="27">
        <v>39387</v>
      </c>
      <c r="B36" s="2">
        <v>113.8</v>
      </c>
    </row>
    <row r="37" spans="1:2">
      <c r="A37" s="27">
        <v>39417</v>
      </c>
      <c r="B37" s="2">
        <v>107.1</v>
      </c>
    </row>
    <row r="38" spans="1:2">
      <c r="A38" s="27">
        <v>39448</v>
      </c>
      <c r="B38" s="2">
        <v>113.4</v>
      </c>
    </row>
    <row r="39" spans="1:2">
      <c r="A39" s="27">
        <v>39479</v>
      </c>
      <c r="B39" s="2">
        <v>110.5</v>
      </c>
    </row>
    <row r="40" spans="1:2">
      <c r="A40" s="27">
        <v>39508</v>
      </c>
      <c r="B40" s="2">
        <v>105.5</v>
      </c>
    </row>
    <row r="41" spans="1:2">
      <c r="A41" s="27">
        <v>39539</v>
      </c>
      <c r="B41" s="2">
        <v>116.5</v>
      </c>
    </row>
    <row r="42" spans="1:2">
      <c r="A42" s="27">
        <v>39569</v>
      </c>
      <c r="B42" s="2">
        <v>114.2</v>
      </c>
    </row>
    <row r="43" spans="1:2">
      <c r="A43" s="27">
        <v>39600</v>
      </c>
      <c r="B43" s="2">
        <v>121.8</v>
      </c>
    </row>
    <row r="44" spans="1:2">
      <c r="A44" s="27">
        <v>39630</v>
      </c>
      <c r="B44" s="2">
        <v>121.2</v>
      </c>
    </row>
    <row r="45" spans="1:2">
      <c r="A45" s="27">
        <v>39661</v>
      </c>
      <c r="B45" s="2">
        <v>117.4</v>
      </c>
    </row>
    <row r="46" spans="1:2">
      <c r="A46" s="27">
        <v>39692</v>
      </c>
      <c r="B46" s="2">
        <v>123.5</v>
      </c>
    </row>
    <row r="47" spans="1:2">
      <c r="A47" s="27">
        <v>39722</v>
      </c>
      <c r="B47" s="2">
        <v>120.1</v>
      </c>
    </row>
    <row r="48" spans="1:2">
      <c r="A48" s="27">
        <v>39753</v>
      </c>
      <c r="B48" s="2">
        <v>117.5</v>
      </c>
    </row>
    <row r="49" spans="1:2">
      <c r="A49" s="27">
        <v>39783</v>
      </c>
      <c r="B49" s="2">
        <v>118.2</v>
      </c>
    </row>
    <row r="50" spans="1:2">
      <c r="A50" s="27">
        <v>39814</v>
      </c>
      <c r="B50" s="2">
        <v>109</v>
      </c>
    </row>
    <row r="51" spans="1:2">
      <c r="A51" s="27">
        <v>39845</v>
      </c>
      <c r="B51" s="2">
        <v>109.7</v>
      </c>
    </row>
    <row r="52" spans="1:2">
      <c r="A52" s="27">
        <v>39873</v>
      </c>
      <c r="B52" s="2">
        <v>106.3</v>
      </c>
    </row>
    <row r="53" spans="1:2">
      <c r="A53" s="27">
        <v>39904</v>
      </c>
      <c r="B53" s="2">
        <v>117.6</v>
      </c>
    </row>
    <row r="54" spans="1:2">
      <c r="A54" s="27">
        <v>39934</v>
      </c>
      <c r="B54" s="2">
        <v>112.5</v>
      </c>
    </row>
    <row r="55" spans="1:2">
      <c r="A55" s="27">
        <v>39965</v>
      </c>
      <c r="B55" s="2">
        <v>123.2</v>
      </c>
    </row>
    <row r="56" spans="1:2">
      <c r="A56" s="27">
        <v>39995</v>
      </c>
      <c r="B56" s="2">
        <v>119.9</v>
      </c>
    </row>
    <row r="57" spans="1:2">
      <c r="A57" s="27">
        <v>40026</v>
      </c>
      <c r="B57" s="2">
        <v>129.1</v>
      </c>
    </row>
    <row r="58" spans="1:2">
      <c r="A58" s="27">
        <v>40057</v>
      </c>
      <c r="B58" s="2">
        <v>172.3</v>
      </c>
    </row>
    <row r="59" spans="1:2">
      <c r="A59" s="27">
        <v>40087</v>
      </c>
      <c r="B59" s="2">
        <v>171.8</v>
      </c>
    </row>
    <row r="60" spans="1:2">
      <c r="A60" s="27">
        <v>40118</v>
      </c>
      <c r="B60" s="2">
        <v>167.3</v>
      </c>
    </row>
    <row r="61" spans="1:2">
      <c r="A61" s="27">
        <v>40148</v>
      </c>
      <c r="B61" s="2">
        <v>169.1</v>
      </c>
    </row>
    <row r="62" spans="1:2">
      <c r="A62" s="27">
        <v>40179</v>
      </c>
      <c r="B62" s="2">
        <v>163.80000000000001</v>
      </c>
    </row>
    <row r="63" spans="1:2">
      <c r="A63" s="27">
        <v>40210</v>
      </c>
      <c r="B63" s="2">
        <v>166.3</v>
      </c>
    </row>
    <row r="64" spans="1:2">
      <c r="A64" s="27">
        <v>40238</v>
      </c>
      <c r="B64" s="2">
        <v>165</v>
      </c>
    </row>
    <row r="65" spans="1:2">
      <c r="A65" s="27">
        <v>40269</v>
      </c>
      <c r="B65" s="2">
        <v>173.6</v>
      </c>
    </row>
    <row r="66" spans="1:2">
      <c r="A66" s="27">
        <v>40299</v>
      </c>
      <c r="B66" s="2">
        <v>167.3</v>
      </c>
    </row>
    <row r="67" spans="1:2">
      <c r="A67" s="27">
        <v>40330</v>
      </c>
      <c r="B67" s="2">
        <v>181</v>
      </c>
    </row>
    <row r="68" spans="1:2">
      <c r="A68" s="27">
        <v>40360</v>
      </c>
      <c r="B68" s="2">
        <v>173.4</v>
      </c>
    </row>
    <row r="69" spans="1:2">
      <c r="A69" s="27">
        <v>40391</v>
      </c>
      <c r="B69" s="2">
        <v>182.8</v>
      </c>
    </row>
    <row r="70" spans="1:2">
      <c r="A70" s="27">
        <v>40422</v>
      </c>
      <c r="B70" s="2">
        <v>181.1</v>
      </c>
    </row>
    <row r="71" spans="1:2">
      <c r="A71" s="27">
        <v>40452</v>
      </c>
      <c r="B71" s="2">
        <v>174.9</v>
      </c>
    </row>
    <row r="72" spans="1:2">
      <c r="A72" s="27">
        <v>40483</v>
      </c>
      <c r="B72" s="2">
        <v>185.5</v>
      </c>
    </row>
    <row r="73" spans="1:2">
      <c r="A73" s="27">
        <v>40513</v>
      </c>
      <c r="B73" s="2">
        <v>183.7</v>
      </c>
    </row>
    <row r="74" spans="1:2">
      <c r="A74" s="27">
        <v>40544</v>
      </c>
      <c r="B74" s="2">
        <v>176.9</v>
      </c>
    </row>
    <row r="75" spans="1:2">
      <c r="A75" s="27">
        <v>40575</v>
      </c>
      <c r="B75" s="2">
        <v>176.7</v>
      </c>
    </row>
    <row r="76" spans="1:2">
      <c r="A76" s="27">
        <v>40603</v>
      </c>
      <c r="B76" s="2">
        <v>166.3</v>
      </c>
    </row>
    <row r="77" spans="1:2">
      <c r="A77" s="27">
        <v>40634</v>
      </c>
      <c r="B77" s="2">
        <v>180.2</v>
      </c>
    </row>
    <row r="78" spans="1:2">
      <c r="A78" s="27">
        <v>40664</v>
      </c>
      <c r="B78" s="2">
        <v>184</v>
      </c>
    </row>
    <row r="79" spans="1:2">
      <c r="A79" s="27">
        <v>40695</v>
      </c>
      <c r="B79" s="2">
        <v>195.6</v>
      </c>
    </row>
    <row r="80" spans="1:2">
      <c r="A80" s="27">
        <v>40725</v>
      </c>
      <c r="B80" s="2">
        <v>186.2</v>
      </c>
    </row>
    <row r="81" spans="1:2">
      <c r="A81" s="27">
        <v>40756</v>
      </c>
      <c r="B81" s="2">
        <v>201</v>
      </c>
    </row>
    <row r="82" spans="1:2">
      <c r="A82" s="27">
        <v>40787</v>
      </c>
      <c r="B82" s="2">
        <v>194.1</v>
      </c>
    </row>
    <row r="83" spans="1:2">
      <c r="A83" s="27">
        <v>40817</v>
      </c>
      <c r="B83" s="2">
        <v>183.9</v>
      </c>
    </row>
    <row r="84" spans="1:2">
      <c r="A84" s="27">
        <v>40848</v>
      </c>
      <c r="B84" s="2">
        <v>196.5</v>
      </c>
    </row>
    <row r="85" spans="1:2">
      <c r="A85" s="27">
        <v>40878</v>
      </c>
      <c r="B85" s="2">
        <v>182.8</v>
      </c>
    </row>
    <row r="86" spans="1:2">
      <c r="A86" s="27">
        <v>40909</v>
      </c>
      <c r="B86" s="2">
        <v>187.8</v>
      </c>
    </row>
    <row r="87" spans="1:2">
      <c r="A87" s="27">
        <v>40940</v>
      </c>
      <c r="B87" s="2">
        <v>189.8</v>
      </c>
    </row>
    <row r="88" spans="1:2">
      <c r="A88" s="27">
        <v>40969</v>
      </c>
      <c r="B88" s="2">
        <v>181.3</v>
      </c>
    </row>
    <row r="89" spans="1:2">
      <c r="A89" s="27">
        <v>41000</v>
      </c>
      <c r="B89" s="2">
        <v>194.9</v>
      </c>
    </row>
    <row r="90" spans="1:2">
      <c r="A90" s="27">
        <v>41030</v>
      </c>
      <c r="B90" s="2">
        <v>196</v>
      </c>
    </row>
    <row r="91" spans="1:2">
      <c r="A91" s="27">
        <v>41061</v>
      </c>
      <c r="B91" s="2">
        <v>199.2</v>
      </c>
    </row>
    <row r="92" spans="1:2">
      <c r="A92" s="27">
        <v>41091</v>
      </c>
      <c r="B92" s="2">
        <v>199.1</v>
      </c>
    </row>
    <row r="93" spans="1:2">
      <c r="A93" s="27">
        <v>41122</v>
      </c>
      <c r="B93" s="2">
        <v>200.1</v>
      </c>
    </row>
    <row r="94" spans="1:2">
      <c r="A94" s="27">
        <v>41153</v>
      </c>
      <c r="B94" s="2">
        <v>198.9</v>
      </c>
    </row>
    <row r="95" spans="1:2">
      <c r="A95" s="27">
        <v>41183</v>
      </c>
      <c r="B95" s="2">
        <v>193.6</v>
      </c>
    </row>
    <row r="96" spans="1:2">
      <c r="A96" s="27">
        <v>41214</v>
      </c>
      <c r="B96" s="2">
        <v>198.5</v>
      </c>
    </row>
    <row r="97" spans="1:2">
      <c r="A97" s="27">
        <v>41244</v>
      </c>
      <c r="B97" s="2">
        <v>189.3</v>
      </c>
    </row>
    <row r="98" spans="1:2">
      <c r="A98" s="27">
        <v>41275</v>
      </c>
      <c r="B98" s="2">
        <v>197.2</v>
      </c>
    </row>
    <row r="99" spans="1:2">
      <c r="A99" s="27">
        <v>41306</v>
      </c>
      <c r="B99" s="2">
        <v>189.6</v>
      </c>
    </row>
    <row r="100" spans="1:2">
      <c r="A100" s="27">
        <v>41334</v>
      </c>
      <c r="B100" s="2">
        <v>176.4</v>
      </c>
    </row>
    <row r="101" spans="1:2">
      <c r="A101" s="27">
        <v>41365</v>
      </c>
      <c r="B101" s="2">
        <v>198.1</v>
      </c>
    </row>
    <row r="102" spans="1:2">
      <c r="A102" s="27">
        <v>41395</v>
      </c>
      <c r="B102" s="2">
        <v>199.8</v>
      </c>
    </row>
    <row r="103" spans="1:2">
      <c r="A103" s="27">
        <v>41426</v>
      </c>
      <c r="B103" s="2">
        <v>202.1</v>
      </c>
    </row>
    <row r="104" spans="1:2">
      <c r="A104" s="27">
        <v>41456</v>
      </c>
      <c r="B104" s="2">
        <v>204.5</v>
      </c>
    </row>
    <row r="105" spans="1:2">
      <c r="A105" s="27">
        <v>41487</v>
      </c>
      <c r="B105" s="2">
        <v>202.5</v>
      </c>
    </row>
    <row r="106" spans="1:2">
      <c r="A106" s="27">
        <v>41518</v>
      </c>
      <c r="B106" s="2">
        <v>202.7</v>
      </c>
    </row>
    <row r="107" spans="1:2">
      <c r="A107" s="27">
        <v>41548</v>
      </c>
      <c r="B107" s="2">
        <v>196.2</v>
      </c>
    </row>
    <row r="108" spans="1:2">
      <c r="A108" s="27">
        <v>41579</v>
      </c>
      <c r="B108" s="2">
        <v>203.5</v>
      </c>
    </row>
    <row r="109" spans="1:2">
      <c r="A109" s="27">
        <v>41609</v>
      </c>
      <c r="B109" s="2">
        <v>196.4</v>
      </c>
    </row>
    <row r="110" spans="1:2">
      <c r="A110" s="27">
        <v>41640</v>
      </c>
      <c r="B110" s="2">
        <v>197.7</v>
      </c>
    </row>
    <row r="111" spans="1:2">
      <c r="A111" s="27">
        <v>41671</v>
      </c>
      <c r="B111" s="2">
        <v>193</v>
      </c>
    </row>
    <row r="112" spans="1:2">
      <c r="A112" s="27">
        <v>41699</v>
      </c>
      <c r="B112" s="2">
        <v>180.1</v>
      </c>
    </row>
    <row r="113" spans="1:2">
      <c r="A113" s="27">
        <v>41730</v>
      </c>
      <c r="B113" s="2">
        <v>203.7</v>
      </c>
    </row>
    <row r="114" spans="1:2">
      <c r="A114" s="27">
        <v>41760</v>
      </c>
      <c r="B114" s="2">
        <v>202.8</v>
      </c>
    </row>
    <row r="115" spans="1:2">
      <c r="A115" s="27">
        <v>41791</v>
      </c>
      <c r="B115" s="2">
        <v>209.1</v>
      </c>
    </row>
    <row r="116" spans="1:2">
      <c r="A116" s="27">
        <v>41821</v>
      </c>
      <c r="B116" s="2">
        <v>208.2</v>
      </c>
    </row>
    <row r="117" spans="1:2">
      <c r="A117" s="27">
        <v>41852</v>
      </c>
      <c r="B117" s="2">
        <v>214.7</v>
      </c>
    </row>
    <row r="118" spans="1:2">
      <c r="A118" s="27">
        <v>41883</v>
      </c>
      <c r="B118" s="2">
        <v>210.1</v>
      </c>
    </row>
    <row r="119" spans="1:2">
      <c r="A119" s="27">
        <v>41913</v>
      </c>
      <c r="B119" s="2">
        <v>206.9</v>
      </c>
    </row>
    <row r="120" spans="1:2">
      <c r="A120" s="27">
        <v>41944</v>
      </c>
      <c r="B120" s="2">
        <v>210.4</v>
      </c>
    </row>
    <row r="121" spans="1:2">
      <c r="A121" s="27">
        <v>41974</v>
      </c>
      <c r="B121" s="2">
        <v>204.4</v>
      </c>
    </row>
    <row r="122" spans="1:2">
      <c r="A122" s="27">
        <v>42005</v>
      </c>
      <c r="B122" s="2">
        <v>203.9</v>
      </c>
    </row>
    <row r="123" spans="1:2">
      <c r="A123" s="27">
        <v>42036</v>
      </c>
      <c r="B123" s="2">
        <v>199.1</v>
      </c>
    </row>
    <row r="124" spans="1:2">
      <c r="A124" s="27">
        <v>42064</v>
      </c>
      <c r="B124" s="2">
        <v>183.1</v>
      </c>
    </row>
    <row r="125" spans="1:2">
      <c r="A125" s="27">
        <v>42095</v>
      </c>
      <c r="B125" s="2">
        <v>206.2</v>
      </c>
    </row>
    <row r="126" spans="1:2">
      <c r="A126" s="27">
        <v>42125</v>
      </c>
      <c r="B126" s="2">
        <v>204</v>
      </c>
    </row>
    <row r="127" spans="1:2">
      <c r="A127" s="27">
        <v>42156</v>
      </c>
      <c r="B127" s="2">
        <v>207.7</v>
      </c>
    </row>
    <row r="128" spans="1:2">
      <c r="A128" s="27">
        <v>42186</v>
      </c>
      <c r="B128" s="2">
        <v>204.9</v>
      </c>
    </row>
    <row r="129" spans="1:2">
      <c r="A129" s="27">
        <v>42217</v>
      </c>
      <c r="B129" s="2">
        <v>210</v>
      </c>
    </row>
    <row r="130" spans="1:2">
      <c r="A130" s="27">
        <v>42248</v>
      </c>
      <c r="B130" s="2">
        <v>206.7</v>
      </c>
    </row>
    <row r="131" spans="1:2">
      <c r="A131" s="27">
        <v>42278</v>
      </c>
      <c r="B131" s="2">
        <v>202.5</v>
      </c>
    </row>
    <row r="132" spans="1:2">
      <c r="A132" s="27">
        <v>42309</v>
      </c>
      <c r="B132" s="2">
        <v>211.1</v>
      </c>
    </row>
    <row r="133" spans="1:2">
      <c r="A133" s="27">
        <v>42339</v>
      </c>
      <c r="B133" s="2">
        <v>205.6</v>
      </c>
    </row>
    <row r="134" spans="1:2">
      <c r="A134" s="27">
        <v>42370</v>
      </c>
      <c r="B134" s="2">
        <v>214.4</v>
      </c>
    </row>
    <row r="135" spans="1:2">
      <c r="A135" s="27">
        <v>42401</v>
      </c>
      <c r="B135" s="2">
        <v>214.9</v>
      </c>
    </row>
    <row r="136" spans="1:2">
      <c r="A136" s="27">
        <v>42430</v>
      </c>
      <c r="B136" s="2">
        <v>203.6</v>
      </c>
    </row>
    <row r="137" spans="1:2">
      <c r="A137" s="27">
        <v>42461</v>
      </c>
      <c r="B137" s="2">
        <v>221.9</v>
      </c>
    </row>
    <row r="138" spans="1:2">
      <c r="A138" s="27">
        <v>42491</v>
      </c>
      <c r="B138" s="2">
        <v>220.3</v>
      </c>
    </row>
    <row r="139" spans="1:2">
      <c r="A139" s="27">
        <v>42522</v>
      </c>
      <c r="B139" s="2">
        <v>228.4</v>
      </c>
    </row>
    <row r="140" spans="1:2">
      <c r="A140" s="27">
        <v>42552</v>
      </c>
      <c r="B140" s="2">
        <v>217.7</v>
      </c>
    </row>
    <row r="141" spans="1:2">
      <c r="A141" s="27">
        <v>42583</v>
      </c>
      <c r="B141" s="2">
        <v>226.7</v>
      </c>
    </row>
    <row r="142" spans="1:2">
      <c r="A142" s="27">
        <v>42614</v>
      </c>
      <c r="B142" s="2">
        <v>218.6</v>
      </c>
    </row>
    <row r="143" spans="1:2">
      <c r="A143" s="27">
        <v>42644</v>
      </c>
      <c r="B143" s="2">
        <v>220.4</v>
      </c>
    </row>
    <row r="144" spans="1:2">
      <c r="A144" s="27">
        <v>42675</v>
      </c>
      <c r="B144" s="2">
        <v>233.8</v>
      </c>
    </row>
    <row r="145" spans="1:2">
      <c r="A145" s="27">
        <v>42705</v>
      </c>
      <c r="B145" s="2">
        <v>217.1</v>
      </c>
    </row>
    <row r="146" spans="1:2">
      <c r="A146" s="27">
        <v>42736</v>
      </c>
      <c r="B146" s="2">
        <v>226.1</v>
      </c>
    </row>
    <row r="147" spans="1:2">
      <c r="A147" s="27">
        <v>42767</v>
      </c>
      <c r="B147" s="2">
        <v>222.6</v>
      </c>
    </row>
    <row r="148" spans="1:2">
      <c r="A148" s="27">
        <v>42795</v>
      </c>
      <c r="B148" s="2">
        <v>209.7</v>
      </c>
    </row>
    <row r="149" spans="1:2">
      <c r="A149" s="27">
        <v>42826</v>
      </c>
      <c r="B149" s="2">
        <v>220.9</v>
      </c>
    </row>
    <row r="150" spans="1:2">
      <c r="A150" s="27">
        <v>42856</v>
      </c>
      <c r="B150" s="2">
        <v>230</v>
      </c>
    </row>
    <row r="151" spans="1:2">
      <c r="A151" s="27">
        <v>42887</v>
      </c>
      <c r="B151" s="2">
        <v>228.9</v>
      </c>
    </row>
    <row r="152" spans="1:2">
      <c r="A152" s="27">
        <v>42917</v>
      </c>
      <c r="B152" s="2">
        <v>232.2</v>
      </c>
    </row>
    <row r="153" spans="1:2">
      <c r="A153" s="27">
        <v>42948</v>
      </c>
      <c r="B153" s="2">
        <v>242.1</v>
      </c>
    </row>
    <row r="154" spans="1:2">
      <c r="A154" s="27">
        <v>42979</v>
      </c>
      <c r="B154" s="2">
        <v>231.9</v>
      </c>
    </row>
    <row r="155" spans="1:2">
      <c r="A155" s="27">
        <v>43009</v>
      </c>
      <c r="B155" s="2">
        <v>235</v>
      </c>
    </row>
    <row r="156" spans="1:2">
      <c r="A156" s="27">
        <v>43040</v>
      </c>
      <c r="B156" s="2">
        <v>247</v>
      </c>
    </row>
    <row r="157" spans="1:2">
      <c r="A157" s="27">
        <v>43070</v>
      </c>
      <c r="B157" s="2">
        <v>241.5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2CCE9-C1B3-2F4B-AE5B-BB40D13862C3}">
  <sheetPr codeName="Sheet15">
    <tabColor rgb="FF007800"/>
  </sheetPr>
  <dimension ref="B1:J334"/>
  <sheetViews>
    <sheetView topLeftCell="A5" zoomScaleNormal="100" workbookViewId="0">
      <selection activeCell="G33" sqref="G33"/>
    </sheetView>
  </sheetViews>
  <sheetFormatPr baseColWidth="10" defaultRowHeight="16"/>
  <cols>
    <col min="1" max="1" width="5.83203125" customWidth="1"/>
  </cols>
  <sheetData>
    <row r="1" spans="2:2">
      <c r="B1" t="s">
        <v>132</v>
      </c>
    </row>
    <row r="2" spans="2:2">
      <c r="B2" t="s">
        <v>48</v>
      </c>
    </row>
    <row r="3" spans="2:2">
      <c r="B3" t="s">
        <v>49</v>
      </c>
    </row>
    <row r="4" spans="2:2">
      <c r="B4" t="s">
        <v>26</v>
      </c>
    </row>
    <row r="5" spans="2:2">
      <c r="B5" t="s">
        <v>62</v>
      </c>
    </row>
    <row r="6" spans="2:2">
      <c r="B6" t="s">
        <v>126</v>
      </c>
    </row>
    <row r="7" spans="2:2">
      <c r="B7" t="s">
        <v>63</v>
      </c>
    </row>
    <row r="8" spans="2:2">
      <c r="B8" t="s">
        <v>121</v>
      </c>
    </row>
    <row r="9" spans="2:2">
      <c r="B9" t="s">
        <v>26</v>
      </c>
    </row>
    <row r="10" spans="2:2">
      <c r="B10" t="s">
        <v>131</v>
      </c>
    </row>
    <row r="11" spans="2:2" ht="34.25" customHeight="1"/>
    <row r="12" spans="2:2" ht="21" customHeight="1"/>
    <row r="15" spans="2:2">
      <c r="B15" t="s">
        <v>5</v>
      </c>
    </row>
    <row r="16" spans="2:2" ht="17" thickBot="1"/>
    <row r="17" spans="2:9">
      <c r="B17" s="4" t="s">
        <v>6</v>
      </c>
      <c r="C17" s="5" t="s">
        <v>7</v>
      </c>
      <c r="D17" s="5" t="s">
        <v>8</v>
      </c>
      <c r="E17" s="5" t="s">
        <v>9</v>
      </c>
      <c r="F17" s="5" t="s">
        <v>10</v>
      </c>
      <c r="G17" s="5" t="s">
        <v>11</v>
      </c>
      <c r="H17" s="5" t="s">
        <v>12</v>
      </c>
      <c r="I17" s="5" t="s">
        <v>13</v>
      </c>
    </row>
    <row r="18" spans="2:9" ht="17" thickBot="1">
      <c r="B18" s="7" t="s">
        <v>0</v>
      </c>
      <c r="C18" s="8">
        <v>156</v>
      </c>
      <c r="D18" s="8">
        <v>0</v>
      </c>
      <c r="E18" s="8">
        <v>156</v>
      </c>
      <c r="F18" s="9">
        <v>93.3</v>
      </c>
      <c r="G18" s="9">
        <v>247</v>
      </c>
      <c r="H18" s="9">
        <v>167.08333333333343</v>
      </c>
      <c r="I18" s="9">
        <v>46.897334449781063</v>
      </c>
    </row>
    <row r="21" spans="2:9">
      <c r="B21" s="17" t="s">
        <v>64</v>
      </c>
    </row>
    <row r="23" spans="2:9">
      <c r="B23" t="s">
        <v>65</v>
      </c>
    </row>
    <row r="25" spans="2:9">
      <c r="B25" t="s">
        <v>66</v>
      </c>
    </row>
    <row r="26" spans="2:9" ht="17" thickBot="1"/>
    <row r="27" spans="2:9">
      <c r="B27" s="28" t="s">
        <v>7</v>
      </c>
      <c r="C27" s="28">
        <v>143</v>
      </c>
    </row>
    <row r="28" spans="2:9">
      <c r="B28" s="3" t="s">
        <v>31</v>
      </c>
      <c r="C28" s="3">
        <v>132</v>
      </c>
    </row>
    <row r="29" spans="2:9">
      <c r="B29" s="3" t="s">
        <v>67</v>
      </c>
      <c r="C29" s="3">
        <v>5087.6487940197994</v>
      </c>
    </row>
    <row r="30" spans="2:9">
      <c r="B30" s="3" t="s">
        <v>68</v>
      </c>
      <c r="C30" s="3">
        <v>35.577963594544052</v>
      </c>
    </row>
    <row r="31" spans="2:9">
      <c r="B31" s="43" t="s">
        <v>69</v>
      </c>
      <c r="C31" s="43">
        <v>5.9647266152392984</v>
      </c>
    </row>
    <row r="32" spans="2:9">
      <c r="B32" s="3" t="s">
        <v>70</v>
      </c>
      <c r="C32" s="3">
        <v>33.840643807466684</v>
      </c>
    </row>
    <row r="33" spans="2:6">
      <c r="B33" s="3" t="s">
        <v>71</v>
      </c>
      <c r="C33" s="3">
        <v>169.88690988039698</v>
      </c>
    </row>
    <row r="34" spans="2:6">
      <c r="B34" s="43" t="s">
        <v>72</v>
      </c>
      <c r="C34" s="43">
        <v>2.2531344660357142</v>
      </c>
    </row>
    <row r="35" spans="2:6">
      <c r="B35" s="3" t="s">
        <v>73</v>
      </c>
      <c r="C35" s="3">
        <v>933.80953458504393</v>
      </c>
    </row>
    <row r="36" spans="2:6">
      <c r="B36" s="3" t="s">
        <v>74</v>
      </c>
      <c r="C36" s="3">
        <v>51.390391858785847</v>
      </c>
    </row>
    <row r="37" spans="2:6">
      <c r="B37" s="3" t="s">
        <v>75</v>
      </c>
      <c r="C37" s="3">
        <v>955.80953458504393</v>
      </c>
    </row>
    <row r="38" spans="2:6">
      <c r="B38" s="3" t="s">
        <v>76</v>
      </c>
      <c r="C38" s="3">
        <v>957.82480176061642</v>
      </c>
    </row>
    <row r="39" spans="2:6">
      <c r="B39" s="3" t="s">
        <v>77</v>
      </c>
      <c r="C39" s="3">
        <v>988.40082551790294</v>
      </c>
    </row>
    <row r="40" spans="2:6" ht="17" thickBot="1">
      <c r="B40" s="19" t="s">
        <v>78</v>
      </c>
      <c r="C40" s="19">
        <v>2501</v>
      </c>
    </row>
    <row r="43" spans="2:6">
      <c r="B43" t="s">
        <v>79</v>
      </c>
    </row>
    <row r="44" spans="2:6" ht="17" thickBot="1"/>
    <row r="45" spans="2:6">
      <c r="B45" s="4" t="s">
        <v>80</v>
      </c>
      <c r="C45" s="5" t="s">
        <v>32</v>
      </c>
      <c r="D45" s="5" t="s">
        <v>81</v>
      </c>
      <c r="E45" s="5" t="s">
        <v>44</v>
      </c>
      <c r="F45" s="5" t="s">
        <v>45</v>
      </c>
    </row>
    <row r="46" spans="2:6" ht="17" thickBot="1">
      <c r="B46" s="7" t="s">
        <v>82</v>
      </c>
      <c r="C46" s="9">
        <v>3.1791254124450427E-2</v>
      </c>
      <c r="D46" s="9">
        <v>0.14238249648699319</v>
      </c>
      <c r="E46" s="9">
        <v>-0.24727331101895694</v>
      </c>
      <c r="F46" s="9">
        <v>0.31085581926785782</v>
      </c>
    </row>
    <row r="48" spans="2:6" ht="17" thickBot="1"/>
    <row r="49" spans="2:9">
      <c r="B49" s="4" t="s">
        <v>80</v>
      </c>
      <c r="C49" s="5" t="s">
        <v>32</v>
      </c>
      <c r="D49" s="5" t="s">
        <v>81</v>
      </c>
      <c r="E49" s="5" t="s">
        <v>44</v>
      </c>
      <c r="F49" s="5" t="s">
        <v>45</v>
      </c>
      <c r="G49" s="5" t="s">
        <v>83</v>
      </c>
      <c r="H49" s="5" t="s">
        <v>44</v>
      </c>
      <c r="I49" s="5" t="s">
        <v>45</v>
      </c>
    </row>
    <row r="50" spans="2:9">
      <c r="B50" s="6" t="s">
        <v>84</v>
      </c>
      <c r="C50" s="10">
        <v>0.5669027842950819</v>
      </c>
      <c r="D50" s="10">
        <v>2.6771447651872493</v>
      </c>
      <c r="E50" s="10">
        <v>-4.680204536871865</v>
      </c>
      <c r="F50" s="10">
        <v>5.814010105462029</v>
      </c>
      <c r="G50" s="10">
        <v>5.3823484994651324E-2</v>
      </c>
      <c r="H50" s="10">
        <v>0.4614106921831333</v>
      </c>
      <c r="I50" s="10">
        <v>0.67239487640703044</v>
      </c>
    </row>
    <row r="51" spans="2:9">
      <c r="B51" s="3" t="s">
        <v>125</v>
      </c>
      <c r="C51" s="11">
        <v>-0.15192700789181468</v>
      </c>
      <c r="D51" s="11">
        <v>0.53581495048832439</v>
      </c>
      <c r="E51" s="11">
        <v>-1.2021050132270426</v>
      </c>
      <c r="F51" s="11">
        <v>0.89825099744341319</v>
      </c>
      <c r="G51" s="11">
        <v>7.7206824861655948E-2</v>
      </c>
      <c r="H51" s="11">
        <v>-0.30324960398135192</v>
      </c>
      <c r="I51" s="11">
        <v>-6.0441180227741031E-4</v>
      </c>
    </row>
    <row r="52" spans="2:9">
      <c r="B52" s="3" t="s">
        <v>127</v>
      </c>
      <c r="C52" s="11">
        <v>-0.52785111619107405</v>
      </c>
      <c r="D52" s="11"/>
      <c r="E52" s="11"/>
      <c r="F52" s="11"/>
      <c r="G52" s="11">
        <v>0.10040522327818477</v>
      </c>
      <c r="H52" s="11">
        <v>-0.7246417376760188</v>
      </c>
      <c r="I52" s="11">
        <v>-0.3310604947061293</v>
      </c>
    </row>
    <row r="53" spans="2:9">
      <c r="B53" s="3" t="s">
        <v>128</v>
      </c>
      <c r="C53" s="11">
        <v>0.27413849688492858</v>
      </c>
      <c r="D53" s="11"/>
      <c r="E53" s="11"/>
      <c r="F53" s="11"/>
      <c r="G53" s="11">
        <v>9.7657380805066321E-2</v>
      </c>
      <c r="H53" s="11">
        <v>8.2733547682485448E-2</v>
      </c>
      <c r="I53" s="11">
        <v>0.46554344608737175</v>
      </c>
    </row>
    <row r="54" spans="2:9">
      <c r="B54" s="3" t="s">
        <v>85</v>
      </c>
      <c r="C54" s="11">
        <v>-0.79513363152146821</v>
      </c>
      <c r="D54" s="11">
        <v>2.6309978196635804</v>
      </c>
      <c r="E54" s="11">
        <v>-5.9517946014654921</v>
      </c>
      <c r="F54" s="11">
        <v>4.3615273384225564</v>
      </c>
      <c r="G54" s="11">
        <v>6.2233221917685266E-2</v>
      </c>
      <c r="H54" s="11">
        <v>-0.91710850512202002</v>
      </c>
      <c r="I54" s="11">
        <v>-0.6731587579209164</v>
      </c>
    </row>
    <row r="55" spans="2:9">
      <c r="B55" s="3" t="s">
        <v>86</v>
      </c>
      <c r="C55" s="11">
        <v>0.27981647739771875</v>
      </c>
      <c r="D55" s="11">
        <v>0.99852454647376987</v>
      </c>
      <c r="E55" s="11">
        <v>-1.6772556713700613</v>
      </c>
      <c r="F55" s="11">
        <v>2.2368886261654986</v>
      </c>
      <c r="G55" s="11">
        <v>6.7058846006565018E-2</v>
      </c>
      <c r="H55" s="11">
        <v>0.14838355438003373</v>
      </c>
      <c r="I55" s="11">
        <v>0.41124940041540381</v>
      </c>
    </row>
    <row r="56" spans="2:9">
      <c r="B56" s="3" t="s">
        <v>129</v>
      </c>
      <c r="C56" s="11">
        <v>-8.814657431146479E-2</v>
      </c>
      <c r="D56" s="11"/>
      <c r="E56" s="11"/>
      <c r="F56" s="11"/>
      <c r="G56" s="11">
        <v>6.6575621483715319E-2</v>
      </c>
      <c r="H56" s="11">
        <v>-0.21863239466791784</v>
      </c>
      <c r="I56" s="11">
        <v>4.2339246044988274E-2</v>
      </c>
    </row>
    <row r="57" spans="2:9" ht="17" thickBot="1">
      <c r="B57" s="19" t="s">
        <v>130</v>
      </c>
      <c r="C57" s="12">
        <v>-0.81982214843523538</v>
      </c>
      <c r="D57" s="12"/>
      <c r="E57" s="12"/>
      <c r="F57" s="12"/>
      <c r="G57" s="12">
        <v>6.534820165610844E-2</v>
      </c>
      <c r="H57" s="12">
        <v>-0.94790227013566863</v>
      </c>
      <c r="I57" s="12">
        <v>-0.69174202673480212</v>
      </c>
    </row>
    <row r="60" spans="2:9">
      <c r="B60" t="s">
        <v>87</v>
      </c>
    </row>
    <row r="61" spans="2:9" ht="17" thickBot="1"/>
    <row r="62" spans="2:9">
      <c r="B62" s="31" t="s">
        <v>7</v>
      </c>
      <c r="C62" s="5" t="s">
        <v>0</v>
      </c>
      <c r="D62" s="5" t="s">
        <v>88</v>
      </c>
      <c r="E62" s="5" t="s">
        <v>89</v>
      </c>
      <c r="F62" s="5" t="s">
        <v>90</v>
      </c>
      <c r="G62" s="5" t="s">
        <v>43</v>
      </c>
      <c r="H62" s="5" t="s">
        <v>44</v>
      </c>
      <c r="I62" s="5" t="s">
        <v>45</v>
      </c>
    </row>
    <row r="63" spans="2:9">
      <c r="B63" s="32">
        <v>38353</v>
      </c>
      <c r="C63" s="10">
        <v>93.3</v>
      </c>
      <c r="D63" s="10">
        <v>93.3</v>
      </c>
      <c r="E63" s="10">
        <v>0</v>
      </c>
      <c r="F63" s="10">
        <v>0</v>
      </c>
      <c r="G63" s="10"/>
      <c r="H63" s="10"/>
      <c r="I63" s="10"/>
    </row>
    <row r="64" spans="2:9">
      <c r="B64" s="33">
        <v>38384</v>
      </c>
      <c r="C64" s="11">
        <v>95.7</v>
      </c>
      <c r="D64" s="11">
        <v>95.7</v>
      </c>
      <c r="E64" s="11">
        <v>0</v>
      </c>
      <c r="F64" s="11">
        <v>0</v>
      </c>
      <c r="G64" s="11"/>
      <c r="H64" s="11"/>
      <c r="I64" s="11"/>
    </row>
    <row r="65" spans="2:9">
      <c r="B65" s="33">
        <v>38412</v>
      </c>
      <c r="C65" s="11">
        <v>93.8</v>
      </c>
      <c r="D65" s="11">
        <v>93.8</v>
      </c>
      <c r="E65" s="11">
        <v>0</v>
      </c>
      <c r="F65" s="11">
        <v>0</v>
      </c>
      <c r="G65" s="11"/>
      <c r="H65" s="11"/>
      <c r="I65" s="11"/>
    </row>
    <row r="66" spans="2:9">
      <c r="B66" s="33">
        <v>38443</v>
      </c>
      <c r="C66" s="11">
        <v>99.4</v>
      </c>
      <c r="D66" s="11">
        <v>99.4</v>
      </c>
      <c r="E66" s="11">
        <v>0</v>
      </c>
      <c r="F66" s="11">
        <v>0</v>
      </c>
      <c r="G66" s="11"/>
      <c r="H66" s="11"/>
      <c r="I66" s="11"/>
    </row>
    <row r="67" spans="2:9">
      <c r="B67" s="33">
        <v>38473</v>
      </c>
      <c r="C67" s="11">
        <v>100</v>
      </c>
      <c r="D67" s="11">
        <v>100</v>
      </c>
      <c r="E67" s="11">
        <v>0</v>
      </c>
      <c r="F67" s="11">
        <v>0</v>
      </c>
      <c r="G67" s="11"/>
      <c r="H67" s="11"/>
      <c r="I67" s="11"/>
    </row>
    <row r="68" spans="2:9">
      <c r="B68" s="33">
        <v>38504</v>
      </c>
      <c r="C68" s="11">
        <v>105.6</v>
      </c>
      <c r="D68" s="11">
        <v>105.6</v>
      </c>
      <c r="E68" s="11">
        <v>0</v>
      </c>
      <c r="F68" s="11">
        <v>0</v>
      </c>
      <c r="G68" s="11"/>
      <c r="H68" s="11"/>
      <c r="I68" s="11"/>
    </row>
    <row r="69" spans="2:9">
      <c r="B69" s="33">
        <v>38534</v>
      </c>
      <c r="C69" s="11">
        <v>99.4</v>
      </c>
      <c r="D69" s="11">
        <v>99.4</v>
      </c>
      <c r="E69" s="11">
        <v>0</v>
      </c>
      <c r="F69" s="11">
        <v>0</v>
      </c>
      <c r="G69" s="11"/>
      <c r="H69" s="11"/>
      <c r="I69" s="11"/>
    </row>
    <row r="70" spans="2:9">
      <c r="B70" s="33">
        <v>38565</v>
      </c>
      <c r="C70" s="11">
        <v>106.3</v>
      </c>
      <c r="D70" s="11">
        <v>106.3</v>
      </c>
      <c r="E70" s="11">
        <v>0</v>
      </c>
      <c r="F70" s="11">
        <v>0</v>
      </c>
      <c r="G70" s="11"/>
      <c r="H70" s="11"/>
      <c r="I70" s="11"/>
    </row>
    <row r="71" spans="2:9">
      <c r="B71" s="33">
        <v>38596</v>
      </c>
      <c r="C71" s="11">
        <v>104.2</v>
      </c>
      <c r="D71" s="11">
        <v>104.2</v>
      </c>
      <c r="E71" s="11">
        <v>0</v>
      </c>
      <c r="F71" s="11">
        <v>0</v>
      </c>
      <c r="G71" s="11"/>
      <c r="H71" s="11"/>
      <c r="I71" s="11"/>
    </row>
    <row r="72" spans="2:9">
      <c r="B72" s="33">
        <v>38626</v>
      </c>
      <c r="C72" s="11">
        <v>99.5</v>
      </c>
      <c r="D72" s="11">
        <v>99.5</v>
      </c>
      <c r="E72" s="11">
        <v>0</v>
      </c>
      <c r="F72" s="11">
        <v>0</v>
      </c>
      <c r="G72" s="11"/>
      <c r="H72" s="11"/>
      <c r="I72" s="11"/>
    </row>
    <row r="73" spans="2:9">
      <c r="B73" s="33">
        <v>38657</v>
      </c>
      <c r="C73" s="11">
        <v>105.7</v>
      </c>
      <c r="D73" s="11">
        <v>105.7</v>
      </c>
      <c r="E73" s="11">
        <v>0</v>
      </c>
      <c r="F73" s="11">
        <v>0</v>
      </c>
      <c r="G73" s="11"/>
      <c r="H73" s="11"/>
      <c r="I73" s="11"/>
    </row>
    <row r="74" spans="2:9">
      <c r="B74" s="33">
        <v>38687</v>
      </c>
      <c r="C74" s="11">
        <v>97.1</v>
      </c>
      <c r="D74" s="11">
        <v>97.1</v>
      </c>
      <c r="E74" s="11">
        <v>0</v>
      </c>
      <c r="F74" s="11">
        <v>0</v>
      </c>
      <c r="G74" s="11"/>
      <c r="H74" s="11"/>
      <c r="I74" s="11"/>
    </row>
    <row r="75" spans="2:9">
      <c r="B75" s="33">
        <v>38718</v>
      </c>
      <c r="C75" s="11">
        <v>101.4</v>
      </c>
      <c r="D75" s="11">
        <v>101.4</v>
      </c>
      <c r="E75" s="11">
        <v>0</v>
      </c>
      <c r="F75" s="11">
        <v>0</v>
      </c>
      <c r="G75" s="11"/>
      <c r="H75" s="11"/>
      <c r="I75" s="11"/>
    </row>
    <row r="76" spans="2:9">
      <c r="B76" s="33">
        <v>38749</v>
      </c>
      <c r="C76" s="11">
        <v>97.7</v>
      </c>
      <c r="D76" s="11">
        <v>102.69158570620752</v>
      </c>
      <c r="E76" s="11">
        <v>-4.9915857062075162</v>
      </c>
      <c r="F76" s="11">
        <v>-0.85806309601238206</v>
      </c>
      <c r="G76" s="11"/>
      <c r="H76" s="11"/>
      <c r="I76" s="11"/>
    </row>
    <row r="77" spans="2:9">
      <c r="B77" s="33">
        <v>38777</v>
      </c>
      <c r="C77" s="11">
        <v>95.8</v>
      </c>
      <c r="D77" s="11">
        <v>96.928645733731258</v>
      </c>
      <c r="E77" s="11">
        <v>-1.1286457337312612</v>
      </c>
      <c r="F77" s="11">
        <v>-0.19401635263564701</v>
      </c>
      <c r="G77" s="11"/>
      <c r="H77" s="11"/>
      <c r="I77" s="11"/>
    </row>
    <row r="78" spans="2:9">
      <c r="B78" s="33">
        <v>38808</v>
      </c>
      <c r="C78" s="11">
        <v>103</v>
      </c>
      <c r="D78" s="11">
        <v>101.99220908430269</v>
      </c>
      <c r="E78" s="11">
        <v>1.0077909156973135</v>
      </c>
      <c r="F78" s="11">
        <v>0.17324117908683667</v>
      </c>
      <c r="G78" s="11"/>
      <c r="H78" s="11"/>
      <c r="I78" s="11"/>
    </row>
    <row r="79" spans="2:9">
      <c r="B79" s="33">
        <v>38838</v>
      </c>
      <c r="C79" s="11">
        <v>105</v>
      </c>
      <c r="D79" s="11">
        <v>103.48830923430005</v>
      </c>
      <c r="E79" s="11">
        <v>1.511690765699953</v>
      </c>
      <c r="F79" s="11">
        <v>0.25986252364989532</v>
      </c>
      <c r="G79" s="11"/>
      <c r="H79" s="11"/>
      <c r="I79" s="11"/>
    </row>
    <row r="80" spans="2:9">
      <c r="B80" s="33">
        <v>38869</v>
      </c>
      <c r="C80" s="11">
        <v>106.5</v>
      </c>
      <c r="D80" s="11">
        <v>109.48053037837512</v>
      </c>
      <c r="E80" s="11">
        <v>-2.9805303783751214</v>
      </c>
      <c r="F80" s="11">
        <v>-0.5123588524278041</v>
      </c>
      <c r="G80" s="11"/>
      <c r="H80" s="11"/>
      <c r="I80" s="11"/>
    </row>
    <row r="81" spans="2:9">
      <c r="B81" s="33">
        <v>38899</v>
      </c>
      <c r="C81" s="11">
        <v>102</v>
      </c>
      <c r="D81" s="11">
        <v>101.26727433047061</v>
      </c>
      <c r="E81" s="11">
        <v>0.73272566952938689</v>
      </c>
      <c r="F81" s="11">
        <v>0.12595693904288802</v>
      </c>
      <c r="G81" s="11"/>
      <c r="H81" s="11"/>
      <c r="I81" s="11"/>
    </row>
    <row r="82" spans="2:9">
      <c r="B82" s="33">
        <v>38930</v>
      </c>
      <c r="C82" s="11">
        <v>110.5</v>
      </c>
      <c r="D82" s="11">
        <v>109.08920764073842</v>
      </c>
      <c r="E82" s="11">
        <v>1.4107923592615776</v>
      </c>
      <c r="F82" s="11">
        <v>0.24251789528789788</v>
      </c>
      <c r="G82" s="11"/>
      <c r="H82" s="11"/>
      <c r="I82" s="11"/>
    </row>
    <row r="83" spans="2:9">
      <c r="B83" s="33">
        <v>38961</v>
      </c>
      <c r="C83" s="11">
        <v>105.5</v>
      </c>
      <c r="D83" s="11">
        <v>107.57326508426512</v>
      </c>
      <c r="E83" s="11">
        <v>-2.0732650842651168</v>
      </c>
      <c r="F83" s="11">
        <v>-0.35639821927660198</v>
      </c>
      <c r="G83" s="11"/>
      <c r="H83" s="11"/>
      <c r="I83" s="11"/>
    </row>
    <row r="84" spans="2:9">
      <c r="B84" s="33">
        <v>38991</v>
      </c>
      <c r="C84" s="11">
        <v>106.2</v>
      </c>
      <c r="D84" s="11">
        <v>102.19480586350207</v>
      </c>
      <c r="E84" s="11">
        <v>4.0051941364979342</v>
      </c>
      <c r="F84" s="11">
        <v>0.68850050528435858</v>
      </c>
      <c r="G84" s="11"/>
      <c r="H84" s="11"/>
      <c r="I84" s="11"/>
    </row>
    <row r="85" spans="2:9">
      <c r="B85" s="33">
        <v>39022</v>
      </c>
      <c r="C85" s="11">
        <v>110</v>
      </c>
      <c r="D85" s="11">
        <v>111.21622901530094</v>
      </c>
      <c r="E85" s="11">
        <v>-1.2162290153009394</v>
      </c>
      <c r="F85" s="11">
        <v>-0.20907208565634694</v>
      </c>
      <c r="G85" s="11"/>
      <c r="H85" s="11"/>
      <c r="I85" s="11"/>
    </row>
    <row r="86" spans="2:9">
      <c r="B86" s="33">
        <v>39052</v>
      </c>
      <c r="C86" s="11">
        <v>101.9</v>
      </c>
      <c r="D86" s="11">
        <v>101.72490256002122</v>
      </c>
      <c r="E86" s="11">
        <v>0.17509743997878502</v>
      </c>
      <c r="F86" s="11">
        <v>3.0099583638360624E-2</v>
      </c>
      <c r="G86" s="11"/>
      <c r="H86" s="11"/>
      <c r="I86" s="11"/>
    </row>
    <row r="87" spans="2:9">
      <c r="B87" s="33">
        <v>39083</v>
      </c>
      <c r="C87" s="11">
        <v>107.5</v>
      </c>
      <c r="D87" s="11">
        <v>106.12001356813862</v>
      </c>
      <c r="E87" s="11">
        <v>1.3799864318613828</v>
      </c>
      <c r="F87" s="11">
        <v>0.23722229765693437</v>
      </c>
      <c r="G87" s="11"/>
      <c r="H87" s="11"/>
      <c r="I87" s="11"/>
    </row>
    <row r="88" spans="2:9">
      <c r="B88" s="33">
        <v>39114</v>
      </c>
      <c r="C88" s="11">
        <v>99.7</v>
      </c>
      <c r="D88" s="11">
        <v>104.83178563968877</v>
      </c>
      <c r="E88" s="11">
        <v>-5.131785639688772</v>
      </c>
      <c r="F88" s="11">
        <v>-0.882163731775092</v>
      </c>
      <c r="G88" s="11"/>
      <c r="H88" s="11"/>
      <c r="I88" s="11"/>
    </row>
    <row r="89" spans="2:9">
      <c r="B89" s="33">
        <v>39142</v>
      </c>
      <c r="C89" s="11">
        <v>101.9</v>
      </c>
      <c r="D89" s="11">
        <v>99.483124019671465</v>
      </c>
      <c r="E89" s="11">
        <v>2.4168759803285411</v>
      </c>
      <c r="F89" s="11">
        <v>0.41546558717396354</v>
      </c>
      <c r="G89" s="11"/>
      <c r="H89" s="11"/>
      <c r="I89" s="11"/>
    </row>
    <row r="90" spans="2:9">
      <c r="B90" s="33">
        <v>39173</v>
      </c>
      <c r="C90" s="11">
        <v>106.4</v>
      </c>
      <c r="D90" s="11">
        <v>107.86513802561626</v>
      </c>
      <c r="E90" s="11">
        <v>-1.4651380256162554</v>
      </c>
      <c r="F90" s="11">
        <v>-0.2518600189078849</v>
      </c>
      <c r="G90" s="11"/>
      <c r="H90" s="11"/>
      <c r="I90" s="11"/>
    </row>
    <row r="91" spans="2:9">
      <c r="B91" s="33">
        <v>39203</v>
      </c>
      <c r="C91" s="11">
        <v>108.5</v>
      </c>
      <c r="D91" s="11">
        <v>108.22845358752187</v>
      </c>
      <c r="E91" s="11">
        <v>0.27154641247813061</v>
      </c>
      <c r="F91" s="11">
        <v>4.6679345826372828E-2</v>
      </c>
      <c r="G91" s="11"/>
      <c r="H91" s="11"/>
      <c r="I91" s="11"/>
    </row>
    <row r="92" spans="2:9">
      <c r="B92" s="33">
        <v>39234</v>
      </c>
      <c r="C92" s="11">
        <v>108.5</v>
      </c>
      <c r="D92" s="11">
        <v>110.97506531203129</v>
      </c>
      <c r="E92" s="11">
        <v>-2.4750653120312904</v>
      </c>
      <c r="F92" s="11">
        <v>-0.42546844419265795</v>
      </c>
      <c r="G92" s="11"/>
      <c r="H92" s="11"/>
      <c r="I92" s="11"/>
    </row>
    <row r="93" spans="2:9">
      <c r="B93" s="33">
        <v>39264</v>
      </c>
      <c r="C93" s="11">
        <v>111.7</v>
      </c>
      <c r="D93" s="11">
        <v>104.97187699025797</v>
      </c>
      <c r="E93" s="11">
        <v>6.7281230097420348</v>
      </c>
      <c r="F93" s="11">
        <v>1.1565771680353851</v>
      </c>
      <c r="G93" s="11"/>
      <c r="H93" s="11"/>
      <c r="I93" s="11"/>
    </row>
    <row r="94" spans="2:9">
      <c r="B94" s="33">
        <v>39295</v>
      </c>
      <c r="C94" s="11">
        <v>113.3</v>
      </c>
      <c r="D94" s="11">
        <v>117.43629371586186</v>
      </c>
      <c r="E94" s="11">
        <v>-4.1362937158618678</v>
      </c>
      <c r="F94" s="11">
        <v>-0.7110367728305701</v>
      </c>
      <c r="G94" s="11"/>
      <c r="H94" s="11"/>
      <c r="I94" s="11"/>
    </row>
    <row r="95" spans="2:9">
      <c r="B95" s="33">
        <v>39326</v>
      </c>
      <c r="C95" s="11">
        <v>109.5</v>
      </c>
      <c r="D95" s="11">
        <v>110.17298658516302</v>
      </c>
      <c r="E95" s="11">
        <v>-0.67298658516301657</v>
      </c>
      <c r="F95" s="11">
        <v>-0.11568767658775157</v>
      </c>
      <c r="G95" s="11"/>
      <c r="H95" s="11"/>
      <c r="I95" s="11"/>
    </row>
    <row r="96" spans="2:9">
      <c r="B96" s="33">
        <v>39356</v>
      </c>
      <c r="C96" s="11">
        <v>112.3</v>
      </c>
      <c r="D96" s="11">
        <v>109.29398735018368</v>
      </c>
      <c r="E96" s="11">
        <v>3.0060126498163129</v>
      </c>
      <c r="F96" s="11">
        <v>0.51673930345343011</v>
      </c>
      <c r="G96" s="11"/>
      <c r="H96" s="11"/>
      <c r="I96" s="11"/>
    </row>
    <row r="97" spans="2:9">
      <c r="B97" s="33">
        <v>39387</v>
      </c>
      <c r="C97" s="11">
        <v>113.8</v>
      </c>
      <c r="D97" s="11">
        <v>115.90146487413757</v>
      </c>
      <c r="E97" s="11">
        <v>-2.1014648741375765</v>
      </c>
      <c r="F97" s="11">
        <v>-0.36124581689969193</v>
      </c>
      <c r="G97" s="11"/>
      <c r="H97" s="11"/>
      <c r="I97" s="11"/>
    </row>
    <row r="98" spans="2:9">
      <c r="B98" s="33">
        <v>39417</v>
      </c>
      <c r="C98" s="11">
        <v>107.1</v>
      </c>
      <c r="D98" s="11">
        <v>106.14915361661191</v>
      </c>
      <c r="E98" s="11">
        <v>0.95084638338808247</v>
      </c>
      <c r="F98" s="11">
        <v>0.16345230545626446</v>
      </c>
      <c r="G98" s="11"/>
      <c r="H98" s="11"/>
      <c r="I98" s="11"/>
    </row>
    <row r="99" spans="2:9">
      <c r="B99" s="33">
        <v>39448</v>
      </c>
      <c r="C99" s="11">
        <v>113.4</v>
      </c>
      <c r="D99" s="11">
        <v>111.92000185204539</v>
      </c>
      <c r="E99" s="11">
        <v>1.4799981479546176</v>
      </c>
      <c r="F99" s="11">
        <v>0.25441450225872081</v>
      </c>
      <c r="G99" s="11"/>
      <c r="H99" s="11"/>
      <c r="I99" s="11"/>
    </row>
    <row r="100" spans="2:9">
      <c r="B100" s="33">
        <v>39479</v>
      </c>
      <c r="C100" s="11">
        <v>110.5</v>
      </c>
      <c r="D100" s="11">
        <v>108.71275645690491</v>
      </c>
      <c r="E100" s="11">
        <v>1.7872435430950873</v>
      </c>
      <c r="F100" s="11">
        <v>0.30723057124095277</v>
      </c>
      <c r="G100" s="11"/>
      <c r="H100" s="11"/>
      <c r="I100" s="11"/>
    </row>
    <row r="101" spans="2:9">
      <c r="B101" s="33">
        <v>39508</v>
      </c>
      <c r="C101" s="11">
        <v>105.5</v>
      </c>
      <c r="D101" s="11">
        <v>110.19576277703169</v>
      </c>
      <c r="E101" s="11">
        <v>-4.695762777031689</v>
      </c>
      <c r="F101" s="11">
        <v>-0.80721057069875402</v>
      </c>
      <c r="G101" s="11"/>
      <c r="H101" s="11"/>
      <c r="I101" s="11"/>
    </row>
    <row r="102" spans="2:9">
      <c r="B102" s="33">
        <v>39539</v>
      </c>
      <c r="C102" s="11">
        <v>116.5</v>
      </c>
      <c r="D102" s="11">
        <v>112.35817109365661</v>
      </c>
      <c r="E102" s="11">
        <v>4.1418289063433917</v>
      </c>
      <c r="F102" s="11">
        <v>0.7119882826234778</v>
      </c>
      <c r="G102" s="11"/>
      <c r="H102" s="11"/>
      <c r="I102" s="11"/>
    </row>
    <row r="103" spans="2:9">
      <c r="B103" s="33">
        <v>39569</v>
      </c>
      <c r="C103" s="11">
        <v>114.2</v>
      </c>
      <c r="D103" s="11">
        <v>117.05875074545537</v>
      </c>
      <c r="E103" s="11">
        <v>-2.8587507454553673</v>
      </c>
      <c r="F103" s="11">
        <v>-0.49142470143758343</v>
      </c>
      <c r="G103" s="11"/>
      <c r="H103" s="11"/>
      <c r="I103" s="11"/>
    </row>
    <row r="104" spans="2:9">
      <c r="B104" s="33">
        <v>39600</v>
      </c>
      <c r="C104" s="11">
        <v>121.8</v>
      </c>
      <c r="D104" s="11">
        <v>116.96277279985009</v>
      </c>
      <c r="E104" s="11">
        <v>4.8372272001499113</v>
      </c>
      <c r="F104" s="11">
        <v>0.8315285746399611</v>
      </c>
      <c r="G104" s="11"/>
      <c r="H104" s="11"/>
      <c r="I104" s="11"/>
    </row>
    <row r="105" spans="2:9">
      <c r="B105" s="33">
        <v>39630</v>
      </c>
      <c r="C105" s="11">
        <v>121.2</v>
      </c>
      <c r="D105" s="11">
        <v>120.38409352993041</v>
      </c>
      <c r="E105" s="11">
        <v>0.81590647006959216</v>
      </c>
      <c r="F105" s="11">
        <v>0.14025587718423979</v>
      </c>
      <c r="G105" s="11"/>
      <c r="H105" s="11"/>
      <c r="I105" s="11"/>
    </row>
    <row r="106" spans="2:9">
      <c r="B106" s="33">
        <v>39661</v>
      </c>
      <c r="C106" s="11">
        <v>117.4</v>
      </c>
      <c r="D106" s="11">
        <v>124.3708050917437</v>
      </c>
      <c r="E106" s="11">
        <v>-6.9708050917436992</v>
      </c>
      <c r="F106" s="11">
        <v>-1.1982946804423376</v>
      </c>
      <c r="G106" s="11"/>
      <c r="H106" s="11"/>
      <c r="I106" s="11"/>
    </row>
    <row r="107" spans="2:9">
      <c r="B107" s="33">
        <v>39692</v>
      </c>
      <c r="C107" s="11">
        <v>123.5</v>
      </c>
      <c r="D107" s="11">
        <v>116.44977311611156</v>
      </c>
      <c r="E107" s="11">
        <v>7.0502268838884419</v>
      </c>
      <c r="F107" s="11">
        <v>1.2119474378764772</v>
      </c>
      <c r="G107" s="11"/>
      <c r="H107" s="11"/>
      <c r="I107" s="11"/>
    </row>
    <row r="108" spans="2:9">
      <c r="B108" s="33">
        <v>39722</v>
      </c>
      <c r="C108" s="11">
        <v>120.1</v>
      </c>
      <c r="D108" s="11">
        <v>122.27927881546083</v>
      </c>
      <c r="E108" s="11">
        <v>-2.1792788154608331</v>
      </c>
      <c r="F108" s="11">
        <v>-0.37462218171332728</v>
      </c>
      <c r="G108" s="11"/>
      <c r="H108" s="11"/>
      <c r="I108" s="11"/>
    </row>
    <row r="109" spans="2:9">
      <c r="B109" s="33">
        <v>39753</v>
      </c>
      <c r="C109" s="11">
        <v>117.5</v>
      </c>
      <c r="D109" s="11">
        <v>123.06826381673488</v>
      </c>
      <c r="E109" s="11">
        <v>-5.5682638167348841</v>
      </c>
      <c r="F109" s="11">
        <v>-0.95719516226265611</v>
      </c>
      <c r="G109" s="11"/>
      <c r="H109" s="11"/>
      <c r="I109" s="11"/>
    </row>
    <row r="110" spans="2:9">
      <c r="B110" s="33">
        <v>39783</v>
      </c>
      <c r="C110" s="11">
        <v>118.2</v>
      </c>
      <c r="D110" s="11">
        <v>112.20335198297973</v>
      </c>
      <c r="E110" s="11">
        <v>5.9966480170202772</v>
      </c>
      <c r="F110" s="11">
        <v>1.0308352227193063</v>
      </c>
      <c r="G110" s="11"/>
      <c r="H110" s="11"/>
      <c r="I110" s="11"/>
    </row>
    <row r="111" spans="2:9">
      <c r="B111" s="33">
        <v>39814</v>
      </c>
      <c r="C111" s="11">
        <v>109</v>
      </c>
      <c r="D111" s="11">
        <v>121.06714495687703</v>
      </c>
      <c r="E111" s="11">
        <v>-12.06714495687703</v>
      </c>
      <c r="F111" s="11">
        <v>-2.0743652160177177</v>
      </c>
      <c r="G111" s="11"/>
      <c r="H111" s="11"/>
      <c r="I111" s="11"/>
    </row>
    <row r="112" spans="2:9">
      <c r="B112" s="33">
        <v>39845</v>
      </c>
      <c r="C112" s="11">
        <v>109.7</v>
      </c>
      <c r="D112" s="11">
        <v>109.18751739717094</v>
      </c>
      <c r="E112" s="11">
        <v>0.51248260282906699</v>
      </c>
      <c r="F112" s="11">
        <v>8.8096736131191997E-2</v>
      </c>
      <c r="G112" s="11"/>
      <c r="H112" s="11"/>
      <c r="I112" s="11"/>
    </row>
    <row r="113" spans="2:9">
      <c r="B113" s="33">
        <v>39873</v>
      </c>
      <c r="C113" s="11">
        <v>106.3</v>
      </c>
      <c r="D113" s="11">
        <v>106.65374980360343</v>
      </c>
      <c r="E113" s="11">
        <v>-0.353749803603435</v>
      </c>
      <c r="F113" s="11">
        <v>-6.0810265426526657E-2</v>
      </c>
      <c r="G113" s="11"/>
      <c r="H113" s="11"/>
      <c r="I113" s="11"/>
    </row>
    <row r="114" spans="2:9">
      <c r="B114" s="33">
        <v>39904</v>
      </c>
      <c r="C114" s="11">
        <v>117.6</v>
      </c>
      <c r="D114" s="11">
        <v>114.91068295803628</v>
      </c>
      <c r="E114" s="11">
        <v>2.6893170419637187</v>
      </c>
      <c r="F114" s="11">
        <v>0.46229872489548218</v>
      </c>
      <c r="G114" s="11"/>
      <c r="H114" s="11"/>
      <c r="I114" s="11"/>
    </row>
    <row r="115" spans="2:9">
      <c r="B115" s="33">
        <v>39934</v>
      </c>
      <c r="C115" s="11">
        <v>112.5</v>
      </c>
      <c r="D115" s="11">
        <v>115.98650466682128</v>
      </c>
      <c r="E115" s="11">
        <v>-3.4865046668212756</v>
      </c>
      <c r="F115" s="11">
        <v>-0.59933679691283059</v>
      </c>
      <c r="G115" s="11"/>
      <c r="H115" s="11"/>
      <c r="I115" s="11"/>
    </row>
    <row r="116" spans="2:9">
      <c r="B116" s="33">
        <v>39965</v>
      </c>
      <c r="C116" s="11">
        <v>123.2</v>
      </c>
      <c r="D116" s="11">
        <v>119.03249525801267</v>
      </c>
      <c r="E116" s="11">
        <v>4.1675047419873295</v>
      </c>
      <c r="F116" s="11">
        <v>0.71640200770445639</v>
      </c>
      <c r="G116" s="11"/>
      <c r="H116" s="11"/>
      <c r="I116" s="11"/>
    </row>
    <row r="117" spans="2:9">
      <c r="B117" s="33">
        <v>39995</v>
      </c>
      <c r="C117" s="11">
        <v>119.9</v>
      </c>
      <c r="D117" s="11">
        <v>120.50790312705327</v>
      </c>
      <c r="E117" s="11">
        <v>-0.60790312705326244</v>
      </c>
      <c r="F117" s="11">
        <v>-0.10449970610065799</v>
      </c>
      <c r="G117" s="11"/>
      <c r="H117" s="11"/>
      <c r="I117" s="11"/>
    </row>
    <row r="118" spans="2:9">
      <c r="B118" s="33">
        <v>40026</v>
      </c>
      <c r="C118" s="11">
        <v>129.1</v>
      </c>
      <c r="D118" s="11">
        <v>121.32210285979964</v>
      </c>
      <c r="E118" s="11">
        <v>7.7778971402003521</v>
      </c>
      <c r="F118" s="11">
        <v>1.3370353417525214</v>
      </c>
      <c r="G118" s="11"/>
      <c r="H118" s="11"/>
      <c r="I118" s="11"/>
    </row>
    <row r="119" spans="2:9">
      <c r="B119" s="33">
        <v>40057</v>
      </c>
      <c r="C119" s="11">
        <v>172.3</v>
      </c>
      <c r="D119" s="11">
        <v>131.96011802455843</v>
      </c>
      <c r="E119" s="11">
        <v>40.339881975441585</v>
      </c>
      <c r="F119" s="11">
        <v>6.9345025925479868</v>
      </c>
      <c r="G119" s="11"/>
      <c r="H119" s="11"/>
      <c r="I119" s="11"/>
    </row>
    <row r="120" spans="2:9">
      <c r="B120" s="33">
        <v>40087</v>
      </c>
      <c r="C120" s="11">
        <v>171.8</v>
      </c>
      <c r="D120" s="11">
        <v>161.03181354732683</v>
      </c>
      <c r="E120" s="11">
        <v>10.768186452673177</v>
      </c>
      <c r="F120" s="11">
        <v>1.851071773550593</v>
      </c>
      <c r="G120" s="11"/>
      <c r="H120" s="11"/>
      <c r="I120" s="11"/>
    </row>
    <row r="121" spans="2:9">
      <c r="B121" s="33">
        <v>40118</v>
      </c>
      <c r="C121" s="11">
        <v>167.3</v>
      </c>
      <c r="D121" s="11">
        <v>169.83297503513941</v>
      </c>
      <c r="E121" s="11">
        <v>-2.5329750351394011</v>
      </c>
      <c r="F121" s="11">
        <v>-0.43542323596104743</v>
      </c>
      <c r="G121" s="11"/>
      <c r="H121" s="11"/>
      <c r="I121" s="11"/>
    </row>
    <row r="122" spans="2:9">
      <c r="B122" s="33">
        <v>40148</v>
      </c>
      <c r="C122" s="11">
        <v>169.1</v>
      </c>
      <c r="D122" s="11">
        <v>166.48930692475196</v>
      </c>
      <c r="E122" s="11">
        <v>2.6106930752480366</v>
      </c>
      <c r="F122" s="11">
        <v>0.44878311517311797</v>
      </c>
      <c r="G122" s="11"/>
      <c r="H122" s="11"/>
      <c r="I122" s="11"/>
    </row>
    <row r="123" spans="2:9">
      <c r="B123" s="33">
        <v>40179</v>
      </c>
      <c r="C123" s="11">
        <v>163.80000000000001</v>
      </c>
      <c r="D123" s="11">
        <v>166.82319872023595</v>
      </c>
      <c r="E123" s="11">
        <v>-3.0231987202359392</v>
      </c>
      <c r="F123" s="11">
        <v>-0.51969362171229772</v>
      </c>
      <c r="G123" s="11"/>
      <c r="H123" s="11"/>
      <c r="I123" s="11"/>
    </row>
    <row r="124" spans="2:9">
      <c r="B124" s="33">
        <v>40210</v>
      </c>
      <c r="C124" s="11">
        <v>166.3</v>
      </c>
      <c r="D124" s="11">
        <v>164.21975583270449</v>
      </c>
      <c r="E124" s="11">
        <v>2.0802441672955183</v>
      </c>
      <c r="F124" s="11">
        <v>0.35759793695047593</v>
      </c>
      <c r="G124" s="11"/>
      <c r="H124" s="11"/>
      <c r="I124" s="11"/>
    </row>
    <row r="125" spans="2:9">
      <c r="B125" s="33">
        <v>40238</v>
      </c>
      <c r="C125" s="11">
        <v>165</v>
      </c>
      <c r="D125" s="11">
        <v>163.63075365642138</v>
      </c>
      <c r="E125" s="11">
        <v>1.3692463435786237</v>
      </c>
      <c r="F125" s="11">
        <v>0.23537605601234235</v>
      </c>
      <c r="G125" s="11"/>
      <c r="H125" s="11"/>
      <c r="I125" s="11"/>
    </row>
    <row r="126" spans="2:9">
      <c r="B126" s="33">
        <v>40269</v>
      </c>
      <c r="C126" s="11">
        <v>173.6</v>
      </c>
      <c r="D126" s="11">
        <v>173.66483809169182</v>
      </c>
      <c r="E126" s="11">
        <v>-6.4838091691825639E-2</v>
      </c>
      <c r="F126" s="11">
        <v>-1.1145791532224907E-2</v>
      </c>
      <c r="G126" s="11"/>
      <c r="H126" s="11"/>
      <c r="I126" s="11"/>
    </row>
    <row r="127" spans="2:9">
      <c r="B127" s="33">
        <v>40299</v>
      </c>
      <c r="C127" s="11">
        <v>167.3</v>
      </c>
      <c r="D127" s="11">
        <v>171.23074145978623</v>
      </c>
      <c r="E127" s="11">
        <v>-3.9307414597862191</v>
      </c>
      <c r="F127" s="11">
        <v>-0.67570194826344721</v>
      </c>
      <c r="G127" s="11"/>
      <c r="H127" s="11"/>
      <c r="I127" s="11"/>
    </row>
    <row r="128" spans="2:9">
      <c r="B128" s="33">
        <v>40330</v>
      </c>
      <c r="C128" s="11">
        <v>181</v>
      </c>
      <c r="D128" s="11">
        <v>175.93186731983448</v>
      </c>
      <c r="E128" s="11">
        <v>5.0681326801655189</v>
      </c>
      <c r="F128" s="11">
        <v>0.87122166672130552</v>
      </c>
      <c r="G128" s="11"/>
      <c r="H128" s="11"/>
      <c r="I128" s="11"/>
    </row>
    <row r="129" spans="2:9">
      <c r="B129" s="33">
        <v>40360</v>
      </c>
      <c r="C129" s="11">
        <v>173.4</v>
      </c>
      <c r="D129" s="11">
        <v>176.86302955353932</v>
      </c>
      <c r="E129" s="11">
        <v>-3.4630295535393145</v>
      </c>
      <c r="F129" s="11">
        <v>-0.59530138020007928</v>
      </c>
      <c r="G129" s="11"/>
      <c r="H129" s="11"/>
      <c r="I129" s="11"/>
    </row>
    <row r="130" spans="2:9">
      <c r="B130" s="33">
        <v>40391</v>
      </c>
      <c r="C130" s="11">
        <v>182.8</v>
      </c>
      <c r="D130" s="11">
        <v>180.80105165929123</v>
      </c>
      <c r="E130" s="11">
        <v>1.9989483407087789</v>
      </c>
      <c r="F130" s="11">
        <v>0.34362302942416539</v>
      </c>
      <c r="G130" s="11"/>
      <c r="H130" s="11"/>
      <c r="I130" s="11"/>
    </row>
    <row r="131" spans="2:9">
      <c r="B131" s="33">
        <v>40422</v>
      </c>
      <c r="C131" s="11">
        <v>181.1</v>
      </c>
      <c r="D131" s="11">
        <v>202.42290935730009</v>
      </c>
      <c r="E131" s="11">
        <v>-21.322909357300091</v>
      </c>
      <c r="F131" s="11">
        <v>-3.6654487563667346</v>
      </c>
      <c r="G131" s="11"/>
      <c r="H131" s="11"/>
      <c r="I131" s="11"/>
    </row>
    <row r="132" spans="2:9">
      <c r="B132" s="33">
        <v>40452</v>
      </c>
      <c r="C132" s="11">
        <v>174.9</v>
      </c>
      <c r="D132" s="11">
        <v>184.75648633772136</v>
      </c>
      <c r="E132" s="11">
        <v>-9.8564863377213499</v>
      </c>
      <c r="F132" s="11">
        <v>-1.6943487862446656</v>
      </c>
      <c r="G132" s="11"/>
      <c r="H132" s="11"/>
      <c r="I132" s="11"/>
    </row>
    <row r="133" spans="2:9">
      <c r="B133" s="33">
        <v>40483</v>
      </c>
      <c r="C133" s="11">
        <v>185.5</v>
      </c>
      <c r="D133" s="11">
        <v>177.01327754420092</v>
      </c>
      <c r="E133" s="11">
        <v>8.4867224557990824</v>
      </c>
      <c r="F133" s="11">
        <v>1.4588837644047106</v>
      </c>
      <c r="G133" s="11"/>
      <c r="H133" s="11"/>
      <c r="I133" s="11"/>
    </row>
    <row r="134" spans="2:9">
      <c r="B134" s="33">
        <v>40513</v>
      </c>
      <c r="C134" s="11">
        <v>183.7</v>
      </c>
      <c r="D134" s="11">
        <v>180.81340536478041</v>
      </c>
      <c r="E134" s="11">
        <v>2.8865946352195806</v>
      </c>
      <c r="F134" s="11">
        <v>0.49621111915378063</v>
      </c>
      <c r="G134" s="11"/>
      <c r="H134" s="11"/>
      <c r="I134" s="11"/>
    </row>
    <row r="135" spans="2:9">
      <c r="B135" s="33">
        <v>40544</v>
      </c>
      <c r="C135" s="11">
        <v>176.9</v>
      </c>
      <c r="D135" s="11">
        <v>180.45277508886383</v>
      </c>
      <c r="E135" s="11">
        <v>-3.5527750888638252</v>
      </c>
      <c r="F135" s="11">
        <v>-0.61072880876212354</v>
      </c>
      <c r="G135" s="11"/>
      <c r="H135" s="11"/>
      <c r="I135" s="11"/>
    </row>
    <row r="136" spans="2:9">
      <c r="B136" s="33">
        <v>40575</v>
      </c>
      <c r="C136" s="11">
        <v>176.7</v>
      </c>
      <c r="D136" s="11">
        <v>177.95211596517584</v>
      </c>
      <c r="E136" s="11">
        <v>-1.2521159651758467</v>
      </c>
      <c r="F136" s="11">
        <v>-0.21524112073428014</v>
      </c>
      <c r="G136" s="11"/>
      <c r="H136" s="11"/>
      <c r="I136" s="11"/>
    </row>
    <row r="137" spans="2:9">
      <c r="B137" s="33">
        <v>40603</v>
      </c>
      <c r="C137" s="11">
        <v>166.3</v>
      </c>
      <c r="D137" s="11">
        <v>175.15747634026559</v>
      </c>
      <c r="E137" s="11">
        <v>-8.8574763402655776</v>
      </c>
      <c r="F137" s="11">
        <v>-1.5226170637384899</v>
      </c>
      <c r="G137" s="11"/>
      <c r="H137" s="11"/>
      <c r="I137" s="11"/>
    </row>
    <row r="138" spans="2:9">
      <c r="B138" s="33">
        <v>40634</v>
      </c>
      <c r="C138" s="11">
        <v>180.2</v>
      </c>
      <c r="D138" s="11">
        <v>176.83942395099382</v>
      </c>
      <c r="E138" s="11">
        <v>3.3605760490061698</v>
      </c>
      <c r="F138" s="11">
        <v>0.57768942751183783</v>
      </c>
      <c r="G138" s="11"/>
      <c r="H138" s="11"/>
      <c r="I138" s="11"/>
    </row>
    <row r="139" spans="2:9">
      <c r="B139" s="33">
        <v>40664</v>
      </c>
      <c r="C139" s="11">
        <v>184</v>
      </c>
      <c r="D139" s="11">
        <v>176.51548824130381</v>
      </c>
      <c r="E139" s="11">
        <v>7.4845117586961862</v>
      </c>
      <c r="F139" s="11">
        <v>1.2866018355292039</v>
      </c>
      <c r="G139" s="11"/>
      <c r="H139" s="11"/>
      <c r="I139" s="11"/>
    </row>
    <row r="140" spans="2:9">
      <c r="B140" s="33">
        <v>40695</v>
      </c>
      <c r="C140" s="11">
        <v>195.6</v>
      </c>
      <c r="D140" s="11">
        <v>191.37776298113661</v>
      </c>
      <c r="E140" s="11">
        <v>4.2222370188633818</v>
      </c>
      <c r="F140" s="11">
        <v>0.72581059040988172</v>
      </c>
      <c r="G140" s="11"/>
      <c r="H140" s="11"/>
      <c r="I140" s="11"/>
    </row>
    <row r="141" spans="2:9">
      <c r="B141" s="33">
        <v>40725</v>
      </c>
      <c r="C141" s="11">
        <v>186.2</v>
      </c>
      <c r="D141" s="11">
        <v>189.40121883189639</v>
      </c>
      <c r="E141" s="11">
        <v>-3.2012188318963979</v>
      </c>
      <c r="F141" s="11">
        <v>-0.55029561818285433</v>
      </c>
      <c r="G141" s="11"/>
      <c r="H141" s="11"/>
      <c r="I141" s="11"/>
    </row>
    <row r="142" spans="2:9">
      <c r="B142" s="33">
        <v>40756</v>
      </c>
      <c r="C142" s="11">
        <v>201</v>
      </c>
      <c r="D142" s="11">
        <v>194.46520839698326</v>
      </c>
      <c r="E142" s="11">
        <v>6.5347916030167426</v>
      </c>
      <c r="F142" s="11">
        <v>1.1233431307624535</v>
      </c>
      <c r="G142" s="11"/>
      <c r="H142" s="11"/>
      <c r="I142" s="11"/>
    </row>
    <row r="143" spans="2:9">
      <c r="B143" s="33">
        <v>40787</v>
      </c>
      <c r="C143" s="11">
        <v>194.1</v>
      </c>
      <c r="D143" s="11">
        <v>201.81056376787674</v>
      </c>
      <c r="E143" s="11">
        <v>-7.7105637678767494</v>
      </c>
      <c r="F143" s="11">
        <v>-1.3254606067241126</v>
      </c>
      <c r="G143" s="11"/>
      <c r="H143" s="11"/>
      <c r="I143" s="11"/>
    </row>
    <row r="144" spans="2:9">
      <c r="B144" s="33">
        <v>40817</v>
      </c>
      <c r="C144" s="11">
        <v>183.9</v>
      </c>
      <c r="D144" s="11">
        <v>191.95381472539302</v>
      </c>
      <c r="E144" s="11">
        <v>-8.0538147253930106</v>
      </c>
      <c r="F144" s="11">
        <v>-1.3844661004992349</v>
      </c>
      <c r="G144" s="11"/>
      <c r="H144" s="11"/>
      <c r="I144" s="11"/>
    </row>
    <row r="145" spans="2:9">
      <c r="B145" s="33">
        <v>40848</v>
      </c>
      <c r="C145" s="11">
        <v>196.5</v>
      </c>
      <c r="D145" s="11">
        <v>192.15881647349551</v>
      </c>
      <c r="E145" s="11">
        <v>4.3411835265044942</v>
      </c>
      <c r="F145" s="11">
        <v>0.74625772176524796</v>
      </c>
      <c r="G145" s="11"/>
      <c r="H145" s="11"/>
      <c r="I145" s="11"/>
    </row>
    <row r="146" spans="2:9">
      <c r="B146" s="33">
        <v>40878</v>
      </c>
      <c r="C146" s="11">
        <v>182.8</v>
      </c>
      <c r="D146" s="11">
        <v>191.7574111185958</v>
      </c>
      <c r="E146" s="11">
        <v>-8.9574111185957861</v>
      </c>
      <c r="F146" s="11">
        <v>-1.5397960425921819</v>
      </c>
      <c r="G146" s="11"/>
      <c r="H146" s="11"/>
      <c r="I146" s="11"/>
    </row>
    <row r="147" spans="2:9">
      <c r="B147" s="33">
        <v>40909</v>
      </c>
      <c r="C147" s="11">
        <v>187.8</v>
      </c>
      <c r="D147" s="11">
        <v>181.69914524201943</v>
      </c>
      <c r="E147" s="11">
        <v>6.100854757980585</v>
      </c>
      <c r="F147" s="11">
        <v>1.0487485600907482</v>
      </c>
      <c r="G147" s="11"/>
      <c r="H147" s="11"/>
      <c r="I147" s="11"/>
    </row>
    <row r="148" spans="2:9">
      <c r="B148" s="33">
        <v>40940</v>
      </c>
      <c r="C148" s="11">
        <v>189.8</v>
      </c>
      <c r="D148" s="11">
        <v>185.82146291171364</v>
      </c>
      <c r="E148" s="11">
        <v>3.9785370882863731</v>
      </c>
      <c r="F148" s="11">
        <v>0.68391810789298091</v>
      </c>
      <c r="G148" s="11"/>
      <c r="H148" s="11"/>
      <c r="I148" s="11"/>
    </row>
    <row r="149" spans="2:9">
      <c r="B149" s="33">
        <v>40969</v>
      </c>
      <c r="C149" s="11">
        <v>181.3</v>
      </c>
      <c r="D149" s="11">
        <v>182.80312709306222</v>
      </c>
      <c r="E149" s="11">
        <v>-1.5031270930622043</v>
      </c>
      <c r="F149" s="11">
        <v>-0.25839041200255947</v>
      </c>
      <c r="G149" s="11"/>
      <c r="H149" s="11"/>
      <c r="I149" s="11"/>
    </row>
    <row r="150" spans="2:9">
      <c r="B150" s="33">
        <v>41000</v>
      </c>
      <c r="C150" s="11">
        <v>194.9</v>
      </c>
      <c r="D150" s="11">
        <v>192.53125375644518</v>
      </c>
      <c r="E150" s="11">
        <v>2.3687462435548241</v>
      </c>
      <c r="F150" s="11">
        <v>0.40719199369545062</v>
      </c>
      <c r="G150" s="11"/>
      <c r="H150" s="11"/>
      <c r="I150" s="11"/>
    </row>
    <row r="151" spans="2:9">
      <c r="B151" s="33">
        <v>41030</v>
      </c>
      <c r="C151" s="11">
        <v>196</v>
      </c>
      <c r="D151" s="11">
        <v>195.74373784327292</v>
      </c>
      <c r="E151" s="11">
        <v>0.25626215672707531</v>
      </c>
      <c r="F151" s="11">
        <v>4.4051953133568619E-2</v>
      </c>
      <c r="G151" s="11"/>
      <c r="H151" s="11"/>
      <c r="I151" s="11"/>
    </row>
    <row r="152" spans="2:9">
      <c r="B152" s="33">
        <v>41061</v>
      </c>
      <c r="C152" s="11">
        <v>199.2</v>
      </c>
      <c r="D152" s="11">
        <v>204.66848770936429</v>
      </c>
      <c r="E152" s="11">
        <v>-5.4684877093642967</v>
      </c>
      <c r="F152" s="11">
        <v>-0.94004345924932287</v>
      </c>
      <c r="G152" s="11"/>
      <c r="H152" s="11"/>
      <c r="I152" s="11"/>
    </row>
    <row r="153" spans="2:9">
      <c r="B153" s="33">
        <v>41091</v>
      </c>
      <c r="C153" s="11">
        <v>199.1</v>
      </c>
      <c r="D153" s="11">
        <v>194.74160340273846</v>
      </c>
      <c r="E153" s="11">
        <v>4.3583965972615317</v>
      </c>
      <c r="F153" s="11">
        <v>0.74921668143357456</v>
      </c>
      <c r="G153" s="11"/>
      <c r="H153" s="11"/>
      <c r="I153" s="11"/>
    </row>
    <row r="154" spans="2:9">
      <c r="B154" s="33">
        <v>41122</v>
      </c>
      <c r="C154" s="11">
        <v>200.1</v>
      </c>
      <c r="D154" s="11">
        <v>207.76384358980241</v>
      </c>
      <c r="E154" s="11">
        <v>-7.6638435898024113</v>
      </c>
      <c r="F154" s="11">
        <v>-1.3174293190724025</v>
      </c>
      <c r="G154" s="11"/>
      <c r="H154" s="11"/>
      <c r="I154" s="11"/>
    </row>
    <row r="155" spans="2:9">
      <c r="B155" s="33">
        <v>41153</v>
      </c>
      <c r="C155" s="11">
        <v>198.9</v>
      </c>
      <c r="D155" s="11">
        <v>202.07659594255571</v>
      </c>
      <c r="E155" s="11">
        <v>-3.1765959425557071</v>
      </c>
      <c r="F155" s="11">
        <v>-0.54606289657814089</v>
      </c>
      <c r="G155" s="11"/>
      <c r="H155" s="11"/>
      <c r="I155" s="11"/>
    </row>
    <row r="156" spans="2:9">
      <c r="B156" s="33">
        <v>41183</v>
      </c>
      <c r="C156" s="11">
        <v>193.6</v>
      </c>
      <c r="D156" s="11">
        <v>194.03329478256376</v>
      </c>
      <c r="E156" s="11">
        <v>-0.43329478256376319</v>
      </c>
      <c r="F156" s="11">
        <v>-7.448419890903861E-2</v>
      </c>
      <c r="G156" s="11"/>
      <c r="H156" s="11"/>
      <c r="I156" s="11"/>
    </row>
    <row r="157" spans="2:9">
      <c r="B157" s="33">
        <v>41214</v>
      </c>
      <c r="C157" s="11">
        <v>198.5</v>
      </c>
      <c r="D157" s="11">
        <v>200.70841380202822</v>
      </c>
      <c r="E157" s="11">
        <v>-2.2084138020282182</v>
      </c>
      <c r="F157" s="11">
        <v>-0.3796305414306011</v>
      </c>
      <c r="G157" s="11"/>
      <c r="H157" s="11"/>
      <c r="I157" s="11"/>
    </row>
    <row r="158" spans="2:9">
      <c r="B158" s="33">
        <v>41244</v>
      </c>
      <c r="C158" s="11">
        <v>189.3</v>
      </c>
      <c r="D158" s="11">
        <v>190.24326457501908</v>
      </c>
      <c r="E158" s="11">
        <v>-0.94326457501907157</v>
      </c>
      <c r="F158" s="11">
        <v>-0.16214897814799134</v>
      </c>
      <c r="G158" s="11"/>
      <c r="H158" s="11"/>
      <c r="I158" s="11"/>
    </row>
    <row r="159" spans="2:9">
      <c r="B159" s="33">
        <v>41275</v>
      </c>
      <c r="C159" s="11">
        <v>197.2</v>
      </c>
      <c r="D159" s="11">
        <v>191.80037986355092</v>
      </c>
      <c r="E159" s="11">
        <v>5.399620136449073</v>
      </c>
      <c r="F159" s="11">
        <v>0.9282049922152884</v>
      </c>
      <c r="G159" s="11"/>
      <c r="H159" s="11"/>
      <c r="I159" s="11"/>
    </row>
    <row r="160" spans="2:9">
      <c r="B160" s="33">
        <v>41306</v>
      </c>
      <c r="C160" s="11">
        <v>189.6</v>
      </c>
      <c r="D160" s="11">
        <v>196.07914510414406</v>
      </c>
      <c r="E160" s="11">
        <v>-6.4791451041440666</v>
      </c>
      <c r="F160" s="11">
        <v>-1.1137773915534566</v>
      </c>
      <c r="G160" s="11"/>
      <c r="H160" s="11"/>
      <c r="I160" s="11"/>
    </row>
    <row r="161" spans="2:9">
      <c r="B161" s="33">
        <v>41334</v>
      </c>
      <c r="C161" s="11">
        <v>176.4</v>
      </c>
      <c r="D161" s="11">
        <v>185.40703109707471</v>
      </c>
      <c r="E161" s="11">
        <v>-9.0070310970747016</v>
      </c>
      <c r="F161" s="11">
        <v>-1.5483258114599663</v>
      </c>
      <c r="G161" s="11"/>
      <c r="H161" s="11"/>
      <c r="I161" s="11"/>
    </row>
    <row r="162" spans="2:9">
      <c r="B162" s="33">
        <v>41365</v>
      </c>
      <c r="C162" s="11">
        <v>198.1</v>
      </c>
      <c r="D162" s="11">
        <v>189.9365186224027</v>
      </c>
      <c r="E162" s="11">
        <v>8.163481377597293</v>
      </c>
      <c r="F162" s="11">
        <v>1.4033180070191804</v>
      </c>
      <c r="G162" s="11"/>
      <c r="H162" s="11"/>
      <c r="I162" s="11"/>
    </row>
    <row r="163" spans="2:9">
      <c r="B163" s="33">
        <v>41395</v>
      </c>
      <c r="C163" s="11">
        <v>199.8</v>
      </c>
      <c r="D163" s="11">
        <v>196.30223585482878</v>
      </c>
      <c r="E163" s="11">
        <v>3.4977641451712316</v>
      </c>
      <c r="F163" s="11">
        <v>0.6012723226998431</v>
      </c>
      <c r="G163" s="11"/>
      <c r="H163" s="11"/>
      <c r="I163" s="11"/>
    </row>
    <row r="164" spans="2:9">
      <c r="B164" s="33">
        <v>41426</v>
      </c>
      <c r="C164" s="11">
        <v>202.1</v>
      </c>
      <c r="D164" s="11">
        <v>204.00400904038412</v>
      </c>
      <c r="E164" s="11">
        <v>-1.9040090403841248</v>
      </c>
      <c r="F164" s="11">
        <v>-0.32730278276016167</v>
      </c>
      <c r="G164" s="11"/>
      <c r="H164" s="11"/>
      <c r="I164" s="11"/>
    </row>
    <row r="165" spans="2:9">
      <c r="B165" s="33">
        <v>41456</v>
      </c>
      <c r="C165" s="11">
        <v>204.5</v>
      </c>
      <c r="D165" s="11">
        <v>200.49018477043242</v>
      </c>
      <c r="E165" s="11">
        <v>4.0098152295675789</v>
      </c>
      <c r="F165" s="11">
        <v>0.68929487999004968</v>
      </c>
      <c r="G165" s="11"/>
      <c r="H165" s="11"/>
      <c r="I165" s="11"/>
    </row>
    <row r="166" spans="2:9">
      <c r="B166" s="33">
        <v>41487</v>
      </c>
      <c r="C166" s="11">
        <v>202.5</v>
      </c>
      <c r="D166" s="11">
        <v>207.70077852991398</v>
      </c>
      <c r="E166" s="11">
        <v>-5.2007785299139755</v>
      </c>
      <c r="F166" s="11">
        <v>-0.89402374109354554</v>
      </c>
      <c r="G166" s="11"/>
      <c r="H166" s="11"/>
      <c r="I166" s="11"/>
    </row>
    <row r="167" spans="2:9">
      <c r="B167" s="33">
        <v>41518</v>
      </c>
      <c r="C167" s="11">
        <v>202.7</v>
      </c>
      <c r="D167" s="11">
        <v>205.09819209443347</v>
      </c>
      <c r="E167" s="11">
        <v>-2.3981920944334831</v>
      </c>
      <c r="F167" s="11">
        <v>-0.41225379158028708</v>
      </c>
      <c r="G167" s="11"/>
      <c r="H167" s="11"/>
      <c r="I167" s="11"/>
    </row>
    <row r="168" spans="2:9">
      <c r="B168" s="33">
        <v>41548</v>
      </c>
      <c r="C168" s="11">
        <v>196.2</v>
      </c>
      <c r="D168" s="11">
        <v>199.27825231628194</v>
      </c>
      <c r="E168" s="11">
        <v>-3.0782523162819473</v>
      </c>
      <c r="F168" s="11">
        <v>-0.52915743979541829</v>
      </c>
      <c r="G168" s="11"/>
      <c r="H168" s="11"/>
      <c r="I168" s="11"/>
    </row>
    <row r="169" spans="2:9">
      <c r="B169" s="33">
        <v>41579</v>
      </c>
      <c r="C169" s="11">
        <v>203.5</v>
      </c>
      <c r="D169" s="11">
        <v>201.48663586075412</v>
      </c>
      <c r="E169" s="11">
        <v>2.0133641392458799</v>
      </c>
      <c r="F169" s="11">
        <v>0.34610113266675879</v>
      </c>
      <c r="G169" s="11"/>
      <c r="H169" s="11"/>
      <c r="I169" s="11"/>
    </row>
    <row r="170" spans="2:9">
      <c r="B170" s="33">
        <v>41609</v>
      </c>
      <c r="C170" s="11">
        <v>196.4</v>
      </c>
      <c r="D170" s="11">
        <v>195.99710532300051</v>
      </c>
      <c r="E170" s="11">
        <v>0.40289467699949455</v>
      </c>
      <c r="F170" s="11">
        <v>6.9258362825098355E-2</v>
      </c>
      <c r="G170" s="11"/>
      <c r="H170" s="11"/>
      <c r="I170" s="11"/>
    </row>
    <row r="171" spans="2:9">
      <c r="B171" s="33">
        <v>41640</v>
      </c>
      <c r="C171" s="11">
        <v>197.7</v>
      </c>
      <c r="D171" s="11">
        <v>199.50130953014997</v>
      </c>
      <c r="E171" s="11">
        <v>-1.8013095301499789</v>
      </c>
      <c r="F171" s="11">
        <v>-0.30964854122307306</v>
      </c>
      <c r="G171" s="11"/>
      <c r="H171" s="11"/>
      <c r="I171" s="11"/>
    </row>
    <row r="172" spans="2:9">
      <c r="B172" s="33">
        <v>41671</v>
      </c>
      <c r="C172" s="11">
        <v>193</v>
      </c>
      <c r="D172" s="11">
        <v>194.40196303406856</v>
      </c>
      <c r="E172" s="11">
        <v>-1.401963034068558</v>
      </c>
      <c r="F172" s="11">
        <v>-0.24100011746002228</v>
      </c>
      <c r="G172" s="11"/>
      <c r="H172" s="11"/>
      <c r="I172" s="11"/>
    </row>
    <row r="173" spans="2:9">
      <c r="B173" s="33">
        <v>41699</v>
      </c>
      <c r="C173" s="11">
        <v>180.1</v>
      </c>
      <c r="D173" s="11">
        <v>185.42612333137953</v>
      </c>
      <c r="E173" s="11">
        <v>-5.3261233313795344</v>
      </c>
      <c r="F173" s="11">
        <v>-0.91557075135139632</v>
      </c>
      <c r="G173" s="11"/>
      <c r="H173" s="11"/>
      <c r="I173" s="11"/>
    </row>
    <row r="174" spans="2:9">
      <c r="B174" s="33">
        <v>41730</v>
      </c>
      <c r="C174" s="11">
        <v>203.7</v>
      </c>
      <c r="D174" s="11">
        <v>196.38668844792844</v>
      </c>
      <c r="E174" s="11">
        <v>7.3133115520715535</v>
      </c>
      <c r="F174" s="11">
        <v>1.2571721937318876</v>
      </c>
      <c r="G174" s="11"/>
      <c r="H174" s="11"/>
      <c r="I174" s="11"/>
    </row>
    <row r="175" spans="2:9">
      <c r="B175" s="33">
        <v>41760</v>
      </c>
      <c r="C175" s="11">
        <v>202.8</v>
      </c>
      <c r="D175" s="11">
        <v>202.6146975276271</v>
      </c>
      <c r="E175" s="11">
        <v>0.18530247237291064</v>
      </c>
      <c r="F175" s="11">
        <v>3.1853848155970824E-2</v>
      </c>
      <c r="G175" s="11"/>
      <c r="H175" s="11"/>
      <c r="I175" s="11"/>
    </row>
    <row r="176" spans="2:9">
      <c r="B176" s="33">
        <v>41791</v>
      </c>
      <c r="C176" s="11">
        <v>209.1</v>
      </c>
      <c r="D176" s="11">
        <v>207.49557132013712</v>
      </c>
      <c r="E176" s="11">
        <v>1.6044286798628775</v>
      </c>
      <c r="F176" s="11">
        <v>0.27580434783722929</v>
      </c>
      <c r="G176" s="11"/>
      <c r="H176" s="11"/>
      <c r="I176" s="11"/>
    </row>
    <row r="177" spans="2:9">
      <c r="B177" s="33">
        <v>41821</v>
      </c>
      <c r="C177" s="11">
        <v>208.2</v>
      </c>
      <c r="D177" s="11">
        <v>207.90643878065706</v>
      </c>
      <c r="E177" s="11">
        <v>0.29356121934293355</v>
      </c>
      <c r="F177" s="11">
        <v>5.0463733082918544E-2</v>
      </c>
      <c r="G177" s="11"/>
      <c r="H177" s="11"/>
      <c r="I177" s="11"/>
    </row>
    <row r="178" spans="2:9">
      <c r="B178" s="33">
        <v>41852</v>
      </c>
      <c r="C178" s="11">
        <v>214.7</v>
      </c>
      <c r="D178" s="11">
        <v>211.16434802297752</v>
      </c>
      <c r="E178" s="11">
        <v>3.5356519770224679</v>
      </c>
      <c r="F178" s="11">
        <v>0.60778531320284879</v>
      </c>
      <c r="G178" s="11"/>
      <c r="H178" s="11"/>
      <c r="I178" s="11"/>
    </row>
    <row r="179" spans="2:9">
      <c r="B179" s="33">
        <v>41883</v>
      </c>
      <c r="C179" s="11">
        <v>210.1</v>
      </c>
      <c r="D179" s="11">
        <v>216.17707283759313</v>
      </c>
      <c r="E179" s="11">
        <v>-6.0770728375931355</v>
      </c>
      <c r="F179" s="11">
        <v>-1.0446604026518409</v>
      </c>
      <c r="G179" s="11"/>
      <c r="H179" s="11"/>
      <c r="I179" s="11"/>
    </row>
    <row r="180" spans="2:9">
      <c r="B180" s="33">
        <v>41913</v>
      </c>
      <c r="C180" s="11">
        <v>206.9</v>
      </c>
      <c r="D180" s="11">
        <v>206.89023662647128</v>
      </c>
      <c r="E180" s="11">
        <v>9.7633735287274703E-3</v>
      </c>
      <c r="F180" s="11">
        <v>1.6783425169214045E-3</v>
      </c>
      <c r="G180" s="11"/>
      <c r="H180" s="11"/>
      <c r="I180" s="11"/>
    </row>
    <row r="181" spans="2:9">
      <c r="B181" s="33">
        <v>41944</v>
      </c>
      <c r="C181" s="11">
        <v>210.4</v>
      </c>
      <c r="D181" s="11">
        <v>212.69269056839897</v>
      </c>
      <c r="E181" s="11">
        <v>-2.2926905683989673</v>
      </c>
      <c r="F181" s="11">
        <v>-0.39411787818694827</v>
      </c>
      <c r="G181" s="11"/>
      <c r="H181" s="11"/>
      <c r="I181" s="11"/>
    </row>
    <row r="182" spans="2:9">
      <c r="B182" s="33">
        <v>41974</v>
      </c>
      <c r="C182" s="11">
        <v>204.4</v>
      </c>
      <c r="D182" s="11">
        <v>204.39841545698422</v>
      </c>
      <c r="E182" s="11">
        <v>1.584543015781037E-3</v>
      </c>
      <c r="F182" s="11">
        <v>2.7238596428285966E-4</v>
      </c>
      <c r="G182" s="11"/>
      <c r="H182" s="11"/>
      <c r="I182" s="11"/>
    </row>
    <row r="183" spans="2:9">
      <c r="B183" s="33">
        <v>42005</v>
      </c>
      <c r="C183" s="11">
        <v>203.9</v>
      </c>
      <c r="D183" s="11">
        <v>205.56853534350151</v>
      </c>
      <c r="E183" s="11">
        <v>-1.6685353435015031</v>
      </c>
      <c r="F183" s="11">
        <v>-0.28682440549313137</v>
      </c>
      <c r="G183" s="11"/>
      <c r="H183" s="11"/>
      <c r="I183" s="11"/>
    </row>
    <row r="184" spans="2:9">
      <c r="B184" s="33">
        <v>42036</v>
      </c>
      <c r="C184" s="11">
        <v>199.1</v>
      </c>
      <c r="D184" s="11">
        <v>201.53528752280386</v>
      </c>
      <c r="E184" s="11">
        <v>-2.4352875228038613</v>
      </c>
      <c r="F184" s="11">
        <v>-0.41863056641474666</v>
      </c>
      <c r="G184" s="11"/>
      <c r="H184" s="11"/>
      <c r="I184" s="11"/>
    </row>
    <row r="185" spans="2:9">
      <c r="B185" s="33">
        <v>42064</v>
      </c>
      <c r="C185" s="11">
        <v>183.1</v>
      </c>
      <c r="D185" s="11">
        <v>191.35988211255562</v>
      </c>
      <c r="E185" s="11">
        <v>-8.2598821125556299</v>
      </c>
      <c r="F185" s="11">
        <v>-1.4198894770819606</v>
      </c>
      <c r="G185" s="11"/>
      <c r="H185" s="11"/>
      <c r="I185" s="11"/>
    </row>
    <row r="186" spans="2:9">
      <c r="B186" s="33">
        <v>42095</v>
      </c>
      <c r="C186" s="11">
        <v>206.2</v>
      </c>
      <c r="D186" s="11">
        <v>201.35390932766009</v>
      </c>
      <c r="E186" s="11">
        <v>4.8460906723398978</v>
      </c>
      <c r="F186" s="11">
        <v>0.83305222240169374</v>
      </c>
      <c r="G186" s="11"/>
      <c r="H186" s="11"/>
      <c r="I186" s="11"/>
    </row>
    <row r="187" spans="2:9">
      <c r="B187" s="33">
        <v>42125</v>
      </c>
      <c r="C187" s="11">
        <v>204</v>
      </c>
      <c r="D187" s="11">
        <v>204.47639791863793</v>
      </c>
      <c r="E187" s="11">
        <v>-0.4763979186379288</v>
      </c>
      <c r="F187" s="11">
        <v>-8.1893710147450657E-2</v>
      </c>
      <c r="G187" s="11"/>
      <c r="H187" s="11"/>
      <c r="I187" s="11"/>
    </row>
    <row r="188" spans="2:9">
      <c r="B188" s="33">
        <v>42156</v>
      </c>
      <c r="C188" s="11">
        <v>207.7</v>
      </c>
      <c r="D188" s="11">
        <v>210.10542234283108</v>
      </c>
      <c r="E188" s="11">
        <v>-2.4054223428310877</v>
      </c>
      <c r="F188" s="11">
        <v>-0.41349668505946185</v>
      </c>
      <c r="G188" s="11"/>
      <c r="H188" s="11"/>
      <c r="I188" s="11"/>
    </row>
    <row r="189" spans="2:9">
      <c r="B189" s="33">
        <v>42186</v>
      </c>
      <c r="C189" s="11">
        <v>204.9</v>
      </c>
      <c r="D189" s="11">
        <v>206.20751348217223</v>
      </c>
      <c r="E189" s="11">
        <v>-1.3075134821722258</v>
      </c>
      <c r="F189" s="11">
        <v>-0.22476405948422445</v>
      </c>
      <c r="G189" s="11"/>
      <c r="H189" s="11"/>
      <c r="I189" s="11"/>
    </row>
    <row r="190" spans="2:9">
      <c r="B190" s="33">
        <v>42217</v>
      </c>
      <c r="C190" s="11">
        <v>210</v>
      </c>
      <c r="D190" s="11">
        <v>210.9872495532407</v>
      </c>
      <c r="E190" s="11">
        <v>-0.98724955324070152</v>
      </c>
      <c r="F190" s="11">
        <v>-0.16971007973219399</v>
      </c>
      <c r="G190" s="11"/>
      <c r="H190" s="11"/>
      <c r="I190" s="11"/>
    </row>
    <row r="191" spans="2:9">
      <c r="B191" s="33">
        <v>42248</v>
      </c>
      <c r="C191" s="11">
        <v>206.7</v>
      </c>
      <c r="D191" s="11">
        <v>209.65096765102172</v>
      </c>
      <c r="E191" s="11">
        <v>-2.9509676510217275</v>
      </c>
      <c r="F191" s="11">
        <v>-0.50727696325421401</v>
      </c>
      <c r="G191" s="11"/>
      <c r="H191" s="11"/>
      <c r="I191" s="11"/>
    </row>
    <row r="192" spans="2:9">
      <c r="B192" s="33">
        <v>42278</v>
      </c>
      <c r="C192" s="11">
        <v>202.5</v>
      </c>
      <c r="D192" s="11">
        <v>203.88470947447655</v>
      </c>
      <c r="E192" s="11">
        <v>-1.3847094744765513</v>
      </c>
      <c r="F192" s="11">
        <v>-0.23803419768379958</v>
      </c>
      <c r="G192" s="11"/>
      <c r="H192" s="11"/>
      <c r="I192" s="11"/>
    </row>
    <row r="193" spans="2:9">
      <c r="B193" s="33">
        <v>42309</v>
      </c>
      <c r="C193" s="11">
        <v>211.1</v>
      </c>
      <c r="D193" s="11">
        <v>207.06601056888454</v>
      </c>
      <c r="E193" s="11">
        <v>4.033989431115458</v>
      </c>
      <c r="F193" s="11">
        <v>0.69345047130805604</v>
      </c>
      <c r="G193" s="11"/>
      <c r="H193" s="11"/>
      <c r="I193" s="11"/>
    </row>
    <row r="194" spans="2:9">
      <c r="B194" s="33">
        <v>42339</v>
      </c>
      <c r="C194" s="11">
        <v>205.6</v>
      </c>
      <c r="D194" s="11">
        <v>204.25158263276873</v>
      </c>
      <c r="E194" s="11">
        <v>1.3484173672312636</v>
      </c>
      <c r="F194" s="11">
        <v>0.23179551528173678</v>
      </c>
      <c r="G194" s="11"/>
      <c r="H194" s="11"/>
      <c r="I194" s="11"/>
    </row>
    <row r="195" spans="2:9">
      <c r="B195" s="33">
        <v>42370</v>
      </c>
      <c r="C195" s="11">
        <v>214.4</v>
      </c>
      <c r="D195" s="11">
        <v>205.75678020049483</v>
      </c>
      <c r="E195" s="11">
        <v>8.6432197995051752</v>
      </c>
      <c r="F195" s="11">
        <v>1.4857859560451683</v>
      </c>
      <c r="G195" s="11"/>
      <c r="H195" s="11"/>
      <c r="I195" s="11"/>
    </row>
    <row r="196" spans="2:9">
      <c r="B196" s="33">
        <v>42401</v>
      </c>
      <c r="C196" s="11">
        <v>214.9</v>
      </c>
      <c r="D196" s="11">
        <v>209.58448785786774</v>
      </c>
      <c r="E196" s="11">
        <v>5.3155121421322633</v>
      </c>
      <c r="F196" s="11">
        <v>0.91374666769666435</v>
      </c>
      <c r="G196" s="11"/>
      <c r="H196" s="11"/>
      <c r="I196" s="11"/>
    </row>
    <row r="197" spans="2:9">
      <c r="B197" s="33">
        <v>42430</v>
      </c>
      <c r="C197" s="11">
        <v>203.6</v>
      </c>
      <c r="D197" s="11">
        <v>203.84540317399927</v>
      </c>
      <c r="E197" s="11">
        <v>-0.24540317399927858</v>
      </c>
      <c r="F197" s="11">
        <v>-4.2185273307281994E-2</v>
      </c>
      <c r="G197" s="11"/>
      <c r="H197" s="11"/>
      <c r="I197" s="11"/>
    </row>
    <row r="198" spans="2:9">
      <c r="B198" s="33">
        <v>42461</v>
      </c>
      <c r="C198" s="11">
        <v>221.9</v>
      </c>
      <c r="D198" s="11">
        <v>220.85752811656545</v>
      </c>
      <c r="E198" s="11">
        <v>1.0424718834345583</v>
      </c>
      <c r="F198" s="11">
        <v>0.17920290353690838</v>
      </c>
      <c r="G198" s="11"/>
      <c r="H198" s="11"/>
      <c r="I198" s="11"/>
    </row>
    <row r="199" spans="2:9">
      <c r="B199" s="33">
        <v>42491</v>
      </c>
      <c r="C199" s="11">
        <v>220.3</v>
      </c>
      <c r="D199" s="11">
        <v>221.1357446876172</v>
      </c>
      <c r="E199" s="11">
        <v>-0.83574468761719345</v>
      </c>
      <c r="F199" s="11">
        <v>-0.14366610458894866</v>
      </c>
      <c r="G199" s="11"/>
      <c r="H199" s="11"/>
      <c r="I199" s="11"/>
    </row>
    <row r="200" spans="2:9">
      <c r="B200" s="33">
        <v>42522</v>
      </c>
      <c r="C200" s="11">
        <v>228.4</v>
      </c>
      <c r="D200" s="11">
        <v>225.95525483978332</v>
      </c>
      <c r="E200" s="11">
        <v>2.4447451602166836</v>
      </c>
      <c r="F200" s="11">
        <v>0.42025635231066283</v>
      </c>
      <c r="G200" s="11"/>
      <c r="H200" s="11"/>
      <c r="I200" s="11"/>
    </row>
    <row r="201" spans="2:9">
      <c r="B201" s="33">
        <v>42552</v>
      </c>
      <c r="C201" s="11">
        <v>217.7</v>
      </c>
      <c r="D201" s="11">
        <v>225.07192308380041</v>
      </c>
      <c r="E201" s="11">
        <v>-7.371923083800425</v>
      </c>
      <c r="F201" s="11">
        <v>-1.267247627739714</v>
      </c>
      <c r="G201" s="11"/>
      <c r="H201" s="11"/>
      <c r="I201" s="11"/>
    </row>
    <row r="202" spans="2:9">
      <c r="B202" s="33">
        <v>42583</v>
      </c>
      <c r="C202" s="11">
        <v>226.7</v>
      </c>
      <c r="D202" s="11">
        <v>224.81485621787903</v>
      </c>
      <c r="E202" s="11">
        <v>1.8851437821209629</v>
      </c>
      <c r="F202" s="11">
        <v>0.32405980891074321</v>
      </c>
      <c r="G202" s="11"/>
      <c r="H202" s="11"/>
      <c r="I202" s="11"/>
    </row>
    <row r="203" spans="2:9">
      <c r="B203" s="33">
        <v>42614</v>
      </c>
      <c r="C203" s="11">
        <v>218.6</v>
      </c>
      <c r="D203" s="11">
        <v>226.46201860001847</v>
      </c>
      <c r="E203" s="11">
        <v>-7.8620186000184731</v>
      </c>
      <c r="F203" s="11">
        <v>-1.3514959810164837</v>
      </c>
      <c r="G203" s="11"/>
      <c r="H203" s="11"/>
      <c r="I203" s="11"/>
    </row>
    <row r="204" spans="2:9">
      <c r="B204" s="33">
        <v>42644</v>
      </c>
      <c r="C204" s="11">
        <v>220.4</v>
      </c>
      <c r="D204" s="11">
        <v>216.45222818737489</v>
      </c>
      <c r="E204" s="11">
        <v>3.9477718126251204</v>
      </c>
      <c r="F204" s="11">
        <v>0.67862949837341691</v>
      </c>
      <c r="G204" s="11"/>
      <c r="H204" s="11"/>
      <c r="I204" s="11"/>
    </row>
    <row r="205" spans="2:9">
      <c r="B205" s="33">
        <v>42675</v>
      </c>
      <c r="C205" s="11">
        <v>233.8</v>
      </c>
      <c r="D205" s="11">
        <v>226.00869468934087</v>
      </c>
      <c r="E205" s="11">
        <v>7.7913053106591406</v>
      </c>
      <c r="F205" s="11">
        <v>1.3393402318080847</v>
      </c>
      <c r="G205" s="11"/>
      <c r="H205" s="11"/>
      <c r="I205" s="11"/>
    </row>
    <row r="206" spans="2:9">
      <c r="B206" s="33">
        <v>42705</v>
      </c>
      <c r="C206" s="11">
        <v>217.1</v>
      </c>
      <c r="D206" s="11">
        <v>225.7830073778517</v>
      </c>
      <c r="E206" s="11">
        <v>-8.683007377851709</v>
      </c>
      <c r="F206" s="11">
        <v>-1.49262551659131</v>
      </c>
      <c r="G206" s="11"/>
      <c r="H206" s="11"/>
      <c r="I206" s="11"/>
    </row>
    <row r="207" spans="2:9">
      <c r="B207" s="33">
        <v>42736</v>
      </c>
      <c r="C207" s="11">
        <v>226.1</v>
      </c>
      <c r="D207" s="11">
        <v>223.61155858823733</v>
      </c>
      <c r="E207" s="11">
        <v>2.4884414117626648</v>
      </c>
      <c r="F207" s="11">
        <v>0.42776782122905743</v>
      </c>
      <c r="G207" s="11"/>
      <c r="H207" s="11"/>
      <c r="I207" s="11"/>
    </row>
    <row r="208" spans="2:9">
      <c r="B208" s="33">
        <v>42767</v>
      </c>
      <c r="C208" s="11">
        <v>222.6</v>
      </c>
      <c r="D208" s="11">
        <v>225.06921202189685</v>
      </c>
      <c r="E208" s="11">
        <v>-2.4692120218968512</v>
      </c>
      <c r="F208" s="11">
        <v>-0.4244622524631701</v>
      </c>
      <c r="G208" s="11"/>
      <c r="H208" s="11"/>
      <c r="I208" s="11"/>
    </row>
    <row r="209" spans="2:9">
      <c r="B209" s="33">
        <v>42795</v>
      </c>
      <c r="C209" s="11">
        <v>209.7</v>
      </c>
      <c r="D209" s="11">
        <v>214.64755038618705</v>
      </c>
      <c r="E209" s="11">
        <v>-4.9475503861870607</v>
      </c>
      <c r="F209" s="11">
        <v>-0.85049334057701842</v>
      </c>
      <c r="G209" s="11"/>
      <c r="H209" s="11"/>
      <c r="I209" s="11"/>
    </row>
    <row r="210" spans="2:9">
      <c r="B210" s="33">
        <v>42826</v>
      </c>
      <c r="C210" s="11">
        <v>220.9</v>
      </c>
      <c r="D210" s="11">
        <v>226.05110243529754</v>
      </c>
      <c r="E210" s="11">
        <v>-5.1511024352975312</v>
      </c>
      <c r="F210" s="11">
        <v>-0.88548432575477221</v>
      </c>
      <c r="G210" s="11"/>
      <c r="H210" s="11"/>
      <c r="I210" s="11"/>
    </row>
    <row r="211" spans="2:9">
      <c r="B211" s="33">
        <v>42856</v>
      </c>
      <c r="C211" s="11">
        <v>230</v>
      </c>
      <c r="D211" s="11">
        <v>221.32525319159166</v>
      </c>
      <c r="E211" s="11">
        <v>8.6747468084083437</v>
      </c>
      <c r="F211" s="11">
        <v>1.4912055089607519</v>
      </c>
      <c r="G211" s="11"/>
      <c r="H211" s="11"/>
      <c r="I211" s="11"/>
    </row>
    <row r="212" spans="2:9">
      <c r="B212" s="33">
        <v>42887</v>
      </c>
      <c r="C212" s="11">
        <v>228.9</v>
      </c>
      <c r="D212" s="11">
        <v>234.74936655137304</v>
      </c>
      <c r="E212" s="11">
        <v>-5.8493665513730377</v>
      </c>
      <c r="F212" s="11">
        <v>-1.0055172580810652</v>
      </c>
      <c r="G212" s="11"/>
      <c r="H212" s="11"/>
      <c r="I212" s="11"/>
    </row>
    <row r="213" spans="2:9">
      <c r="B213" s="33">
        <v>42917</v>
      </c>
      <c r="C213" s="11">
        <v>232.2</v>
      </c>
      <c r="D213" s="11">
        <v>224.11373929286862</v>
      </c>
      <c r="E213" s="11">
        <v>8.0862607071313732</v>
      </c>
      <c r="F213" s="11">
        <v>1.3900436265965948</v>
      </c>
      <c r="G213" s="11"/>
      <c r="H213" s="11"/>
      <c r="I213" s="11"/>
    </row>
    <row r="214" spans="2:9">
      <c r="B214" s="33">
        <v>42948</v>
      </c>
      <c r="C214" s="11">
        <v>242.1</v>
      </c>
      <c r="D214" s="11">
        <v>237.51699280378412</v>
      </c>
      <c r="E214" s="11">
        <v>4.583007196215874</v>
      </c>
      <c r="F214" s="11">
        <v>0.7878276714635124</v>
      </c>
      <c r="G214" s="11"/>
      <c r="H214" s="11"/>
      <c r="I214" s="11"/>
    </row>
    <row r="215" spans="2:9">
      <c r="B215" s="33">
        <v>42979</v>
      </c>
      <c r="C215" s="11">
        <v>231.9</v>
      </c>
      <c r="D215" s="11">
        <v>238.33710316913385</v>
      </c>
      <c r="E215" s="11">
        <v>-6.4371031691338487</v>
      </c>
      <c r="F215" s="11">
        <v>-1.1065503028004062</v>
      </c>
      <c r="G215" s="11"/>
      <c r="H215" s="11"/>
      <c r="I215" s="11"/>
    </row>
    <row r="216" spans="2:9">
      <c r="B216" s="33">
        <v>43009</v>
      </c>
      <c r="C216" s="11">
        <v>235</v>
      </c>
      <c r="D216" s="11">
        <v>232.39946217033255</v>
      </c>
      <c r="E216" s="11">
        <v>2.6005378296674451</v>
      </c>
      <c r="F216" s="11">
        <v>0.44703740910363948</v>
      </c>
      <c r="G216" s="11"/>
      <c r="H216" s="11"/>
      <c r="I216" s="11"/>
    </row>
    <row r="217" spans="2:9">
      <c r="B217" s="33">
        <v>43040</v>
      </c>
      <c r="C217" s="11">
        <v>247</v>
      </c>
      <c r="D217" s="11">
        <v>243.28358902114243</v>
      </c>
      <c r="E217" s="11">
        <v>3.7164109788575672</v>
      </c>
      <c r="F217" s="11">
        <v>0.63885813011428605</v>
      </c>
      <c r="G217" s="11"/>
      <c r="H217" s="11"/>
      <c r="I217" s="11"/>
    </row>
    <row r="218" spans="2:9">
      <c r="B218" s="33">
        <v>43070</v>
      </c>
      <c r="C218" s="11">
        <v>241.5</v>
      </c>
      <c r="D218" s="11">
        <v>235.85007203955712</v>
      </c>
      <c r="E218" s="11">
        <v>5.6499279604428807</v>
      </c>
      <c r="F218" s="11">
        <v>0.97123338420406058</v>
      </c>
      <c r="G218" s="11"/>
      <c r="H218" s="11"/>
      <c r="I218" s="11"/>
    </row>
    <row r="219" spans="2:9">
      <c r="B219" s="33">
        <v>43101</v>
      </c>
      <c r="C219" s="11"/>
      <c r="D219" s="11">
        <v>245.04482846036103</v>
      </c>
      <c r="E219" s="11"/>
      <c r="F219" s="11"/>
      <c r="G219" s="11">
        <v>5.8172711650280391</v>
      </c>
      <c r="H219" s="11">
        <v>233.64318648860271</v>
      </c>
      <c r="I219" s="11">
        <v>256.44647043211933</v>
      </c>
    </row>
    <row r="220" spans="2:9">
      <c r="B220" s="33">
        <v>43132</v>
      </c>
      <c r="C220" s="11"/>
      <c r="D220" s="11">
        <v>242.69784025092076</v>
      </c>
      <c r="E220" s="11"/>
      <c r="F220" s="11"/>
      <c r="G220" s="11">
        <v>7.3482695999010632</v>
      </c>
      <c r="H220" s="11">
        <v>228.29549648642413</v>
      </c>
      <c r="I220" s="11">
        <v>257.10018401541737</v>
      </c>
    </row>
    <row r="221" spans="2:9">
      <c r="B221" s="33">
        <v>43160</v>
      </c>
      <c r="C221" s="11"/>
      <c r="D221" s="11">
        <v>233.52777278464785</v>
      </c>
      <c r="E221" s="11"/>
      <c r="F221" s="11"/>
      <c r="G221" s="11">
        <v>8.6067102640635458</v>
      </c>
      <c r="H221" s="11">
        <v>216.65893064171209</v>
      </c>
      <c r="I221" s="11">
        <v>250.39661492758361</v>
      </c>
    </row>
    <row r="222" spans="2:9">
      <c r="B222" s="33">
        <v>43191</v>
      </c>
      <c r="C222" s="11"/>
      <c r="D222" s="11">
        <v>246.39578416940924</v>
      </c>
      <c r="E222" s="11"/>
      <c r="F222" s="11"/>
      <c r="G222" s="11">
        <v>9.7957171785969415</v>
      </c>
      <c r="H222" s="11">
        <v>227.19653129661893</v>
      </c>
      <c r="I222" s="11">
        <v>265.59503704219958</v>
      </c>
    </row>
    <row r="223" spans="2:9">
      <c r="B223" s="33">
        <v>43221</v>
      </c>
      <c r="C223" s="11"/>
      <c r="D223" s="11">
        <v>250.07356318280645</v>
      </c>
      <c r="E223" s="11"/>
      <c r="F223" s="11"/>
      <c r="G223" s="11">
        <v>10.904376492516555</v>
      </c>
      <c r="H223" s="11">
        <v>228.70137798360881</v>
      </c>
      <c r="I223" s="11">
        <v>271.44574838200407</v>
      </c>
    </row>
    <row r="224" spans="2:9" ht="17" thickBot="1">
      <c r="B224" s="34">
        <v>43252</v>
      </c>
      <c r="C224" s="12"/>
      <c r="D224" s="12">
        <v>253.30133670304804</v>
      </c>
      <c r="E224" s="12"/>
      <c r="F224" s="12"/>
      <c r="G224" s="12">
        <v>11.924034411720692</v>
      </c>
      <c r="H224" s="12">
        <v>229.93065870565923</v>
      </c>
      <c r="I224" s="12">
        <v>276.67201470043682</v>
      </c>
    </row>
    <row r="242" spans="2:10">
      <c r="F242" t="s">
        <v>17</v>
      </c>
    </row>
    <row r="245" spans="2:10">
      <c r="B245" t="s">
        <v>39</v>
      </c>
    </row>
    <row r="246" spans="2:10" ht="17" thickBot="1"/>
    <row r="247" spans="2:10">
      <c r="B247" s="5" t="s">
        <v>40</v>
      </c>
      <c r="C247" s="5" t="s">
        <v>42</v>
      </c>
      <c r="D247" s="5" t="s">
        <v>43</v>
      </c>
      <c r="E247" s="5" t="s">
        <v>44</v>
      </c>
      <c r="F247" s="5" t="s">
        <v>45</v>
      </c>
      <c r="G247" s="5" t="s">
        <v>46</v>
      </c>
      <c r="H247" s="5" t="s">
        <v>43</v>
      </c>
      <c r="I247" s="5" t="s">
        <v>44</v>
      </c>
      <c r="J247" s="5" t="s">
        <v>45</v>
      </c>
    </row>
    <row r="248" spans="2:10">
      <c r="B248" s="14">
        <v>0</v>
      </c>
      <c r="C248" s="10">
        <v>1</v>
      </c>
      <c r="D248" s="10">
        <v>0</v>
      </c>
      <c r="E248" s="10"/>
      <c r="F248" s="10"/>
      <c r="G248" s="10">
        <v>1</v>
      </c>
      <c r="H248" s="10">
        <v>0</v>
      </c>
      <c r="I248" s="10"/>
      <c r="J248" s="10"/>
    </row>
    <row r="249" spans="2:10">
      <c r="B249" s="15">
        <v>1</v>
      </c>
      <c r="C249" s="11">
        <v>0.96792673884986813</v>
      </c>
      <c r="D249" s="11">
        <v>8.0064076902543566E-2</v>
      </c>
      <c r="E249" s="11">
        <v>-0.15692270718443055</v>
      </c>
      <c r="F249" s="11">
        <v>0.15692270718443055</v>
      </c>
      <c r="G249" s="11">
        <v>0.96792673884986813</v>
      </c>
      <c r="H249" s="11">
        <v>8.0064076902543566E-2</v>
      </c>
      <c r="I249" s="11">
        <v>-0.15692270718443055</v>
      </c>
      <c r="J249" s="11">
        <v>0.15692270718443055</v>
      </c>
    </row>
    <row r="250" spans="2:10">
      <c r="B250" s="15">
        <v>2</v>
      </c>
      <c r="C250" s="11">
        <v>0.94705142258769237</v>
      </c>
      <c r="D250" s="11">
        <v>0.13572607083710456</v>
      </c>
      <c r="E250" s="11">
        <v>-0.266018210603857</v>
      </c>
      <c r="F250" s="11">
        <v>0.266018210603857</v>
      </c>
      <c r="G250" s="11">
        <v>0.16111534718516227</v>
      </c>
      <c r="H250" s="11">
        <v>8.0064076902543566E-2</v>
      </c>
      <c r="I250" s="11">
        <v>-0.15692270718443055</v>
      </c>
      <c r="J250" s="11">
        <v>0.15692270718443055</v>
      </c>
    </row>
    <row r="251" spans="2:10">
      <c r="B251" s="15">
        <v>3</v>
      </c>
      <c r="C251" s="11">
        <v>0.92590568063500878</v>
      </c>
      <c r="D251" s="11">
        <v>0.17297504521387608</v>
      </c>
      <c r="E251" s="11">
        <v>-0.33902485884338451</v>
      </c>
      <c r="F251" s="11">
        <v>0.33902485884338451</v>
      </c>
      <c r="G251" s="11">
        <v>1.5811289790784545E-2</v>
      </c>
      <c r="H251" s="11">
        <v>8.0064076902543566E-2</v>
      </c>
      <c r="I251" s="11">
        <v>-0.15692270718443055</v>
      </c>
      <c r="J251" s="11">
        <v>0.15692270718443055</v>
      </c>
    </row>
    <row r="252" spans="2:10">
      <c r="B252" s="15">
        <v>4</v>
      </c>
      <c r="C252" s="11">
        <v>0.90220479162727518</v>
      </c>
      <c r="D252" s="11">
        <v>0.20226568901267067</v>
      </c>
      <c r="E252" s="11">
        <v>-0.39643346577301336</v>
      </c>
      <c r="F252" s="11">
        <v>0.39643346577301336</v>
      </c>
      <c r="G252" s="11">
        <v>-4.8522902781820546E-2</v>
      </c>
      <c r="H252" s="11">
        <v>8.0064076902543566E-2</v>
      </c>
      <c r="I252" s="11">
        <v>-0.15692270718443055</v>
      </c>
      <c r="J252" s="11">
        <v>0.15692270718443055</v>
      </c>
    </row>
    <row r="253" spans="2:10">
      <c r="B253" s="15">
        <v>5</v>
      </c>
      <c r="C253" s="11">
        <v>0.88384882999377079</v>
      </c>
      <c r="D253" s="11">
        <v>0.2265986903427343</v>
      </c>
      <c r="E253" s="11">
        <v>-0.44412527201570329</v>
      </c>
      <c r="F253" s="11">
        <v>0.44412527201570329</v>
      </c>
      <c r="G253" s="11">
        <v>6.0791738934388127E-2</v>
      </c>
      <c r="H253" s="11">
        <v>8.0064076902543566E-2</v>
      </c>
      <c r="I253" s="11">
        <v>-0.15692270718443055</v>
      </c>
      <c r="J253" s="11">
        <v>0.15692270718443055</v>
      </c>
    </row>
    <row r="254" spans="2:10">
      <c r="B254" s="15">
        <v>6</v>
      </c>
      <c r="C254" s="11">
        <v>0.86401610931993589</v>
      </c>
      <c r="D254" s="11">
        <v>0.24771396186841582</v>
      </c>
      <c r="E254" s="11">
        <v>-0.48551044372982316</v>
      </c>
      <c r="F254" s="11">
        <v>0.48551044372982316</v>
      </c>
      <c r="G254" s="11">
        <v>-6.9970519909836743E-3</v>
      </c>
      <c r="H254" s="11">
        <v>8.0064076902543566E-2</v>
      </c>
      <c r="I254" s="11">
        <v>-0.15692270718443055</v>
      </c>
      <c r="J254" s="11">
        <v>0.15692270718443055</v>
      </c>
    </row>
    <row r="255" spans="2:10">
      <c r="B255" s="15">
        <v>7</v>
      </c>
      <c r="C255" s="11">
        <v>0.84734503667940608</v>
      </c>
      <c r="D255" s="11">
        <v>0.26633254650855398</v>
      </c>
      <c r="E255" s="11">
        <v>-0.52200219906760459</v>
      </c>
      <c r="F255" s="11">
        <v>0.52200219906760459</v>
      </c>
      <c r="G255" s="11">
        <v>4.0131941015118855E-2</v>
      </c>
      <c r="H255" s="11">
        <v>8.0064076902543566E-2</v>
      </c>
      <c r="I255" s="11">
        <v>-0.15692270718443055</v>
      </c>
      <c r="J255" s="11">
        <v>0.15692270718443055</v>
      </c>
    </row>
    <row r="256" spans="2:10">
      <c r="B256" s="15">
        <v>8</v>
      </c>
      <c r="C256" s="11">
        <v>0.82843456377698821</v>
      </c>
      <c r="D256" s="11">
        <v>0.28308668571124557</v>
      </c>
      <c r="E256" s="11">
        <v>-0.55483970849685071</v>
      </c>
      <c r="F256" s="11">
        <v>0.55483970849685071</v>
      </c>
      <c r="G256" s="11">
        <v>-3.4044070258391068E-2</v>
      </c>
      <c r="H256" s="11">
        <v>8.0064076902543566E-2</v>
      </c>
      <c r="I256" s="11">
        <v>-0.15692270718443055</v>
      </c>
      <c r="J256" s="11">
        <v>0.15692270718443055</v>
      </c>
    </row>
    <row r="257" spans="2:10">
      <c r="B257" s="15">
        <v>9</v>
      </c>
      <c r="C257" s="11">
        <v>0.81820607899430065</v>
      </c>
      <c r="D257" s="11">
        <v>0.29822280032365012</v>
      </c>
      <c r="E257" s="11">
        <v>-0.58450594800303413</v>
      </c>
      <c r="F257" s="11">
        <v>0.58450594800303413</v>
      </c>
      <c r="G257" s="11">
        <v>0.12916316240384965</v>
      </c>
      <c r="H257" s="11">
        <v>8.0064076902543566E-2</v>
      </c>
      <c r="I257" s="11">
        <v>-0.15692270718443055</v>
      </c>
      <c r="J257" s="11">
        <v>0.15692270718443055</v>
      </c>
    </row>
    <row r="258" spans="2:10">
      <c r="B258" s="15">
        <v>10</v>
      </c>
      <c r="C258" s="11">
        <v>0.80463211948362234</v>
      </c>
      <c r="D258" s="11">
        <v>0.31228140254050457</v>
      </c>
      <c r="E258" s="11">
        <v>-0.61206030202104378</v>
      </c>
      <c r="F258" s="11">
        <v>0.61206030202104378</v>
      </c>
      <c r="G258" s="11">
        <v>-1.9035147508833814E-2</v>
      </c>
      <c r="H258" s="11">
        <v>8.0064076902543566E-2</v>
      </c>
      <c r="I258" s="11">
        <v>-0.15692270718443055</v>
      </c>
      <c r="J258" s="11">
        <v>0.15692270718443055</v>
      </c>
    </row>
    <row r="259" spans="2:10">
      <c r="B259" s="15">
        <v>11</v>
      </c>
      <c r="C259" s="11">
        <v>0.78965417870328081</v>
      </c>
      <c r="D259" s="11">
        <v>0.32530000844925283</v>
      </c>
      <c r="E259" s="11">
        <v>-0.63757630073111071</v>
      </c>
      <c r="F259" s="11">
        <v>0.63757630073111071</v>
      </c>
      <c r="G259" s="11">
        <v>-2.9436591687847614E-2</v>
      </c>
      <c r="H259" s="11">
        <v>8.0064076902543566E-2</v>
      </c>
      <c r="I259" s="11">
        <v>-0.15692270718443055</v>
      </c>
      <c r="J259" s="11">
        <v>0.15692270718443055</v>
      </c>
    </row>
    <row r="260" spans="2:10">
      <c r="B260" s="15">
        <v>12</v>
      </c>
      <c r="C260" s="11">
        <v>0.77954068827393619</v>
      </c>
      <c r="D260" s="11">
        <v>0.33736385992506635</v>
      </c>
      <c r="E260" s="11">
        <v>-0.66122101513854559</v>
      </c>
      <c r="F260" s="11">
        <v>0.66122101513854559</v>
      </c>
      <c r="G260" s="11">
        <v>4.982173320725574E-2</v>
      </c>
      <c r="H260" s="11">
        <v>8.0064076902543566E-2</v>
      </c>
      <c r="I260" s="11">
        <v>-0.15692270718443055</v>
      </c>
      <c r="J260" s="11">
        <v>0.15692270718443055</v>
      </c>
    </row>
    <row r="261" spans="2:10">
      <c r="B261" s="15">
        <v>13</v>
      </c>
      <c r="C261" s="11">
        <v>0.75318625115041182</v>
      </c>
      <c r="D261" s="11">
        <v>0.34871935772728047</v>
      </c>
      <c r="E261" s="11">
        <v>-0.68347738185740892</v>
      </c>
      <c r="F261" s="11">
        <v>0.68347738185740892</v>
      </c>
      <c r="G261" s="11">
        <v>-0.2279486029887583</v>
      </c>
      <c r="H261" s="11">
        <v>8.0064076902543566E-2</v>
      </c>
      <c r="I261" s="11">
        <v>-0.15692270718443055</v>
      </c>
      <c r="J261" s="11">
        <v>0.15692270718443055</v>
      </c>
    </row>
    <row r="262" spans="2:10">
      <c r="B262" s="15">
        <v>14</v>
      </c>
      <c r="C262" s="11">
        <v>0.73437337262244273</v>
      </c>
      <c r="D262" s="11">
        <v>0.35899600712572599</v>
      </c>
      <c r="E262" s="11">
        <v>-0.70361924456010738</v>
      </c>
      <c r="F262" s="11">
        <v>0.70361924456010738</v>
      </c>
      <c r="G262" s="11">
        <v>2.9659759203923393E-2</v>
      </c>
      <c r="H262" s="11">
        <v>8.0064076902543566E-2</v>
      </c>
      <c r="I262" s="11">
        <v>-0.15692270718443055</v>
      </c>
      <c r="J262" s="11">
        <v>0.15692270718443055</v>
      </c>
    </row>
    <row r="263" spans="2:10">
      <c r="B263" s="15">
        <v>15</v>
      </c>
      <c r="C263" s="11">
        <v>0.71172552212379159</v>
      </c>
      <c r="D263" s="11">
        <v>0.36850005453030904</v>
      </c>
      <c r="E263" s="11">
        <v>-0.72224683518045152</v>
      </c>
      <c r="F263" s="11">
        <v>0.72224683518045152</v>
      </c>
      <c r="G263" s="11">
        <v>-5.3074142893298343E-2</v>
      </c>
      <c r="H263" s="11">
        <v>8.0064076902543566E-2</v>
      </c>
      <c r="I263" s="11">
        <v>-0.15692270718443055</v>
      </c>
      <c r="J263" s="11">
        <v>0.15692270718443055</v>
      </c>
    </row>
    <row r="264" spans="2:10">
      <c r="B264" s="15">
        <v>16</v>
      </c>
      <c r="C264" s="11">
        <v>0.68990257436150759</v>
      </c>
      <c r="D264" s="11">
        <v>0.37720891058574102</v>
      </c>
      <c r="E264" s="11">
        <v>-0.73931587939564181</v>
      </c>
      <c r="F264" s="11">
        <v>0.73931587939564181</v>
      </c>
      <c r="G264" s="11">
        <v>4.6887190723633653E-3</v>
      </c>
      <c r="H264" s="11">
        <v>8.0064076902543566E-2</v>
      </c>
      <c r="I264" s="11">
        <v>-0.15692270718443055</v>
      </c>
      <c r="J264" s="11">
        <v>0.15692270718443055</v>
      </c>
    </row>
    <row r="265" spans="2:10">
      <c r="B265" s="15">
        <v>17</v>
      </c>
      <c r="C265" s="11">
        <v>0.67259373064859351</v>
      </c>
      <c r="D265" s="11">
        <v>0.38521251902870912</v>
      </c>
      <c r="E265" s="11">
        <v>-0.75500266369021996</v>
      </c>
      <c r="F265" s="11">
        <v>0.75500266369021996</v>
      </c>
      <c r="G265" s="11">
        <v>4.6551413194453842E-2</v>
      </c>
      <c r="H265" s="11">
        <v>8.0064076902543566E-2</v>
      </c>
      <c r="I265" s="11">
        <v>-0.15692270718443055</v>
      </c>
      <c r="J265" s="11">
        <v>0.15692270718443055</v>
      </c>
    </row>
    <row r="266" spans="2:10">
      <c r="B266" s="15">
        <v>18</v>
      </c>
      <c r="C266" s="11">
        <v>0.6518050329382723</v>
      </c>
      <c r="D266" s="11">
        <v>0.39266838201364029</v>
      </c>
      <c r="E266" s="11">
        <v>-0.76961588661435032</v>
      </c>
      <c r="F266" s="11">
        <v>0.76961588661435032</v>
      </c>
      <c r="G266" s="11">
        <v>-3.9357638923995852E-2</v>
      </c>
      <c r="H266" s="11">
        <v>8.0064076902543566E-2</v>
      </c>
      <c r="I266" s="11">
        <v>-0.15692270718443055</v>
      </c>
      <c r="J266" s="11">
        <v>0.15692270718443055</v>
      </c>
    </row>
    <row r="267" spans="2:10">
      <c r="B267" s="15">
        <v>19</v>
      </c>
      <c r="C267" s="11">
        <v>0.63444022475264406</v>
      </c>
      <c r="D267" s="11">
        <v>0.39954380304699644</v>
      </c>
      <c r="E267" s="11">
        <v>-0.78309146421827758</v>
      </c>
      <c r="F267" s="11">
        <v>0.78309146421827758</v>
      </c>
      <c r="G267" s="11">
        <v>5.2502429311890256E-3</v>
      </c>
      <c r="H267" s="11">
        <v>8.0064076902543566E-2</v>
      </c>
      <c r="I267" s="11">
        <v>-0.15692270718443055</v>
      </c>
      <c r="J267" s="11">
        <v>0.15692270718443055</v>
      </c>
    </row>
    <row r="268" spans="2:10">
      <c r="B268" s="15">
        <v>20</v>
      </c>
      <c r="C268" s="11">
        <v>0.61661367911082421</v>
      </c>
      <c r="D268" s="11">
        <v>0.40595035603298929</v>
      </c>
      <c r="E268" s="11">
        <v>-0.79564807733587106</v>
      </c>
      <c r="F268" s="11">
        <v>0.79564807733587106</v>
      </c>
      <c r="G268" s="11">
        <v>1.6164698413878277E-2</v>
      </c>
      <c r="H268" s="11">
        <v>8.0064076902543566E-2</v>
      </c>
      <c r="I268" s="11">
        <v>-0.15692270718443055</v>
      </c>
      <c r="J268" s="11">
        <v>0.15692270718443055</v>
      </c>
    </row>
    <row r="269" spans="2:10">
      <c r="B269" s="15">
        <v>21</v>
      </c>
      <c r="C269" s="11">
        <v>0.59967488929012858</v>
      </c>
      <c r="D269" s="11">
        <v>0.41191043915788461</v>
      </c>
      <c r="E269" s="11">
        <v>-0.8073296256055309</v>
      </c>
      <c r="F269" s="11">
        <v>0.8073296256055309</v>
      </c>
      <c r="G269" s="11">
        <v>-5.3402634348283289E-2</v>
      </c>
      <c r="H269" s="11">
        <v>8.0064076902543566E-2</v>
      </c>
      <c r="I269" s="11">
        <v>-0.15692270718443055</v>
      </c>
      <c r="J269" s="11">
        <v>0.15692270718443055</v>
      </c>
    </row>
    <row r="270" spans="2:10" ht="17" thickBot="1">
      <c r="B270" s="16">
        <v>22</v>
      </c>
      <c r="C270" s="12">
        <v>0.58479697272113207</v>
      </c>
      <c r="D270" s="12">
        <v>0.41746927330581662</v>
      </c>
      <c r="E270" s="12">
        <v>-0.81822474033150894</v>
      </c>
      <c r="F270" s="12">
        <v>0.81822474033150894</v>
      </c>
      <c r="G270" s="12">
        <v>5.2321744124920765E-2</v>
      </c>
      <c r="H270" s="12">
        <v>8.0064076902543566E-2</v>
      </c>
      <c r="I270" s="12">
        <v>-0.15692270718443055</v>
      </c>
      <c r="J270" s="12">
        <v>0.15692270718443055</v>
      </c>
    </row>
    <row r="288" spans="6:6">
      <c r="F288" t="s">
        <v>17</v>
      </c>
    </row>
    <row r="291" spans="2:10">
      <c r="B291" t="s">
        <v>91</v>
      </c>
    </row>
    <row r="292" spans="2:10" ht="17" thickBot="1"/>
    <row r="293" spans="2:10">
      <c r="B293" s="5" t="s">
        <v>40</v>
      </c>
      <c r="C293" s="5" t="s">
        <v>42</v>
      </c>
      <c r="D293" s="5" t="s">
        <v>43</v>
      </c>
      <c r="E293" s="5" t="s">
        <v>44</v>
      </c>
      <c r="F293" s="5" t="s">
        <v>45</v>
      </c>
      <c r="G293" s="5" t="s">
        <v>46</v>
      </c>
      <c r="H293" s="5" t="s">
        <v>43</v>
      </c>
      <c r="I293" s="5" t="s">
        <v>44</v>
      </c>
      <c r="J293" s="5" t="s">
        <v>45</v>
      </c>
    </row>
    <row r="294" spans="2:10">
      <c r="B294" s="14">
        <v>0</v>
      </c>
      <c r="C294" s="10">
        <v>1</v>
      </c>
      <c r="D294" s="10">
        <v>0</v>
      </c>
      <c r="E294" s="10"/>
      <c r="F294" s="10"/>
      <c r="G294" s="10">
        <v>1</v>
      </c>
      <c r="H294" s="10">
        <v>0</v>
      </c>
      <c r="I294" s="10"/>
      <c r="J294" s="10"/>
    </row>
    <row r="295" spans="2:10">
      <c r="B295" s="15">
        <v>1</v>
      </c>
      <c r="C295" s="11">
        <v>3.9112760781258799E-3</v>
      </c>
      <c r="D295" s="11">
        <v>8.0064076902543566E-2</v>
      </c>
      <c r="E295" s="11">
        <v>-0.15692270718443055</v>
      </c>
      <c r="F295" s="11">
        <v>0.15692270718443055</v>
      </c>
      <c r="G295" s="11">
        <v>3.9112760781258799E-3</v>
      </c>
      <c r="H295" s="11">
        <v>8.0064076902543566E-2</v>
      </c>
      <c r="I295" s="11">
        <v>-0.15692270718443055</v>
      </c>
      <c r="J295" s="11">
        <v>0.15692270718443055</v>
      </c>
    </row>
    <row r="296" spans="2:10">
      <c r="B296" s="15">
        <v>2</v>
      </c>
      <c r="C296" s="11">
        <v>-2.7091870163890086E-2</v>
      </c>
      <c r="D296" s="11">
        <v>8.0065301719873333E-2</v>
      </c>
      <c r="E296" s="11">
        <v>-0.15692510778228455</v>
      </c>
      <c r="F296" s="11">
        <v>0.15692510778228455</v>
      </c>
      <c r="G296" s="11">
        <v>-2.7107582938436965E-2</v>
      </c>
      <c r="H296" s="11">
        <v>8.0064076902543566E-2</v>
      </c>
      <c r="I296" s="11">
        <v>-0.15692270718443055</v>
      </c>
      <c r="J296" s="11">
        <v>0.15692270718443055</v>
      </c>
    </row>
    <row r="297" spans="2:10">
      <c r="B297" s="15">
        <v>3</v>
      </c>
      <c r="C297" s="11">
        <v>8.5544013385038059E-2</v>
      </c>
      <c r="D297" s="11">
        <v>8.0124043856812516E-2</v>
      </c>
      <c r="E297" s="11">
        <v>-0.15704024025506028</v>
      </c>
      <c r="F297" s="11">
        <v>0.15704024025506028</v>
      </c>
      <c r="G297" s="11">
        <v>8.5823251529746514E-2</v>
      </c>
      <c r="H297" s="11">
        <v>8.0064076902543566E-2</v>
      </c>
      <c r="I297" s="11">
        <v>-0.15692270718443055</v>
      </c>
      <c r="J297" s="11">
        <v>0.15692270718443055</v>
      </c>
    </row>
    <row r="298" spans="2:10">
      <c r="B298" s="15">
        <v>4</v>
      </c>
      <c r="C298" s="11">
        <v>-0.13047058710098541</v>
      </c>
      <c r="D298" s="11">
        <v>8.070737310514306E-2</v>
      </c>
      <c r="E298" s="11">
        <v>-0.15818354457291695</v>
      </c>
      <c r="F298" s="11">
        <v>0.15818354457291695</v>
      </c>
      <c r="G298" s="11">
        <v>-0.1331727314753792</v>
      </c>
      <c r="H298" s="11">
        <v>8.0064076902543566E-2</v>
      </c>
      <c r="I298" s="11">
        <v>-0.15692270718443055</v>
      </c>
      <c r="J298" s="11">
        <v>0.15692270718443055</v>
      </c>
    </row>
    <row r="299" spans="2:10">
      <c r="B299" s="15">
        <v>5</v>
      </c>
      <c r="C299" s="11">
        <v>2.1591951162731486E-2</v>
      </c>
      <c r="D299" s="11">
        <v>8.2048267519798407E-2</v>
      </c>
      <c r="E299" s="11">
        <v>-0.16081164933271236</v>
      </c>
      <c r="F299" s="11">
        <v>0.16081164933271236</v>
      </c>
      <c r="G299" s="11">
        <v>3.0217445872268486E-2</v>
      </c>
      <c r="H299" s="11">
        <v>8.0064076902543566E-2</v>
      </c>
      <c r="I299" s="11">
        <v>-0.15692270718443055</v>
      </c>
      <c r="J299" s="11">
        <v>0.15692270718443055</v>
      </c>
    </row>
    <row r="300" spans="2:10">
      <c r="B300" s="15">
        <v>6</v>
      </c>
      <c r="C300" s="11">
        <v>0.14978532981410961</v>
      </c>
      <c r="D300" s="11">
        <v>8.2084683616829177E-2</v>
      </c>
      <c r="E300" s="11">
        <v>-0.16088302357135018</v>
      </c>
      <c r="F300" s="11">
        <v>0.16088302357135018</v>
      </c>
      <c r="G300" s="11">
        <v>0.13733106782996618</v>
      </c>
      <c r="H300" s="11">
        <v>8.0064076902543566E-2</v>
      </c>
      <c r="I300" s="11">
        <v>-0.15692270718443055</v>
      </c>
      <c r="J300" s="11">
        <v>0.15692270718443055</v>
      </c>
    </row>
    <row r="301" spans="2:10">
      <c r="B301" s="15">
        <v>7</v>
      </c>
      <c r="C301" s="11">
        <v>-0.1205491915948273</v>
      </c>
      <c r="D301" s="11">
        <v>8.3818445220528628E-2</v>
      </c>
      <c r="E301" s="11">
        <v>-0.1642811338723795</v>
      </c>
      <c r="F301" s="11">
        <v>0.1642811338723795</v>
      </c>
      <c r="G301" s="11">
        <v>-0.10654718028270893</v>
      </c>
      <c r="H301" s="11">
        <v>8.0064076902543566E-2</v>
      </c>
      <c r="I301" s="11">
        <v>-0.15692270718443055</v>
      </c>
      <c r="J301" s="11">
        <v>0.15692270718443055</v>
      </c>
    </row>
    <row r="302" spans="2:10">
      <c r="B302" s="15">
        <v>8</v>
      </c>
      <c r="C302" s="11">
        <v>-0.16601364666346313</v>
      </c>
      <c r="D302" s="11">
        <v>8.4922557844820237E-2</v>
      </c>
      <c r="E302" s="11">
        <v>-0.16644515485086706</v>
      </c>
      <c r="F302" s="11">
        <v>0.16644515485086706</v>
      </c>
      <c r="G302" s="11">
        <v>-0.18574409011201615</v>
      </c>
      <c r="H302" s="11">
        <v>8.0064076902543566E-2</v>
      </c>
      <c r="I302" s="11">
        <v>-0.15692270718443055</v>
      </c>
      <c r="J302" s="11">
        <v>0.15692270718443055</v>
      </c>
    </row>
    <row r="303" spans="2:10">
      <c r="B303" s="15">
        <v>9</v>
      </c>
      <c r="C303" s="11">
        <v>0.13464812151926767</v>
      </c>
      <c r="D303" s="11">
        <v>8.6978048784591644E-2</v>
      </c>
      <c r="E303" s="11">
        <v>-0.17047384306336741</v>
      </c>
      <c r="F303" s="11">
        <v>0.17047384306336741</v>
      </c>
      <c r="G303" s="11">
        <v>0.13447387436134051</v>
      </c>
      <c r="H303" s="11">
        <v>8.0064076902543566E-2</v>
      </c>
      <c r="I303" s="11">
        <v>-0.15692270718443055</v>
      </c>
      <c r="J303" s="11">
        <v>0.15692270718443055</v>
      </c>
    </row>
    <row r="304" spans="2:10">
      <c r="B304" s="15">
        <v>10</v>
      </c>
      <c r="C304" s="11">
        <v>-0.15295809116408102</v>
      </c>
      <c r="D304" s="11">
        <v>8.8304124269764583E-2</v>
      </c>
      <c r="E304" s="11">
        <v>-0.17307290325508784</v>
      </c>
      <c r="F304" s="11">
        <v>0.17307290325508784</v>
      </c>
      <c r="G304" s="11">
        <v>-0.11937546276335458</v>
      </c>
      <c r="H304" s="11">
        <v>8.0064076902543566E-2</v>
      </c>
      <c r="I304" s="11">
        <v>-0.15692270718443055</v>
      </c>
      <c r="J304" s="11">
        <v>0.15692270718443055</v>
      </c>
    </row>
    <row r="305" spans="2:10">
      <c r="B305" s="15">
        <v>11</v>
      </c>
      <c r="C305" s="11">
        <v>-6.8205708712597513E-2</v>
      </c>
      <c r="D305" s="11">
        <v>8.9986495423455964E-2</v>
      </c>
      <c r="E305" s="11">
        <v>-0.17637029012495206</v>
      </c>
      <c r="F305" s="11">
        <v>0.17637029012495206</v>
      </c>
      <c r="G305" s="11">
        <v>-8.5185967279301708E-2</v>
      </c>
      <c r="H305" s="11">
        <v>8.0064076902543566E-2</v>
      </c>
      <c r="I305" s="11">
        <v>-0.15692270718443055</v>
      </c>
      <c r="J305" s="11">
        <v>0.15692270718443055</v>
      </c>
    </row>
    <row r="306" spans="2:10">
      <c r="B306" s="15">
        <v>12</v>
      </c>
      <c r="C306" s="11">
        <v>-1.7575612747268068E-2</v>
      </c>
      <c r="D306" s="11">
        <v>9.03172775497188E-2</v>
      </c>
      <c r="E306" s="11">
        <v>-0.17701861117915679</v>
      </c>
      <c r="F306" s="11">
        <v>0.17701861117915679</v>
      </c>
      <c r="G306" s="11">
        <v>-9.4635309253571845E-2</v>
      </c>
      <c r="H306" s="11">
        <v>8.0064076902543566E-2</v>
      </c>
      <c r="I306" s="11">
        <v>-0.15692270718443055</v>
      </c>
      <c r="J306" s="11">
        <v>0.15692270718443055</v>
      </c>
    </row>
    <row r="307" spans="2:10">
      <c r="B307" s="15">
        <v>13</v>
      </c>
      <c r="C307" s="11">
        <v>-0.23949075119927266</v>
      </c>
      <c r="D307" s="11">
        <v>9.0339199178095603E-2</v>
      </c>
      <c r="E307" s="11">
        <v>-0.17706157678125781</v>
      </c>
      <c r="F307" s="11">
        <v>0.17706157678125781</v>
      </c>
      <c r="G307" s="11">
        <v>-0.16218589209104387</v>
      </c>
      <c r="H307" s="11">
        <v>8.0064076902543566E-2</v>
      </c>
      <c r="I307" s="11">
        <v>-0.15692270718443055</v>
      </c>
      <c r="J307" s="11">
        <v>0.15692270718443055</v>
      </c>
    </row>
    <row r="308" spans="2:10">
      <c r="B308" s="15">
        <v>14</v>
      </c>
      <c r="C308" s="11">
        <v>0.11649562356216531</v>
      </c>
      <c r="D308" s="11">
        <v>9.4321269778490077E-2</v>
      </c>
      <c r="E308" s="11">
        <v>-0.18486629174192676</v>
      </c>
      <c r="F308" s="11">
        <v>0.18486629174192676</v>
      </c>
      <c r="G308" s="11">
        <v>0.14431787244442701</v>
      </c>
      <c r="H308" s="11">
        <v>8.0064076902543566E-2</v>
      </c>
      <c r="I308" s="11">
        <v>-0.15692270718443055</v>
      </c>
      <c r="J308" s="11">
        <v>0.15692270718443055</v>
      </c>
    </row>
    <row r="309" spans="2:10">
      <c r="B309" s="15">
        <v>15</v>
      </c>
      <c r="C309" s="11">
        <v>6.5130060527345254E-2</v>
      </c>
      <c r="D309" s="11">
        <v>9.5239130953590379E-2</v>
      </c>
      <c r="E309" s="11">
        <v>-0.18666526658793095</v>
      </c>
      <c r="F309" s="11">
        <v>0.18666526658793095</v>
      </c>
      <c r="G309" s="11">
        <v>-2.5692760007709585E-2</v>
      </c>
      <c r="H309" s="11">
        <v>8.0064076902543566E-2</v>
      </c>
      <c r="I309" s="11">
        <v>-0.15692270718443055</v>
      </c>
      <c r="J309" s="11">
        <v>0.15692270718443055</v>
      </c>
    </row>
    <row r="310" spans="2:10">
      <c r="B310" s="15">
        <v>16</v>
      </c>
      <c r="C310" s="11">
        <v>-0.10663507884222359</v>
      </c>
      <c r="D310" s="11">
        <v>9.5524215337661117E-2</v>
      </c>
      <c r="E310" s="11">
        <v>-0.18722402171326438</v>
      </c>
      <c r="F310" s="11">
        <v>0.18722402171326438</v>
      </c>
      <c r="G310" s="11">
        <v>-8.6956669770159617E-2</v>
      </c>
      <c r="H310" s="11">
        <v>8.0064076902543566E-2</v>
      </c>
      <c r="I310" s="11">
        <v>-0.15692270718443055</v>
      </c>
      <c r="J310" s="11">
        <v>0.15692270718443055</v>
      </c>
    </row>
    <row r="311" spans="2:10">
      <c r="B311" s="15">
        <v>17</v>
      </c>
      <c r="C311" s="11">
        <v>9.8018485677920947E-3</v>
      </c>
      <c r="D311" s="11">
        <v>9.6284257698168021E-2</v>
      </c>
      <c r="E311" s="11">
        <v>-0.18871367736658273</v>
      </c>
      <c r="F311" s="11">
        <v>0.18871367736658273</v>
      </c>
      <c r="G311" s="11">
        <v>-8.4107964110280786E-5</v>
      </c>
      <c r="H311" s="11">
        <v>8.0064076902543566E-2</v>
      </c>
      <c r="I311" s="11">
        <v>-0.15692270718443055</v>
      </c>
      <c r="J311" s="11">
        <v>0.15692270718443055</v>
      </c>
    </row>
    <row r="312" spans="2:10">
      <c r="B312" s="15">
        <v>18</v>
      </c>
      <c r="C312" s="11">
        <v>-2.1205083748515739E-2</v>
      </c>
      <c r="D312" s="11">
        <v>9.6290653892754444E-2</v>
      </c>
      <c r="E312" s="11">
        <v>-0.18872621367761022</v>
      </c>
      <c r="F312" s="11">
        <v>0.18872621367761022</v>
      </c>
      <c r="G312" s="11">
        <v>-4.9971750632712274E-2</v>
      </c>
      <c r="H312" s="11">
        <v>8.0064076902543566E-2</v>
      </c>
      <c r="I312" s="11">
        <v>-0.15692270718443055</v>
      </c>
      <c r="J312" s="11">
        <v>0.15692270718443055</v>
      </c>
    </row>
    <row r="313" spans="2:10">
      <c r="B313" s="15">
        <v>19</v>
      </c>
      <c r="C313" s="11">
        <v>-2.3321969699648979E-2</v>
      </c>
      <c r="D313" s="11">
        <v>9.6320583688955963E-2</v>
      </c>
      <c r="E313" s="11">
        <v>-0.18878487500022983</v>
      </c>
      <c r="F313" s="11">
        <v>0.18878487500022983</v>
      </c>
      <c r="G313" s="11">
        <v>3.7440697984720765E-2</v>
      </c>
      <c r="H313" s="11">
        <v>8.0064076902543566E-2</v>
      </c>
      <c r="I313" s="11">
        <v>-0.15692270718443055</v>
      </c>
      <c r="J313" s="11">
        <v>0.15692270718443055</v>
      </c>
    </row>
    <row r="314" spans="2:10">
      <c r="B314" s="15">
        <v>20</v>
      </c>
      <c r="C314" s="11">
        <v>0.15967136445108718</v>
      </c>
      <c r="D314" s="11">
        <v>9.6356775070887316E-2</v>
      </c>
      <c r="E314" s="11">
        <v>-0.18885580880536601</v>
      </c>
      <c r="F314" s="11">
        <v>0.18885580880536601</v>
      </c>
      <c r="G314" s="11">
        <v>6.0962838240315897E-2</v>
      </c>
      <c r="H314" s="11">
        <v>8.0064076902543566E-2</v>
      </c>
      <c r="I314" s="11">
        <v>-0.15692270718443055</v>
      </c>
      <c r="J314" s="11">
        <v>0.15692270718443055</v>
      </c>
    </row>
    <row r="315" spans="2:10">
      <c r="B315" s="15">
        <v>21</v>
      </c>
      <c r="C315" s="11">
        <v>8.5463863324017161E-2</v>
      </c>
      <c r="D315" s="11">
        <v>9.8038188306869806E-2</v>
      </c>
      <c r="E315" s="11">
        <v>-0.19215131819102063</v>
      </c>
      <c r="F315" s="11">
        <v>0.19215131819102063</v>
      </c>
      <c r="G315" s="11">
        <v>2.1265761727793837E-2</v>
      </c>
      <c r="H315" s="11">
        <v>8.0064076902543566E-2</v>
      </c>
      <c r="I315" s="11">
        <v>-0.15692270718443055</v>
      </c>
      <c r="J315" s="11">
        <v>0.15692270718443055</v>
      </c>
    </row>
    <row r="316" spans="2:10" ht="17" thickBot="1">
      <c r="B316" s="16">
        <v>22</v>
      </c>
      <c r="C316" s="12">
        <v>-9.3971711420126919E-2</v>
      </c>
      <c r="D316" s="12">
        <v>9.8514609649373683E-2</v>
      </c>
      <c r="E316" s="12">
        <v>-0.19308508686379447</v>
      </c>
      <c r="F316" s="12">
        <v>0.19308508686379447</v>
      </c>
      <c r="G316" s="12">
        <v>-6.0414328764575136E-3</v>
      </c>
      <c r="H316" s="12">
        <v>8.0064076902543566E-2</v>
      </c>
      <c r="I316" s="12">
        <v>-0.15692270718443055</v>
      </c>
      <c r="J316" s="12">
        <v>0.15692270718443055</v>
      </c>
    </row>
    <row r="334" spans="6:6">
      <c r="F334" t="s">
        <v>17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DD726251">
              <controlPr defaultSize="0" autoFill="0" autoPict="0" macro="[0]!GoToResultsNew1310184575231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3713-7B26-0048-BAF8-0789A3DDFB8E}">
  <sheetPr codeName="Sheet13">
    <tabColor rgb="FF007800"/>
  </sheetPr>
  <dimension ref="B1:I228"/>
  <sheetViews>
    <sheetView zoomScaleNormal="100" workbookViewId="0">
      <selection activeCell="I26" sqref="I26"/>
    </sheetView>
  </sheetViews>
  <sheetFormatPr baseColWidth="10" defaultRowHeight="16"/>
  <cols>
    <col min="1" max="1" width="5.83203125" customWidth="1"/>
  </cols>
  <sheetData>
    <row r="1" spans="2:2">
      <c r="B1" t="s">
        <v>124</v>
      </c>
    </row>
    <row r="2" spans="2:2">
      <c r="B2" t="s">
        <v>48</v>
      </c>
    </row>
    <row r="3" spans="2:2">
      <c r="B3" t="s">
        <v>49</v>
      </c>
    </row>
    <row r="4" spans="2:2">
      <c r="B4" t="s">
        <v>117</v>
      </c>
    </row>
    <row r="5" spans="2:2">
      <c r="B5" t="s">
        <v>118</v>
      </c>
    </row>
    <row r="6" spans="2:2">
      <c r="B6" t="s">
        <v>119</v>
      </c>
    </row>
    <row r="7" spans="2:2">
      <c r="B7" t="s">
        <v>120</v>
      </c>
    </row>
    <row r="8" spans="2:2">
      <c r="B8" t="s">
        <v>96</v>
      </c>
    </row>
    <row r="9" spans="2:2">
      <c r="B9" t="s">
        <v>97</v>
      </c>
    </row>
    <row r="10" spans="2:2">
      <c r="B10" t="s">
        <v>121</v>
      </c>
    </row>
    <row r="11" spans="2:2">
      <c r="B11" t="s">
        <v>99</v>
      </c>
    </row>
    <row r="12" spans="2:2" ht="34.25" customHeight="1"/>
    <row r="13" spans="2:2" ht="21" customHeight="1"/>
    <row r="16" spans="2:2">
      <c r="B16" s="18" t="s">
        <v>5</v>
      </c>
    </row>
    <row r="17" spans="2:9" ht="17" thickBot="1"/>
    <row r="18" spans="2:9">
      <c r="B18" s="4" t="s">
        <v>6</v>
      </c>
      <c r="C18" s="5" t="s">
        <v>7</v>
      </c>
      <c r="D18" s="5" t="s">
        <v>8</v>
      </c>
      <c r="E18" s="5" t="s">
        <v>9</v>
      </c>
      <c r="F18" s="5" t="s">
        <v>10</v>
      </c>
      <c r="G18" s="5" t="s">
        <v>11</v>
      </c>
      <c r="H18" s="5" t="s">
        <v>12</v>
      </c>
      <c r="I18" s="5" t="s">
        <v>13</v>
      </c>
    </row>
    <row r="19" spans="2:9" ht="17" thickBot="1">
      <c r="B19" s="36" t="s">
        <v>0</v>
      </c>
      <c r="C19" s="37">
        <v>156</v>
      </c>
      <c r="D19" s="37">
        <v>0</v>
      </c>
      <c r="E19" s="37">
        <v>156</v>
      </c>
      <c r="F19" s="38">
        <v>93.3</v>
      </c>
      <c r="G19" s="38">
        <v>247</v>
      </c>
      <c r="H19" s="38">
        <v>167.08333333333343</v>
      </c>
      <c r="I19" s="38">
        <v>46.897334449781063</v>
      </c>
    </row>
    <row r="22" spans="2:9">
      <c r="B22" s="18" t="s">
        <v>100</v>
      </c>
    </row>
    <row r="23" spans="2:9" ht="17" thickBot="1"/>
    <row r="24" spans="2:9">
      <c r="B24" s="4" t="s">
        <v>30</v>
      </c>
      <c r="C24" s="5" t="s">
        <v>101</v>
      </c>
      <c r="D24" s="5" t="s">
        <v>102</v>
      </c>
    </row>
    <row r="25" spans="2:9">
      <c r="B25" s="39" t="s">
        <v>7</v>
      </c>
      <c r="C25" s="14">
        <v>155</v>
      </c>
      <c r="D25" s="14">
        <v>1</v>
      </c>
    </row>
    <row r="26" spans="2:9">
      <c r="B26" s="35" t="s">
        <v>31</v>
      </c>
      <c r="C26" s="15">
        <v>153</v>
      </c>
      <c r="D26" s="15"/>
    </row>
    <row r="27" spans="2:9">
      <c r="B27" s="35" t="s">
        <v>67</v>
      </c>
      <c r="C27" s="11">
        <v>16799.960642785871</v>
      </c>
      <c r="D27" s="11">
        <v>92.80678273590398</v>
      </c>
    </row>
    <row r="28" spans="2:9">
      <c r="B28" s="35" t="s">
        <v>68</v>
      </c>
      <c r="C28" s="11">
        <v>109.8036643319338</v>
      </c>
      <c r="D28" s="11">
        <v>92.80678273590398</v>
      </c>
    </row>
    <row r="29" spans="2:9">
      <c r="B29" s="44" t="s">
        <v>69</v>
      </c>
      <c r="C29" s="45">
        <v>10.478724365681817</v>
      </c>
      <c r="D29" s="11"/>
    </row>
    <row r="30" spans="2:9">
      <c r="B30" s="44" t="s">
        <v>72</v>
      </c>
      <c r="C30" s="45">
        <v>5.4911934516469962</v>
      </c>
      <c r="D30" s="11">
        <v>3.9890797945445033</v>
      </c>
    </row>
    <row r="31" spans="2:9">
      <c r="B31" s="35" t="s">
        <v>103</v>
      </c>
      <c r="C31" s="11">
        <v>-1.1504494328350374</v>
      </c>
      <c r="D31" s="11">
        <v>-3.9890797945445011</v>
      </c>
    </row>
    <row r="32" spans="2:9">
      <c r="B32" s="35" t="s">
        <v>104</v>
      </c>
      <c r="C32" s="11">
        <v>8.3066379659474325</v>
      </c>
      <c r="D32" s="11">
        <v>9.6336277038249705</v>
      </c>
    </row>
    <row r="33" spans="2:7">
      <c r="B33" s="35" t="s">
        <v>105</v>
      </c>
      <c r="C33" s="11">
        <v>0.94907852535963599</v>
      </c>
      <c r="D33" s="11"/>
    </row>
    <row r="34" spans="2:7">
      <c r="B34" s="35" t="s">
        <v>78</v>
      </c>
      <c r="C34" s="15">
        <v>12</v>
      </c>
      <c r="D34" s="15"/>
    </row>
    <row r="35" spans="2:7" ht="17" thickBot="1">
      <c r="B35" s="40" t="s">
        <v>106</v>
      </c>
      <c r="C35" s="21" t="s">
        <v>107</v>
      </c>
      <c r="D35" s="12"/>
    </row>
    <row r="38" spans="2:7">
      <c r="B38" s="18" t="s">
        <v>108</v>
      </c>
    </row>
    <row r="39" spans="2:7" ht="17" thickBot="1"/>
    <row r="40" spans="2:7">
      <c r="B40" s="4" t="s">
        <v>30</v>
      </c>
      <c r="C40" s="5" t="s">
        <v>80</v>
      </c>
      <c r="D40" s="5" t="s">
        <v>43</v>
      </c>
    </row>
    <row r="41" spans="2:7">
      <c r="B41" s="39" t="s">
        <v>56</v>
      </c>
      <c r="C41" s="14">
        <v>0.66491275309989306</v>
      </c>
      <c r="D41" s="14">
        <v>1.9234027076316545E-3</v>
      </c>
    </row>
    <row r="42" spans="2:7">
      <c r="B42" s="35" t="s">
        <v>110</v>
      </c>
      <c r="C42" s="15">
        <v>93.3</v>
      </c>
      <c r="D42" s="15"/>
    </row>
    <row r="43" spans="2:7" ht="17" thickBot="1">
      <c r="B43" s="40" t="s">
        <v>122</v>
      </c>
      <c r="C43" s="12">
        <v>93.3</v>
      </c>
      <c r="D43" s="12"/>
    </row>
    <row r="46" spans="2:7">
      <c r="B46" s="18" t="s">
        <v>112</v>
      </c>
    </row>
    <row r="47" spans="2:7" ht="17" thickBot="1"/>
    <row r="48" spans="2:7">
      <c r="B48" s="31" t="s">
        <v>1</v>
      </c>
      <c r="C48" s="5" t="s">
        <v>0</v>
      </c>
      <c r="D48" s="5" t="s">
        <v>123</v>
      </c>
      <c r="E48" s="5" t="s">
        <v>89</v>
      </c>
      <c r="F48" s="5" t="s">
        <v>114</v>
      </c>
      <c r="G48" s="5" t="s">
        <v>115</v>
      </c>
    </row>
    <row r="49" spans="2:7">
      <c r="B49" s="32">
        <v>38353</v>
      </c>
      <c r="C49" s="10">
        <v>93.3</v>
      </c>
      <c r="D49" s="10"/>
      <c r="E49" s="10"/>
      <c r="F49" s="10"/>
      <c r="G49" s="10"/>
    </row>
    <row r="50" spans="2:7">
      <c r="B50" s="33">
        <v>38384</v>
      </c>
      <c r="C50" s="11">
        <v>95.7</v>
      </c>
      <c r="D50" s="11">
        <v>186.6</v>
      </c>
      <c r="E50" s="11">
        <v>-90.899999999999991</v>
      </c>
      <c r="F50" s="11"/>
      <c r="G50" s="11"/>
    </row>
    <row r="51" spans="2:7">
      <c r="B51" s="33">
        <v>38412</v>
      </c>
      <c r="C51" s="11">
        <v>93.8</v>
      </c>
      <c r="D51" s="11">
        <v>143.51074273648607</v>
      </c>
      <c r="E51" s="11">
        <v>-49.710742736486068</v>
      </c>
      <c r="F51" s="11"/>
      <c r="G51" s="11"/>
    </row>
    <row r="52" spans="2:7">
      <c r="B52" s="33">
        <v>38443</v>
      </c>
      <c r="C52" s="11">
        <v>99.4</v>
      </c>
      <c r="D52" s="11">
        <v>109.72883077531483</v>
      </c>
      <c r="E52" s="11">
        <v>-10.328830775314827</v>
      </c>
      <c r="F52" s="11"/>
      <c r="G52" s="11"/>
    </row>
    <row r="53" spans="2:7">
      <c r="B53" s="33">
        <v>38473</v>
      </c>
      <c r="C53" s="11">
        <v>100</v>
      </c>
      <c r="D53" s="11">
        <v>106.34042459189544</v>
      </c>
      <c r="E53" s="11">
        <v>-6.3404245918954416</v>
      </c>
      <c r="F53" s="11"/>
      <c r="G53" s="11"/>
    </row>
    <row r="54" spans="2:7">
      <c r="B54" s="33">
        <v>38504</v>
      </c>
      <c r="C54" s="11">
        <v>105.6</v>
      </c>
      <c r="D54" s="11">
        <v>103.68943395279615</v>
      </c>
      <c r="E54" s="11">
        <v>1.9105660472038437</v>
      </c>
      <c r="F54" s="11"/>
      <c r="G54" s="11"/>
    </row>
    <row r="55" spans="2:7">
      <c r="B55" s="33">
        <v>38534</v>
      </c>
      <c r="C55" s="11">
        <v>99.4</v>
      </c>
      <c r="D55" s="11">
        <v>109.2076625361524</v>
      </c>
      <c r="E55" s="11">
        <v>-9.8076625361523924</v>
      </c>
      <c r="F55" s="11"/>
      <c r="G55" s="11"/>
    </row>
    <row r="56" spans="2:7">
      <c r="B56" s="33">
        <v>38565</v>
      </c>
      <c r="C56" s="11">
        <v>106.3</v>
      </c>
      <c r="D56" s="11">
        <v>99.98737024766659</v>
      </c>
      <c r="E56" s="11">
        <v>6.3126297523334074</v>
      </c>
      <c r="F56" s="11"/>
      <c r="G56" s="11"/>
    </row>
    <row r="57" spans="2:7">
      <c r="B57" s="33">
        <v>38596</v>
      </c>
      <c r="C57" s="11">
        <v>104.2</v>
      </c>
      <c r="D57" s="11">
        <v>107.86819823734302</v>
      </c>
      <c r="E57" s="11">
        <v>-3.6681982373430202</v>
      </c>
      <c r="F57" s="11"/>
      <c r="G57" s="11"/>
    </row>
    <row r="58" spans="2:7">
      <c r="B58" s="33">
        <v>38626</v>
      </c>
      <c r="C58" s="11">
        <v>99.5</v>
      </c>
      <c r="D58" s="11">
        <v>105.26713682632054</v>
      </c>
      <c r="E58" s="11">
        <v>-5.767136826320538</v>
      </c>
      <c r="F58" s="11"/>
      <c r="G58" s="11"/>
    </row>
    <row r="59" spans="2:7">
      <c r="B59" s="33">
        <v>38657</v>
      </c>
      <c r="C59" s="11">
        <v>105.7</v>
      </c>
      <c r="D59" s="11">
        <v>98.253110002067856</v>
      </c>
      <c r="E59" s="11">
        <v>7.4468899979321463</v>
      </c>
      <c r="F59" s="11"/>
      <c r="G59" s="11"/>
    </row>
    <row r="60" spans="2:7">
      <c r="B60" s="33">
        <v>38687</v>
      </c>
      <c r="C60" s="11">
        <v>97.1</v>
      </c>
      <c r="D60" s="11">
        <v>106.26173017059348</v>
      </c>
      <c r="E60" s="11">
        <v>-9.1617301705934864</v>
      </c>
      <c r="F60" s="11"/>
      <c r="G60" s="11"/>
    </row>
    <row r="61" spans="2:7">
      <c r="B61" s="33">
        <v>38718</v>
      </c>
      <c r="C61" s="11">
        <v>101.4</v>
      </c>
      <c r="D61" s="11">
        <v>95.476120477220832</v>
      </c>
      <c r="E61" s="11">
        <v>5.9238795227791741</v>
      </c>
      <c r="F61" s="11"/>
      <c r="G61" s="11"/>
    </row>
    <row r="62" spans="2:7">
      <c r="B62" s="33">
        <v>38749</v>
      </c>
      <c r="C62" s="11">
        <v>97.7</v>
      </c>
      <c r="D62" s="11">
        <v>100.7012562485407</v>
      </c>
      <c r="E62" s="11">
        <v>-3.0012562485406988</v>
      </c>
      <c r="F62" s="11"/>
      <c r="G62" s="11"/>
    </row>
    <row r="63" spans="2:7">
      <c r="B63" s="33">
        <v>38777</v>
      </c>
      <c r="C63" s="11">
        <v>95.8</v>
      </c>
      <c r="D63" s="11">
        <v>96.676519094550812</v>
      </c>
      <c r="E63" s="11">
        <v>-0.87651909455081523</v>
      </c>
      <c r="F63" s="11"/>
      <c r="G63" s="11"/>
    </row>
    <row r="64" spans="2:7">
      <c r="B64" s="33">
        <v>38808</v>
      </c>
      <c r="C64" s="11">
        <v>103</v>
      </c>
      <c r="D64" s="11">
        <v>94.15042929545497</v>
      </c>
      <c r="E64" s="11">
        <v>8.8495707045450303</v>
      </c>
      <c r="F64" s="11"/>
      <c r="G64" s="11"/>
    </row>
    <row r="65" spans="2:7">
      <c r="B65" s="33">
        <v>38838</v>
      </c>
      <c r="C65" s="11">
        <v>105</v>
      </c>
      <c r="D65" s="11">
        <v>104.17082483337975</v>
      </c>
      <c r="E65" s="11">
        <v>0.82917516662024582</v>
      </c>
      <c r="F65" s="11"/>
      <c r="G65" s="11"/>
    </row>
    <row r="66" spans="2:7">
      <c r="B66" s="33">
        <v>38869</v>
      </c>
      <c r="C66" s="11">
        <v>106.5</v>
      </c>
      <c r="D66" s="11">
        <v>107.43796839751879</v>
      </c>
      <c r="E66" s="11">
        <v>-0.93796839751878736</v>
      </c>
      <c r="F66" s="11"/>
      <c r="G66" s="11"/>
    </row>
    <row r="67" spans="2:7">
      <c r="B67" s="33">
        <v>38899</v>
      </c>
      <c r="C67" s="11">
        <v>102</v>
      </c>
      <c r="D67" s="11">
        <v>108.72170515517858</v>
      </c>
      <c r="E67" s="11">
        <v>-6.7217051551785829</v>
      </c>
      <c r="F67" s="11"/>
      <c r="G67" s="11"/>
    </row>
    <row r="68" spans="2:7">
      <c r="B68" s="33">
        <v>38930</v>
      </c>
      <c r="C68" s="11">
        <v>110.5</v>
      </c>
      <c r="D68" s="11">
        <v>101.89939700995521</v>
      </c>
      <c r="E68" s="11">
        <v>8.6006029900447913</v>
      </c>
      <c r="F68" s="11"/>
      <c r="G68" s="11"/>
    </row>
    <row r="69" spans="2:7">
      <c r="B69" s="33">
        <v>38961</v>
      </c>
      <c r="C69" s="11">
        <v>105.5</v>
      </c>
      <c r="D69" s="11">
        <v>112.48135891244584</v>
      </c>
      <c r="E69" s="11">
        <v>-6.9813589124458417</v>
      </c>
      <c r="F69" s="11"/>
      <c r="G69" s="11"/>
    </row>
    <row r="70" spans="2:7">
      <c r="B70" s="33">
        <v>38991</v>
      </c>
      <c r="C70" s="11">
        <v>106.2</v>
      </c>
      <c r="D70" s="11">
        <v>106.1444341630982</v>
      </c>
      <c r="E70" s="11">
        <v>5.5565836901806165E-2</v>
      </c>
      <c r="F70" s="11"/>
      <c r="G70" s="11"/>
    </row>
    <row r="71" spans="2:7">
      <c r="B71" s="33">
        <v>39022</v>
      </c>
      <c r="C71" s="11">
        <v>110</v>
      </c>
      <c r="D71" s="11">
        <v>106.07887003800144</v>
      </c>
      <c r="E71" s="11">
        <v>3.9211299619985596</v>
      </c>
      <c r="F71" s="11"/>
      <c r="G71" s="11"/>
    </row>
    <row r="72" spans="2:7">
      <c r="B72" s="33">
        <v>39052</v>
      </c>
      <c r="C72" s="11">
        <v>101.9</v>
      </c>
      <c r="D72" s="11">
        <v>111.17839783718652</v>
      </c>
      <c r="E72" s="11">
        <v>-9.2783978371865174</v>
      </c>
      <c r="F72" s="11"/>
      <c r="G72" s="11"/>
    </row>
    <row r="73" spans="2:7">
      <c r="B73" s="33">
        <v>39083</v>
      </c>
      <c r="C73" s="11">
        <v>107.5</v>
      </c>
      <c r="D73" s="11">
        <v>100.45842362495735</v>
      </c>
      <c r="E73" s="11">
        <v>7.0415763750426521</v>
      </c>
      <c r="F73" s="11"/>
      <c r="G73" s="11"/>
    </row>
    <row r="74" spans="2:7">
      <c r="B74" s="33">
        <v>39114</v>
      </c>
      <c r="C74" s="11">
        <v>99.7</v>
      </c>
      <c r="D74" s="11">
        <v>107.33910447672363</v>
      </c>
      <c r="E74" s="11">
        <v>-7.6391044767236309</v>
      </c>
      <c r="F74" s="11"/>
      <c r="G74" s="11"/>
    </row>
    <row r="75" spans="2:7">
      <c r="B75" s="33">
        <v>39142</v>
      </c>
      <c r="C75" s="11">
        <v>101.9</v>
      </c>
      <c r="D75" s="11">
        <v>97.810185556391104</v>
      </c>
      <c r="E75" s="11">
        <v>4.0898144436089012</v>
      </c>
      <c r="F75" s="11"/>
      <c r="G75" s="11"/>
    </row>
    <row r="76" spans="2:7">
      <c r="B76" s="33">
        <v>39173</v>
      </c>
      <c r="C76" s="11">
        <v>106.4</v>
      </c>
      <c r="D76" s="11">
        <v>100.50136557038419</v>
      </c>
      <c r="E76" s="11">
        <v>5.8986344296158109</v>
      </c>
      <c r="F76" s="11"/>
      <c r="G76" s="11"/>
    </row>
    <row r="77" spans="2:7">
      <c r="B77" s="33">
        <v>39203</v>
      </c>
      <c r="C77" s="11">
        <v>108.5</v>
      </c>
      <c r="D77" s="11">
        <v>107.40610418591906</v>
      </c>
      <c r="E77" s="11">
        <v>1.0938958140809376</v>
      </c>
      <c r="F77" s="11"/>
      <c r="G77" s="11"/>
    </row>
    <row r="78" spans="2:7">
      <c r="B78" s="33">
        <v>39234</v>
      </c>
      <c r="C78" s="11">
        <v>108.5</v>
      </c>
      <c r="D78" s="11">
        <v>110.52921802746343</v>
      </c>
      <c r="E78" s="11">
        <v>-2.0292180274634291</v>
      </c>
      <c r="F78" s="11"/>
      <c r="G78" s="11"/>
    </row>
    <row r="79" spans="2:7">
      <c r="B79" s="33">
        <v>39264</v>
      </c>
      <c r="C79" s="11">
        <v>111.7</v>
      </c>
      <c r="D79" s="11">
        <v>109.9827565745702</v>
      </c>
      <c r="E79" s="11">
        <v>1.7172434254297997</v>
      </c>
      <c r="F79" s="11"/>
      <c r="G79" s="11"/>
    </row>
    <row r="80" spans="2:7">
      <c r="B80" s="33">
        <v>39295</v>
      </c>
      <c r="C80" s="11">
        <v>113.3</v>
      </c>
      <c r="D80" s="11">
        <v>113.521299629254</v>
      </c>
      <c r="E80" s="11">
        <v>-0.22129962925400548</v>
      </c>
      <c r="F80" s="11"/>
      <c r="G80" s="11"/>
    </row>
    <row r="81" spans="2:7">
      <c r="B81" s="33">
        <v>39326</v>
      </c>
      <c r="C81" s="11">
        <v>109.5</v>
      </c>
      <c r="D81" s="11">
        <v>115.24112740569495</v>
      </c>
      <c r="E81" s="11">
        <v>-5.7411274056949537</v>
      </c>
      <c r="F81" s="11"/>
      <c r="G81" s="11"/>
    </row>
    <row r="82" spans="2:7">
      <c r="B82" s="33">
        <v>39356</v>
      </c>
      <c r="C82" s="11">
        <v>112.3</v>
      </c>
      <c r="D82" s="11">
        <v>109.52270886421314</v>
      </c>
      <c r="E82" s="11">
        <v>2.7772911357868537</v>
      </c>
      <c r="F82" s="11"/>
      <c r="G82" s="11"/>
    </row>
    <row r="83" spans="2:7">
      <c r="B83" s="33">
        <v>39387</v>
      </c>
      <c r="C83" s="11">
        <v>113.8</v>
      </c>
      <c r="D83" s="11">
        <v>112.59409665210109</v>
      </c>
      <c r="E83" s="11">
        <v>1.2059033478989107</v>
      </c>
      <c r="F83" s="11"/>
      <c r="G83" s="11"/>
    </row>
    <row r="84" spans="2:7">
      <c r="B84" s="33">
        <v>39417</v>
      </c>
      <c r="C84" s="11">
        <v>107.1</v>
      </c>
      <c r="D84" s="11">
        <v>114.80367820083269</v>
      </c>
      <c r="E84" s="11">
        <v>-7.7036782008326981</v>
      </c>
      <c r="F84" s="11"/>
      <c r="G84" s="11"/>
    </row>
    <row r="85" spans="2:7">
      <c r="B85" s="33">
        <v>39448</v>
      </c>
      <c r="C85" s="11">
        <v>113.4</v>
      </c>
      <c r="D85" s="11">
        <v>105.69821164263051</v>
      </c>
      <c r="E85" s="11">
        <v>7.7017883573694945</v>
      </c>
      <c r="F85" s="11"/>
      <c r="G85" s="11"/>
    </row>
    <row r="86" spans="2:7">
      <c r="B86" s="33">
        <v>39479</v>
      </c>
      <c r="C86" s="11">
        <v>110.5</v>
      </c>
      <c r="D86" s="11">
        <v>113.67346221974609</v>
      </c>
      <c r="E86" s="11">
        <v>-3.1734622197460851</v>
      </c>
      <c r="F86" s="11"/>
      <c r="G86" s="11"/>
    </row>
    <row r="87" spans="2:7">
      <c r="B87" s="33">
        <v>39508</v>
      </c>
      <c r="C87" s="11">
        <v>105.5</v>
      </c>
      <c r="D87" s="11">
        <v>110.59155690504122</v>
      </c>
      <c r="E87" s="11">
        <v>-5.0915569050412159</v>
      </c>
      <c r="F87" s="11"/>
      <c r="G87" s="11"/>
    </row>
    <row r="88" spans="2:7">
      <c r="B88" s="33">
        <v>39539</v>
      </c>
      <c r="C88" s="11">
        <v>116.5</v>
      </c>
      <c r="D88" s="11">
        <v>103.55590424364688</v>
      </c>
      <c r="E88" s="11">
        <v>12.944095756353121</v>
      </c>
      <c r="F88" s="11"/>
      <c r="G88" s="11"/>
    </row>
    <row r="89" spans="2:7">
      <c r="B89" s="33">
        <v>39569</v>
      </c>
      <c r="C89" s="11">
        <v>114.2</v>
      </c>
      <c r="D89" s="11">
        <v>118.2534995372463</v>
      </c>
      <c r="E89" s="11">
        <v>-4.0534995372462959</v>
      </c>
      <c r="F89" s="11"/>
      <c r="G89" s="11"/>
    </row>
    <row r="90" spans="2:7">
      <c r="B90" s="33">
        <v>39600</v>
      </c>
      <c r="C90" s="11">
        <v>121.8</v>
      </c>
      <c r="D90" s="11">
        <v>116.06995989787461</v>
      </c>
      <c r="E90" s="11">
        <v>5.7300401021253862</v>
      </c>
      <c r="F90" s="11"/>
      <c r="G90" s="11"/>
    </row>
    <row r="91" spans="2:7">
      <c r="B91" s="33">
        <v>39630</v>
      </c>
      <c r="C91" s="11">
        <v>121.2</v>
      </c>
      <c r="D91" s="11">
        <v>125.10473230964999</v>
      </c>
      <c r="E91" s="11">
        <v>-3.9047323096499866</v>
      </c>
      <c r="F91" s="11"/>
      <c r="G91" s="11"/>
    </row>
    <row r="92" spans="2:7">
      <c r="B92" s="33">
        <v>39661</v>
      </c>
      <c r="C92" s="11">
        <v>117.4</v>
      </c>
      <c r="D92" s="11">
        <v>123.86024074504165</v>
      </c>
      <c r="E92" s="11">
        <v>-6.460240745041645</v>
      </c>
      <c r="F92" s="11"/>
      <c r="G92" s="11"/>
    </row>
    <row r="93" spans="2:7">
      <c r="B93" s="33">
        <v>39692</v>
      </c>
      <c r="C93" s="11">
        <v>123.5</v>
      </c>
      <c r="D93" s="11">
        <v>117.49105170518327</v>
      </c>
      <c r="E93" s="11">
        <v>6.008948294816733</v>
      </c>
      <c r="F93" s="11"/>
      <c r="G93" s="11"/>
    </row>
    <row r="94" spans="2:7">
      <c r="B94" s="33">
        <v>39722</v>
      </c>
      <c r="C94" s="11">
        <v>120.1</v>
      </c>
      <c r="D94" s="11">
        <v>124.84757791535586</v>
      </c>
      <c r="E94" s="11">
        <v>-4.7475779153558619</v>
      </c>
      <c r="F94" s="11"/>
      <c r="G94" s="11"/>
    </row>
    <row r="95" spans="2:7">
      <c r="B95" s="33">
        <v>39753</v>
      </c>
      <c r="C95" s="11">
        <v>117.5</v>
      </c>
      <c r="D95" s="11">
        <v>120.55641114994151</v>
      </c>
      <c r="E95" s="11">
        <v>-3.0564111499415105</v>
      </c>
      <c r="F95" s="11"/>
      <c r="G95" s="11"/>
    </row>
    <row r="96" spans="2:7">
      <c r="B96" s="33">
        <v>39783</v>
      </c>
      <c r="C96" s="11">
        <v>118.2</v>
      </c>
      <c r="D96" s="11">
        <v>116.41525430589229</v>
      </c>
      <c r="E96" s="11">
        <v>1.7847456941077127</v>
      </c>
      <c r="F96" s="11"/>
      <c r="G96" s="11"/>
    </row>
    <row r="97" spans="2:7">
      <c r="B97" s="33">
        <v>39814</v>
      </c>
      <c r="C97" s="11">
        <v>109</v>
      </c>
      <c r="D97" s="11">
        <v>117.36072452951475</v>
      </c>
      <c r="E97" s="11">
        <v>-8.360724529514755</v>
      </c>
      <c r="F97" s="11"/>
      <c r="G97" s="11"/>
    </row>
    <row r="98" spans="2:7">
      <c r="B98" s="33">
        <v>39845</v>
      </c>
      <c r="C98" s="11">
        <v>109.7</v>
      </c>
      <c r="D98" s="11">
        <v>105.603541756542</v>
      </c>
      <c r="E98" s="11">
        <v>4.0964582434580024</v>
      </c>
      <c r="F98" s="11"/>
      <c r="G98" s="11"/>
    </row>
    <row r="99" spans="2:7">
      <c r="B99" s="33">
        <v>39873</v>
      </c>
      <c r="C99" s="11">
        <v>106.3</v>
      </c>
      <c r="D99" s="11">
        <v>106.71588706666044</v>
      </c>
      <c r="E99" s="11">
        <v>-0.41588706666044573</v>
      </c>
      <c r="F99" s="11"/>
      <c r="G99" s="11"/>
    </row>
    <row r="100" spans="2:7">
      <c r="B100" s="33">
        <v>39904</v>
      </c>
      <c r="C100" s="11">
        <v>117.6</v>
      </c>
      <c r="D100" s="11">
        <v>103.63868142213134</v>
      </c>
      <c r="E100" s="11">
        <v>13.961318577868653</v>
      </c>
      <c r="F100" s="11"/>
      <c r="G100" s="11"/>
    </row>
    <row r="101" spans="2:7">
      <c r="B101" s="33">
        <v>39934</v>
      </c>
      <c r="C101" s="11">
        <v>112.5</v>
      </c>
      <c r="D101" s="11">
        <v>119.49678314921719</v>
      </c>
      <c r="E101" s="11">
        <v>-6.9967831492171939</v>
      </c>
      <c r="F101" s="11"/>
      <c r="G101" s="11"/>
    </row>
    <row r="102" spans="2:7">
      <c r="B102" s="33">
        <v>39965</v>
      </c>
      <c r="C102" s="11">
        <v>123.2</v>
      </c>
      <c r="D102" s="11">
        <v>113.65669080371576</v>
      </c>
      <c r="E102" s="11">
        <v>9.5433091962842411</v>
      </c>
      <c r="F102" s="11"/>
      <c r="G102" s="11"/>
    </row>
    <row r="103" spans="2:7">
      <c r="B103" s="33">
        <v>39995</v>
      </c>
      <c r="C103" s="11">
        <v>119.9</v>
      </c>
      <c r="D103" s="11">
        <v>126.71869454810158</v>
      </c>
      <c r="E103" s="11">
        <v>-6.8186945481015755</v>
      </c>
      <c r="F103" s="11"/>
      <c r="G103" s="11"/>
    </row>
    <row r="104" spans="2:7">
      <c r="B104" s="33">
        <v>40026</v>
      </c>
      <c r="C104" s="11">
        <v>129.1</v>
      </c>
      <c r="D104" s="11">
        <v>122.24127097252573</v>
      </c>
      <c r="E104" s="11">
        <v>6.8587290274742685</v>
      </c>
      <c r="F104" s="11"/>
      <c r="G104" s="11"/>
    </row>
    <row r="105" spans="2:7">
      <c r="B105" s="33">
        <v>40057</v>
      </c>
      <c r="C105" s="11">
        <v>172.3</v>
      </c>
      <c r="D105" s="11">
        <v>132.93782810866023</v>
      </c>
      <c r="E105" s="11">
        <v>39.362171891339784</v>
      </c>
      <c r="F105" s="11"/>
      <c r="G105" s="11"/>
    </row>
    <row r="106" spans="2:7">
      <c r="B106" s="33">
        <v>40087</v>
      </c>
      <c r="C106" s="11">
        <v>171.8</v>
      </c>
      <c r="D106" s="11">
        <v>189.89059822506852</v>
      </c>
      <c r="E106" s="11">
        <v>-18.090598225068504</v>
      </c>
      <c r="F106" s="11"/>
      <c r="G106" s="11"/>
    </row>
    <row r="107" spans="2:7">
      <c r="B107" s="33">
        <v>40118</v>
      </c>
      <c r="C107" s="11">
        <v>167.3</v>
      </c>
      <c r="D107" s="11">
        <v>187.84357848057056</v>
      </c>
      <c r="E107" s="11">
        <v>-20.543578480570545</v>
      </c>
      <c r="F107" s="11"/>
      <c r="G107" s="11"/>
    </row>
    <row r="108" spans="2:7">
      <c r="B108" s="33">
        <v>40148</v>
      </c>
      <c r="C108" s="11">
        <v>169.1</v>
      </c>
      <c r="D108" s="11">
        <v>174.53650729197415</v>
      </c>
      <c r="E108" s="11">
        <v>-5.4365072919741522</v>
      </c>
      <c r="F108" s="11"/>
      <c r="G108" s="11"/>
    </row>
    <row r="109" spans="2:7">
      <c r="B109" s="33">
        <v>40179</v>
      </c>
      <c r="C109" s="11">
        <v>163.80000000000001</v>
      </c>
      <c r="D109" s="11">
        <v>172.23670438750827</v>
      </c>
      <c r="E109" s="11">
        <v>-8.4367043875082572</v>
      </c>
      <c r="F109" s="11"/>
      <c r="G109" s="11"/>
    </row>
    <row r="110" spans="2:7">
      <c r="B110" s="33">
        <v>40210</v>
      </c>
      <c r="C110" s="11">
        <v>166.3</v>
      </c>
      <c r="D110" s="11">
        <v>163.543634226682</v>
      </c>
      <c r="E110" s="11">
        <v>2.7563657733180094</v>
      </c>
      <c r="F110" s="11"/>
      <c r="G110" s="11"/>
    </row>
    <row r="111" spans="2:7">
      <c r="B111" s="33">
        <v>40238</v>
      </c>
      <c r="C111" s="11">
        <v>165</v>
      </c>
      <c r="D111" s="11">
        <v>166.0054515779056</v>
      </c>
      <c r="E111" s="11">
        <v>-1.0054515779056032</v>
      </c>
      <c r="F111" s="11"/>
      <c r="G111" s="11"/>
    </row>
    <row r="112" spans="2:7">
      <c r="B112" s="33">
        <v>40269</v>
      </c>
      <c r="C112" s="11">
        <v>173.6</v>
      </c>
      <c r="D112" s="11">
        <v>164.68332229668306</v>
      </c>
      <c r="E112" s="11">
        <v>8.9166777033169353</v>
      </c>
      <c r="F112" s="11"/>
      <c r="G112" s="11"/>
    </row>
    <row r="113" spans="2:7">
      <c r="B113" s="33">
        <v>40299</v>
      </c>
      <c r="C113" s="11">
        <v>167.3</v>
      </c>
      <c r="D113" s="11">
        <v>176.11137444871858</v>
      </c>
      <c r="E113" s="11">
        <v>-8.811374448718567</v>
      </c>
      <c r="F113" s="11"/>
      <c r="G113" s="11"/>
    </row>
    <row r="114" spans="2:7">
      <c r="B114" s="33">
        <v>40330</v>
      </c>
      <c r="C114" s="11">
        <v>181</v>
      </c>
      <c r="D114" s="11">
        <v>167.90635386215033</v>
      </c>
      <c r="E114" s="11">
        <v>13.093646137849674</v>
      </c>
      <c r="F114" s="11"/>
      <c r="G114" s="11"/>
    </row>
    <row r="115" spans="2:7">
      <c r="B115" s="33">
        <v>40360</v>
      </c>
      <c r="C115" s="11">
        <v>173.4</v>
      </c>
      <c r="D115" s="11">
        <v>184.93560069036641</v>
      </c>
      <c r="E115" s="11">
        <v>-11.535600690366408</v>
      </c>
      <c r="F115" s="11"/>
      <c r="G115" s="11"/>
    </row>
    <row r="116" spans="2:7">
      <c r="B116" s="33">
        <v>40391</v>
      </c>
      <c r="C116" s="11">
        <v>182.8</v>
      </c>
      <c r="D116" s="11">
        <v>175.00106528546152</v>
      </c>
      <c r="E116" s="11">
        <v>7.7989347145384897</v>
      </c>
      <c r="F116" s="11"/>
      <c r="G116" s="11"/>
    </row>
    <row r="117" spans="2:7">
      <c r="B117" s="33">
        <v>40422</v>
      </c>
      <c r="C117" s="11">
        <v>181.1</v>
      </c>
      <c r="D117" s="11">
        <v>185.67809568179896</v>
      </c>
      <c r="E117" s="11">
        <v>-4.5780956817989704</v>
      </c>
      <c r="F117" s="11"/>
      <c r="G117" s="11"/>
    </row>
    <row r="118" spans="2:7">
      <c r="B118" s="33">
        <v>40452</v>
      </c>
      <c r="C118" s="11">
        <v>174.9</v>
      </c>
      <c r="D118" s="11">
        <v>183.34381435385154</v>
      </c>
      <c r="E118" s="11">
        <v>-8.4438143538515362</v>
      </c>
      <c r="F118" s="11"/>
      <c r="G118" s="11"/>
    </row>
    <row r="119" spans="2:7">
      <c r="B119" s="33">
        <v>40483</v>
      </c>
      <c r="C119" s="11">
        <v>185.5</v>
      </c>
      <c r="D119" s="11">
        <v>173.84478457307702</v>
      </c>
      <c r="E119" s="11">
        <v>11.655215426922979</v>
      </c>
      <c r="F119" s="11"/>
      <c r="G119" s="11"/>
    </row>
    <row r="120" spans="2:7">
      <c r="B120" s="33">
        <v>40513</v>
      </c>
      <c r="C120" s="11">
        <v>183.7</v>
      </c>
      <c r="D120" s="11">
        <v>187.34087118425356</v>
      </c>
      <c r="E120" s="11">
        <v>-3.6408711842535695</v>
      </c>
      <c r="F120" s="11"/>
      <c r="G120" s="11"/>
    </row>
    <row r="121" spans="2:7">
      <c r="B121" s="33">
        <v>40544</v>
      </c>
      <c r="C121" s="11">
        <v>176.9</v>
      </c>
      <c r="D121" s="11">
        <v>185.64870695345391</v>
      </c>
      <c r="E121" s="11">
        <v>-8.7487069534539046</v>
      </c>
      <c r="F121" s="11"/>
      <c r="G121" s="11"/>
    </row>
    <row r="122" spans="2:7">
      <c r="B122" s="33">
        <v>40575</v>
      </c>
      <c r="C122" s="11">
        <v>176.7</v>
      </c>
      <c r="D122" s="11">
        <v>175.55435062890467</v>
      </c>
      <c r="E122" s="11">
        <v>1.1456493710953168</v>
      </c>
      <c r="F122" s="11"/>
      <c r="G122" s="11"/>
    </row>
    <row r="123" spans="2:7">
      <c r="B123" s="33">
        <v>40603</v>
      </c>
      <c r="C123" s="11">
        <v>166.3</v>
      </c>
      <c r="D123" s="11">
        <v>174.74987989884062</v>
      </c>
      <c r="E123" s="11">
        <v>-8.4498798988406065</v>
      </c>
      <c r="F123" s="11"/>
      <c r="G123" s="11"/>
    </row>
    <row r="124" spans="2:7">
      <c r="B124" s="33">
        <v>40634</v>
      </c>
      <c r="C124" s="11">
        <v>180.2</v>
      </c>
      <c r="D124" s="11">
        <v>161.69153146268877</v>
      </c>
      <c r="E124" s="11">
        <v>18.508468537311217</v>
      </c>
      <c r="F124" s="11"/>
      <c r="G124" s="11"/>
    </row>
    <row r="125" spans="2:7">
      <c r="B125" s="33">
        <v>40664</v>
      </c>
      <c r="C125" s="11">
        <v>184</v>
      </c>
      <c r="D125" s="11">
        <v>180.74731468971777</v>
      </c>
      <c r="E125" s="11">
        <v>3.2526853102822315</v>
      </c>
      <c r="F125" s="11"/>
      <c r="G125" s="11"/>
    </row>
    <row r="126" spans="2:7">
      <c r="B126" s="33">
        <v>40695</v>
      </c>
      <c r="C126" s="11">
        <v>195.6</v>
      </c>
      <c r="D126" s="11">
        <v>187.69832821153562</v>
      </c>
      <c r="E126" s="11">
        <v>7.9016717884643697</v>
      </c>
      <c r="F126" s="11"/>
      <c r="G126" s="11"/>
    </row>
    <row r="127" spans="2:7">
      <c r="B127" s="33">
        <v>40725</v>
      </c>
      <c r="C127" s="11">
        <v>186.2</v>
      </c>
      <c r="D127" s="11">
        <v>202.26972387979231</v>
      </c>
      <c r="E127" s="11">
        <v>-16.069723879792321</v>
      </c>
      <c r="F127" s="11"/>
      <c r="G127" s="11"/>
    </row>
    <row r="128" spans="2:7">
      <c r="B128" s="33">
        <v>40756</v>
      </c>
      <c r="C128" s="11">
        <v>201</v>
      </c>
      <c r="D128" s="11">
        <v>188.45674613882449</v>
      </c>
      <c r="E128" s="11">
        <v>12.543253861175515</v>
      </c>
      <c r="F128" s="11"/>
      <c r="G128" s="11"/>
    </row>
    <row r="129" spans="2:7">
      <c r="B129" s="33">
        <v>40787</v>
      </c>
      <c r="C129" s="11">
        <v>194.1</v>
      </c>
      <c r="D129" s="11">
        <v>205.58946694573834</v>
      </c>
      <c r="E129" s="11">
        <v>-11.489466945738343</v>
      </c>
      <c r="F129" s="11"/>
      <c r="G129" s="11"/>
    </row>
    <row r="130" spans="2:7">
      <c r="B130" s="33">
        <v>40817</v>
      </c>
      <c r="C130" s="11">
        <v>183.9</v>
      </c>
      <c r="D130" s="11">
        <v>196.30834767565557</v>
      </c>
      <c r="E130" s="11">
        <v>-12.408347675655563</v>
      </c>
      <c r="F130" s="11"/>
      <c r="G130" s="11"/>
    </row>
    <row r="131" spans="2:7">
      <c r="B131" s="33">
        <v>40848</v>
      </c>
      <c r="C131" s="11">
        <v>196.5</v>
      </c>
      <c r="D131" s="11">
        <v>180.7256809853348</v>
      </c>
      <c r="E131" s="11">
        <v>15.774319014665195</v>
      </c>
      <c r="F131" s="11"/>
      <c r="G131" s="11"/>
    </row>
    <row r="132" spans="2:7">
      <c r="B132" s="33">
        <v>40878</v>
      </c>
      <c r="C132" s="11">
        <v>182.8</v>
      </c>
      <c r="D132" s="11">
        <v>197.1352014917376</v>
      </c>
      <c r="E132" s="11">
        <v>-14.335201491737593</v>
      </c>
      <c r="F132" s="11"/>
      <c r="G132" s="11"/>
    </row>
    <row r="133" spans="2:7">
      <c r="B133" s="33">
        <v>40909</v>
      </c>
      <c r="C133" s="11">
        <v>187.8</v>
      </c>
      <c r="D133" s="11">
        <v>180.4782815692362</v>
      </c>
      <c r="E133" s="11">
        <v>7.3217184307638092</v>
      </c>
      <c r="F133" s="11"/>
      <c r="G133" s="11"/>
    </row>
    <row r="134" spans="2:7">
      <c r="B134" s="33">
        <v>40940</v>
      </c>
      <c r="C134" s="11">
        <v>189.8</v>
      </c>
      <c r="D134" s="11">
        <v>186.28356499011704</v>
      </c>
      <c r="E134" s="11">
        <v>3.5164350098829686</v>
      </c>
      <c r="F134" s="11"/>
      <c r="G134" s="11"/>
    </row>
    <row r="135" spans="2:7">
      <c r="B135" s="33">
        <v>40969</v>
      </c>
      <c r="C135" s="11">
        <v>181.3</v>
      </c>
      <c r="D135" s="11">
        <v>190.2654828480444</v>
      </c>
      <c r="E135" s="11">
        <v>-8.9654828480443882</v>
      </c>
      <c r="F135" s="11"/>
      <c r="G135" s="11"/>
    </row>
    <row r="136" spans="2:7">
      <c r="B136" s="33">
        <v>41000</v>
      </c>
      <c r="C136" s="11">
        <v>194.9</v>
      </c>
      <c r="D136" s="11">
        <v>179.20327542981019</v>
      </c>
      <c r="E136" s="11">
        <v>15.696724570189815</v>
      </c>
      <c r="F136" s="11"/>
      <c r="G136" s="11"/>
    </row>
    <row r="137" spans="2:7">
      <c r="B137" s="33">
        <v>41030</v>
      </c>
      <c r="C137" s="11">
        <v>196</v>
      </c>
      <c r="D137" s="11">
        <v>196.97378009489151</v>
      </c>
      <c r="E137" s="11">
        <v>-0.97378009489150941</v>
      </c>
      <c r="F137" s="11"/>
      <c r="G137" s="11"/>
    </row>
    <row r="138" spans="2:7">
      <c r="B138" s="33">
        <v>41061</v>
      </c>
      <c r="C138" s="11">
        <v>199.2</v>
      </c>
      <c r="D138" s="11">
        <v>199.51508517521557</v>
      </c>
      <c r="E138" s="11">
        <v>-0.31508517521558588</v>
      </c>
      <c r="F138" s="11"/>
      <c r="G138" s="11"/>
    </row>
    <row r="139" spans="2:7">
      <c r="B139" s="33">
        <v>41091</v>
      </c>
      <c r="C139" s="11">
        <v>199.1</v>
      </c>
      <c r="D139" s="11">
        <v>202.50182264651497</v>
      </c>
      <c r="E139" s="11">
        <v>-3.4018226465149723</v>
      </c>
      <c r="F139" s="11"/>
      <c r="G139" s="11"/>
    </row>
    <row r="140" spans="2:7">
      <c r="B140" s="33">
        <v>41122</v>
      </c>
      <c r="C140" s="11">
        <v>200.1</v>
      </c>
      <c r="D140" s="11">
        <v>201.24443591550201</v>
      </c>
      <c r="E140" s="11">
        <v>-1.1444359155020152</v>
      </c>
      <c r="F140" s="11"/>
      <c r="G140" s="11"/>
    </row>
    <row r="141" spans="2:7">
      <c r="B141" s="33">
        <v>41153</v>
      </c>
      <c r="C141" s="11">
        <v>198.9</v>
      </c>
      <c r="D141" s="11">
        <v>201.4850033329765</v>
      </c>
      <c r="E141" s="11">
        <v>-2.5850033329764983</v>
      </c>
      <c r="F141" s="11"/>
      <c r="G141" s="11"/>
    </row>
    <row r="142" spans="2:7">
      <c r="B142" s="33">
        <v>41183</v>
      </c>
      <c r="C142" s="11">
        <v>193.6</v>
      </c>
      <c r="D142" s="11">
        <v>199.30390207233506</v>
      </c>
      <c r="E142" s="11">
        <v>-5.7039020723350689</v>
      </c>
      <c r="F142" s="11"/>
      <c r="G142" s="11"/>
    </row>
    <row r="143" spans="2:7">
      <c r="B143" s="33">
        <v>41214</v>
      </c>
      <c r="C143" s="11">
        <v>198.5</v>
      </c>
      <c r="D143" s="11">
        <v>191.8323565578292</v>
      </c>
      <c r="E143" s="11">
        <v>6.6676434421707995</v>
      </c>
      <c r="F143" s="11"/>
      <c r="G143" s="11"/>
    </row>
    <row r="144" spans="2:7">
      <c r="B144" s="33">
        <v>41244</v>
      </c>
      <c r="C144" s="11">
        <v>189.3</v>
      </c>
      <c r="D144" s="11">
        <v>198.29106155380813</v>
      </c>
      <c r="E144" s="11">
        <v>-8.9910615538081231</v>
      </c>
      <c r="F144" s="11"/>
      <c r="G144" s="11"/>
    </row>
    <row r="145" spans="2:7">
      <c r="B145" s="33">
        <v>41275</v>
      </c>
      <c r="C145" s="11">
        <v>197.2</v>
      </c>
      <c r="D145" s="11">
        <v>186.87424622152005</v>
      </c>
      <c r="E145" s="11">
        <v>10.325753778479935</v>
      </c>
      <c r="F145" s="11"/>
      <c r="G145" s="11"/>
    </row>
    <row r="146" spans="2:7">
      <c r="B146" s="33">
        <v>41306</v>
      </c>
      <c r="C146" s="11">
        <v>189.6</v>
      </c>
      <c r="D146" s="11">
        <v>197.17039566077833</v>
      </c>
      <c r="E146" s="11">
        <v>-7.5703956607783311</v>
      </c>
      <c r="F146" s="11"/>
      <c r="G146" s="11"/>
    </row>
    <row r="147" spans="2:7">
      <c r="B147" s="33">
        <v>41334</v>
      </c>
      <c r="C147" s="11">
        <v>176.4</v>
      </c>
      <c r="D147" s="11">
        <v>188.23289747252488</v>
      </c>
      <c r="E147" s="11">
        <v>-11.832897472524877</v>
      </c>
      <c r="F147" s="11"/>
      <c r="G147" s="11"/>
    </row>
    <row r="148" spans="2:7">
      <c r="B148" s="33">
        <v>41365</v>
      </c>
      <c r="C148" s="11">
        <v>198.1</v>
      </c>
      <c r="D148" s="11">
        <v>170.28007583250115</v>
      </c>
      <c r="E148" s="11">
        <v>27.81992416749884</v>
      </c>
      <c r="F148" s="11"/>
      <c r="G148" s="11"/>
    </row>
    <row r="149" spans="2:7">
      <c r="B149" s="33">
        <v>41395</v>
      </c>
      <c r="C149" s="11">
        <v>199.8</v>
      </c>
      <c r="D149" s="11">
        <v>199.82715769753182</v>
      </c>
      <c r="E149" s="11">
        <v>-2.7157697531805525E-2</v>
      </c>
      <c r="F149" s="11"/>
      <c r="G149" s="11"/>
    </row>
    <row r="150" spans="2:7">
      <c r="B150" s="33">
        <v>41426</v>
      </c>
      <c r="C150" s="11">
        <v>202.1</v>
      </c>
      <c r="D150" s="11">
        <v>204.64191782309663</v>
      </c>
      <c r="E150" s="11">
        <v>-2.5419178230966395</v>
      </c>
      <c r="F150" s="11"/>
      <c r="G150" s="11"/>
    </row>
    <row r="151" spans="2:7">
      <c r="B151" s="33">
        <v>41456</v>
      </c>
      <c r="C151" s="11">
        <v>204.5</v>
      </c>
      <c r="D151" s="11">
        <v>206.1004791300486</v>
      </c>
      <c r="E151" s="11">
        <v>-1.6004791300485977</v>
      </c>
      <c r="F151" s="11"/>
      <c r="G151" s="11"/>
    </row>
    <row r="152" spans="2:7">
      <c r="B152" s="33">
        <v>41487</v>
      </c>
      <c r="C152" s="11">
        <v>202.5</v>
      </c>
      <c r="D152" s="11">
        <v>207.68718495489026</v>
      </c>
      <c r="E152" s="11">
        <v>-5.187184954890256</v>
      </c>
      <c r="F152" s="11"/>
      <c r="G152" s="11"/>
    </row>
    <row r="153" spans="2:7">
      <c r="B153" s="33">
        <v>41518</v>
      </c>
      <c r="C153" s="11">
        <v>202.7</v>
      </c>
      <c r="D153" s="11">
        <v>203.7966117121544</v>
      </c>
      <c r="E153" s="11">
        <v>-1.096611712154413</v>
      </c>
      <c r="F153" s="11"/>
      <c r="G153" s="11"/>
    </row>
    <row r="154" spans="2:7">
      <c r="B154" s="33">
        <v>41548</v>
      </c>
      <c r="C154" s="11">
        <v>196.2</v>
      </c>
      <c r="D154" s="11">
        <v>203.05248610894984</v>
      </c>
      <c r="E154" s="11">
        <v>-6.8524861089498472</v>
      </c>
      <c r="F154" s="11"/>
      <c r="G154" s="11"/>
    </row>
    <row r="155" spans="2:7">
      <c r="B155" s="33">
        <v>41579</v>
      </c>
      <c r="C155" s="11">
        <v>203.5</v>
      </c>
      <c r="D155" s="11">
        <v>194.16923004869292</v>
      </c>
      <c r="E155" s="11">
        <v>9.3307699513070759</v>
      </c>
      <c r="F155" s="11"/>
      <c r="G155" s="11"/>
    </row>
    <row r="156" spans="2:7">
      <c r="B156" s="33">
        <v>41609</v>
      </c>
      <c r="C156" s="11">
        <v>196.4</v>
      </c>
      <c r="D156" s="11">
        <v>203.77733510040377</v>
      </c>
      <c r="E156" s="11">
        <v>-7.3773351004037693</v>
      </c>
      <c r="F156" s="11"/>
      <c r="G156" s="11"/>
    </row>
    <row r="157" spans="2:7">
      <c r="B157" s="33">
        <v>41640</v>
      </c>
      <c r="C157" s="11">
        <v>197.7</v>
      </c>
      <c r="D157" s="11">
        <v>195.29179297942417</v>
      </c>
      <c r="E157" s="11">
        <v>2.4082070205758157</v>
      </c>
      <c r="F157" s="11"/>
      <c r="G157" s="11"/>
    </row>
    <row r="158" spans="2:7">
      <c r="B158" s="33">
        <v>41671</v>
      </c>
      <c r="C158" s="11">
        <v>193</v>
      </c>
      <c r="D158" s="11">
        <v>196.55772834597576</v>
      </c>
      <c r="E158" s="11">
        <v>-3.5577283459757609</v>
      </c>
      <c r="F158" s="11"/>
      <c r="G158" s="11"/>
    </row>
    <row r="159" spans="2:7">
      <c r="B159" s="33">
        <v>41699</v>
      </c>
      <c r="C159" s="11">
        <v>180.1</v>
      </c>
      <c r="D159" s="11">
        <v>190.95470061731868</v>
      </c>
      <c r="E159" s="11">
        <v>-10.854700617318684</v>
      </c>
      <c r="F159" s="11"/>
      <c r="G159" s="11"/>
    </row>
    <row r="160" spans="2:7">
      <c r="B160" s="33">
        <v>41730</v>
      </c>
      <c r="C160" s="11">
        <v>203.7</v>
      </c>
      <c r="D160" s="11">
        <v>174.07506943234014</v>
      </c>
      <c r="E160" s="11">
        <v>29.624930567659845</v>
      </c>
      <c r="F160" s="11"/>
      <c r="G160" s="11"/>
    </row>
    <row r="161" spans="2:7">
      <c r="B161" s="33">
        <v>41760</v>
      </c>
      <c r="C161" s="11">
        <v>202.8</v>
      </c>
      <c r="D161" s="11">
        <v>206.22732377743031</v>
      </c>
      <c r="E161" s="11">
        <v>-3.4273237774303027</v>
      </c>
      <c r="F161" s="11"/>
      <c r="G161" s="11"/>
    </row>
    <row r="162" spans="2:7">
      <c r="B162" s="33">
        <v>41791</v>
      </c>
      <c r="C162" s="11">
        <v>209.1</v>
      </c>
      <c r="D162" s="11">
        <v>207.52329477393988</v>
      </c>
      <c r="E162" s="11">
        <v>1.5767052260601133</v>
      </c>
      <c r="F162" s="11"/>
      <c r="G162" s="11"/>
    </row>
    <row r="163" spans="2:7">
      <c r="B163" s="33">
        <v>41821</v>
      </c>
      <c r="C163" s="11">
        <v>208.2</v>
      </c>
      <c r="D163" s="11">
        <v>213.95850059058057</v>
      </c>
      <c r="E163" s="11">
        <v>-5.7585005905805815</v>
      </c>
      <c r="F163" s="11"/>
      <c r="G163" s="11"/>
    </row>
    <row r="164" spans="2:7">
      <c r="B164" s="33">
        <v>41852</v>
      </c>
      <c r="C164" s="11">
        <v>214.7</v>
      </c>
      <c r="D164" s="11">
        <v>211.33623814130817</v>
      </c>
      <c r="E164" s="11">
        <v>3.3637618586918165</v>
      </c>
      <c r="F164" s="11"/>
      <c r="G164" s="11"/>
    </row>
    <row r="165" spans="2:7">
      <c r="B165" s="33">
        <v>41883</v>
      </c>
      <c r="C165" s="11">
        <v>210.1</v>
      </c>
      <c r="D165" s="11">
        <v>218.29910821088669</v>
      </c>
      <c r="E165" s="11">
        <v>-8.1991082108866919</v>
      </c>
      <c r="F165" s="11"/>
      <c r="G165" s="11"/>
    </row>
    <row r="166" spans="2:7">
      <c r="B166" s="33">
        <v>41913</v>
      </c>
      <c r="C166" s="11">
        <v>206.9</v>
      </c>
      <c r="D166" s="11">
        <v>211.37252802516343</v>
      </c>
      <c r="E166" s="11">
        <v>-4.4725280251634274</v>
      </c>
      <c r="F166" s="11"/>
      <c r="G166" s="11"/>
    </row>
    <row r="167" spans="2:7">
      <c r="B167" s="33">
        <v>41944</v>
      </c>
      <c r="C167" s="11">
        <v>210.4</v>
      </c>
      <c r="D167" s="11">
        <v>205.77674994155339</v>
      </c>
      <c r="E167" s="11">
        <v>4.6232500584466152</v>
      </c>
      <c r="F167" s="11"/>
      <c r="G167" s="11"/>
    </row>
    <row r="168" spans="2:7">
      <c r="B168" s="33">
        <v>41974</v>
      </c>
      <c r="C168" s="11">
        <v>204.4</v>
      </c>
      <c r="D168" s="11">
        <v>210.29942479718187</v>
      </c>
      <c r="E168" s="11">
        <v>-5.8994247971818652</v>
      </c>
      <c r="F168" s="11"/>
      <c r="G168" s="11"/>
    </row>
    <row r="169" spans="2:7">
      <c r="B169" s="33">
        <v>42005</v>
      </c>
      <c r="C169" s="11">
        <v>203.9</v>
      </c>
      <c r="D169" s="11">
        <v>202.87275855420339</v>
      </c>
      <c r="E169" s="11">
        <v>1.0272414457966192</v>
      </c>
      <c r="F169" s="11"/>
      <c r="G169" s="11"/>
    </row>
    <row r="170" spans="2:7">
      <c r="B170" s="33">
        <v>42036</v>
      </c>
      <c r="C170" s="11">
        <v>199.1</v>
      </c>
      <c r="D170" s="11">
        <v>202.04916113790998</v>
      </c>
      <c r="E170" s="11">
        <v>-2.9491611379099822</v>
      </c>
      <c r="F170" s="11"/>
      <c r="G170" s="11"/>
    </row>
    <row r="171" spans="2:7">
      <c r="B171" s="33">
        <v>42064</v>
      </c>
      <c r="C171" s="11">
        <v>183.1</v>
      </c>
      <c r="D171" s="11">
        <v>196.39179479964125</v>
      </c>
      <c r="E171" s="11">
        <v>-13.291794799641252</v>
      </c>
      <c r="F171" s="11"/>
      <c r="G171" s="11"/>
    </row>
    <row r="172" spans="2:7">
      <c r="B172" s="33">
        <v>42095</v>
      </c>
      <c r="C172" s="11">
        <v>206.2</v>
      </c>
      <c r="D172" s="11">
        <v>175.67667982593284</v>
      </c>
      <c r="E172" s="11">
        <v>30.523320174067152</v>
      </c>
      <c r="F172" s="11"/>
      <c r="G172" s="11"/>
    </row>
    <row r="173" spans="2:7">
      <c r="B173" s="33">
        <v>42125</v>
      </c>
      <c r="C173" s="11">
        <v>204</v>
      </c>
      <c r="D173" s="11">
        <v>207.35160060318714</v>
      </c>
      <c r="E173" s="11">
        <v>-3.351600603187137</v>
      </c>
      <c r="F173" s="11"/>
      <c r="G173" s="11"/>
    </row>
    <row r="174" spans="2:7">
      <c r="B174" s="33">
        <v>42156</v>
      </c>
      <c r="C174" s="11">
        <v>207.7</v>
      </c>
      <c r="D174" s="11">
        <v>207.47342133013464</v>
      </c>
      <c r="E174" s="11">
        <v>0.22657866986534714</v>
      </c>
      <c r="F174" s="11"/>
      <c r="G174" s="11"/>
    </row>
    <row r="175" spans="2:7">
      <c r="B175" s="33">
        <v>42186</v>
      </c>
      <c r="C175" s="11">
        <v>204.9</v>
      </c>
      <c r="D175" s="11">
        <v>210.87182343218066</v>
      </c>
      <c r="E175" s="11">
        <v>-5.9718234321806563</v>
      </c>
      <c r="F175" s="11"/>
      <c r="G175" s="11"/>
    </row>
    <row r="176" spans="2:7">
      <c r="B176" s="33">
        <v>42217</v>
      </c>
      <c r="C176" s="11">
        <v>210</v>
      </c>
      <c r="D176" s="11">
        <v>206.1276047834283</v>
      </c>
      <c r="E176" s="11">
        <v>3.8723952165717037</v>
      </c>
      <c r="F176" s="11"/>
      <c r="G176" s="11"/>
    </row>
    <row r="177" spans="2:7">
      <c r="B177" s="33">
        <v>42248</v>
      </c>
      <c r="C177" s="11">
        <v>206.7</v>
      </c>
      <c r="D177" s="11">
        <v>211.83428248034031</v>
      </c>
      <c r="E177" s="11">
        <v>-5.1342824803403175</v>
      </c>
      <c r="F177" s="11"/>
      <c r="G177" s="11"/>
    </row>
    <row r="178" spans="2:7">
      <c r="B178" s="33">
        <v>42278</v>
      </c>
      <c r="C178" s="11">
        <v>202.5</v>
      </c>
      <c r="D178" s="11">
        <v>207.27567110744656</v>
      </c>
      <c r="E178" s="11">
        <v>-4.7756711074465557</v>
      </c>
      <c r="F178" s="11"/>
      <c r="G178" s="11"/>
    </row>
    <row r="179" spans="2:7">
      <c r="B179" s="33">
        <v>42309</v>
      </c>
      <c r="C179" s="11">
        <v>211.1</v>
      </c>
      <c r="D179" s="11">
        <v>200.92403794989633</v>
      </c>
      <c r="E179" s="11">
        <v>10.175962050103664</v>
      </c>
      <c r="F179" s="11"/>
      <c r="G179" s="11"/>
    </row>
    <row r="180" spans="2:7">
      <c r="B180" s="33">
        <v>42339</v>
      </c>
      <c r="C180" s="11">
        <v>205.6</v>
      </c>
      <c r="D180" s="11">
        <v>212.34410089388081</v>
      </c>
      <c r="E180" s="11">
        <v>-6.7441008938808125</v>
      </c>
      <c r="F180" s="11"/>
      <c r="G180" s="11"/>
    </row>
    <row r="181" spans="2:7">
      <c r="B181" s="33">
        <v>42370</v>
      </c>
      <c r="C181" s="11">
        <v>214.4</v>
      </c>
      <c r="D181" s="11">
        <v>205.76231666139341</v>
      </c>
      <c r="E181" s="11">
        <v>8.6376833386065925</v>
      </c>
      <c r="F181" s="11"/>
      <c r="G181" s="11"/>
    </row>
    <row r="182" spans="2:7">
      <c r="B182" s="33">
        <v>42401</v>
      </c>
      <c r="C182" s="11">
        <v>214.9</v>
      </c>
      <c r="D182" s="11">
        <v>216.65399393751983</v>
      </c>
      <c r="E182" s="11">
        <v>-1.753993937519823</v>
      </c>
      <c r="F182" s="11"/>
      <c r="G182" s="11"/>
    </row>
    <row r="183" spans="2:7">
      <c r="B183" s="33">
        <v>42430</v>
      </c>
      <c r="C183" s="11">
        <v>203.6</v>
      </c>
      <c r="D183" s="11">
        <v>217.54535099706524</v>
      </c>
      <c r="E183" s="11">
        <v>-13.945350997065248</v>
      </c>
      <c r="F183" s="11"/>
      <c r="G183" s="11"/>
    </row>
    <row r="184" spans="2:7">
      <c r="B184" s="33">
        <v>42461</v>
      </c>
      <c r="C184" s="11">
        <v>221.9</v>
      </c>
      <c r="D184" s="11">
        <v>201.44887403187727</v>
      </c>
      <c r="E184" s="11">
        <v>20.451125968122739</v>
      </c>
      <c r="F184" s="11"/>
      <c r="G184" s="11"/>
    </row>
    <row r="185" spans="2:7">
      <c r="B185" s="33">
        <v>42491</v>
      </c>
      <c r="C185" s="11">
        <v>220.3</v>
      </c>
      <c r="D185" s="11">
        <v>224.92834470347859</v>
      </c>
      <c r="E185" s="11">
        <v>-4.6283447034785752</v>
      </c>
      <c r="F185" s="11"/>
      <c r="G185" s="11"/>
    </row>
    <row r="186" spans="2:7">
      <c r="B186" s="33">
        <v>42522</v>
      </c>
      <c r="C186" s="11">
        <v>228.4</v>
      </c>
      <c r="D186" s="11">
        <v>224.09812181545439</v>
      </c>
      <c r="E186" s="11">
        <v>4.3018781845456147</v>
      </c>
      <c r="F186" s="11"/>
      <c r="G186" s="11"/>
    </row>
    <row r="187" spans="2:7">
      <c r="B187" s="33">
        <v>42552</v>
      </c>
      <c r="C187" s="11">
        <v>217.7</v>
      </c>
      <c r="D187" s="11">
        <v>233.09730439385527</v>
      </c>
      <c r="E187" s="11">
        <v>-15.397304393855279</v>
      </c>
      <c r="F187" s="11"/>
      <c r="G187" s="11"/>
    </row>
    <row r="188" spans="2:7">
      <c r="B188" s="33">
        <v>42583</v>
      </c>
      <c r="C188" s="11">
        <v>226.7</v>
      </c>
      <c r="D188" s="11">
        <v>217.80191045815567</v>
      </c>
      <c r="E188" s="11">
        <v>8.898089541844314</v>
      </c>
      <c r="F188" s="11"/>
      <c r="G188" s="11"/>
    </row>
    <row r="189" spans="2:7">
      <c r="B189" s="33">
        <v>42614</v>
      </c>
      <c r="C189" s="11">
        <v>218.6</v>
      </c>
      <c r="D189" s="11">
        <v>228.00786468675798</v>
      </c>
      <c r="E189" s="11">
        <v>-9.4078646867579891</v>
      </c>
      <c r="F189" s="11"/>
      <c r="G189" s="11"/>
    </row>
    <row r="190" spans="2:7">
      <c r="B190" s="33">
        <v>42644</v>
      </c>
      <c r="C190" s="11">
        <v>220.4</v>
      </c>
      <c r="D190" s="11">
        <v>217.80401926234353</v>
      </c>
      <c r="E190" s="11">
        <v>2.5959807376564754</v>
      </c>
      <c r="F190" s="11"/>
      <c r="G190" s="11"/>
    </row>
    <row r="191" spans="2:7">
      <c r="B191" s="33">
        <v>42675</v>
      </c>
      <c r="C191" s="11">
        <v>233.8</v>
      </c>
      <c r="D191" s="11">
        <v>219.4038922964312</v>
      </c>
      <c r="E191" s="11">
        <v>14.396107703568816</v>
      </c>
      <c r="F191" s="11"/>
      <c r="G191" s="11"/>
    </row>
    <row r="192" spans="2:7">
      <c r="B192" s="33">
        <v>42705</v>
      </c>
      <c r="C192" s="11">
        <v>217.1</v>
      </c>
      <c r="D192" s="11">
        <v>237.84358151426395</v>
      </c>
      <c r="E192" s="11">
        <v>-20.743581514263951</v>
      </c>
      <c r="F192" s="11"/>
      <c r="G192" s="11"/>
    </row>
    <row r="193" spans="2:8">
      <c r="B193" s="33">
        <v>42736</v>
      </c>
      <c r="C193" s="11">
        <v>226.1</v>
      </c>
      <c r="D193" s="11">
        <v>215.91826406810816</v>
      </c>
      <c r="E193" s="11">
        <v>10.181735931891836</v>
      </c>
      <c r="F193" s="11"/>
      <c r="G193" s="11"/>
    </row>
    <row r="194" spans="2:8">
      <c r="B194" s="33">
        <v>42767</v>
      </c>
      <c r="C194" s="11">
        <v>222.6</v>
      </c>
      <c r="D194" s="11">
        <v>225.94729910766466</v>
      </c>
      <c r="E194" s="11">
        <v>-3.3472991076646679</v>
      </c>
      <c r="F194" s="11"/>
      <c r="G194" s="11"/>
    </row>
    <row r="195" spans="2:8">
      <c r="B195" s="33">
        <v>42795</v>
      </c>
      <c r="C195" s="11">
        <v>209.7</v>
      </c>
      <c r="D195" s="11">
        <v>222.48651505521875</v>
      </c>
      <c r="E195" s="11">
        <v>-12.786515055218757</v>
      </c>
      <c r="F195" s="11"/>
      <c r="G195" s="11"/>
    </row>
    <row r="196" spans="2:8">
      <c r="B196" s="33">
        <v>42826</v>
      </c>
      <c r="C196" s="11">
        <v>220.9</v>
      </c>
      <c r="D196" s="11">
        <v>204.99334991897715</v>
      </c>
      <c r="E196" s="11">
        <v>15.90665008102286</v>
      </c>
      <c r="F196" s="11"/>
      <c r="G196" s="11"/>
    </row>
    <row r="197" spans="2:8">
      <c r="B197" s="33">
        <v>42856</v>
      </c>
      <c r="C197" s="11">
        <v>230</v>
      </c>
      <c r="D197" s="11">
        <v>220.00405464334307</v>
      </c>
      <c r="E197" s="11">
        <v>9.9959453566569323</v>
      </c>
      <c r="F197" s="11"/>
      <c r="G197" s="11"/>
    </row>
    <row r="198" spans="2:8">
      <c r="B198" s="33">
        <v>42887</v>
      </c>
      <c r="C198" s="11">
        <v>228.9</v>
      </c>
      <c r="D198" s="11">
        <v>234.18702613693256</v>
      </c>
      <c r="E198" s="11">
        <v>-5.2870261369325533</v>
      </c>
      <c r="F198" s="11"/>
      <c r="G198" s="11"/>
    </row>
    <row r="199" spans="2:8">
      <c r="B199" s="33">
        <v>42917</v>
      </c>
      <c r="C199" s="11">
        <v>232.2</v>
      </c>
      <c r="D199" s="11">
        <v>232.46560942598228</v>
      </c>
      <c r="E199" s="11">
        <v>-0.26560942598229076</v>
      </c>
      <c r="F199" s="11"/>
      <c r="G199" s="11"/>
    </row>
    <row r="200" spans="2:8">
      <c r="B200" s="33">
        <v>42948</v>
      </c>
      <c r="C200" s="11">
        <v>242.1</v>
      </c>
      <c r="D200" s="11">
        <v>235.08435905879435</v>
      </c>
      <c r="E200" s="11">
        <v>7.0156409412056462</v>
      </c>
      <c r="F200" s="11"/>
      <c r="G200" s="11"/>
    </row>
    <row r="201" spans="2:8">
      <c r="B201" s="33">
        <v>42979</v>
      </c>
      <c r="C201" s="11">
        <v>231.9</v>
      </c>
      <c r="D201" s="11">
        <v>247.26847283737942</v>
      </c>
      <c r="E201" s="11">
        <v>-15.368472837379414</v>
      </c>
      <c r="F201" s="11"/>
      <c r="G201" s="11"/>
    </row>
    <row r="202" spans="2:8">
      <c r="B202" s="33">
        <v>43009</v>
      </c>
      <c r="C202" s="11">
        <v>235</v>
      </c>
      <c r="D202" s="11">
        <v>232.78729896456244</v>
      </c>
      <c r="E202" s="11">
        <v>2.2127010354375614</v>
      </c>
      <c r="F202" s="11"/>
      <c r="G202" s="11"/>
    </row>
    <row r="203" spans="2:8">
      <c r="B203" s="33">
        <v>43040</v>
      </c>
      <c r="C203" s="11">
        <v>247</v>
      </c>
      <c r="D203" s="11">
        <v>234.89147885190269</v>
      </c>
      <c r="E203" s="11">
        <v>12.10852114809731</v>
      </c>
      <c r="F203" s="11"/>
      <c r="G203" s="11"/>
    </row>
    <row r="204" spans="2:8">
      <c r="B204" s="33">
        <v>43070</v>
      </c>
      <c r="C204" s="11">
        <v>241.5</v>
      </c>
      <c r="D204" s="11">
        <v>251.13362770382497</v>
      </c>
      <c r="E204" s="11">
        <v>-9.6336277038249705</v>
      </c>
      <c r="F204" s="11">
        <v>250.47654066189801</v>
      </c>
      <c r="G204" s="11">
        <v>251.79071474575193</v>
      </c>
      <c r="H204" s="41">
        <v>0</v>
      </c>
    </row>
    <row r="205" spans="2:8">
      <c r="B205" s="33">
        <v>43101</v>
      </c>
      <c r="C205" s="11"/>
      <c r="D205" s="11">
        <v>256.62684209439198</v>
      </c>
      <c r="E205" s="11"/>
      <c r="F205" s="11">
        <v>255.53354010802641</v>
      </c>
      <c r="G205" s="11">
        <v>257.72014408075751</v>
      </c>
    </row>
    <row r="206" spans="2:8">
      <c r="B206" s="33">
        <v>43132</v>
      </c>
      <c r="C206" s="11"/>
      <c r="D206" s="11">
        <v>262.12005648495898</v>
      </c>
      <c r="E206" s="11"/>
      <c r="F206" s="11">
        <v>260.52289053282914</v>
      </c>
      <c r="G206" s="11">
        <v>263.71722243708882</v>
      </c>
    </row>
    <row r="207" spans="2:8">
      <c r="B207" s="33">
        <v>43160</v>
      </c>
      <c r="C207" s="11"/>
      <c r="D207" s="11">
        <v>267.61327087552598</v>
      </c>
      <c r="E207" s="11"/>
      <c r="F207" s="11">
        <v>265.4528454194226</v>
      </c>
      <c r="G207" s="11">
        <v>269.77369633162937</v>
      </c>
    </row>
    <row r="208" spans="2:8">
      <c r="B208" s="33">
        <v>43191</v>
      </c>
      <c r="C208" s="11"/>
      <c r="D208" s="11">
        <v>273.10648526609299</v>
      </c>
      <c r="E208" s="11"/>
      <c r="F208" s="11">
        <v>270.32914990885638</v>
      </c>
      <c r="G208" s="11">
        <v>275.8838206233296</v>
      </c>
    </row>
    <row r="209" spans="2:7">
      <c r="B209" s="33">
        <v>43221</v>
      </c>
      <c r="C209" s="11"/>
      <c r="D209" s="11">
        <v>278.59969965665999</v>
      </c>
      <c r="E209" s="11"/>
      <c r="F209" s="11">
        <v>275.15612812130183</v>
      </c>
      <c r="G209" s="11">
        <v>282.04327119201815</v>
      </c>
    </row>
    <row r="210" spans="2:7" ht="17" thickBot="1">
      <c r="B210" s="34">
        <v>43252</v>
      </c>
      <c r="C210" s="12"/>
      <c r="D210" s="12">
        <v>284.092914047227</v>
      </c>
      <c r="E210" s="12"/>
      <c r="F210" s="12">
        <v>279.93719472512976</v>
      </c>
      <c r="G210" s="12">
        <v>288.24863336932424</v>
      </c>
    </row>
    <row r="228" spans="6:6">
      <c r="F228" t="s">
        <v>17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DD286567">
              <controlPr defaultSize="0" autoFill="0" autoPict="0" macro="[0]!GoToResultsNew131018230456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18A-F94B-AC40-8423-7E8D8D00F134}">
  <sheetPr codeName="Sheet12">
    <tabColor rgb="FF007800"/>
  </sheetPr>
  <dimension ref="B1:I226"/>
  <sheetViews>
    <sheetView tabSelected="1" zoomScaleNormal="100" workbookViewId="0">
      <selection activeCell="I23" sqref="I23"/>
    </sheetView>
  </sheetViews>
  <sheetFormatPr baseColWidth="10" defaultRowHeight="16"/>
  <cols>
    <col min="1" max="1" width="5.83203125" customWidth="1"/>
  </cols>
  <sheetData>
    <row r="1" spans="2:2">
      <c r="B1" t="s">
        <v>116</v>
      </c>
    </row>
    <row r="2" spans="2:2">
      <c r="B2" t="s">
        <v>48</v>
      </c>
    </row>
    <row r="3" spans="2:2">
      <c r="B3" t="s">
        <v>49</v>
      </c>
    </row>
    <row r="4" spans="2:2">
      <c r="B4" t="s">
        <v>92</v>
      </c>
    </row>
    <row r="5" spans="2:2">
      <c r="B5" t="s">
        <v>93</v>
      </c>
    </row>
    <row r="6" spans="2:2">
      <c r="B6" t="s">
        <v>94</v>
      </c>
    </row>
    <row r="7" spans="2:2">
      <c r="B7" t="s">
        <v>95</v>
      </c>
    </row>
    <row r="8" spans="2:2">
      <c r="B8" t="s">
        <v>96</v>
      </c>
    </row>
    <row r="9" spans="2:2">
      <c r="B9" t="s">
        <v>97</v>
      </c>
    </row>
    <row r="10" spans="2:2">
      <c r="B10" t="s">
        <v>98</v>
      </c>
    </row>
    <row r="11" spans="2:2">
      <c r="B11" t="s">
        <v>99</v>
      </c>
    </row>
    <row r="12" spans="2:2" ht="34.25" customHeight="1"/>
    <row r="13" spans="2:2" ht="21" customHeight="1"/>
    <row r="16" spans="2:2">
      <c r="B16" s="18" t="s">
        <v>5</v>
      </c>
    </row>
    <row r="17" spans="2:9" ht="17" thickBot="1"/>
    <row r="18" spans="2:9">
      <c r="B18" s="4" t="s">
        <v>6</v>
      </c>
      <c r="C18" s="5" t="s">
        <v>7</v>
      </c>
      <c r="D18" s="5" t="s">
        <v>8</v>
      </c>
      <c r="E18" s="5" t="s">
        <v>9</v>
      </c>
      <c r="F18" s="5" t="s">
        <v>10</v>
      </c>
      <c r="G18" s="5" t="s">
        <v>11</v>
      </c>
      <c r="H18" s="5" t="s">
        <v>12</v>
      </c>
      <c r="I18" s="5" t="s">
        <v>13</v>
      </c>
    </row>
    <row r="19" spans="2:9" ht="17" thickBot="1">
      <c r="B19" s="36" t="s">
        <v>0</v>
      </c>
      <c r="C19" s="37">
        <v>156</v>
      </c>
      <c r="D19" s="37">
        <v>0</v>
      </c>
      <c r="E19" s="37">
        <v>156</v>
      </c>
      <c r="F19" s="38">
        <v>93.3</v>
      </c>
      <c r="G19" s="38">
        <v>247</v>
      </c>
      <c r="H19" s="38">
        <v>167.08333333333343</v>
      </c>
      <c r="I19" s="38">
        <v>46.897334449781063</v>
      </c>
    </row>
    <row r="22" spans="2:9">
      <c r="B22" s="18" t="s">
        <v>100</v>
      </c>
    </row>
    <row r="23" spans="2:9" ht="17" thickBot="1"/>
    <row r="24" spans="2:9">
      <c r="B24" s="4" t="s">
        <v>30</v>
      </c>
      <c r="C24" s="5" t="s">
        <v>101</v>
      </c>
      <c r="D24" s="5" t="s">
        <v>102</v>
      </c>
    </row>
    <row r="25" spans="2:9">
      <c r="B25" s="39" t="s">
        <v>7</v>
      </c>
      <c r="C25" s="14">
        <v>155</v>
      </c>
      <c r="D25" s="14">
        <v>1</v>
      </c>
    </row>
    <row r="26" spans="2:9">
      <c r="B26" s="35" t="s">
        <v>31</v>
      </c>
      <c r="C26" s="15">
        <v>151</v>
      </c>
      <c r="D26" s="15"/>
    </row>
    <row r="27" spans="2:9">
      <c r="B27" s="35" t="s">
        <v>67</v>
      </c>
      <c r="C27" s="11">
        <v>9317.2164210663814</v>
      </c>
      <c r="D27" s="11">
        <v>4.8801284179511359</v>
      </c>
    </row>
    <row r="28" spans="2:9">
      <c r="B28" s="35" t="s">
        <v>68</v>
      </c>
      <c r="C28" s="11">
        <v>61.703420007062128</v>
      </c>
      <c r="D28" s="11">
        <v>4.8801284179511359</v>
      </c>
    </row>
    <row r="29" spans="2:9">
      <c r="B29" s="44" t="s">
        <v>69</v>
      </c>
      <c r="C29" s="45">
        <v>7.8551524496385259</v>
      </c>
      <c r="D29" s="11"/>
    </row>
    <row r="30" spans="2:9">
      <c r="B30" s="44" t="s">
        <v>72</v>
      </c>
      <c r="C30" s="45">
        <v>3.5193842111013787</v>
      </c>
      <c r="D30" s="11">
        <v>0.91474172641150542</v>
      </c>
    </row>
    <row r="31" spans="2:9">
      <c r="B31" s="35" t="s">
        <v>103</v>
      </c>
      <c r="C31" s="11">
        <v>0.37390797249132318</v>
      </c>
      <c r="D31" s="11">
        <v>-0.91474172641149643</v>
      </c>
    </row>
    <row r="32" spans="2:9">
      <c r="B32" s="35" t="s">
        <v>104</v>
      </c>
      <c r="C32" s="11">
        <v>5.7595403417660869</v>
      </c>
      <c r="D32" s="11">
        <v>2.2091012692837637</v>
      </c>
    </row>
    <row r="33" spans="2:4">
      <c r="B33" s="35" t="s">
        <v>105</v>
      </c>
      <c r="C33" s="11">
        <v>0.97131316567160675</v>
      </c>
      <c r="D33" s="11"/>
    </row>
    <row r="34" spans="2:4">
      <c r="B34" s="35" t="s">
        <v>78</v>
      </c>
      <c r="C34" s="15">
        <v>6</v>
      </c>
      <c r="D34" s="15"/>
    </row>
    <row r="35" spans="2:4" ht="17" thickBot="1">
      <c r="B35" s="40" t="s">
        <v>106</v>
      </c>
      <c r="C35" s="21" t="s">
        <v>107</v>
      </c>
      <c r="D35" s="12"/>
    </row>
    <row r="38" spans="2:4">
      <c r="B38" s="18" t="s">
        <v>108</v>
      </c>
    </row>
    <row r="39" spans="2:4" ht="17" thickBot="1"/>
    <row r="40" spans="2:4">
      <c r="B40" s="4" t="s">
        <v>30</v>
      </c>
      <c r="C40" s="5" t="s">
        <v>80</v>
      </c>
      <c r="D40" s="5" t="s">
        <v>43</v>
      </c>
    </row>
    <row r="41" spans="2:4">
      <c r="B41" s="39" t="s">
        <v>56</v>
      </c>
      <c r="C41" s="14">
        <v>0.62952085124816348</v>
      </c>
      <c r="D41" s="14">
        <v>6.4607569687823033E-3</v>
      </c>
    </row>
    <row r="42" spans="2:4">
      <c r="B42" s="35" t="s">
        <v>109</v>
      </c>
      <c r="C42" s="15">
        <v>1.1793794482702345E-2</v>
      </c>
      <c r="D42" s="15">
        <v>1.0779019457607746E-3</v>
      </c>
    </row>
    <row r="43" spans="2:4">
      <c r="B43" s="35" t="s">
        <v>110</v>
      </c>
      <c r="C43" s="11">
        <v>93.3</v>
      </c>
      <c r="D43" s="11"/>
    </row>
    <row r="44" spans="2:4" ht="17" thickBot="1">
      <c r="B44" s="40" t="s">
        <v>111</v>
      </c>
      <c r="C44" s="12">
        <v>0</v>
      </c>
      <c r="D44" s="12"/>
    </row>
    <row r="47" spans="2:4">
      <c r="B47" s="18" t="s">
        <v>112</v>
      </c>
    </row>
    <row r="48" spans="2:4" ht="17" thickBot="1"/>
    <row r="49" spans="2:7">
      <c r="B49" s="31" t="s">
        <v>1</v>
      </c>
      <c r="C49" s="5" t="s">
        <v>0</v>
      </c>
      <c r="D49" s="5" t="s">
        <v>113</v>
      </c>
      <c r="E49" s="5" t="s">
        <v>89</v>
      </c>
      <c r="F49" s="5" t="s">
        <v>114</v>
      </c>
      <c r="G49" s="5" t="s">
        <v>115</v>
      </c>
    </row>
    <row r="50" spans="2:7">
      <c r="B50" s="32">
        <v>38353</v>
      </c>
      <c r="C50" s="10">
        <v>93.3</v>
      </c>
      <c r="D50" s="10"/>
      <c r="E50" s="10"/>
      <c r="F50" s="10"/>
      <c r="G50" s="10"/>
    </row>
    <row r="51" spans="2:7">
      <c r="B51" s="33">
        <v>38384</v>
      </c>
      <c r="C51" s="11">
        <v>95.7</v>
      </c>
      <c r="D51" s="11">
        <v>93.3</v>
      </c>
      <c r="E51" s="11">
        <v>2.4000000000000057</v>
      </c>
      <c r="F51" s="11"/>
      <c r="G51" s="11"/>
    </row>
    <row r="52" spans="2:7">
      <c r="B52" s="33">
        <v>38412</v>
      </c>
      <c r="C52" s="11">
        <v>93.8</v>
      </c>
      <c r="D52" s="11">
        <v>94.828668697896859</v>
      </c>
      <c r="E52" s="11">
        <v>-1.0286686978968618</v>
      </c>
      <c r="F52" s="11"/>
      <c r="G52" s="11"/>
    </row>
    <row r="53" spans="2:7">
      <c r="B53" s="33">
        <v>38443</v>
      </c>
      <c r="C53" s="11">
        <v>99.4</v>
      </c>
      <c r="D53" s="11">
        <v>94.191281669889264</v>
      </c>
      <c r="E53" s="11">
        <v>5.2087183301107416</v>
      </c>
      <c r="F53" s="11"/>
      <c r="G53" s="11"/>
    </row>
    <row r="54" spans="2:7">
      <c r="B54" s="33">
        <v>38473</v>
      </c>
      <c r="C54" s="11">
        <v>100</v>
      </c>
      <c r="D54" s="11">
        <v>97.519131647651534</v>
      </c>
      <c r="E54" s="11">
        <v>2.480868352348466</v>
      </c>
      <c r="F54" s="11"/>
      <c r="G54" s="11"/>
    </row>
    <row r="55" spans="2:7">
      <c r="B55" s="33">
        <v>38504</v>
      </c>
      <c r="C55" s="11">
        <v>105.6</v>
      </c>
      <c r="D55" s="11">
        <v>99.148162242429748</v>
      </c>
      <c r="E55" s="11">
        <v>6.4518377575702459</v>
      </c>
      <c r="F55" s="11"/>
      <c r="G55" s="11"/>
    </row>
    <row r="56" spans="2:7">
      <c r="B56" s="33">
        <v>38534</v>
      </c>
      <c r="C56" s="11">
        <v>99.4</v>
      </c>
      <c r="D56" s="11">
        <v>103.32490215683075</v>
      </c>
      <c r="E56" s="11">
        <v>-3.9249021568307398</v>
      </c>
      <c r="F56" s="11"/>
      <c r="G56" s="11"/>
    </row>
    <row r="57" spans="2:7">
      <c r="B57" s="33">
        <v>38565</v>
      </c>
      <c r="C57" s="11">
        <v>106.3</v>
      </c>
      <c r="D57" s="11">
        <v>100.94012772836481</v>
      </c>
      <c r="E57" s="11">
        <v>5.359872271635183</v>
      </c>
      <c r="F57" s="11"/>
      <c r="G57" s="11"/>
    </row>
    <row r="58" spans="2:7">
      <c r="B58" s="33">
        <v>38596</v>
      </c>
      <c r="C58" s="11">
        <v>104.2</v>
      </c>
      <c r="D58" s="11">
        <v>104.44010644938858</v>
      </c>
      <c r="E58" s="11">
        <v>-0.24010644938857695</v>
      </c>
      <c r="F58" s="11"/>
      <c r="G58" s="11"/>
    </row>
    <row r="59" spans="2:7">
      <c r="B59" s="33">
        <v>38626</v>
      </c>
      <c r="C59" s="11">
        <v>99.5</v>
      </c>
      <c r="D59" s="11">
        <v>104.4129991431647</v>
      </c>
      <c r="E59" s="11">
        <v>-4.9129991431646971</v>
      </c>
      <c r="F59" s="11"/>
      <c r="G59" s="11"/>
    </row>
    <row r="60" spans="2:7">
      <c r="B60" s="33">
        <v>38657</v>
      </c>
      <c r="C60" s="11">
        <v>105.7</v>
      </c>
      <c r="D60" s="11">
        <v>101.40773218545425</v>
      </c>
      <c r="E60" s="11">
        <v>4.2922678145457525</v>
      </c>
      <c r="F60" s="11"/>
      <c r="G60" s="11"/>
    </row>
    <row r="61" spans="2:7">
      <c r="B61" s="33">
        <v>38687</v>
      </c>
      <c r="C61" s="11">
        <v>97.1</v>
      </c>
      <c r="D61" s="11">
        <v>104.22924040181628</v>
      </c>
      <c r="E61" s="11">
        <v>-7.1292404018162898</v>
      </c>
      <c r="F61" s="11"/>
      <c r="G61" s="11"/>
    </row>
    <row r="62" spans="2:7">
      <c r="B62" s="33">
        <v>38718</v>
      </c>
      <c r="C62" s="11">
        <v>101.4</v>
      </c>
      <c r="D62" s="11">
        <v>99.807740428931112</v>
      </c>
      <c r="E62" s="11">
        <v>1.5922595710688938</v>
      </c>
      <c r="F62" s="11"/>
      <c r="G62" s="11"/>
    </row>
    <row r="63" spans="2:7">
      <c r="B63" s="33">
        <v>38749</v>
      </c>
      <c r="C63" s="11">
        <v>97.7</v>
      </c>
      <c r="D63" s="11">
        <v>100.88842817805836</v>
      </c>
      <c r="E63" s="11">
        <v>-3.1884281780583592</v>
      </c>
      <c r="F63" s="11"/>
      <c r="G63" s="11"/>
    </row>
    <row r="64" spans="2:7">
      <c r="B64" s="33">
        <v>38777</v>
      </c>
      <c r="C64" s="11">
        <v>95.8</v>
      </c>
      <c r="D64" s="11">
        <v>98.935901013560709</v>
      </c>
      <c r="E64" s="11">
        <v>-3.1359010135607122</v>
      </c>
      <c r="F64" s="11"/>
      <c r="G64" s="11"/>
    </row>
    <row r="65" spans="2:7">
      <c r="B65" s="33">
        <v>38808</v>
      </c>
      <c r="C65" s="11">
        <v>103</v>
      </c>
      <c r="D65" s="11">
        <v>96.993158486885775</v>
      </c>
      <c r="E65" s="11">
        <v>6.0068415131142245</v>
      </c>
      <c r="F65" s="11"/>
      <c r="G65" s="11"/>
    </row>
    <row r="66" spans="2:7">
      <c r="B66" s="33">
        <v>38838</v>
      </c>
      <c r="C66" s="11">
        <v>105</v>
      </c>
      <c r="D66" s="11">
        <v>100.8505604499997</v>
      </c>
      <c r="E66" s="11">
        <v>4.1494395500002952</v>
      </c>
      <c r="F66" s="11"/>
      <c r="G66" s="11"/>
    </row>
    <row r="67" spans="2:7">
      <c r="B67" s="33">
        <v>38869</v>
      </c>
      <c r="C67" s="11">
        <v>106.5</v>
      </c>
      <c r="D67" s="11">
        <v>103.56949641125712</v>
      </c>
      <c r="E67" s="11">
        <v>2.9305035887428801</v>
      </c>
      <c r="F67" s="11"/>
      <c r="G67" s="11"/>
    </row>
    <row r="68" spans="2:7">
      <c r="B68" s="33">
        <v>38899</v>
      </c>
      <c r="C68" s="11">
        <v>102</v>
      </c>
      <c r="D68" s="11">
        <v>105.54284411528958</v>
      </c>
      <c r="E68" s="11">
        <v>-3.5428441152895829</v>
      </c>
      <c r="F68" s="11"/>
      <c r="G68" s="11"/>
    </row>
    <row r="69" spans="2:7">
      <c r="B69" s="33">
        <v>38930</v>
      </c>
      <c r="C69" s="11">
        <v>110.5</v>
      </c>
      <c r="D69" s="11">
        <v>103.41478083031278</v>
      </c>
      <c r="E69" s="11">
        <v>7.0852191696872211</v>
      </c>
      <c r="F69" s="11"/>
      <c r="G69" s="11"/>
    </row>
    <row r="70" spans="2:7">
      <c r="B70" s="33">
        <v>38961</v>
      </c>
      <c r="C70" s="11">
        <v>105.5</v>
      </c>
      <c r="D70" s="11">
        <v>108.02990877298249</v>
      </c>
      <c r="E70" s="11">
        <v>-2.5299087729824947</v>
      </c>
      <c r="F70" s="11"/>
      <c r="G70" s="11"/>
    </row>
    <row r="71" spans="2:7">
      <c r="B71" s="33">
        <v>38991</v>
      </c>
      <c r="C71" s="11">
        <v>106.2</v>
      </c>
      <c r="D71" s="11">
        <v>106.57333003359048</v>
      </c>
      <c r="E71" s="11">
        <v>-0.37333003359047723</v>
      </c>
      <c r="F71" s="11"/>
      <c r="G71" s="11"/>
    </row>
    <row r="72" spans="2:7">
      <c r="B72" s="33">
        <v>39022</v>
      </c>
      <c r="C72" s="11">
        <v>110</v>
      </c>
      <c r="D72" s="11">
        <v>106.47159081174054</v>
      </c>
      <c r="E72" s="11">
        <v>3.5284091882594595</v>
      </c>
      <c r="F72" s="11"/>
      <c r="G72" s="11"/>
    </row>
    <row r="73" spans="2:7">
      <c r="B73" s="33">
        <v>39052</v>
      </c>
      <c r="C73" s="11">
        <v>101.9</v>
      </c>
      <c r="D73" s="11">
        <v>108.85227424687631</v>
      </c>
      <c r="E73" s="11">
        <v>-6.9522742468762999</v>
      </c>
      <c r="F73" s="11"/>
      <c r="G73" s="11"/>
    </row>
    <row r="74" spans="2:7">
      <c r="B74" s="33">
        <v>39083</v>
      </c>
      <c r="C74" s="11">
        <v>107.5</v>
      </c>
      <c r="D74" s="11">
        <v>104.58353218443615</v>
      </c>
      <c r="E74" s="11">
        <v>2.9164678155638484</v>
      </c>
      <c r="F74" s="11"/>
      <c r="G74" s="11"/>
    </row>
    <row r="75" spans="2:7">
      <c r="B75" s="33">
        <v>39114</v>
      </c>
      <c r="C75" s="11">
        <v>99.7</v>
      </c>
      <c r="D75" s="11">
        <v>106.54902216486531</v>
      </c>
      <c r="E75" s="11">
        <v>-6.8490221648653034</v>
      </c>
      <c r="F75" s="11"/>
      <c r="G75" s="11"/>
    </row>
    <row r="76" spans="2:7">
      <c r="B76" s="33">
        <v>39142</v>
      </c>
      <c r="C76" s="11">
        <v>101.9</v>
      </c>
      <c r="D76" s="11">
        <v>102.31608242897308</v>
      </c>
      <c r="E76" s="11">
        <v>-0.4160824289730698</v>
      </c>
      <c r="F76" s="11"/>
      <c r="G76" s="11"/>
    </row>
    <row r="77" spans="2:7">
      <c r="B77" s="33">
        <v>39173</v>
      </c>
      <c r="C77" s="11">
        <v>106.4</v>
      </c>
      <c r="D77" s="11">
        <v>102.12972321280938</v>
      </c>
      <c r="E77" s="11">
        <v>4.2702767871906246</v>
      </c>
      <c r="F77" s="11"/>
      <c r="G77" s="11"/>
    </row>
    <row r="78" spans="2:7">
      <c r="B78" s="33">
        <v>39203</v>
      </c>
      <c r="C78" s="11">
        <v>108.5</v>
      </c>
      <c r="D78" s="11">
        <v>104.92522925149467</v>
      </c>
      <c r="E78" s="11">
        <v>3.5747707485053297</v>
      </c>
      <c r="F78" s="11"/>
      <c r="G78" s="11"/>
    </row>
    <row r="79" spans="2:7">
      <c r="B79" s="33">
        <v>39234</v>
      </c>
      <c r="C79" s="11">
        <v>108.5</v>
      </c>
      <c r="D79" s="11">
        <v>107.30944040595806</v>
      </c>
      <c r="E79" s="11">
        <v>1.1905595940419431</v>
      </c>
      <c r="F79" s="11"/>
      <c r="G79" s="11"/>
    </row>
    <row r="80" spans="2:7">
      <c r="B80" s="33">
        <v>39264</v>
      </c>
      <c r="C80" s="11">
        <v>111.7</v>
      </c>
      <c r="D80" s="11">
        <v>108.20158016263562</v>
      </c>
      <c r="E80" s="11">
        <v>3.4984198373643807</v>
      </c>
      <c r="F80" s="11"/>
      <c r="G80" s="11"/>
    </row>
    <row r="81" spans="2:7">
      <c r="B81" s="33">
        <v>39295</v>
      </c>
      <c r="C81" s="11">
        <v>113.3</v>
      </c>
      <c r="D81" s="11">
        <v>110.57253987082706</v>
      </c>
      <c r="E81" s="11">
        <v>2.7274601291729397</v>
      </c>
      <c r="F81" s="11"/>
      <c r="G81" s="11"/>
    </row>
    <row r="82" spans="2:7">
      <c r="B82" s="33">
        <v>39326</v>
      </c>
      <c r="C82" s="11">
        <v>109.5</v>
      </c>
      <c r="D82" s="11">
        <v>112.47841423007259</v>
      </c>
      <c r="E82" s="11">
        <v>-2.9784142300725875</v>
      </c>
      <c r="F82" s="11"/>
      <c r="G82" s="11"/>
    </row>
    <row r="83" spans="2:7">
      <c r="B83" s="33">
        <v>39356</v>
      </c>
      <c r="C83" s="11">
        <v>112.3</v>
      </c>
      <c r="D83" s="11">
        <v>110.77020864918801</v>
      </c>
      <c r="E83" s="11">
        <v>1.5297913508119905</v>
      </c>
      <c r="F83" s="11"/>
      <c r="G83" s="11"/>
    </row>
    <row r="84" spans="2:7">
      <c r="B84" s="33">
        <v>39387</v>
      </c>
      <c r="C84" s="11">
        <v>113.8</v>
      </c>
      <c r="D84" s="11">
        <v>111.91137032657988</v>
      </c>
      <c r="E84" s="11">
        <v>1.8886296734201125</v>
      </c>
      <c r="F84" s="11"/>
      <c r="G84" s="11"/>
    </row>
    <row r="85" spans="2:7">
      <c r="B85" s="33">
        <v>39417</v>
      </c>
      <c r="C85" s="11">
        <v>107.1</v>
      </c>
      <c r="D85" s="11">
        <v>113.29245022710839</v>
      </c>
      <c r="E85" s="11">
        <v>-6.1924502271083952</v>
      </c>
      <c r="F85" s="11"/>
      <c r="G85" s="11"/>
    </row>
    <row r="86" spans="2:7">
      <c r="B86" s="33">
        <v>39448</v>
      </c>
      <c r="C86" s="11">
        <v>113.4</v>
      </c>
      <c r="D86" s="11">
        <v>109.54034635732253</v>
      </c>
      <c r="E86" s="11">
        <v>3.8596536426774719</v>
      </c>
      <c r="F86" s="11"/>
      <c r="G86" s="11"/>
    </row>
    <row r="87" spans="2:7">
      <c r="B87" s="33">
        <v>39479</v>
      </c>
      <c r="C87" s="11">
        <v>110.5</v>
      </c>
      <c r="D87" s="11">
        <v>112.14490723760312</v>
      </c>
      <c r="E87" s="11">
        <v>-1.6449072376031211</v>
      </c>
      <c r="F87" s="11"/>
      <c r="G87" s="11"/>
    </row>
    <row r="88" spans="2:7">
      <c r="B88" s="33">
        <v>39508</v>
      </c>
      <c r="C88" s="11">
        <v>105.5</v>
      </c>
      <c r="D88" s="11">
        <v>111.27201975244401</v>
      </c>
      <c r="E88" s="11">
        <v>-5.7720197524440096</v>
      </c>
      <c r="F88" s="11"/>
      <c r="G88" s="11"/>
    </row>
    <row r="89" spans="2:7">
      <c r="B89" s="33">
        <v>39539</v>
      </c>
      <c r="C89" s="11">
        <v>116.5</v>
      </c>
      <c r="D89" s="11">
        <v>107.75817487205694</v>
      </c>
      <c r="E89" s="11">
        <v>8.7418251279430592</v>
      </c>
      <c r="F89" s="11"/>
      <c r="G89" s="11"/>
    </row>
    <row r="90" spans="2:7">
      <c r="B90" s="33">
        <v>39569</v>
      </c>
      <c r="C90" s="11">
        <v>114.2</v>
      </c>
      <c r="D90" s="11">
        <v>113.4460011278058</v>
      </c>
      <c r="E90" s="11">
        <v>0.75399887219420236</v>
      </c>
      <c r="F90" s="11"/>
      <c r="G90" s="11"/>
    </row>
    <row r="91" spans="2:7">
      <c r="B91" s="33">
        <v>39600</v>
      </c>
      <c r="C91" s="11">
        <v>121.8</v>
      </c>
      <c r="D91" s="11">
        <v>114.1109222184547</v>
      </c>
      <c r="E91" s="11">
        <v>7.6890777815452935</v>
      </c>
      <c r="F91" s="11"/>
      <c r="G91" s="11"/>
    </row>
    <row r="92" spans="2:7">
      <c r="B92" s="33">
        <v>39630</v>
      </c>
      <c r="C92" s="11">
        <v>121.2</v>
      </c>
      <c r="D92" s="11">
        <v>119.19870718071583</v>
      </c>
      <c r="E92" s="11">
        <v>2.0012928192841741</v>
      </c>
      <c r="F92" s="11"/>
      <c r="G92" s="11"/>
    </row>
    <row r="93" spans="2:7">
      <c r="B93" s="33">
        <v>39661</v>
      </c>
      <c r="C93" s="11">
        <v>117.4</v>
      </c>
      <c r="D93" s="11">
        <v>120.72077138936083</v>
      </c>
      <c r="E93" s="11">
        <v>-3.3207713893608286</v>
      </c>
      <c r="F93" s="11"/>
      <c r="G93" s="11"/>
    </row>
    <row r="94" spans="2:7">
      <c r="B94" s="33">
        <v>39692</v>
      </c>
      <c r="C94" s="11">
        <v>123.5</v>
      </c>
      <c r="D94" s="11">
        <v>118.8678303405685</v>
      </c>
      <c r="E94" s="11">
        <v>4.6321696594314972</v>
      </c>
      <c r="F94" s="11"/>
      <c r="G94" s="11"/>
    </row>
    <row r="95" spans="2:7">
      <c r="B95" s="33">
        <v>39722</v>
      </c>
      <c r="C95" s="11">
        <v>120.1</v>
      </c>
      <c r="D95" s="11">
        <v>122.05582277432401</v>
      </c>
      <c r="E95" s="11">
        <v>-1.9558227743240195</v>
      </c>
      <c r="F95" s="11"/>
      <c r="G95" s="11"/>
    </row>
    <row r="96" spans="2:7">
      <c r="B96" s="33">
        <v>39753</v>
      </c>
      <c r="C96" s="11">
        <v>117.5</v>
      </c>
      <c r="D96" s="11">
        <v>121.08201571522207</v>
      </c>
      <c r="E96" s="11">
        <v>-3.5820157152220702</v>
      </c>
      <c r="F96" s="11"/>
      <c r="G96" s="11"/>
    </row>
    <row r="97" spans="2:7">
      <c r="B97" s="33">
        <v>39783</v>
      </c>
      <c r="C97" s="11">
        <v>118.2</v>
      </c>
      <c r="D97" s="11">
        <v>119.05789183255536</v>
      </c>
      <c r="E97" s="11">
        <v>-0.85789183255535306</v>
      </c>
      <c r="F97" s="11"/>
      <c r="G97" s="11"/>
    </row>
    <row r="98" spans="2:7">
      <c r="B98" s="33">
        <v>39814</v>
      </c>
      <c r="C98" s="11">
        <v>109</v>
      </c>
      <c r="D98" s="11">
        <v>118.74229136936592</v>
      </c>
      <c r="E98" s="11">
        <v>-9.7422913693659154</v>
      </c>
      <c r="F98" s="11"/>
      <c r="G98" s="11"/>
    </row>
    <row r="99" spans="2:7">
      <c r="B99" s="33">
        <v>39845</v>
      </c>
      <c r="C99" s="11">
        <v>109.7</v>
      </c>
      <c r="D99" s="11">
        <v>112.76144509366038</v>
      </c>
      <c r="E99" s="11">
        <v>-3.0614450936603816</v>
      </c>
      <c r="F99" s="11"/>
      <c r="G99" s="11"/>
    </row>
    <row r="100" spans="2:7">
      <c r="B100" s="33">
        <v>39873</v>
      </c>
      <c r="C100" s="11">
        <v>106.3</v>
      </c>
      <c r="D100" s="11">
        <v>110.96360133848546</v>
      </c>
      <c r="E100" s="11">
        <v>-4.6636013384854635</v>
      </c>
      <c r="F100" s="11"/>
      <c r="G100" s="11"/>
    </row>
    <row r="101" spans="2:7">
      <c r="B101" s="33">
        <v>39904</v>
      </c>
      <c r="C101" s="11">
        <v>117.6</v>
      </c>
      <c r="D101" s="11">
        <v>108.12254219404922</v>
      </c>
      <c r="E101" s="11">
        <v>9.4774578059507775</v>
      </c>
      <c r="F101" s="11"/>
      <c r="G101" s="11"/>
    </row>
    <row r="102" spans="2:7">
      <c r="B102" s="33">
        <v>39934</v>
      </c>
      <c r="C102" s="11">
        <v>112.5</v>
      </c>
      <c r="D102" s="11">
        <v>114.25393945226308</v>
      </c>
      <c r="E102" s="11">
        <v>-1.7539394522630829</v>
      </c>
      <c r="F102" s="11"/>
      <c r="G102" s="11"/>
    </row>
    <row r="103" spans="2:7">
      <c r="B103" s="33">
        <v>39965</v>
      </c>
      <c r="C103" s="11">
        <v>123.2</v>
      </c>
      <c r="D103" s="11">
        <v>113.30191593035589</v>
      </c>
      <c r="E103" s="11">
        <v>9.8980840696441135</v>
      </c>
      <c r="F103" s="11"/>
      <c r="G103" s="11"/>
    </row>
    <row r="104" spans="2:7">
      <c r="B104" s="33">
        <v>39995</v>
      </c>
      <c r="C104" s="11">
        <v>119.9</v>
      </c>
      <c r="D104" s="11">
        <v>119.75857190148197</v>
      </c>
      <c r="E104" s="11">
        <v>0.14142809851803406</v>
      </c>
      <c r="F104" s="11"/>
      <c r="G104" s="11"/>
    </row>
    <row r="105" spans="2:7">
      <c r="B105" s="33">
        <v>40026</v>
      </c>
      <c r="C105" s="11">
        <v>129.1</v>
      </c>
      <c r="D105" s="11">
        <v>120.0742595246963</v>
      </c>
      <c r="E105" s="11">
        <v>9.0257404753036923</v>
      </c>
      <c r="F105" s="11"/>
      <c r="G105" s="11"/>
    </row>
    <row r="106" spans="2:7">
      <c r="B106" s="33">
        <v>40057</v>
      </c>
      <c r="C106" s="11">
        <v>172.3</v>
      </c>
      <c r="D106" s="11">
        <v>126.04981810258181</v>
      </c>
      <c r="E106" s="11">
        <v>46.250181897418202</v>
      </c>
      <c r="F106" s="11"/>
      <c r="G106" s="11"/>
    </row>
    <row r="107" spans="2:7">
      <c r="B107" s="33">
        <v>40087</v>
      </c>
      <c r="C107" s="11">
        <v>171.8</v>
      </c>
      <c r="D107" s="11">
        <v>155.8023204110672</v>
      </c>
      <c r="E107" s="11">
        <v>15.997679588932812</v>
      </c>
      <c r="F107" s="11"/>
      <c r="G107" s="11"/>
    </row>
    <row r="108" spans="2:7">
      <c r="B108" s="33">
        <v>40118</v>
      </c>
      <c r="C108" s="11">
        <v>167.3</v>
      </c>
      <c r="D108" s="11">
        <v>166.6290155188513</v>
      </c>
      <c r="E108" s="11">
        <v>0.67098448114870735</v>
      </c>
      <c r="F108" s="11"/>
      <c r="G108" s="11"/>
    </row>
    <row r="109" spans="2:7">
      <c r="B109" s="33">
        <v>40148</v>
      </c>
      <c r="C109" s="11">
        <v>169.1</v>
      </c>
      <c r="D109" s="11">
        <v>167.81221815927614</v>
      </c>
      <c r="E109" s="11">
        <v>1.2877818407238522</v>
      </c>
      <c r="F109" s="11"/>
      <c r="G109" s="11"/>
    </row>
    <row r="110" spans="2:7">
      <c r="B110" s="33">
        <v>40179</v>
      </c>
      <c r="C110" s="11">
        <v>163.80000000000001</v>
      </c>
      <c r="D110" s="11">
        <v>169.39326865696833</v>
      </c>
      <c r="E110" s="11">
        <v>-5.5932686569683199</v>
      </c>
      <c r="F110" s="11"/>
      <c r="G110" s="11"/>
    </row>
    <row r="111" spans="2:7">
      <c r="B111" s="33">
        <v>40210</v>
      </c>
      <c r="C111" s="11">
        <v>166.3</v>
      </c>
      <c r="D111" s="11">
        <v>166.60102750288482</v>
      </c>
      <c r="E111" s="11">
        <v>-0.30102750288480706</v>
      </c>
      <c r="F111" s="11"/>
      <c r="G111" s="11"/>
    </row>
    <row r="112" spans="2:7">
      <c r="B112" s="33">
        <v>40238</v>
      </c>
      <c r="C112" s="11">
        <v>165</v>
      </c>
      <c r="D112" s="11">
        <v>167.13812754463481</v>
      </c>
      <c r="E112" s="11">
        <v>-2.1381275446348127</v>
      </c>
      <c r="F112" s="11"/>
      <c r="G112" s="11"/>
    </row>
    <row r="113" spans="2:7">
      <c r="B113" s="33">
        <v>40269</v>
      </c>
      <c r="C113" s="11">
        <v>173.6</v>
      </c>
      <c r="D113" s="11">
        <v>166.50286040558566</v>
      </c>
      <c r="E113" s="11">
        <v>7.0971395944143296</v>
      </c>
      <c r="F113" s="11"/>
      <c r="G113" s="11"/>
    </row>
    <row r="114" spans="2:7">
      <c r="B114" s="33">
        <v>40299</v>
      </c>
      <c r="C114" s="11">
        <v>167.3</v>
      </c>
      <c r="D114" s="11">
        <v>171.73407878125619</v>
      </c>
      <c r="E114" s="11">
        <v>-4.4340787812561757</v>
      </c>
      <c r="F114" s="11"/>
      <c r="G114" s="11"/>
    </row>
    <row r="115" spans="2:7">
      <c r="B115" s="33">
        <v>40330</v>
      </c>
      <c r="C115" s="11">
        <v>181</v>
      </c>
      <c r="D115" s="11">
        <v>169.67323419930938</v>
      </c>
      <c r="E115" s="11">
        <v>11.326765800690623</v>
      </c>
      <c r="F115" s="11"/>
      <c r="G115" s="11"/>
    </row>
    <row r="116" spans="2:7">
      <c r="B116" s="33">
        <v>40360</v>
      </c>
      <c r="C116" s="11">
        <v>173.4</v>
      </c>
      <c r="D116" s="11">
        <v>177.61826480287556</v>
      </c>
      <c r="E116" s="11">
        <v>-4.2182648028755523</v>
      </c>
      <c r="F116" s="11"/>
      <c r="G116" s="11"/>
    </row>
    <row r="117" spans="2:7">
      <c r="B117" s="33">
        <v>40391</v>
      </c>
      <c r="C117" s="11">
        <v>182.8</v>
      </c>
      <c r="D117" s="11">
        <v>175.7460562562041</v>
      </c>
      <c r="E117" s="11">
        <v>7.0539437437959123</v>
      </c>
      <c r="F117" s="11"/>
      <c r="G117" s="11"/>
    </row>
    <row r="118" spans="2:7">
      <c r="B118" s="33">
        <v>40422</v>
      </c>
      <c r="C118" s="11">
        <v>181.1</v>
      </c>
      <c r="D118" s="11">
        <v>181.02230960813992</v>
      </c>
      <c r="E118" s="11">
        <v>7.769039186007376E-2</v>
      </c>
      <c r="F118" s="11"/>
      <c r="G118" s="11"/>
    </row>
    <row r="119" spans="2:7">
      <c r="B119" s="33">
        <v>40452</v>
      </c>
      <c r="C119" s="11">
        <v>174.9</v>
      </c>
      <c r="D119" s="11">
        <v>181.90744281905964</v>
      </c>
      <c r="E119" s="11">
        <v>-7.0074428190596336</v>
      </c>
      <c r="F119" s="11"/>
      <c r="G119" s="11"/>
    </row>
    <row r="120" spans="2:7">
      <c r="B120" s="33">
        <v>40483</v>
      </c>
      <c r="C120" s="11">
        <v>185.5</v>
      </c>
      <c r="D120" s="11">
        <v>178.28031060427904</v>
      </c>
      <c r="E120" s="11">
        <v>7.2196893957209625</v>
      </c>
      <c r="F120" s="11"/>
      <c r="G120" s="11"/>
    </row>
    <row r="121" spans="2:7">
      <c r="B121" s="33">
        <v>40513</v>
      </c>
      <c r="C121" s="11">
        <v>183.7</v>
      </c>
      <c r="D121" s="11">
        <v>183.66305691959926</v>
      </c>
      <c r="E121" s="11">
        <v>3.6943080400732242E-2</v>
      </c>
      <c r="F121" s="11"/>
      <c r="G121" s="11"/>
    </row>
    <row r="122" spans="2:7">
      <c r="B122" s="33">
        <v>40544</v>
      </c>
      <c r="C122" s="11">
        <v>176.9</v>
      </c>
      <c r="D122" s="11">
        <v>184.52438894186642</v>
      </c>
      <c r="E122" s="11">
        <v>-7.6243889418664139</v>
      </c>
      <c r="F122" s="11"/>
      <c r="G122" s="11"/>
    </row>
    <row r="123" spans="2:7">
      <c r="B123" s="33">
        <v>40575</v>
      </c>
      <c r="C123" s="11">
        <v>176.7</v>
      </c>
      <c r="D123" s="11">
        <v>180.50614589303606</v>
      </c>
      <c r="E123" s="11">
        <v>-3.8061458930360743</v>
      </c>
      <c r="F123" s="11"/>
      <c r="G123" s="11"/>
    </row>
    <row r="124" spans="2:7">
      <c r="B124" s="33">
        <v>40603</v>
      </c>
      <c r="C124" s="11">
        <v>166.3</v>
      </c>
      <c r="D124" s="11">
        <v>178.86330795850614</v>
      </c>
      <c r="E124" s="11">
        <v>-12.56330795850613</v>
      </c>
      <c r="F124" s="11"/>
      <c r="G124" s="11"/>
    </row>
    <row r="125" spans="2:7">
      <c r="B125" s="33">
        <v>40634</v>
      </c>
      <c r="C125" s="11">
        <v>180.2</v>
      </c>
      <c r="D125" s="11">
        <v>171.61437838561545</v>
      </c>
      <c r="E125" s="11">
        <v>8.5856216143845359</v>
      </c>
      <c r="F125" s="11"/>
      <c r="G125" s="11"/>
    </row>
    <row r="126" spans="2:7">
      <c r="B126" s="33">
        <v>40664</v>
      </c>
      <c r="C126" s="11">
        <v>184</v>
      </c>
      <c r="D126" s="11">
        <v>177.74288438904654</v>
      </c>
      <c r="E126" s="11">
        <v>6.2571156109534627</v>
      </c>
      <c r="F126" s="11"/>
      <c r="G126" s="11"/>
    </row>
    <row r="127" spans="2:7">
      <c r="B127" s="33">
        <v>40695</v>
      </c>
      <c r="C127" s="11">
        <v>195.6</v>
      </c>
      <c r="D127" s="11">
        <v>182.45200288762328</v>
      </c>
      <c r="E127" s="11">
        <v>13.147997112376714</v>
      </c>
      <c r="F127" s="11"/>
      <c r="G127" s="11"/>
    </row>
    <row r="128" spans="2:7">
      <c r="B128" s="33">
        <v>40725</v>
      </c>
      <c r="C128" s="11">
        <v>186.2</v>
      </c>
      <c r="D128" s="11">
        <v>191.59669148448805</v>
      </c>
      <c r="E128" s="11">
        <v>-5.3966914844880591</v>
      </c>
      <c r="F128" s="11"/>
      <c r="G128" s="11"/>
    </row>
    <row r="129" spans="2:7">
      <c r="B129" s="33">
        <v>40756</v>
      </c>
      <c r="C129" s="11">
        <v>201</v>
      </c>
      <c r="D129" s="11">
        <v>189.02704452006793</v>
      </c>
      <c r="E129" s="11">
        <v>11.972955479932068</v>
      </c>
      <c r="F129" s="11"/>
      <c r="G129" s="11"/>
    </row>
    <row r="130" spans="2:7">
      <c r="B130" s="33">
        <v>40787</v>
      </c>
      <c r="C130" s="11">
        <v>194.1</v>
      </c>
      <c r="D130" s="11">
        <v>197.48084498267181</v>
      </c>
      <c r="E130" s="11">
        <v>-3.3808449826718174</v>
      </c>
      <c r="F130" s="11"/>
      <c r="G130" s="11"/>
    </row>
    <row r="131" spans="2:7">
      <c r="B131" s="33">
        <v>40817</v>
      </c>
      <c r="C131" s="11">
        <v>183.9</v>
      </c>
      <c r="D131" s="11">
        <v>196.24400702898748</v>
      </c>
      <c r="E131" s="11">
        <v>-12.344007028987477</v>
      </c>
      <c r="F131" s="11"/>
      <c r="G131" s="11"/>
    </row>
    <row r="132" spans="2:7">
      <c r="B132" s="33">
        <v>40848</v>
      </c>
      <c r="C132" s="11">
        <v>196.5</v>
      </c>
      <c r="D132" s="11">
        <v>189.27302434013612</v>
      </c>
      <c r="E132" s="11">
        <v>7.2269756598638821</v>
      </c>
      <c r="F132" s="11"/>
      <c r="G132" s="11"/>
    </row>
    <row r="133" spans="2:7">
      <c r="B133" s="33">
        <v>40878</v>
      </c>
      <c r="C133" s="11">
        <v>182.8</v>
      </c>
      <c r="D133" s="11">
        <v>194.67603957719308</v>
      </c>
      <c r="E133" s="11">
        <v>-11.876039577193069</v>
      </c>
      <c r="F133" s="11"/>
      <c r="G133" s="11"/>
    </row>
    <row r="134" spans="2:7">
      <c r="B134" s="33">
        <v>40909</v>
      </c>
      <c r="C134" s="11">
        <v>187.8</v>
      </c>
      <c r="D134" s="11">
        <v>187.9651354629697</v>
      </c>
      <c r="E134" s="11">
        <v>-0.16513546296968684</v>
      </c>
      <c r="F134" s="11"/>
      <c r="G134" s="11"/>
    </row>
    <row r="135" spans="2:7">
      <c r="B135" s="33">
        <v>40940</v>
      </c>
      <c r="C135" s="11">
        <v>189.8</v>
      </c>
      <c r="D135" s="11">
        <v>188.62526363735677</v>
      </c>
      <c r="E135" s="11">
        <v>1.1747363626432445</v>
      </c>
      <c r="F135" s="11"/>
      <c r="G135" s="11"/>
    </row>
    <row r="136" spans="2:7">
      <c r="B136" s="33">
        <v>40969</v>
      </c>
      <c r="C136" s="11">
        <v>181.3</v>
      </c>
      <c r="D136" s="11">
        <v>190.13759082306959</v>
      </c>
      <c r="E136" s="11">
        <v>-8.8375908230695757</v>
      </c>
      <c r="F136" s="11"/>
      <c r="G136" s="11"/>
    </row>
    <row r="137" spans="2:7">
      <c r="B137" s="33">
        <v>41000</v>
      </c>
      <c r="C137" s="11">
        <v>194.9</v>
      </c>
      <c r="D137" s="11">
        <v>185.28133511709282</v>
      </c>
      <c r="E137" s="11">
        <v>9.6186648829071828</v>
      </c>
      <c r="F137" s="11"/>
      <c r="G137" s="11"/>
    </row>
    <row r="138" spans="2:7">
      <c r="B138" s="33">
        <v>41030</v>
      </c>
      <c r="C138" s="11">
        <v>196</v>
      </c>
      <c r="D138" s="11">
        <v>192.11509040989608</v>
      </c>
      <c r="E138" s="11">
        <v>3.8849095901039163</v>
      </c>
      <c r="F138" s="11"/>
      <c r="G138" s="11"/>
    </row>
    <row r="139" spans="2:7">
      <c r="B139" s="33">
        <v>41061</v>
      </c>
      <c r="C139" s="11">
        <v>199.2</v>
      </c>
      <c r="D139" s="11">
        <v>195.36817046630381</v>
      </c>
      <c r="E139" s="11">
        <v>3.8318295336961796</v>
      </c>
      <c r="F139" s="11"/>
      <c r="G139" s="11"/>
    </row>
    <row r="140" spans="2:7">
      <c r="B140" s="33">
        <v>41091</v>
      </c>
      <c r="C140" s="11">
        <v>199.1</v>
      </c>
      <c r="D140" s="11">
        <v>198.61628470712634</v>
      </c>
      <c r="E140" s="11">
        <v>0.48371529287365433</v>
      </c>
      <c r="F140" s="11"/>
      <c r="G140" s="11"/>
    </row>
    <row r="141" spans="2:7">
      <c r="B141" s="33">
        <v>41122</v>
      </c>
      <c r="C141" s="11">
        <v>200.1</v>
      </c>
      <c r="D141" s="11">
        <v>199.76028253593779</v>
      </c>
      <c r="E141" s="11">
        <v>0.33971746406220404</v>
      </c>
      <c r="F141" s="11"/>
      <c r="G141" s="11"/>
    </row>
    <row r="142" spans="2:7">
      <c r="B142" s="33">
        <v>41153</v>
      </c>
      <c r="C142" s="11">
        <v>198.9</v>
      </c>
      <c r="D142" s="11">
        <v>200.81615294075129</v>
      </c>
      <c r="E142" s="11">
        <v>-1.9161529407512887</v>
      </c>
      <c r="F142" s="11"/>
      <c r="G142" s="11"/>
    </row>
    <row r="143" spans="2:7">
      <c r="B143" s="33">
        <v>41183</v>
      </c>
      <c r="C143" s="11">
        <v>193.6</v>
      </c>
      <c r="D143" s="11">
        <v>200.43767952635889</v>
      </c>
      <c r="E143" s="11">
        <v>-6.8376795263588974</v>
      </c>
      <c r="F143" s="11"/>
      <c r="G143" s="11"/>
    </row>
    <row r="144" spans="2:7">
      <c r="B144" s="33">
        <v>41214</v>
      </c>
      <c r="C144" s="11">
        <v>198.5</v>
      </c>
      <c r="D144" s="11">
        <v>196.91023656810194</v>
      </c>
      <c r="E144" s="11">
        <v>1.5897634318980636</v>
      </c>
      <c r="F144" s="11"/>
      <c r="G144" s="11"/>
    </row>
    <row r="145" spans="2:7">
      <c r="B145" s="33">
        <v>41244</v>
      </c>
      <c r="C145" s="11">
        <v>189.3</v>
      </c>
      <c r="D145" s="11">
        <v>198.69984777725875</v>
      </c>
      <c r="E145" s="11">
        <v>-9.3998477772587421</v>
      </c>
      <c r="F145" s="11"/>
      <c r="G145" s="11"/>
    </row>
    <row r="146" spans="2:7">
      <c r="B146" s="33">
        <v>41275</v>
      </c>
      <c r="C146" s="11">
        <v>197.2</v>
      </c>
      <c r="D146" s="11">
        <v>193.50148098161273</v>
      </c>
      <c r="E146" s="11">
        <v>3.6985190183872589</v>
      </c>
      <c r="F146" s="11"/>
      <c r="G146" s="11"/>
    </row>
    <row r="147" spans="2:7">
      <c r="B147" s="33">
        <v>41306</v>
      </c>
      <c r="C147" s="11">
        <v>189.6</v>
      </c>
      <c r="D147" s="11">
        <v>196.57626863197012</v>
      </c>
      <c r="E147" s="11">
        <v>-6.9762686319701288</v>
      </c>
      <c r="F147" s="11"/>
      <c r="G147" s="11"/>
    </row>
    <row r="148" spans="2:7">
      <c r="B148" s="33">
        <v>41334</v>
      </c>
      <c r="C148" s="11">
        <v>176.4</v>
      </c>
      <c r="D148" s="11">
        <v>192.87925998909299</v>
      </c>
      <c r="E148" s="11">
        <v>-16.479259989092981</v>
      </c>
      <c r="F148" s="11"/>
      <c r="G148" s="11"/>
    </row>
    <row r="149" spans="2:7">
      <c r="B149" s="33">
        <v>41365</v>
      </c>
      <c r="C149" s="11">
        <v>198.1</v>
      </c>
      <c r="D149" s="11">
        <v>183.07757086818677</v>
      </c>
      <c r="E149" s="11">
        <v>15.022429131813226</v>
      </c>
      <c r="F149" s="11"/>
      <c r="G149" s="11"/>
    </row>
    <row r="150" spans="2:7">
      <c r="B150" s="33">
        <v>41395</v>
      </c>
      <c r="C150" s="11">
        <v>199.8</v>
      </c>
      <c r="D150" s="11">
        <v>193.2183850152945</v>
      </c>
      <c r="E150" s="11">
        <v>6.5816149847055101</v>
      </c>
      <c r="F150" s="11"/>
      <c r="G150" s="11"/>
    </row>
    <row r="151" spans="2:7">
      <c r="B151" s="33">
        <v>41426</v>
      </c>
      <c r="C151" s="11">
        <v>202.1</v>
      </c>
      <c r="D151" s="11">
        <v>198.09439545783141</v>
      </c>
      <c r="E151" s="11">
        <v>4.0056045421685837</v>
      </c>
      <c r="F151" s="11"/>
      <c r="G151" s="11"/>
    </row>
    <row r="152" spans="2:7">
      <c r="B152" s="33">
        <v>41456</v>
      </c>
      <c r="C152" s="11">
        <v>204.5</v>
      </c>
      <c r="D152" s="11">
        <v>201.3784929825116</v>
      </c>
      <c r="E152" s="11">
        <v>3.1215070174883977</v>
      </c>
      <c r="F152" s="11"/>
      <c r="G152" s="11"/>
    </row>
    <row r="153" spans="2:7">
      <c r="B153" s="33">
        <v>41487</v>
      </c>
      <c r="C153" s="11">
        <v>202.5</v>
      </c>
      <c r="D153" s="11">
        <v>204.12920812100057</v>
      </c>
      <c r="E153" s="11">
        <v>-1.6292081210005733</v>
      </c>
      <c r="F153" s="11"/>
      <c r="G153" s="11"/>
    </row>
    <row r="154" spans="2:7">
      <c r="B154" s="33">
        <v>41518</v>
      </c>
      <c r="C154" s="11">
        <v>202.7</v>
      </c>
      <c r="D154" s="11">
        <v>203.87715306427447</v>
      </c>
      <c r="E154" s="11">
        <v>-1.1771530642744779</v>
      </c>
      <c r="F154" s="11"/>
      <c r="G154" s="11"/>
    </row>
    <row r="155" spans="2:7">
      <c r="B155" s="33">
        <v>41548</v>
      </c>
      <c r="C155" s="11">
        <v>196.2</v>
      </c>
      <c r="D155" s="11">
        <v>203.90093638991198</v>
      </c>
      <c r="E155" s="11">
        <v>-7.7009363899119876</v>
      </c>
      <c r="F155" s="11"/>
      <c r="G155" s="11"/>
    </row>
    <row r="156" spans="2:7">
      <c r="B156" s="33">
        <v>41579</v>
      </c>
      <c r="C156" s="11">
        <v>203.5</v>
      </c>
      <c r="D156" s="11">
        <v>199.76068694639034</v>
      </c>
      <c r="E156" s="11">
        <v>3.7393130536096635</v>
      </c>
      <c r="F156" s="11"/>
      <c r="G156" s="11"/>
    </row>
    <row r="157" spans="2:7">
      <c r="B157" s="33">
        <v>41609</v>
      </c>
      <c r="C157" s="11">
        <v>196.4</v>
      </c>
      <c r="D157" s="11">
        <v>202.85007537474166</v>
      </c>
      <c r="E157" s="11">
        <v>-6.4500753747416582</v>
      </c>
      <c r="F157" s="11"/>
      <c r="G157" s="11"/>
    </row>
    <row r="158" spans="2:7">
      <c r="B158" s="33">
        <v>41640</v>
      </c>
      <c r="C158" s="11">
        <v>197.7</v>
      </c>
      <c r="D158" s="11">
        <v>199.47714313131672</v>
      </c>
      <c r="E158" s="11">
        <v>-1.7771431313167341</v>
      </c>
      <c r="F158" s="11"/>
      <c r="G158" s="11"/>
    </row>
    <row r="159" spans="2:7">
      <c r="B159" s="33">
        <v>41671</v>
      </c>
      <c r="C159" s="11">
        <v>193</v>
      </c>
      <c r="D159" s="11">
        <v>199.03272487986132</v>
      </c>
      <c r="E159" s="11">
        <v>-6.0327248798613198</v>
      </c>
      <c r="F159" s="11"/>
      <c r="G159" s="11"/>
    </row>
    <row r="160" spans="2:7">
      <c r="B160" s="33">
        <v>41699</v>
      </c>
      <c r="C160" s="11">
        <v>180.1</v>
      </c>
      <c r="D160" s="11">
        <v>195.86453958236075</v>
      </c>
      <c r="E160" s="11">
        <v>-15.764539582360754</v>
      </c>
      <c r="F160" s="11"/>
      <c r="G160" s="11"/>
    </row>
    <row r="161" spans="2:7">
      <c r="B161" s="33">
        <v>41730</v>
      </c>
      <c r="C161" s="11">
        <v>203.7</v>
      </c>
      <c r="D161" s="11">
        <v>186.45293113811354</v>
      </c>
      <c r="E161" s="11">
        <v>17.247068861886447</v>
      </c>
      <c r="F161" s="11"/>
      <c r="G161" s="11"/>
    </row>
    <row r="162" spans="2:7">
      <c r="B162" s="33">
        <v>41760</v>
      </c>
      <c r="C162" s="11">
        <v>202.8</v>
      </c>
      <c r="D162" s="11">
        <v>197.95086836280507</v>
      </c>
      <c r="E162" s="11">
        <v>4.8491316371949438</v>
      </c>
      <c r="F162" s="11"/>
      <c r="G162" s="11"/>
    </row>
    <row r="163" spans="2:7">
      <c r="B163" s="33">
        <v>41791</v>
      </c>
      <c r="C163" s="11">
        <v>209.1</v>
      </c>
      <c r="D163" s="11">
        <v>201.68004767676004</v>
      </c>
      <c r="E163" s="11">
        <v>7.4199523232399542</v>
      </c>
      <c r="F163" s="11"/>
      <c r="G163" s="11"/>
    </row>
    <row r="164" spans="2:7">
      <c r="B164" s="33">
        <v>41821</v>
      </c>
      <c r="C164" s="11">
        <v>208.2</v>
      </c>
      <c r="D164" s="11">
        <v>207.08270120483033</v>
      </c>
      <c r="E164" s="11">
        <v>1.1172987951696598</v>
      </c>
      <c r="F164" s="11"/>
      <c r="G164" s="11"/>
    </row>
    <row r="165" spans="2:7">
      <c r="B165" s="33">
        <v>41852</v>
      </c>
      <c r="C165" s="11">
        <v>214.7</v>
      </c>
      <c r="D165" s="11">
        <v>208.52599823614287</v>
      </c>
      <c r="E165" s="11">
        <v>6.1740017638571203</v>
      </c>
      <c r="F165" s="11"/>
      <c r="G165" s="11"/>
    </row>
    <row r="166" spans="2:7">
      <c r="B166" s="33">
        <v>41883</v>
      </c>
      <c r="C166" s="11">
        <v>210.1</v>
      </c>
      <c r="D166" s="11">
        <v>213.1984337276418</v>
      </c>
      <c r="E166" s="11">
        <v>-3.0984337276418046</v>
      </c>
      <c r="F166" s="11"/>
      <c r="G166" s="11"/>
    </row>
    <row r="167" spans="2:7">
      <c r="B167" s="33">
        <v>41913</v>
      </c>
      <c r="C167" s="11">
        <v>206.9</v>
      </c>
      <c r="D167" s="11">
        <v>212.01067360150228</v>
      </c>
      <c r="E167" s="11">
        <v>-5.1106736015022705</v>
      </c>
      <c r="F167" s="11"/>
      <c r="G167" s="11"/>
    </row>
    <row r="168" spans="2:7">
      <c r="B168" s="33">
        <v>41944</v>
      </c>
      <c r="C168" s="11">
        <v>210.4</v>
      </c>
      <c r="D168" s="11">
        <v>209.51822262988037</v>
      </c>
      <c r="E168" s="11">
        <v>0.88177737011963586</v>
      </c>
      <c r="F168" s="11"/>
      <c r="G168" s="11"/>
    </row>
    <row r="169" spans="2:7">
      <c r="B169" s="33">
        <v>41974</v>
      </c>
      <c r="C169" s="11">
        <v>204.4</v>
      </c>
      <c r="D169" s="11">
        <v>210.80469119775088</v>
      </c>
      <c r="E169" s="11">
        <v>-6.4046911977508785</v>
      </c>
      <c r="F169" s="11"/>
      <c r="G169" s="11"/>
    </row>
    <row r="170" spans="2:7">
      <c r="B170" s="33">
        <v>42005</v>
      </c>
      <c r="C170" s="11">
        <v>203.9</v>
      </c>
      <c r="D170" s="11">
        <v>207.45662462759842</v>
      </c>
      <c r="E170" s="11">
        <v>-3.5566246275984099</v>
      </c>
      <c r="F170" s="11"/>
      <c r="G170" s="11"/>
    </row>
    <row r="171" spans="2:7">
      <c r="B171" s="33">
        <v>42036</v>
      </c>
      <c r="C171" s="11">
        <v>199.1</v>
      </c>
      <c r="D171" s="11">
        <v>205.87506940457789</v>
      </c>
      <c r="E171" s="11">
        <v>-6.7750694045778914</v>
      </c>
      <c r="F171" s="11"/>
      <c r="G171" s="11"/>
    </row>
    <row r="172" spans="2:7">
      <c r="B172" s="33">
        <v>42064</v>
      </c>
      <c r="C172" s="11">
        <v>183.1</v>
      </c>
      <c r="D172" s="11">
        <v>202.21713499266957</v>
      </c>
      <c r="E172" s="11">
        <v>-19.117134992669577</v>
      </c>
      <c r="F172" s="11"/>
      <c r="G172" s="11"/>
    </row>
    <row r="173" spans="2:7">
      <c r="B173" s="33">
        <v>42095</v>
      </c>
      <c r="C173" s="11">
        <v>206.2</v>
      </c>
      <c r="D173" s="11">
        <v>190.64767893261202</v>
      </c>
      <c r="E173" s="11">
        <v>15.552321067387965</v>
      </c>
      <c r="F173" s="11"/>
      <c r="G173" s="11"/>
    </row>
    <row r="174" spans="2:7">
      <c r="B174" s="33">
        <v>42125</v>
      </c>
      <c r="C174" s="11">
        <v>204</v>
      </c>
      <c r="D174" s="11">
        <v>201.01883563129834</v>
      </c>
      <c r="E174" s="11">
        <v>2.9811643687016556</v>
      </c>
      <c r="F174" s="11"/>
      <c r="G174" s="11"/>
    </row>
    <row r="175" spans="2:7">
      <c r="B175" s="33">
        <v>42156</v>
      </c>
      <c r="C175" s="11">
        <v>207.7</v>
      </c>
      <c r="D175" s="11">
        <v>203.49832053847436</v>
      </c>
      <c r="E175" s="11">
        <v>4.2016794615256288</v>
      </c>
      <c r="F175" s="11"/>
      <c r="G175" s="11"/>
    </row>
    <row r="176" spans="2:7">
      <c r="B176" s="33">
        <v>42186</v>
      </c>
      <c r="C176" s="11">
        <v>204.9</v>
      </c>
      <c r="D176" s="11">
        <v>206.77734026098395</v>
      </c>
      <c r="E176" s="11">
        <v>-1.8773402609839422</v>
      </c>
      <c r="F176" s="11"/>
      <c r="G176" s="11"/>
    </row>
    <row r="177" spans="2:7">
      <c r="B177" s="33">
        <v>42217</v>
      </c>
      <c r="C177" s="11">
        <v>210</v>
      </c>
      <c r="D177" s="11">
        <v>206.21555211375716</v>
      </c>
      <c r="E177" s="11">
        <v>3.7844478862428446</v>
      </c>
      <c r="F177" s="11"/>
      <c r="G177" s="11"/>
    </row>
    <row r="178" spans="2:7">
      <c r="B178" s="33">
        <v>42248</v>
      </c>
      <c r="C178" s="11">
        <v>206.7</v>
      </c>
      <c r="D178" s="11">
        <v>209.24607506509133</v>
      </c>
      <c r="E178" s="11">
        <v>-2.546075065091344</v>
      </c>
      <c r="F178" s="11"/>
      <c r="G178" s="11"/>
    </row>
    <row r="179" spans="2:7">
      <c r="B179" s="33">
        <v>42278</v>
      </c>
      <c r="C179" s="11">
        <v>202.5</v>
      </c>
      <c r="D179" s="11">
        <v>208.2724986388649</v>
      </c>
      <c r="E179" s="11">
        <v>-5.7724986388649029</v>
      </c>
      <c r="F179" s="11"/>
      <c r="G179" s="11"/>
    </row>
    <row r="180" spans="2:7">
      <c r="B180" s="33">
        <v>42309</v>
      </c>
      <c r="C180" s="11">
        <v>211.1</v>
      </c>
      <c r="D180" s="11">
        <v>205.22496373083774</v>
      </c>
      <c r="E180" s="11">
        <v>5.8750362691622513</v>
      </c>
      <c r="F180" s="11"/>
      <c r="G180" s="11"/>
    </row>
    <row r="181" spans="2:7">
      <c r="B181" s="33">
        <v>42339</v>
      </c>
      <c r="C181" s="11">
        <v>205.6</v>
      </c>
      <c r="D181" s="11">
        <v>209.55341376464312</v>
      </c>
      <c r="E181" s="11">
        <v>-3.9534137646431304</v>
      </c>
      <c r="F181" s="11"/>
      <c r="G181" s="11"/>
    </row>
    <row r="182" spans="2:7">
      <c r="B182" s="33">
        <v>42370</v>
      </c>
      <c r="C182" s="11">
        <v>214.4</v>
      </c>
      <c r="D182" s="11">
        <v>207.66529768523642</v>
      </c>
      <c r="E182" s="11">
        <v>6.7347023147635809</v>
      </c>
      <c r="F182" s="11"/>
      <c r="G182" s="11"/>
    </row>
    <row r="183" spans="2:7">
      <c r="B183" s="33">
        <v>42401</v>
      </c>
      <c r="C183" s="11">
        <v>214.9</v>
      </c>
      <c r="D183" s="11">
        <v>212.55557492854771</v>
      </c>
      <c r="E183" s="11">
        <v>2.3444250714522923</v>
      </c>
      <c r="F183" s="11"/>
      <c r="G183" s="11"/>
    </row>
    <row r="184" spans="2:7">
      <c r="B184" s="33">
        <v>42430</v>
      </c>
      <c r="C184" s="11">
        <v>203.6</v>
      </c>
      <c r="D184" s="11">
        <v>214.6994871466384</v>
      </c>
      <c r="E184" s="11">
        <v>-11.09948714663841</v>
      </c>
      <c r="F184" s="11"/>
      <c r="G184" s="11"/>
    </row>
    <row r="185" spans="2:7">
      <c r="B185" s="33">
        <v>42461</v>
      </c>
      <c r="C185" s="11">
        <v>221.9</v>
      </c>
      <c r="D185" s="11">
        <v>208.29776882982145</v>
      </c>
      <c r="E185" s="11">
        <v>13.602231170178555</v>
      </c>
      <c r="F185" s="11"/>
      <c r="G185" s="11"/>
    </row>
    <row r="186" spans="2:7">
      <c r="B186" s="33">
        <v>42491</v>
      </c>
      <c r="C186" s="11">
        <v>220.3</v>
      </c>
      <c r="D186" s="11">
        <v>217.54728619806144</v>
      </c>
      <c r="E186" s="11">
        <v>2.7527138019385688</v>
      </c>
      <c r="F186" s="11"/>
      <c r="G186" s="11"/>
    </row>
    <row r="187" spans="2:7">
      <c r="B187" s="33">
        <v>42522</v>
      </c>
      <c r="C187" s="11">
        <v>228.4</v>
      </c>
      <c r="D187" s="11">
        <v>219.98724351421473</v>
      </c>
      <c r="E187" s="11">
        <v>8.4127564857852803</v>
      </c>
      <c r="F187" s="11"/>
      <c r="G187" s="11"/>
    </row>
    <row r="188" spans="2:7">
      <c r="B188" s="33">
        <v>42552</v>
      </c>
      <c r="C188" s="11">
        <v>217.7</v>
      </c>
      <c r="D188" s="11">
        <v>226.05277572071608</v>
      </c>
      <c r="E188" s="11">
        <v>-8.352775720716096</v>
      </c>
      <c r="F188" s="11"/>
      <c r="G188" s="11"/>
    </row>
    <row r="189" spans="2:7">
      <c r="B189" s="33">
        <v>42583</v>
      </c>
      <c r="C189" s="11">
        <v>226.7</v>
      </c>
      <c r="D189" s="11">
        <v>221.50204114260418</v>
      </c>
      <c r="E189" s="11">
        <v>5.197958857395804</v>
      </c>
      <c r="F189" s="11"/>
      <c r="G189" s="11"/>
    </row>
    <row r="190" spans="2:7">
      <c r="B190" s="33">
        <v>42614</v>
      </c>
      <c r="C190" s="11">
        <v>218.6</v>
      </c>
      <c r="D190" s="11">
        <v>225.52036846242279</v>
      </c>
      <c r="E190" s="11">
        <v>-6.9203684624228003</v>
      </c>
      <c r="F190" s="11"/>
      <c r="G190" s="11"/>
    </row>
    <row r="191" spans="2:7">
      <c r="B191" s="33">
        <v>42644</v>
      </c>
      <c r="C191" s="11">
        <v>220.4</v>
      </c>
      <c r="D191" s="11">
        <v>221.85857619490633</v>
      </c>
      <c r="E191" s="11">
        <v>-1.4585761949063283</v>
      </c>
      <c r="F191" s="11"/>
      <c r="G191" s="11"/>
    </row>
    <row r="192" spans="2:7">
      <c r="B192" s="33">
        <v>42675</v>
      </c>
      <c r="C192" s="11">
        <v>233.8</v>
      </c>
      <c r="D192" s="11">
        <v>221.6242669342007</v>
      </c>
      <c r="E192" s="11">
        <v>12.175733065799307</v>
      </c>
      <c r="F192" s="11"/>
      <c r="G192" s="11"/>
    </row>
    <row r="193" spans="2:8">
      <c r="B193" s="33">
        <v>42705</v>
      </c>
      <c r="C193" s="11">
        <v>217.1</v>
      </c>
      <c r="D193" s="11">
        <v>230.06343763950414</v>
      </c>
      <c r="E193" s="11">
        <v>-12.96343763950415</v>
      </c>
      <c r="F193" s="11"/>
      <c r="G193" s="11"/>
    </row>
    <row r="194" spans="2:8">
      <c r="B194" s="33">
        <v>42736</v>
      </c>
      <c r="C194" s="11">
        <v>226.1</v>
      </c>
      <c r="D194" s="11">
        <v>222.58072994371852</v>
      </c>
      <c r="E194" s="11">
        <v>3.5192700562814707</v>
      </c>
      <c r="F194" s="11"/>
      <c r="G194" s="11"/>
    </row>
    <row r="195" spans="2:8">
      <c r="B195" s="33">
        <v>42767</v>
      </c>
      <c r="C195" s="11">
        <v>222.6</v>
      </c>
      <c r="D195" s="11">
        <v>225.50035903522405</v>
      </c>
      <c r="E195" s="11">
        <v>-2.9003590352240565</v>
      </c>
      <c r="F195" s="11"/>
      <c r="G195" s="11"/>
    </row>
    <row r="196" spans="2:8">
      <c r="B196" s="33">
        <v>42795</v>
      </c>
      <c r="C196" s="11">
        <v>209.7</v>
      </c>
      <c r="D196" s="11">
        <v>224.35716421603988</v>
      </c>
      <c r="E196" s="11">
        <v>-14.657164216039888</v>
      </c>
      <c r="F196" s="11"/>
      <c r="G196" s="11"/>
    </row>
    <row r="197" spans="2:8">
      <c r="B197" s="33">
        <v>42826</v>
      </c>
      <c r="C197" s="11">
        <v>220.9</v>
      </c>
      <c r="D197" s="11">
        <v>215.70399416188764</v>
      </c>
      <c r="E197" s="11">
        <v>5.1960058381123702</v>
      </c>
      <c r="F197" s="11"/>
      <c r="G197" s="11"/>
    </row>
    <row r="198" spans="2:8">
      <c r="B198" s="33">
        <v>42856</v>
      </c>
      <c r="C198" s="11">
        <v>230</v>
      </c>
      <c r="D198" s="11">
        <v>219.58738605140584</v>
      </c>
      <c r="E198" s="11">
        <v>10.412613948594156</v>
      </c>
      <c r="F198" s="11"/>
      <c r="G198" s="11"/>
    </row>
    <row r="199" spans="2:8">
      <c r="B199" s="33">
        <v>42887</v>
      </c>
      <c r="C199" s="11">
        <v>228.9</v>
      </c>
      <c r="D199" s="11">
        <v>226.83204934200018</v>
      </c>
      <c r="E199" s="11">
        <v>2.0679506579998304</v>
      </c>
      <c r="F199" s="11"/>
      <c r="G199" s="11"/>
    </row>
    <row r="200" spans="2:8">
      <c r="B200" s="33">
        <v>42917</v>
      </c>
      <c r="C200" s="11">
        <v>232.2</v>
      </c>
      <c r="D200" s="11">
        <v>228.83892646915686</v>
      </c>
      <c r="E200" s="11">
        <v>3.3610735308431288</v>
      </c>
      <c r="F200" s="11"/>
      <c r="G200" s="11"/>
    </row>
    <row r="201" spans="2:8">
      <c r="B201" s="33">
        <v>42948</v>
      </c>
      <c r="C201" s="11">
        <v>242.1</v>
      </c>
      <c r="D201" s="11">
        <v>231.68480549522096</v>
      </c>
      <c r="E201" s="11">
        <v>10.415194504779038</v>
      </c>
      <c r="F201" s="11"/>
      <c r="G201" s="11"/>
    </row>
    <row r="202" spans="2:8">
      <c r="B202" s="33">
        <v>42979</v>
      </c>
      <c r="C202" s="11">
        <v>231.9</v>
      </c>
      <c r="D202" s="11">
        <v>239.04872774352563</v>
      </c>
      <c r="E202" s="11">
        <v>-7.148727743525626</v>
      </c>
      <c r="F202" s="11"/>
      <c r="G202" s="11"/>
    </row>
    <row r="203" spans="2:8">
      <c r="B203" s="33">
        <v>43009</v>
      </c>
      <c r="C203" s="11">
        <v>235</v>
      </c>
      <c r="D203" s="11">
        <v>235.30271940988558</v>
      </c>
      <c r="E203" s="11">
        <v>-0.30271940988558299</v>
      </c>
      <c r="F203" s="11"/>
      <c r="G203" s="11"/>
    </row>
    <row r="204" spans="2:8">
      <c r="B204" s="33">
        <v>43040</v>
      </c>
      <c r="C204" s="11">
        <v>247</v>
      </c>
      <c r="D204" s="11">
        <v>235.8641685481337</v>
      </c>
      <c r="E204" s="11">
        <v>11.135831451866295</v>
      </c>
      <c r="F204" s="11"/>
      <c r="G204" s="11"/>
    </row>
    <row r="205" spans="2:8">
      <c r="B205" s="33">
        <v>43070</v>
      </c>
      <c r="C205" s="11">
        <v>241.5</v>
      </c>
      <c r="D205" s="11">
        <v>243.70910126928376</v>
      </c>
      <c r="E205" s="11">
        <v>-2.2091012692837637</v>
      </c>
      <c r="F205" s="11">
        <v>243.21489079200299</v>
      </c>
      <c r="G205" s="11">
        <v>244.20331174656454</v>
      </c>
      <c r="H205" s="41">
        <v>0</v>
      </c>
    </row>
    <row r="206" spans="2:8">
      <c r="B206" s="33">
        <v>43101</v>
      </c>
      <c r="C206" s="11"/>
      <c r="D206" s="11">
        <v>244.54379589549885</v>
      </c>
      <c r="E206" s="11"/>
      <c r="F206" s="11">
        <v>243.95784912756989</v>
      </c>
      <c r="G206" s="11">
        <v>245.12974266342781</v>
      </c>
    </row>
    <row r="207" spans="2:8">
      <c r="B207" s="33">
        <v>43132</v>
      </c>
      <c r="C207" s="11"/>
      <c r="D207" s="11">
        <v>245.37849052171396</v>
      </c>
      <c r="E207" s="11"/>
      <c r="F207" s="11">
        <v>244.71159717328095</v>
      </c>
      <c r="G207" s="11">
        <v>246.04538387014696</v>
      </c>
    </row>
    <row r="208" spans="2:8" ht="17" thickBot="1">
      <c r="B208" s="34">
        <v>43160</v>
      </c>
      <c r="C208" s="12"/>
      <c r="D208" s="12">
        <v>246.21318514792907</v>
      </c>
      <c r="E208" s="12"/>
      <c r="F208" s="12">
        <v>245.4725703408597</v>
      </c>
      <c r="G208" s="12">
        <v>246.95379995499843</v>
      </c>
    </row>
    <row r="226" spans="6:6">
      <c r="F226" t="s">
        <v>17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D719981">
              <controlPr defaultSize="0" autoFill="0" autoPict="0" macro="[0]!GoToResultsNew1310182292394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DC2DD-4841-7348-B186-54AC36A3CAE2}">
  <sheetPr codeName="Sheet9">
    <tabColor rgb="FF007800"/>
  </sheetPr>
  <dimension ref="B1:J45"/>
  <sheetViews>
    <sheetView zoomScaleNormal="100" workbookViewId="0"/>
  </sheetViews>
  <sheetFormatPr baseColWidth="10" defaultRowHeight="16"/>
  <cols>
    <col min="1" max="1" width="5.83203125" customWidth="1"/>
    <col min="2" max="2" width="10.83203125" customWidth="1"/>
  </cols>
  <sheetData>
    <row r="1" spans="2:9">
      <c r="B1" t="s">
        <v>61</v>
      </c>
    </row>
    <row r="2" spans="2:9">
      <c r="B2" t="s">
        <v>48</v>
      </c>
    </row>
    <row r="3" spans="2:9">
      <c r="B3" t="s">
        <v>49</v>
      </c>
    </row>
    <row r="4" spans="2:9">
      <c r="B4" t="s">
        <v>50</v>
      </c>
    </row>
    <row r="5" spans="2:9">
      <c r="B5" t="s">
        <v>51</v>
      </c>
    </row>
    <row r="6" spans="2:9" ht="34.25" customHeight="1"/>
    <row r="7" spans="2:9" ht="21" customHeight="1"/>
    <row r="10" spans="2:9">
      <c r="B10" t="s">
        <v>5</v>
      </c>
    </row>
    <row r="11" spans="2:9" ht="17" thickBot="1"/>
    <row r="12" spans="2:9">
      <c r="B12" s="4" t="s">
        <v>6</v>
      </c>
      <c r="C12" s="5" t="s">
        <v>7</v>
      </c>
      <c r="D12" s="5" t="s">
        <v>8</v>
      </c>
      <c r="E12" s="5" t="s">
        <v>9</v>
      </c>
      <c r="F12" s="5" t="s">
        <v>10</v>
      </c>
      <c r="G12" s="5" t="s">
        <v>11</v>
      </c>
      <c r="H12" s="5" t="s">
        <v>12</v>
      </c>
      <c r="I12" s="5" t="s">
        <v>13</v>
      </c>
    </row>
    <row r="13" spans="2:9" ht="17" thickBot="1">
      <c r="B13" s="7" t="s">
        <v>0</v>
      </c>
      <c r="C13" s="8">
        <v>156</v>
      </c>
      <c r="D13" s="8">
        <v>0</v>
      </c>
      <c r="E13" s="8">
        <v>156</v>
      </c>
      <c r="F13" s="9">
        <v>93.3</v>
      </c>
      <c r="G13" s="9">
        <v>247</v>
      </c>
      <c r="H13" s="9">
        <v>167.08333333333343</v>
      </c>
      <c r="I13" s="9">
        <v>46.897334449781063</v>
      </c>
    </row>
    <row r="16" spans="2:9">
      <c r="B16" t="s">
        <v>52</v>
      </c>
    </row>
    <row r="17" spans="2:10" ht="17" thickBot="1"/>
    <row r="18" spans="2:10">
      <c r="B18" s="28" t="s">
        <v>53</v>
      </c>
      <c r="C18" s="29">
        <v>-2.3333805683233129</v>
      </c>
    </row>
    <row r="19" spans="2:10">
      <c r="B19" s="3" t="s">
        <v>54</v>
      </c>
      <c r="C19" s="20">
        <v>-3.4205492831050286</v>
      </c>
    </row>
    <row r="20" spans="2:10">
      <c r="B20" s="3" t="s">
        <v>55</v>
      </c>
      <c r="C20" s="20">
        <v>0.40350219824149836</v>
      </c>
    </row>
    <row r="21" spans="2:10" ht="17" thickBot="1">
      <c r="B21" s="19" t="s">
        <v>56</v>
      </c>
      <c r="C21" s="30">
        <v>0.05</v>
      </c>
    </row>
    <row r="23" spans="2:10">
      <c r="B23" s="18" t="s">
        <v>57</v>
      </c>
    </row>
    <row r="24" spans="2:10">
      <c r="B24" s="18" t="s">
        <v>58</v>
      </c>
    </row>
    <row r="25" spans="2:10">
      <c r="B25" s="18" t="s">
        <v>59</v>
      </c>
    </row>
    <row r="26" spans="2:10" ht="16" customHeight="1">
      <c r="B26" s="42" t="s">
        <v>60</v>
      </c>
      <c r="C26" s="42"/>
      <c r="D26" s="42"/>
      <c r="E26" s="42"/>
      <c r="F26" s="42"/>
      <c r="G26" s="42"/>
      <c r="H26" s="42"/>
      <c r="I26" s="42"/>
      <c r="J26" s="42"/>
    </row>
    <row r="27" spans="2:10">
      <c r="B27" s="42"/>
      <c r="C27" s="42"/>
      <c r="D27" s="42"/>
      <c r="E27" s="42"/>
      <c r="F27" s="42"/>
      <c r="G27" s="42"/>
      <c r="H27" s="42"/>
      <c r="I27" s="42"/>
      <c r="J27" s="42"/>
    </row>
    <row r="45" spans="6:6">
      <c r="F45" t="s">
        <v>17</v>
      </c>
    </row>
  </sheetData>
  <mergeCells count="1">
    <mergeCell ref="B26:J27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D6552">
              <controlPr defaultSize="0" autoFill="0" autoPict="0" macro="[0]!GoToResultsNew1310182225364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59F7E-6A20-A944-9948-2202BEFB3FAB}">
  <sheetPr codeName="Sheet8">
    <tabColor rgb="FF007800"/>
  </sheetPr>
  <dimension ref="B1:K72"/>
  <sheetViews>
    <sheetView zoomScaleNormal="100" workbookViewId="0"/>
  </sheetViews>
  <sheetFormatPr baseColWidth="10" defaultRowHeight="16"/>
  <cols>
    <col min="1" max="1" width="5.83203125" customWidth="1"/>
  </cols>
  <sheetData>
    <row r="1" spans="2:9">
      <c r="B1" t="s">
        <v>47</v>
      </c>
    </row>
    <row r="2" spans="2:9">
      <c r="B2" t="s">
        <v>25</v>
      </c>
    </row>
    <row r="3" spans="2:9">
      <c r="B3" t="s">
        <v>26</v>
      </c>
    </row>
    <row r="4" spans="2:9">
      <c r="B4" t="s">
        <v>27</v>
      </c>
    </row>
    <row r="5" spans="2:9" ht="34.25" customHeight="1"/>
    <row r="6" spans="2:9" ht="21" customHeight="1"/>
    <row r="9" spans="2:9">
      <c r="B9" t="s">
        <v>5</v>
      </c>
    </row>
    <row r="10" spans="2:9" ht="17" thickBot="1"/>
    <row r="11" spans="2:9">
      <c r="B11" s="4" t="s">
        <v>6</v>
      </c>
      <c r="C11" s="5" t="s">
        <v>7</v>
      </c>
      <c r="D11" s="5" t="s">
        <v>8</v>
      </c>
      <c r="E11" s="5" t="s">
        <v>9</v>
      </c>
      <c r="F11" s="5" t="s">
        <v>10</v>
      </c>
      <c r="G11" s="5" t="s">
        <v>11</v>
      </c>
      <c r="H11" s="5" t="s">
        <v>12</v>
      </c>
      <c r="I11" s="5" t="s">
        <v>13</v>
      </c>
    </row>
    <row r="12" spans="2:9" ht="17" thickBot="1">
      <c r="B12" s="7" t="s">
        <v>0</v>
      </c>
      <c r="C12" s="8">
        <v>156</v>
      </c>
      <c r="D12" s="8">
        <v>0</v>
      </c>
      <c r="E12" s="8">
        <v>156</v>
      </c>
      <c r="F12" s="9">
        <v>93.3</v>
      </c>
      <c r="G12" s="9">
        <v>247</v>
      </c>
      <c r="H12" s="9">
        <v>167.08333333333343</v>
      </c>
      <c r="I12" s="9">
        <v>46.897334449781063</v>
      </c>
    </row>
    <row r="15" spans="2:9">
      <c r="B15" s="17" t="s">
        <v>28</v>
      </c>
    </row>
    <row r="17" spans="2:11">
      <c r="B17" t="s">
        <v>29</v>
      </c>
    </row>
    <row r="18" spans="2:11" ht="17" thickBot="1"/>
    <row r="19" spans="2:11">
      <c r="B19" s="4" t="s">
        <v>30</v>
      </c>
      <c r="C19" s="5" t="s">
        <v>31</v>
      </c>
      <c r="D19" s="5" t="s">
        <v>32</v>
      </c>
      <c r="E19" s="5" t="s">
        <v>33</v>
      </c>
    </row>
    <row r="20" spans="2:11">
      <c r="B20" s="6" t="s">
        <v>34</v>
      </c>
      <c r="C20" s="14">
        <v>2</v>
      </c>
      <c r="D20" s="10">
        <v>16.192276288432812</v>
      </c>
      <c r="E20" s="10">
        <v>3.0471362885209352E-4</v>
      </c>
    </row>
    <row r="21" spans="2:11">
      <c r="B21" s="3" t="s">
        <v>35</v>
      </c>
      <c r="C21" s="15">
        <v>6</v>
      </c>
      <c r="D21" s="11">
        <v>785.11305221216753</v>
      </c>
      <c r="E21" s="20" t="s">
        <v>38</v>
      </c>
    </row>
    <row r="22" spans="2:11">
      <c r="B22" s="3" t="s">
        <v>36</v>
      </c>
      <c r="C22" s="15">
        <v>6</v>
      </c>
      <c r="D22" s="11">
        <v>812.81943874796696</v>
      </c>
      <c r="E22" s="20" t="s">
        <v>38</v>
      </c>
    </row>
    <row r="23" spans="2:11">
      <c r="B23" s="22" t="s">
        <v>37</v>
      </c>
      <c r="C23" s="23">
        <v>6</v>
      </c>
      <c r="D23" s="24">
        <v>795.27049328752673</v>
      </c>
      <c r="E23" s="25" t="s">
        <v>38</v>
      </c>
    </row>
    <row r="24" spans="2:11">
      <c r="B24" s="6" t="s">
        <v>35</v>
      </c>
      <c r="C24" s="14">
        <v>12</v>
      </c>
      <c r="D24" s="10">
        <v>1401.6919574409501</v>
      </c>
      <c r="E24" s="26" t="s">
        <v>38</v>
      </c>
    </row>
    <row r="25" spans="2:11">
      <c r="B25" s="3" t="s">
        <v>36</v>
      </c>
      <c r="C25" s="15">
        <v>12</v>
      </c>
      <c r="D25" s="11">
        <v>1477.4518336656602</v>
      </c>
      <c r="E25" s="20" t="s">
        <v>38</v>
      </c>
    </row>
    <row r="26" spans="2:11" ht="17" thickBot="1">
      <c r="B26" s="19" t="s">
        <v>37</v>
      </c>
      <c r="C26" s="16">
        <v>12</v>
      </c>
      <c r="D26" s="12">
        <v>1440.2801653141778</v>
      </c>
      <c r="E26" s="21" t="s">
        <v>38</v>
      </c>
    </row>
    <row r="29" spans="2:11">
      <c r="B29" t="s">
        <v>39</v>
      </c>
    </row>
    <row r="30" spans="2:11" ht="17" thickBot="1"/>
    <row r="31" spans="2:11">
      <c r="B31" s="5" t="s">
        <v>40</v>
      </c>
      <c r="C31" s="5" t="s">
        <v>41</v>
      </c>
      <c r="D31" s="5" t="s">
        <v>42</v>
      </c>
      <c r="E31" s="5" t="s">
        <v>43</v>
      </c>
      <c r="F31" s="5" t="s">
        <v>44</v>
      </c>
      <c r="G31" s="5" t="s">
        <v>45</v>
      </c>
      <c r="H31" s="5" t="s">
        <v>46</v>
      </c>
      <c r="I31" s="5" t="s">
        <v>43</v>
      </c>
      <c r="J31" s="5" t="s">
        <v>44</v>
      </c>
      <c r="K31" s="5" t="s">
        <v>45</v>
      </c>
    </row>
    <row r="32" spans="2:11">
      <c r="B32" s="14">
        <v>0</v>
      </c>
      <c r="C32" s="10">
        <v>2185.261517094018</v>
      </c>
      <c r="D32" s="10">
        <v>1</v>
      </c>
      <c r="E32" s="10">
        <v>0</v>
      </c>
      <c r="F32" s="10"/>
      <c r="G32" s="10"/>
      <c r="H32" s="10">
        <v>1</v>
      </c>
      <c r="I32" s="10">
        <v>0</v>
      </c>
      <c r="J32" s="10"/>
      <c r="K32" s="10"/>
    </row>
    <row r="33" spans="2:11">
      <c r="B33" s="15">
        <v>1</v>
      </c>
      <c r="C33" s="11">
        <v>2115.1730537749281</v>
      </c>
      <c r="D33" s="11">
        <v>0.96792673884986813</v>
      </c>
      <c r="E33" s="11">
        <v>8.0064076902543566E-2</v>
      </c>
      <c r="F33" s="11">
        <v>-0.15692270718443055</v>
      </c>
      <c r="G33" s="11">
        <v>0.15692270718443055</v>
      </c>
      <c r="H33" s="11">
        <v>0.96792673884986813</v>
      </c>
      <c r="I33" s="11">
        <v>8.0064076902543566E-2</v>
      </c>
      <c r="J33" s="11">
        <v>-0.15692270718443055</v>
      </c>
      <c r="K33" s="11">
        <v>0.15692270718443055</v>
      </c>
    </row>
    <row r="34" spans="2:11">
      <c r="B34" s="15">
        <v>2</v>
      </c>
      <c r="C34" s="11">
        <v>2069.5550284900287</v>
      </c>
      <c r="D34" s="11">
        <v>0.94705142258769237</v>
      </c>
      <c r="E34" s="11">
        <v>0.13572607083710456</v>
      </c>
      <c r="F34" s="11">
        <v>-0.266018210603857</v>
      </c>
      <c r="G34" s="11">
        <v>0.266018210603857</v>
      </c>
      <c r="H34" s="11">
        <v>0.16111534718516227</v>
      </c>
      <c r="I34" s="11">
        <v>8.0064076902543566E-2</v>
      </c>
      <c r="J34" s="11">
        <v>-0.15692270718443055</v>
      </c>
      <c r="K34" s="11">
        <v>0.15692270718443055</v>
      </c>
    </row>
    <row r="35" spans="2:11">
      <c r="B35" s="15">
        <v>3</v>
      </c>
      <c r="C35" s="11">
        <v>2023.3460523504286</v>
      </c>
      <c r="D35" s="11">
        <v>0.92590568063500878</v>
      </c>
      <c r="E35" s="11">
        <v>0.17297504521387608</v>
      </c>
      <c r="F35" s="11">
        <v>-0.33902485884338451</v>
      </c>
      <c r="G35" s="11">
        <v>0.33902485884338451</v>
      </c>
      <c r="H35" s="11">
        <v>1.5811289790784545E-2</v>
      </c>
      <c r="I35" s="11">
        <v>8.0064076902543566E-2</v>
      </c>
      <c r="J35" s="11">
        <v>-0.15692270718443055</v>
      </c>
      <c r="K35" s="11">
        <v>0.15692270718443055</v>
      </c>
    </row>
    <row r="36" spans="2:11">
      <c r="B36" s="15">
        <v>4</v>
      </c>
      <c r="C36" s="11">
        <v>1971.5534116809117</v>
      </c>
      <c r="D36" s="11">
        <v>0.90220479162727518</v>
      </c>
      <c r="E36" s="11">
        <v>0.20226568901267067</v>
      </c>
      <c r="F36" s="11">
        <v>-0.39643346577301336</v>
      </c>
      <c r="G36" s="11">
        <v>0.39643346577301336</v>
      </c>
      <c r="H36" s="11">
        <v>-4.8522902781820546E-2</v>
      </c>
      <c r="I36" s="11">
        <v>8.0064076902543566E-2</v>
      </c>
      <c r="J36" s="11">
        <v>-0.15692270718443055</v>
      </c>
      <c r="K36" s="11">
        <v>0.15692270718443055</v>
      </c>
    </row>
    <row r="37" spans="2:11">
      <c r="B37" s="15">
        <v>5</v>
      </c>
      <c r="C37" s="11">
        <v>1931.4408351139602</v>
      </c>
      <c r="D37" s="11">
        <v>0.88384882999377079</v>
      </c>
      <c r="E37" s="11">
        <v>0.2265986903427343</v>
      </c>
      <c r="F37" s="11">
        <v>-0.44412527201570329</v>
      </c>
      <c r="G37" s="11">
        <v>0.44412527201570329</v>
      </c>
      <c r="H37" s="11">
        <v>6.0791738934388127E-2</v>
      </c>
      <c r="I37" s="11">
        <v>8.0064076902543566E-2</v>
      </c>
      <c r="J37" s="11">
        <v>-0.15692270718443055</v>
      </c>
      <c r="K37" s="11">
        <v>0.15692270718443055</v>
      </c>
    </row>
    <row r="38" spans="2:11">
      <c r="B38" s="15">
        <v>6</v>
      </c>
      <c r="C38" s="11">
        <v>1888.1011538461539</v>
      </c>
      <c r="D38" s="11">
        <v>0.86401610931993589</v>
      </c>
      <c r="E38" s="11">
        <v>0.24771396186841582</v>
      </c>
      <c r="F38" s="11">
        <v>-0.48551044372982316</v>
      </c>
      <c r="G38" s="11">
        <v>0.48551044372982316</v>
      </c>
      <c r="H38" s="11">
        <v>-6.9970519909836743E-3</v>
      </c>
      <c r="I38" s="11">
        <v>8.0064076902543566E-2</v>
      </c>
      <c r="J38" s="11">
        <v>-0.15692270718443055</v>
      </c>
      <c r="K38" s="11">
        <v>0.15692270718443055</v>
      </c>
    </row>
    <row r="39" spans="2:11">
      <c r="B39" s="15">
        <v>7</v>
      </c>
      <c r="C39" s="11">
        <v>1851.6705003561253</v>
      </c>
      <c r="D39" s="11">
        <v>0.84734503667940608</v>
      </c>
      <c r="E39" s="11">
        <v>0.26633254650855398</v>
      </c>
      <c r="F39" s="11">
        <v>-0.52200219906760459</v>
      </c>
      <c r="G39" s="11">
        <v>0.52200219906760459</v>
      </c>
      <c r="H39" s="11">
        <v>4.0131941015118855E-2</v>
      </c>
      <c r="I39" s="11">
        <v>8.0064076902543566E-2</v>
      </c>
      <c r="J39" s="11">
        <v>-0.15692270718443055</v>
      </c>
      <c r="K39" s="11">
        <v>0.15692270718443055</v>
      </c>
    </row>
    <row r="40" spans="2:11">
      <c r="B40" s="15">
        <v>8</v>
      </c>
      <c r="C40" s="11">
        <v>1810.3461716524221</v>
      </c>
      <c r="D40" s="11">
        <v>0.82843456377698821</v>
      </c>
      <c r="E40" s="11">
        <v>0.28308668571124557</v>
      </c>
      <c r="F40" s="11">
        <v>-0.55483970849685071</v>
      </c>
      <c r="G40" s="11">
        <v>0.55483970849685071</v>
      </c>
      <c r="H40" s="11">
        <v>-3.4044070258391068E-2</v>
      </c>
      <c r="I40" s="11">
        <v>8.0064076902543566E-2</v>
      </c>
      <c r="J40" s="11">
        <v>-0.15692270718443055</v>
      </c>
      <c r="K40" s="11">
        <v>0.15692270718443055</v>
      </c>
    </row>
    <row r="41" spans="2:11">
      <c r="B41" s="15">
        <v>9</v>
      </c>
      <c r="C41" s="11">
        <v>1787.9942574786332</v>
      </c>
      <c r="D41" s="11">
        <v>0.81820607899430065</v>
      </c>
      <c r="E41" s="11">
        <v>0.29822280032365012</v>
      </c>
      <c r="F41" s="11">
        <v>-0.58450594800303413</v>
      </c>
      <c r="G41" s="11">
        <v>0.58450594800303413</v>
      </c>
      <c r="H41" s="11">
        <v>0.12916316240384965</v>
      </c>
      <c r="I41" s="11">
        <v>8.0064076902543566E-2</v>
      </c>
      <c r="J41" s="11">
        <v>-0.15692270718443055</v>
      </c>
      <c r="K41" s="11">
        <v>0.15692270718443055</v>
      </c>
    </row>
    <row r="42" spans="2:11">
      <c r="B42" s="15">
        <v>10</v>
      </c>
      <c r="C42" s="11">
        <v>1758.3316061253556</v>
      </c>
      <c r="D42" s="11">
        <v>0.80463211948362234</v>
      </c>
      <c r="E42" s="11">
        <v>0.31228140254050457</v>
      </c>
      <c r="F42" s="11">
        <v>-0.61206030202104378</v>
      </c>
      <c r="G42" s="11">
        <v>0.61206030202104378</v>
      </c>
      <c r="H42" s="11">
        <v>-1.9035147508833814E-2</v>
      </c>
      <c r="I42" s="11">
        <v>8.0064076902543566E-2</v>
      </c>
      <c r="J42" s="11">
        <v>-0.15692270718443055</v>
      </c>
      <c r="K42" s="11">
        <v>0.15692270718443055</v>
      </c>
    </row>
    <row r="43" spans="2:11">
      <c r="B43" s="15">
        <v>11</v>
      </c>
      <c r="C43" s="11">
        <v>1725.6008885327622</v>
      </c>
      <c r="D43" s="11">
        <v>0.78965417870328081</v>
      </c>
      <c r="E43" s="11">
        <v>0.32530000844925283</v>
      </c>
      <c r="F43" s="11">
        <v>-0.63757630073111071</v>
      </c>
      <c r="G43" s="11">
        <v>0.63757630073111071</v>
      </c>
      <c r="H43" s="11">
        <v>-2.9436591687847614E-2</v>
      </c>
      <c r="I43" s="11">
        <v>8.0064076902543566E-2</v>
      </c>
      <c r="J43" s="11">
        <v>-0.15692270718443055</v>
      </c>
      <c r="K43" s="11">
        <v>0.15692270718443055</v>
      </c>
    </row>
    <row r="44" spans="2:11">
      <c r="B44" s="15">
        <v>12</v>
      </c>
      <c r="C44" s="11">
        <v>1703.5002670940169</v>
      </c>
      <c r="D44" s="11">
        <v>0.77954068827393619</v>
      </c>
      <c r="E44" s="11">
        <v>0.33736385992506635</v>
      </c>
      <c r="F44" s="11">
        <v>-0.66122101513854559</v>
      </c>
      <c r="G44" s="11">
        <v>0.66122101513854559</v>
      </c>
      <c r="H44" s="11">
        <v>4.982173320725574E-2</v>
      </c>
      <c r="I44" s="11">
        <v>8.0064076902543566E-2</v>
      </c>
      <c r="J44" s="11">
        <v>-0.15692270718443055</v>
      </c>
      <c r="K44" s="11">
        <v>0.15692270718443055</v>
      </c>
    </row>
    <row r="45" spans="2:11">
      <c r="B45" s="15">
        <v>13</v>
      </c>
      <c r="C45" s="11">
        <v>1645.908929843305</v>
      </c>
      <c r="D45" s="11">
        <v>0.75318625115041182</v>
      </c>
      <c r="E45" s="11">
        <v>0.34871935772728047</v>
      </c>
      <c r="F45" s="11">
        <v>-0.68347738185740892</v>
      </c>
      <c r="G45" s="11">
        <v>0.68347738185740892</v>
      </c>
      <c r="H45" s="11">
        <v>-0.2279486029887583</v>
      </c>
      <c r="I45" s="11">
        <v>8.0064076902543566E-2</v>
      </c>
      <c r="J45" s="11">
        <v>-0.15692270718443055</v>
      </c>
      <c r="K45" s="11">
        <v>0.15692270718443055</v>
      </c>
    </row>
    <row r="46" spans="2:11">
      <c r="B46" s="15">
        <v>14</v>
      </c>
      <c r="C46" s="11">
        <v>1604.7978703703698</v>
      </c>
      <c r="D46" s="11">
        <v>0.73437337262244273</v>
      </c>
      <c r="E46" s="11">
        <v>0.35899600712572599</v>
      </c>
      <c r="F46" s="11">
        <v>-0.70361924456010738</v>
      </c>
      <c r="G46" s="11">
        <v>0.70361924456010738</v>
      </c>
      <c r="H46" s="11">
        <v>2.9659759203923393E-2</v>
      </c>
      <c r="I46" s="11">
        <v>8.0064076902543566E-2</v>
      </c>
      <c r="J46" s="11">
        <v>-0.15692270718443055</v>
      </c>
      <c r="K46" s="11">
        <v>0.15692270718443055</v>
      </c>
    </row>
    <row r="47" spans="2:11">
      <c r="B47" s="15">
        <v>15</v>
      </c>
      <c r="C47" s="11">
        <v>1555.306394230769</v>
      </c>
      <c r="D47" s="11">
        <v>0.71172552212379159</v>
      </c>
      <c r="E47" s="11">
        <v>0.36850005453030904</v>
      </c>
      <c r="F47" s="11">
        <v>-0.72224683518045152</v>
      </c>
      <c r="G47" s="11">
        <v>0.72224683518045152</v>
      </c>
      <c r="H47" s="11">
        <v>-5.3074142893298343E-2</v>
      </c>
      <c r="I47" s="11">
        <v>8.0064076902543566E-2</v>
      </c>
      <c r="J47" s="11">
        <v>-0.15692270718443055</v>
      </c>
      <c r="K47" s="11">
        <v>0.15692270718443055</v>
      </c>
    </row>
    <row r="48" spans="2:11">
      <c r="B48" s="15">
        <v>16</v>
      </c>
      <c r="C48" s="11">
        <v>1507.6175462962967</v>
      </c>
      <c r="D48" s="11">
        <v>0.68990257436150759</v>
      </c>
      <c r="E48" s="11">
        <v>0.37720891058574102</v>
      </c>
      <c r="F48" s="11">
        <v>-0.73931587939564181</v>
      </c>
      <c r="G48" s="11">
        <v>0.73931587939564181</v>
      </c>
      <c r="H48" s="11">
        <v>4.6887190723633653E-3</v>
      </c>
      <c r="I48" s="11">
        <v>8.0064076902543566E-2</v>
      </c>
      <c r="J48" s="11">
        <v>-0.15692270718443055</v>
      </c>
      <c r="K48" s="11">
        <v>0.15692270718443055</v>
      </c>
    </row>
    <row r="49" spans="2:11">
      <c r="B49" s="15">
        <v>17</v>
      </c>
      <c r="C49" s="11">
        <v>1469.7931962250709</v>
      </c>
      <c r="D49" s="11">
        <v>0.67259373064859351</v>
      </c>
      <c r="E49" s="11">
        <v>0.38521251902870912</v>
      </c>
      <c r="F49" s="11">
        <v>-0.75500266369021996</v>
      </c>
      <c r="G49" s="11">
        <v>0.75500266369021996</v>
      </c>
      <c r="H49" s="11">
        <v>4.6551413194453842E-2</v>
      </c>
      <c r="I49" s="11">
        <v>8.0064076902543566E-2</v>
      </c>
      <c r="J49" s="11">
        <v>-0.15692270718443055</v>
      </c>
      <c r="K49" s="11">
        <v>0.15692270718443055</v>
      </c>
    </row>
    <row r="50" spans="2:11">
      <c r="B50" s="15">
        <v>18</v>
      </c>
      <c r="C50" s="11">
        <v>1424.3644551282055</v>
      </c>
      <c r="D50" s="11">
        <v>0.6518050329382723</v>
      </c>
      <c r="E50" s="11">
        <v>0.39266838201364029</v>
      </c>
      <c r="F50" s="11">
        <v>-0.76961588661435032</v>
      </c>
      <c r="G50" s="11">
        <v>0.76961588661435032</v>
      </c>
      <c r="H50" s="11">
        <v>-3.9357638923995852E-2</v>
      </c>
      <c r="I50" s="11">
        <v>8.0064076902543566E-2</v>
      </c>
      <c r="J50" s="11">
        <v>-0.15692270718443055</v>
      </c>
      <c r="K50" s="11">
        <v>0.15692270718443055</v>
      </c>
    </row>
    <row r="51" spans="2:11">
      <c r="B51" s="15">
        <v>19</v>
      </c>
      <c r="C51" s="11">
        <v>1386.4178080484328</v>
      </c>
      <c r="D51" s="11">
        <v>0.63444022475264406</v>
      </c>
      <c r="E51" s="11">
        <v>0.39954380304699644</v>
      </c>
      <c r="F51" s="11">
        <v>-0.78309146421827758</v>
      </c>
      <c r="G51" s="11">
        <v>0.78309146421827758</v>
      </c>
      <c r="H51" s="11">
        <v>5.2502429311890256E-3</v>
      </c>
      <c r="I51" s="11">
        <v>8.0064076902543566E-2</v>
      </c>
      <c r="J51" s="11">
        <v>-0.15692270718443055</v>
      </c>
      <c r="K51" s="11">
        <v>0.15692270718443055</v>
      </c>
    </row>
    <row r="52" spans="2:11">
      <c r="B52" s="15">
        <v>20</v>
      </c>
      <c r="C52" s="11">
        <v>1347.4621438746435</v>
      </c>
      <c r="D52" s="11">
        <v>0.61661367911082421</v>
      </c>
      <c r="E52" s="11">
        <v>0.40595035603298929</v>
      </c>
      <c r="F52" s="11">
        <v>-0.79564807733587106</v>
      </c>
      <c r="G52" s="11">
        <v>0.79564807733587106</v>
      </c>
      <c r="H52" s="11">
        <v>1.6164698413878277E-2</v>
      </c>
      <c r="I52" s="11">
        <v>8.0064076902543566E-2</v>
      </c>
      <c r="J52" s="11">
        <v>-0.15692270718443055</v>
      </c>
      <c r="K52" s="11">
        <v>0.15692270718443055</v>
      </c>
    </row>
    <row r="53" spans="2:11">
      <c r="B53" s="15">
        <v>21</v>
      </c>
      <c r="C53" s="11">
        <v>1310.4464583333336</v>
      </c>
      <c r="D53" s="11">
        <v>0.59967488929012858</v>
      </c>
      <c r="E53" s="11">
        <v>0.41191043915788461</v>
      </c>
      <c r="F53" s="11">
        <v>-0.8073296256055309</v>
      </c>
      <c r="G53" s="11">
        <v>0.8073296256055309</v>
      </c>
      <c r="H53" s="11">
        <v>-5.3402634348283289E-2</v>
      </c>
      <c r="I53" s="11">
        <v>8.0064076902543566E-2</v>
      </c>
      <c r="J53" s="11">
        <v>-0.15692270718443055</v>
      </c>
      <c r="K53" s="11">
        <v>0.15692270718443055</v>
      </c>
    </row>
    <row r="54" spans="2:11" ht="17" thickBot="1">
      <c r="B54" s="16">
        <v>22</v>
      </c>
      <c r="C54" s="12">
        <v>1277.9343198005699</v>
      </c>
      <c r="D54" s="12">
        <v>0.58479697272113207</v>
      </c>
      <c r="E54" s="12">
        <v>0.41746927330581662</v>
      </c>
      <c r="F54" s="12">
        <v>-0.81822474033150894</v>
      </c>
      <c r="G54" s="12">
        <v>0.81822474033150894</v>
      </c>
      <c r="H54" s="12">
        <v>5.2321744124920765E-2</v>
      </c>
      <c r="I54" s="12">
        <v>8.0064076902543566E-2</v>
      </c>
      <c r="J54" s="12">
        <v>-0.15692270718443055</v>
      </c>
      <c r="K54" s="12">
        <v>0.15692270718443055</v>
      </c>
    </row>
    <row r="72" spans="6:6">
      <c r="F72" t="s">
        <v>17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D919870">
              <controlPr defaultSize="0" autoFill="0" autoPict="0" macro="[0]!GoToResultsNew1310182174838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649FD-C755-8E4A-9C39-87EFEEA2C16F}">
  <sheetPr codeName="Sheet7">
    <tabColor rgb="FF007800"/>
  </sheetPr>
  <dimension ref="B1:I193"/>
  <sheetViews>
    <sheetView zoomScaleNormal="100" workbookViewId="0">
      <selection activeCell="C15" sqref="C15"/>
    </sheetView>
  </sheetViews>
  <sheetFormatPr baseColWidth="10" defaultRowHeight="16"/>
  <cols>
    <col min="1" max="1" width="5.83203125" customWidth="1"/>
  </cols>
  <sheetData>
    <row r="1" spans="2:9">
      <c r="B1" t="s">
        <v>24</v>
      </c>
    </row>
    <row r="2" spans="2:9">
      <c r="B2" t="s">
        <v>4</v>
      </c>
    </row>
    <row r="3" spans="2:9" ht="34.25" customHeight="1"/>
    <row r="4" spans="2:9" ht="21" customHeight="1"/>
    <row r="7" spans="2:9">
      <c r="B7" t="s">
        <v>5</v>
      </c>
    </row>
    <row r="8" spans="2:9" ht="17" thickBot="1"/>
    <row r="9" spans="2:9">
      <c r="B9" s="4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I9" s="5" t="s">
        <v>13</v>
      </c>
    </row>
    <row r="10" spans="2:9" ht="17" thickBot="1">
      <c r="B10" s="7">
        <v>93.3</v>
      </c>
      <c r="C10" s="8">
        <v>155</v>
      </c>
      <c r="D10" s="8">
        <v>0</v>
      </c>
      <c r="E10" s="8">
        <v>155</v>
      </c>
      <c r="F10" s="9">
        <v>93.8</v>
      </c>
      <c r="G10" s="9">
        <v>247</v>
      </c>
      <c r="H10" s="9">
        <v>167.55935483870968</v>
      </c>
      <c r="I10" s="9">
        <v>46.669721957956959</v>
      </c>
    </row>
    <row r="13" spans="2:9">
      <c r="B13" s="17" t="s">
        <v>19</v>
      </c>
    </row>
    <row r="15" spans="2:9">
      <c r="B15" s="18" t="s">
        <v>20</v>
      </c>
      <c r="C15" s="2">
        <v>0</v>
      </c>
    </row>
    <row r="18" spans="2:4">
      <c r="B18" t="s">
        <v>21</v>
      </c>
    </row>
    <row r="19" spans="2:4" ht="17" thickBot="1"/>
    <row r="20" spans="2:4">
      <c r="B20" s="13" t="s">
        <v>22</v>
      </c>
      <c r="C20" s="5" t="s">
        <v>15</v>
      </c>
      <c r="D20" s="5" t="s">
        <v>23</v>
      </c>
    </row>
    <row r="21" spans="2:4">
      <c r="B21" s="14">
        <v>1</v>
      </c>
      <c r="C21" s="10">
        <v>95.7</v>
      </c>
      <c r="D21" s="10">
        <v>4.5612182984589085</v>
      </c>
    </row>
    <row r="22" spans="2:4">
      <c r="B22" s="15">
        <v>2</v>
      </c>
      <c r="C22" s="11">
        <v>93.8</v>
      </c>
      <c r="D22" s="11">
        <v>4.5411648560121787</v>
      </c>
    </row>
    <row r="23" spans="2:4">
      <c r="B23" s="15">
        <v>3</v>
      </c>
      <c r="C23" s="11">
        <v>99.4</v>
      </c>
      <c r="D23" s="11">
        <v>4.5991521136625284</v>
      </c>
    </row>
    <row r="24" spans="2:4">
      <c r="B24" s="15">
        <v>4</v>
      </c>
      <c r="C24" s="11">
        <v>100</v>
      </c>
      <c r="D24" s="11">
        <v>4.6051701859880918</v>
      </c>
    </row>
    <row r="25" spans="2:4">
      <c r="B25" s="15">
        <v>5</v>
      </c>
      <c r="C25" s="11">
        <v>105.6</v>
      </c>
      <c r="D25" s="11">
        <v>4.6596583712721609</v>
      </c>
    </row>
    <row r="26" spans="2:4">
      <c r="B26" s="15">
        <v>6</v>
      </c>
      <c r="C26" s="11">
        <v>99.4</v>
      </c>
      <c r="D26" s="11">
        <v>4.5991521136625284</v>
      </c>
    </row>
    <row r="27" spans="2:4">
      <c r="B27" s="15">
        <v>7</v>
      </c>
      <c r="C27" s="11">
        <v>106.3</v>
      </c>
      <c r="D27" s="11">
        <v>4.6662652853479019</v>
      </c>
    </row>
    <row r="28" spans="2:4">
      <c r="B28" s="15">
        <v>8</v>
      </c>
      <c r="C28" s="11">
        <v>104.2</v>
      </c>
      <c r="D28" s="11">
        <v>4.6463121293192664</v>
      </c>
    </row>
    <row r="29" spans="2:4">
      <c r="B29" s="15">
        <v>9</v>
      </c>
      <c r="C29" s="11">
        <v>99.5</v>
      </c>
      <c r="D29" s="11">
        <v>4.6001576441645469</v>
      </c>
    </row>
    <row r="30" spans="2:4">
      <c r="B30" s="15">
        <v>10</v>
      </c>
      <c r="C30" s="11">
        <v>105.7</v>
      </c>
      <c r="D30" s="11">
        <v>4.6606048928761918</v>
      </c>
    </row>
    <row r="31" spans="2:4">
      <c r="B31" s="15">
        <v>11</v>
      </c>
      <c r="C31" s="11">
        <v>97.1</v>
      </c>
      <c r="D31" s="11">
        <v>4.5757413752972793</v>
      </c>
    </row>
    <row r="32" spans="2:4">
      <c r="B32" s="15">
        <v>12</v>
      </c>
      <c r="C32" s="11">
        <v>101.4</v>
      </c>
      <c r="D32" s="11">
        <v>4.619073091157083</v>
      </c>
    </row>
    <row r="33" spans="2:4">
      <c r="B33" s="15">
        <v>13</v>
      </c>
      <c r="C33" s="11">
        <v>97.7</v>
      </c>
      <c r="D33" s="11">
        <v>4.5819015590487373</v>
      </c>
    </row>
    <row r="34" spans="2:4">
      <c r="B34" s="15">
        <v>14</v>
      </c>
      <c r="C34" s="11">
        <v>95.8</v>
      </c>
      <c r="D34" s="11">
        <v>4.5622626849768144</v>
      </c>
    </row>
    <row r="35" spans="2:4">
      <c r="B35" s="15">
        <v>15</v>
      </c>
      <c r="C35" s="11">
        <v>103</v>
      </c>
      <c r="D35" s="11">
        <v>4.6347289882296359</v>
      </c>
    </row>
    <row r="36" spans="2:4">
      <c r="B36" s="15">
        <v>16</v>
      </c>
      <c r="C36" s="11">
        <v>105</v>
      </c>
      <c r="D36" s="11">
        <v>4.6539603501575231</v>
      </c>
    </row>
    <row r="37" spans="2:4">
      <c r="B37" s="15">
        <v>17</v>
      </c>
      <c r="C37" s="11">
        <v>106.5</v>
      </c>
      <c r="D37" s="11">
        <v>4.6681449851494801</v>
      </c>
    </row>
    <row r="38" spans="2:4">
      <c r="B38" s="15">
        <v>18</v>
      </c>
      <c r="C38" s="11">
        <v>102</v>
      </c>
      <c r="D38" s="11">
        <v>4.6249728132842707</v>
      </c>
    </row>
    <row r="39" spans="2:4">
      <c r="B39" s="15">
        <v>19</v>
      </c>
      <c r="C39" s="11">
        <v>110.5</v>
      </c>
      <c r="D39" s="11">
        <v>4.705015520957808</v>
      </c>
    </row>
    <row r="40" spans="2:4">
      <c r="B40" s="15">
        <v>20</v>
      </c>
      <c r="C40" s="11">
        <v>105.5</v>
      </c>
      <c r="D40" s="11">
        <v>4.6587109529161213</v>
      </c>
    </row>
    <row r="41" spans="2:4">
      <c r="B41" s="15">
        <v>21</v>
      </c>
      <c r="C41" s="11">
        <v>106.2</v>
      </c>
      <c r="D41" s="11">
        <v>4.6653241088078383</v>
      </c>
    </row>
    <row r="42" spans="2:4">
      <c r="B42" s="15">
        <v>22</v>
      </c>
      <c r="C42" s="11">
        <v>110</v>
      </c>
      <c r="D42" s="11">
        <v>4.7004803657924166</v>
      </c>
    </row>
    <row r="43" spans="2:4">
      <c r="B43" s="15">
        <v>23</v>
      </c>
      <c r="C43" s="11">
        <v>101.9</v>
      </c>
      <c r="D43" s="11">
        <v>4.6239919402286791</v>
      </c>
    </row>
    <row r="44" spans="2:4">
      <c r="B44" s="15">
        <v>24</v>
      </c>
      <c r="C44" s="11">
        <v>107.5</v>
      </c>
      <c r="D44" s="11">
        <v>4.677490847567717</v>
      </c>
    </row>
    <row r="45" spans="2:4">
      <c r="B45" s="15">
        <v>25</v>
      </c>
      <c r="C45" s="11">
        <v>99.7</v>
      </c>
      <c r="D45" s="11">
        <v>4.6021656769677923</v>
      </c>
    </row>
    <row r="46" spans="2:4">
      <c r="B46" s="15">
        <v>26</v>
      </c>
      <c r="C46" s="11">
        <v>101.9</v>
      </c>
      <c r="D46" s="11">
        <v>4.6239919402286791</v>
      </c>
    </row>
    <row r="47" spans="2:4">
      <c r="B47" s="15">
        <v>27</v>
      </c>
      <c r="C47" s="11">
        <v>106.4</v>
      </c>
      <c r="D47" s="11">
        <v>4.667205576907544</v>
      </c>
    </row>
    <row r="48" spans="2:4">
      <c r="B48" s="15">
        <v>28</v>
      </c>
      <c r="C48" s="11">
        <v>108.5</v>
      </c>
      <c r="D48" s="11">
        <v>4.6867501729805143</v>
      </c>
    </row>
    <row r="49" spans="2:4">
      <c r="B49" s="15">
        <v>29</v>
      </c>
      <c r="C49" s="11">
        <v>108.5</v>
      </c>
      <c r="D49" s="11">
        <v>4.6867501729805143</v>
      </c>
    </row>
    <row r="50" spans="2:4">
      <c r="B50" s="15">
        <v>30</v>
      </c>
      <c r="C50" s="11">
        <v>111.7</v>
      </c>
      <c r="D50" s="11">
        <v>4.715816706075155</v>
      </c>
    </row>
    <row r="51" spans="2:4">
      <c r="B51" s="15">
        <v>31</v>
      </c>
      <c r="C51" s="11">
        <v>113.3</v>
      </c>
      <c r="D51" s="11">
        <v>4.7300391680339606</v>
      </c>
    </row>
    <row r="52" spans="2:4">
      <c r="B52" s="15">
        <v>32</v>
      </c>
      <c r="C52" s="11">
        <v>109.5</v>
      </c>
      <c r="D52" s="11">
        <v>4.6959245492565556</v>
      </c>
    </row>
    <row r="53" spans="2:4">
      <c r="B53" s="15">
        <v>33</v>
      </c>
      <c r="C53" s="11">
        <v>112.3</v>
      </c>
      <c r="D53" s="11">
        <v>4.7211738617443979</v>
      </c>
    </row>
    <row r="54" spans="2:4">
      <c r="B54" s="15">
        <v>34</v>
      </c>
      <c r="C54" s="11">
        <v>113.8</v>
      </c>
      <c r="D54" s="11">
        <v>4.7344425216922303</v>
      </c>
    </row>
    <row r="55" spans="2:4">
      <c r="B55" s="15">
        <v>35</v>
      </c>
      <c r="C55" s="11">
        <v>107.1</v>
      </c>
      <c r="D55" s="11">
        <v>4.6737629774537028</v>
      </c>
    </row>
    <row r="56" spans="2:4">
      <c r="B56" s="15">
        <v>36</v>
      </c>
      <c r="C56" s="11">
        <v>113.4</v>
      </c>
      <c r="D56" s="11">
        <v>4.7309213912936521</v>
      </c>
    </row>
    <row r="57" spans="2:4">
      <c r="B57" s="15">
        <v>37</v>
      </c>
      <c r="C57" s="11">
        <v>110.5</v>
      </c>
      <c r="D57" s="11">
        <v>4.705015520957808</v>
      </c>
    </row>
    <row r="58" spans="2:4">
      <c r="B58" s="15">
        <v>38</v>
      </c>
      <c r="C58" s="11">
        <v>105.5</v>
      </c>
      <c r="D58" s="11">
        <v>4.6587109529161213</v>
      </c>
    </row>
    <row r="59" spans="2:4">
      <c r="B59" s="15">
        <v>39</v>
      </c>
      <c r="C59" s="11">
        <v>116.5</v>
      </c>
      <c r="D59" s="11">
        <v>4.7578912730057557</v>
      </c>
    </row>
    <row r="60" spans="2:4">
      <c r="B60" s="15">
        <v>40</v>
      </c>
      <c r="C60" s="11">
        <v>114.2</v>
      </c>
      <c r="D60" s="11">
        <v>4.73795129722191</v>
      </c>
    </row>
    <row r="61" spans="2:4">
      <c r="B61" s="15">
        <v>41</v>
      </c>
      <c r="C61" s="11">
        <v>121.8</v>
      </c>
      <c r="D61" s="11">
        <v>4.8023803552757967</v>
      </c>
    </row>
    <row r="62" spans="2:4">
      <c r="B62" s="15">
        <v>42</v>
      </c>
      <c r="C62" s="11">
        <v>121.2</v>
      </c>
      <c r="D62" s="11">
        <v>4.7974420736352137</v>
      </c>
    </row>
    <row r="63" spans="2:4">
      <c r="B63" s="15">
        <v>43</v>
      </c>
      <c r="C63" s="11">
        <v>117.4</v>
      </c>
      <c r="D63" s="11">
        <v>4.7655869073939963</v>
      </c>
    </row>
    <row r="64" spans="2:4">
      <c r="B64" s="15">
        <v>44</v>
      </c>
      <c r="C64" s="11">
        <v>123.5</v>
      </c>
      <c r="D64" s="11">
        <v>4.816241156068032</v>
      </c>
    </row>
    <row r="65" spans="2:4">
      <c r="B65" s="15">
        <v>45</v>
      </c>
      <c r="C65" s="11">
        <v>120.1</v>
      </c>
      <c r="D65" s="11">
        <v>4.7883247290859376</v>
      </c>
    </row>
    <row r="66" spans="2:4">
      <c r="B66" s="15">
        <v>46</v>
      </c>
      <c r="C66" s="11">
        <v>117.5</v>
      </c>
      <c r="D66" s="11">
        <v>4.7664383335842135</v>
      </c>
    </row>
    <row r="67" spans="2:4">
      <c r="B67" s="15">
        <v>47</v>
      </c>
      <c r="C67" s="11">
        <v>118.2</v>
      </c>
      <c r="D67" s="11">
        <v>4.772378104971998</v>
      </c>
    </row>
    <row r="68" spans="2:4">
      <c r="B68" s="15">
        <v>48</v>
      </c>
      <c r="C68" s="11">
        <v>109</v>
      </c>
      <c r="D68" s="11">
        <v>4.6913478822291435</v>
      </c>
    </row>
    <row r="69" spans="2:4">
      <c r="B69" s="15">
        <v>49</v>
      </c>
      <c r="C69" s="11">
        <v>109.7</v>
      </c>
      <c r="D69" s="11">
        <v>4.697749367281185</v>
      </c>
    </row>
    <row r="70" spans="2:4">
      <c r="B70" s="15">
        <v>50</v>
      </c>
      <c r="C70" s="11">
        <v>106.3</v>
      </c>
      <c r="D70" s="11">
        <v>4.6662652853479019</v>
      </c>
    </row>
    <row r="71" spans="2:4">
      <c r="B71" s="15">
        <v>51</v>
      </c>
      <c r="C71" s="11">
        <v>117.6</v>
      </c>
      <c r="D71" s="11">
        <v>4.7672890354645263</v>
      </c>
    </row>
    <row r="72" spans="2:4">
      <c r="B72" s="15">
        <v>52</v>
      </c>
      <c r="C72" s="11">
        <v>112.5</v>
      </c>
      <c r="D72" s="11">
        <v>4.7229532216444747</v>
      </c>
    </row>
    <row r="73" spans="2:4">
      <c r="B73" s="15">
        <v>53</v>
      </c>
      <c r="C73" s="11">
        <v>123.2</v>
      </c>
      <c r="D73" s="11">
        <v>4.8138090510994198</v>
      </c>
    </row>
    <row r="74" spans="2:4">
      <c r="B74" s="15">
        <v>54</v>
      </c>
      <c r="C74" s="11">
        <v>119.9</v>
      </c>
      <c r="D74" s="11">
        <v>4.7866580620334682</v>
      </c>
    </row>
    <row r="75" spans="2:4">
      <c r="B75" s="15">
        <v>55</v>
      </c>
      <c r="C75" s="11">
        <v>129.1</v>
      </c>
      <c r="D75" s="11">
        <v>4.8605872978525966</v>
      </c>
    </row>
    <row r="76" spans="2:4">
      <c r="B76" s="15">
        <v>56</v>
      </c>
      <c r="C76" s="11">
        <v>172.3</v>
      </c>
      <c r="D76" s="11">
        <v>5.1492371435338837</v>
      </c>
    </row>
    <row r="77" spans="2:4">
      <c r="B77" s="15">
        <v>57</v>
      </c>
      <c r="C77" s="11">
        <v>171.8</v>
      </c>
      <c r="D77" s="11">
        <v>5.1463310095501553</v>
      </c>
    </row>
    <row r="78" spans="2:4">
      <c r="B78" s="15">
        <v>58</v>
      </c>
      <c r="C78" s="11">
        <v>167.3</v>
      </c>
      <c r="D78" s="11">
        <v>5.1197886079927786</v>
      </c>
    </row>
    <row r="79" spans="2:4">
      <c r="B79" s="15">
        <v>59</v>
      </c>
      <c r="C79" s="11">
        <v>169.1</v>
      </c>
      <c r="D79" s="11">
        <v>5.1304902559045349</v>
      </c>
    </row>
    <row r="80" spans="2:4">
      <c r="B80" s="15">
        <v>60</v>
      </c>
      <c r="C80" s="11">
        <v>163.80000000000001</v>
      </c>
      <c r="D80" s="11">
        <v>5.0986461714189693</v>
      </c>
    </row>
    <row r="81" spans="2:4">
      <c r="B81" s="15">
        <v>61</v>
      </c>
      <c r="C81" s="11">
        <v>166.3</v>
      </c>
      <c r="D81" s="11">
        <v>5.113793386198882</v>
      </c>
    </row>
    <row r="82" spans="2:4">
      <c r="B82" s="15">
        <v>62</v>
      </c>
      <c r="C82" s="11">
        <v>165</v>
      </c>
      <c r="D82" s="11">
        <v>5.1059454739005803</v>
      </c>
    </row>
    <row r="83" spans="2:4">
      <c r="B83" s="15">
        <v>63</v>
      </c>
      <c r="C83" s="11">
        <v>173.6</v>
      </c>
      <c r="D83" s="11">
        <v>5.15675380222625</v>
      </c>
    </row>
    <row r="84" spans="2:4">
      <c r="B84" s="15">
        <v>64</v>
      </c>
      <c r="C84" s="11">
        <v>167.3</v>
      </c>
      <c r="D84" s="11">
        <v>5.1197886079927786</v>
      </c>
    </row>
    <row r="85" spans="2:4">
      <c r="B85" s="15">
        <v>65</v>
      </c>
      <c r="C85" s="11">
        <v>181</v>
      </c>
      <c r="D85" s="11">
        <v>5.1984970312658261</v>
      </c>
    </row>
    <row r="86" spans="2:4">
      <c r="B86" s="15">
        <v>66</v>
      </c>
      <c r="C86" s="11">
        <v>173.4</v>
      </c>
      <c r="D86" s="11">
        <v>5.1556010643464418</v>
      </c>
    </row>
    <row r="87" spans="2:4">
      <c r="B87" s="15">
        <v>67</v>
      </c>
      <c r="C87" s="11">
        <v>182.8</v>
      </c>
      <c r="D87" s="11">
        <v>5.20839265902005</v>
      </c>
    </row>
    <row r="88" spans="2:4">
      <c r="B88" s="15">
        <v>68</v>
      </c>
      <c r="C88" s="11">
        <v>181.1</v>
      </c>
      <c r="D88" s="11">
        <v>5.1990493648893681</v>
      </c>
    </row>
    <row r="89" spans="2:4">
      <c r="B89" s="15">
        <v>69</v>
      </c>
      <c r="C89" s="11">
        <v>174.9</v>
      </c>
      <c r="D89" s="11">
        <v>5.1642143820245563</v>
      </c>
    </row>
    <row r="90" spans="2:4">
      <c r="B90" s="15">
        <v>70</v>
      </c>
      <c r="C90" s="11">
        <v>185.5</v>
      </c>
      <c r="D90" s="11">
        <v>5.2230548820474896</v>
      </c>
    </row>
    <row r="91" spans="2:4">
      <c r="B91" s="15">
        <v>71</v>
      </c>
      <c r="C91" s="11">
        <v>183.7</v>
      </c>
      <c r="D91" s="11">
        <v>5.2133039922210802</v>
      </c>
    </row>
    <row r="92" spans="2:4">
      <c r="B92" s="15">
        <v>72</v>
      </c>
      <c r="C92" s="11">
        <v>176.9</v>
      </c>
      <c r="D92" s="11">
        <v>5.17558460116574</v>
      </c>
    </row>
    <row r="93" spans="2:4">
      <c r="B93" s="15">
        <v>73</v>
      </c>
      <c r="C93" s="11">
        <v>176.7</v>
      </c>
      <c r="D93" s="11">
        <v>5.1744533793256506</v>
      </c>
    </row>
    <row r="94" spans="2:4">
      <c r="B94" s="15">
        <v>74</v>
      </c>
      <c r="C94" s="11">
        <v>166.3</v>
      </c>
      <c r="D94" s="11">
        <v>5.113793386198882</v>
      </c>
    </row>
    <row r="95" spans="2:4">
      <c r="B95" s="15">
        <v>75</v>
      </c>
      <c r="C95" s="11">
        <v>180.2</v>
      </c>
      <c r="D95" s="11">
        <v>5.1940673451742372</v>
      </c>
    </row>
    <row r="96" spans="2:4">
      <c r="B96" s="15">
        <v>76</v>
      </c>
      <c r="C96" s="11">
        <v>184</v>
      </c>
      <c r="D96" s="11">
        <v>5.2149357576089859</v>
      </c>
    </row>
    <row r="97" spans="2:4">
      <c r="B97" s="15">
        <v>77</v>
      </c>
      <c r="C97" s="11">
        <v>195.6</v>
      </c>
      <c r="D97" s="11">
        <v>5.2760717576007172</v>
      </c>
    </row>
    <row r="98" spans="2:4">
      <c r="B98" s="15">
        <v>78</v>
      </c>
      <c r="C98" s="11">
        <v>186.2</v>
      </c>
      <c r="D98" s="11">
        <v>5.2268213648429667</v>
      </c>
    </row>
    <row r="99" spans="2:4">
      <c r="B99" s="15">
        <v>79</v>
      </c>
      <c r="C99" s="11">
        <v>201</v>
      </c>
      <c r="D99" s="11">
        <v>5.3033049080590757</v>
      </c>
    </row>
    <row r="100" spans="2:4">
      <c r="B100" s="15">
        <v>80</v>
      </c>
      <c r="C100" s="11">
        <v>194.1</v>
      </c>
      <c r="D100" s="11">
        <v>5.2683734901749641</v>
      </c>
    </row>
    <row r="101" spans="2:4">
      <c r="B101" s="15">
        <v>81</v>
      </c>
      <c r="C101" s="11">
        <v>183.9</v>
      </c>
      <c r="D101" s="11">
        <v>5.2143921316102757</v>
      </c>
    </row>
    <row r="102" spans="2:4">
      <c r="B102" s="15">
        <v>82</v>
      </c>
      <c r="C102" s="11">
        <v>196.5</v>
      </c>
      <c r="D102" s="11">
        <v>5.2806624313093158</v>
      </c>
    </row>
    <row r="103" spans="2:4">
      <c r="B103" s="15">
        <v>83</v>
      </c>
      <c r="C103" s="11">
        <v>182.8</v>
      </c>
      <c r="D103" s="11">
        <v>5.20839265902005</v>
      </c>
    </row>
    <row r="104" spans="2:4">
      <c r="B104" s="15">
        <v>84</v>
      </c>
      <c r="C104" s="11">
        <v>187.8</v>
      </c>
      <c r="D104" s="11">
        <v>5.2353775667741624</v>
      </c>
    </row>
    <row r="105" spans="2:4">
      <c r="B105" s="15">
        <v>85</v>
      </c>
      <c r="C105" s="11">
        <v>189.8</v>
      </c>
      <c r="D105" s="11">
        <v>5.2459708861758276</v>
      </c>
    </row>
    <row r="106" spans="2:4">
      <c r="B106" s="15">
        <v>86</v>
      </c>
      <c r="C106" s="11">
        <v>181.3</v>
      </c>
      <c r="D106" s="11">
        <v>5.2001531177608058</v>
      </c>
    </row>
    <row r="107" spans="2:4">
      <c r="B107" s="15">
        <v>87</v>
      </c>
      <c r="C107" s="11">
        <v>194.9</v>
      </c>
      <c r="D107" s="11">
        <v>5.2724866065135148</v>
      </c>
    </row>
    <row r="108" spans="2:4">
      <c r="B108" s="15">
        <v>88</v>
      </c>
      <c r="C108" s="11">
        <v>196</v>
      </c>
      <c r="D108" s="11">
        <v>5.2781146592305168</v>
      </c>
    </row>
    <row r="109" spans="2:4">
      <c r="B109" s="15">
        <v>89</v>
      </c>
      <c r="C109" s="11">
        <v>199.2</v>
      </c>
      <c r="D109" s="11">
        <v>5.2943093451504977</v>
      </c>
    </row>
    <row r="110" spans="2:4">
      <c r="B110" s="15">
        <v>90</v>
      </c>
      <c r="C110" s="11">
        <v>199.1</v>
      </c>
      <c r="D110" s="11">
        <v>5.2938072110701508</v>
      </c>
    </row>
    <row r="111" spans="2:4">
      <c r="B111" s="15">
        <v>91</v>
      </c>
      <c r="C111" s="11">
        <v>200.1</v>
      </c>
      <c r="D111" s="11">
        <v>5.2988172415896875</v>
      </c>
    </row>
    <row r="112" spans="2:4">
      <c r="B112" s="15">
        <v>92</v>
      </c>
      <c r="C112" s="11">
        <v>198.9</v>
      </c>
      <c r="D112" s="11">
        <v>5.2928021858599266</v>
      </c>
    </row>
    <row r="113" spans="2:4">
      <c r="B113" s="15">
        <v>93</v>
      </c>
      <c r="C113" s="11">
        <v>193.6</v>
      </c>
      <c r="D113" s="11">
        <v>5.265794174842477</v>
      </c>
    </row>
    <row r="114" spans="2:4">
      <c r="B114" s="15">
        <v>94</v>
      </c>
      <c r="C114" s="11">
        <v>198.5</v>
      </c>
      <c r="D114" s="11">
        <v>5.2907891001272453</v>
      </c>
    </row>
    <row r="115" spans="2:4">
      <c r="B115" s="15">
        <v>95</v>
      </c>
      <c r="C115" s="11">
        <v>189.3</v>
      </c>
      <c r="D115" s="11">
        <v>5.2433330582152768</v>
      </c>
    </row>
    <row r="116" spans="2:4">
      <c r="B116" s="15">
        <v>96</v>
      </c>
      <c r="C116" s="11">
        <v>197.2</v>
      </c>
      <c r="D116" s="11">
        <v>5.2842184421685348</v>
      </c>
    </row>
    <row r="117" spans="2:4">
      <c r="B117" s="15">
        <v>97</v>
      </c>
      <c r="C117" s="11">
        <v>189.6</v>
      </c>
      <c r="D117" s="11">
        <v>5.2449165898209218</v>
      </c>
    </row>
    <row r="118" spans="2:4">
      <c r="B118" s="15">
        <v>98</v>
      </c>
      <c r="C118" s="11">
        <v>176.4</v>
      </c>
      <c r="D118" s="11">
        <v>5.1727541435726909</v>
      </c>
    </row>
    <row r="119" spans="2:4">
      <c r="B119" s="15">
        <v>99</v>
      </c>
      <c r="C119" s="11">
        <v>198.1</v>
      </c>
      <c r="D119" s="11">
        <v>5.2887719537045053</v>
      </c>
    </row>
    <row r="120" spans="2:4">
      <c r="B120" s="15">
        <v>100</v>
      </c>
      <c r="C120" s="11">
        <v>199.8</v>
      </c>
      <c r="D120" s="11">
        <v>5.2973168662144534</v>
      </c>
    </row>
    <row r="121" spans="2:4">
      <c r="B121" s="15">
        <v>101</v>
      </c>
      <c r="C121" s="11">
        <v>202.1</v>
      </c>
      <c r="D121" s="11">
        <v>5.3087626244095754</v>
      </c>
    </row>
    <row r="122" spans="2:4">
      <c r="B122" s="15">
        <v>102</v>
      </c>
      <c r="C122" s="11">
        <v>204.5</v>
      </c>
      <c r="D122" s="11">
        <v>5.3205679754828568</v>
      </c>
    </row>
    <row r="123" spans="2:4">
      <c r="B123" s="15">
        <v>103</v>
      </c>
      <c r="C123" s="11">
        <v>202.5</v>
      </c>
      <c r="D123" s="11">
        <v>5.3107398865465942</v>
      </c>
    </row>
    <row r="124" spans="2:4">
      <c r="B124" s="15">
        <v>104</v>
      </c>
      <c r="C124" s="11">
        <v>202.7</v>
      </c>
      <c r="D124" s="11">
        <v>5.3117270534579539</v>
      </c>
    </row>
    <row r="125" spans="2:4">
      <c r="B125" s="15">
        <v>105</v>
      </c>
      <c r="C125" s="11">
        <v>196.2</v>
      </c>
      <c r="D125" s="11">
        <v>5.279134547131263</v>
      </c>
    </row>
    <row r="126" spans="2:4">
      <c r="B126" s="15">
        <v>106</v>
      </c>
      <c r="C126" s="11">
        <v>203.5</v>
      </c>
      <c r="D126" s="11">
        <v>5.3156660048826501</v>
      </c>
    </row>
    <row r="127" spans="2:4">
      <c r="B127" s="15">
        <v>107</v>
      </c>
      <c r="C127" s="11">
        <v>196.4</v>
      </c>
      <c r="D127" s="11">
        <v>5.2801533959203653</v>
      </c>
    </row>
    <row r="128" spans="2:4">
      <c r="B128" s="15">
        <v>108</v>
      </c>
      <c r="C128" s="11">
        <v>197.7</v>
      </c>
      <c r="D128" s="11">
        <v>5.2867507301765713</v>
      </c>
    </row>
    <row r="129" spans="2:4">
      <c r="B129" s="15">
        <v>109</v>
      </c>
      <c r="C129" s="11">
        <v>193</v>
      </c>
      <c r="D129" s="11">
        <v>5.2626901889048856</v>
      </c>
    </row>
    <row r="130" spans="2:4">
      <c r="B130" s="15">
        <v>110</v>
      </c>
      <c r="C130" s="11">
        <v>180.1</v>
      </c>
      <c r="D130" s="11">
        <v>5.1935122521819101</v>
      </c>
    </row>
    <row r="131" spans="2:4">
      <c r="B131" s="15">
        <v>111</v>
      </c>
      <c r="C131" s="11">
        <v>203.7</v>
      </c>
      <c r="D131" s="11">
        <v>5.3166483232327604</v>
      </c>
    </row>
    <row r="132" spans="2:4">
      <c r="B132" s="15">
        <v>112</v>
      </c>
      <c r="C132" s="11">
        <v>202.8</v>
      </c>
      <c r="D132" s="11">
        <v>5.3122202717170284</v>
      </c>
    </row>
    <row r="133" spans="2:4">
      <c r="B133" s="15">
        <v>113</v>
      </c>
      <c r="C133" s="11">
        <v>209.1</v>
      </c>
      <c r="D133" s="11">
        <v>5.3428126064345882</v>
      </c>
    </row>
    <row r="134" spans="2:4">
      <c r="B134" s="15">
        <v>114</v>
      </c>
      <c r="C134" s="11">
        <v>208.2</v>
      </c>
      <c r="D134" s="11">
        <v>5.3384991561808688</v>
      </c>
    </row>
    <row r="135" spans="2:4">
      <c r="B135" s="15">
        <v>115</v>
      </c>
      <c r="C135" s="11">
        <v>214.7</v>
      </c>
      <c r="D135" s="11">
        <v>5.3692417048847352</v>
      </c>
    </row>
    <row r="136" spans="2:4">
      <c r="B136" s="15">
        <v>116</v>
      </c>
      <c r="C136" s="11">
        <v>210.1</v>
      </c>
      <c r="D136" s="11">
        <v>5.3475836078509547</v>
      </c>
    </row>
    <row r="137" spans="2:4">
      <c r="B137" s="15">
        <v>117</v>
      </c>
      <c r="C137" s="11">
        <v>206.9</v>
      </c>
      <c r="D137" s="11">
        <v>5.3322355847514977</v>
      </c>
    </row>
    <row r="138" spans="2:4">
      <c r="B138" s="15">
        <v>118</v>
      </c>
      <c r="C138" s="11">
        <v>210.4</v>
      </c>
      <c r="D138" s="11">
        <v>5.349010480863555</v>
      </c>
    </row>
    <row r="139" spans="2:4">
      <c r="B139" s="15">
        <v>119</v>
      </c>
      <c r="C139" s="11">
        <v>204.4</v>
      </c>
      <c r="D139" s="11">
        <v>5.3200788583295493</v>
      </c>
    </row>
    <row r="140" spans="2:4">
      <c r="B140" s="15">
        <v>120</v>
      </c>
      <c r="C140" s="11">
        <v>203.9</v>
      </c>
      <c r="D140" s="11">
        <v>5.3176296775804097</v>
      </c>
    </row>
    <row r="141" spans="2:4">
      <c r="B141" s="15">
        <v>121</v>
      </c>
      <c r="C141" s="11">
        <v>199.1</v>
      </c>
      <c r="D141" s="11">
        <v>5.2938072110701508</v>
      </c>
    </row>
    <row r="142" spans="2:4">
      <c r="B142" s="15">
        <v>122</v>
      </c>
      <c r="C142" s="11">
        <v>183.1</v>
      </c>
      <c r="D142" s="11">
        <v>5.2100324516804646</v>
      </c>
    </row>
    <row r="143" spans="2:4">
      <c r="B143" s="15">
        <v>123</v>
      </c>
      <c r="C143" s="11">
        <v>206.2</v>
      </c>
      <c r="D143" s="11">
        <v>5.3288465715828597</v>
      </c>
    </row>
    <row r="144" spans="2:4">
      <c r="B144" s="15">
        <v>124</v>
      </c>
      <c r="C144" s="11">
        <v>204</v>
      </c>
      <c r="D144" s="11">
        <v>5.3181199938442161</v>
      </c>
    </row>
    <row r="145" spans="2:4">
      <c r="B145" s="15">
        <v>125</v>
      </c>
      <c r="C145" s="11">
        <v>207.7</v>
      </c>
      <c r="D145" s="11">
        <v>5.336094730882067</v>
      </c>
    </row>
    <row r="146" spans="2:4">
      <c r="B146" s="15">
        <v>126</v>
      </c>
      <c r="C146" s="11">
        <v>204.9</v>
      </c>
      <c r="D146" s="11">
        <v>5.3225220552448542</v>
      </c>
    </row>
    <row r="147" spans="2:4">
      <c r="B147" s="15">
        <v>127</v>
      </c>
      <c r="C147" s="11">
        <v>210</v>
      </c>
      <c r="D147" s="11">
        <v>5.3471075307174685</v>
      </c>
    </row>
    <row r="148" spans="2:4">
      <c r="B148" s="15">
        <v>128</v>
      </c>
      <c r="C148" s="11">
        <v>206.7</v>
      </c>
      <c r="D148" s="11">
        <v>5.3312684666877228</v>
      </c>
    </row>
    <row r="149" spans="2:4">
      <c r="B149" s="15">
        <v>129</v>
      </c>
      <c r="C149" s="11">
        <v>202.5</v>
      </c>
      <c r="D149" s="11">
        <v>5.3107398865465942</v>
      </c>
    </row>
    <row r="150" spans="2:4">
      <c r="B150" s="15">
        <v>130</v>
      </c>
      <c r="C150" s="11">
        <v>211.1</v>
      </c>
      <c r="D150" s="11">
        <v>5.3523319548542752</v>
      </c>
    </row>
    <row r="151" spans="2:4">
      <c r="B151" s="15">
        <v>131</v>
      </c>
      <c r="C151" s="11">
        <v>205.6</v>
      </c>
      <c r="D151" s="11">
        <v>5.3259325335810104</v>
      </c>
    </row>
    <row r="152" spans="2:4">
      <c r="B152" s="15">
        <v>132</v>
      </c>
      <c r="C152" s="11">
        <v>214.4</v>
      </c>
      <c r="D152" s="11">
        <v>5.3678434291966468</v>
      </c>
    </row>
    <row r="153" spans="2:4">
      <c r="B153" s="15">
        <v>133</v>
      </c>
      <c r="C153" s="11">
        <v>214.9</v>
      </c>
      <c r="D153" s="11">
        <v>5.3701728036484644</v>
      </c>
    </row>
    <row r="154" spans="2:4">
      <c r="B154" s="15">
        <v>134</v>
      </c>
      <c r="C154" s="11">
        <v>203.6</v>
      </c>
      <c r="D154" s="11">
        <v>5.3161572846763674</v>
      </c>
    </row>
    <row r="155" spans="2:4">
      <c r="B155" s="15">
        <v>135</v>
      </c>
      <c r="C155" s="11">
        <v>221.9</v>
      </c>
      <c r="D155" s="11">
        <v>5.4022268299385479</v>
      </c>
    </row>
    <row r="156" spans="2:4">
      <c r="B156" s="15">
        <v>136</v>
      </c>
      <c r="C156" s="11">
        <v>220.3</v>
      </c>
      <c r="D156" s="11">
        <v>5.3949902538082979</v>
      </c>
    </row>
    <row r="157" spans="2:4">
      <c r="B157" s="15">
        <v>137</v>
      </c>
      <c r="C157" s="11">
        <v>228.4</v>
      </c>
      <c r="D157" s="11">
        <v>5.4310984777818554</v>
      </c>
    </row>
    <row r="158" spans="2:4">
      <c r="B158" s="15">
        <v>138</v>
      </c>
      <c r="C158" s="11">
        <v>217.7</v>
      </c>
      <c r="D158" s="11">
        <v>5.3831179682405015</v>
      </c>
    </row>
    <row r="159" spans="2:4">
      <c r="B159" s="15">
        <v>139</v>
      </c>
      <c r="C159" s="11">
        <v>226.7</v>
      </c>
      <c r="D159" s="11">
        <v>5.4236275575134831</v>
      </c>
    </row>
    <row r="160" spans="2:4">
      <c r="B160" s="15">
        <v>140</v>
      </c>
      <c r="C160" s="11">
        <v>218.6</v>
      </c>
      <c r="D160" s="11">
        <v>5.3872435757424384</v>
      </c>
    </row>
    <row r="161" spans="2:4">
      <c r="B161" s="15">
        <v>141</v>
      </c>
      <c r="C161" s="11">
        <v>220.4</v>
      </c>
      <c r="D161" s="11">
        <v>5.3954440772787597</v>
      </c>
    </row>
    <row r="162" spans="2:4">
      <c r="B162" s="15">
        <v>142</v>
      </c>
      <c r="C162" s="11">
        <v>233.8</v>
      </c>
      <c r="D162" s="11">
        <v>5.4544660490379684</v>
      </c>
    </row>
    <row r="163" spans="2:4">
      <c r="B163" s="15">
        <v>143</v>
      </c>
      <c r="C163" s="11">
        <v>217.1</v>
      </c>
      <c r="D163" s="11">
        <v>5.3803580768842458</v>
      </c>
    </row>
    <row r="164" spans="2:4">
      <c r="B164" s="15">
        <v>144</v>
      </c>
      <c r="C164" s="11">
        <v>226.1</v>
      </c>
      <c r="D164" s="11">
        <v>5.420977379283924</v>
      </c>
    </row>
    <row r="165" spans="2:4">
      <c r="B165" s="15">
        <v>145</v>
      </c>
      <c r="C165" s="11">
        <v>222.6</v>
      </c>
      <c r="D165" s="11">
        <v>5.4053764388414445</v>
      </c>
    </row>
    <row r="166" spans="2:4">
      <c r="B166" s="15">
        <v>146</v>
      </c>
      <c r="C166" s="11">
        <v>209.7</v>
      </c>
      <c r="D166" s="11">
        <v>5.3456779379078743</v>
      </c>
    </row>
    <row r="167" spans="2:4">
      <c r="B167" s="15">
        <v>147</v>
      </c>
      <c r="C167" s="11">
        <v>220.9</v>
      </c>
      <c r="D167" s="11">
        <v>5.3977101104260719</v>
      </c>
    </row>
    <row r="168" spans="2:4">
      <c r="B168" s="15">
        <v>148</v>
      </c>
      <c r="C168" s="11">
        <v>230</v>
      </c>
      <c r="D168" s="11">
        <v>5.4380793089231956</v>
      </c>
    </row>
    <row r="169" spans="2:4">
      <c r="B169" s="15">
        <v>149</v>
      </c>
      <c r="C169" s="11">
        <v>228.9</v>
      </c>
      <c r="D169" s="11">
        <v>5.433285226958521</v>
      </c>
    </row>
    <row r="170" spans="2:4">
      <c r="B170" s="15">
        <v>150</v>
      </c>
      <c r="C170" s="11">
        <v>232.2</v>
      </c>
      <c r="D170" s="11">
        <v>5.4475990692637914</v>
      </c>
    </row>
    <row r="171" spans="2:4">
      <c r="B171" s="15">
        <v>151</v>
      </c>
      <c r="C171" s="11">
        <v>242.1</v>
      </c>
      <c r="D171" s="11">
        <v>5.4893508639440132</v>
      </c>
    </row>
    <row r="172" spans="2:4">
      <c r="B172" s="15">
        <v>152</v>
      </c>
      <c r="C172" s="11">
        <v>231.9</v>
      </c>
      <c r="D172" s="11">
        <v>5.4463062442614856</v>
      </c>
    </row>
    <row r="173" spans="2:4">
      <c r="B173" s="15">
        <v>153</v>
      </c>
      <c r="C173" s="11">
        <v>235</v>
      </c>
      <c r="D173" s="11">
        <v>5.4595855141441589</v>
      </c>
    </row>
    <row r="174" spans="2:4">
      <c r="B174" s="15">
        <v>154</v>
      </c>
      <c r="C174" s="11">
        <v>247</v>
      </c>
      <c r="D174" s="11">
        <v>5.5093883366279774</v>
      </c>
    </row>
    <row r="175" spans="2:4" ht="17" thickBot="1">
      <c r="B175" s="16">
        <v>155</v>
      </c>
      <c r="C175" s="12">
        <v>241.5</v>
      </c>
      <c r="D175" s="12">
        <v>5.4868694730926277</v>
      </c>
    </row>
    <row r="193" spans="6:6">
      <c r="F193" t="s">
        <v>17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D962728">
              <controlPr defaultSize="0" autoFill="0" autoPict="0" macro="[0]!GoToResultsNew131018216405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0D0FA-6D0F-DA46-BE37-208DDD8C2026}">
  <sheetPr codeName="Sheet5">
    <tabColor rgb="FF007800"/>
  </sheetPr>
  <dimension ref="B1:I30"/>
  <sheetViews>
    <sheetView topLeftCell="A18" zoomScaleNormal="100" workbookViewId="0">
      <selection activeCell="H33" sqref="H33"/>
    </sheetView>
  </sheetViews>
  <sheetFormatPr baseColWidth="10" defaultRowHeight="16"/>
  <cols>
    <col min="1" max="1" width="5.83203125" customWidth="1"/>
  </cols>
  <sheetData>
    <row r="1" spans="2:9">
      <c r="B1" t="s">
        <v>18</v>
      </c>
    </row>
    <row r="2" spans="2:9">
      <c r="B2" t="s">
        <v>4</v>
      </c>
    </row>
    <row r="3" spans="2:9" ht="34.25" customHeight="1"/>
    <row r="4" spans="2:9" ht="21" customHeight="1"/>
    <row r="7" spans="2:9">
      <c r="B7" t="s">
        <v>5</v>
      </c>
    </row>
    <row r="8" spans="2:9" ht="17" thickBot="1"/>
    <row r="9" spans="2:9">
      <c r="B9" s="4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I9" s="5" t="s">
        <v>13</v>
      </c>
    </row>
    <row r="10" spans="2:9" ht="17" thickBot="1">
      <c r="B10" s="7">
        <v>93.3</v>
      </c>
      <c r="C10" s="8">
        <v>155</v>
      </c>
      <c r="D10" s="8">
        <v>0</v>
      </c>
      <c r="E10" s="8">
        <v>155</v>
      </c>
      <c r="F10" s="9">
        <v>93.8</v>
      </c>
      <c r="G10" s="9">
        <v>247</v>
      </c>
      <c r="H10" s="9">
        <v>167.55935483870968</v>
      </c>
      <c r="I10" s="9">
        <v>46.669721957956959</v>
      </c>
    </row>
    <row r="13" spans="2:9">
      <c r="B13" t="s">
        <v>16</v>
      </c>
    </row>
    <row r="30" spans="6:6">
      <c r="F30" t="s">
        <v>17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D190535">
              <controlPr defaultSize="0" autoFill="0" autoPict="0" macro="[0]!GoToResultsNew1310182151532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65B92-51F5-A445-9A7E-CEE05BB2F07D}">
  <sheetPr codeName="Sheet2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Transport Data</vt:lpstr>
      <vt:lpstr>Time series_HID</vt:lpstr>
      <vt:lpstr>Time series1_HID</vt:lpstr>
      <vt:lpstr>Dickey-Fuller_HID</vt:lpstr>
      <vt:lpstr>ARIMA</vt:lpstr>
      <vt:lpstr>Exponential</vt:lpstr>
      <vt:lpstr>Holt-Winters</vt:lpstr>
      <vt:lpstr>Dickey-Fuller</vt:lpstr>
      <vt:lpstr>Descriptive analysis</vt:lpstr>
      <vt:lpstr>Time series transformation</vt:lpstr>
      <vt:lpstr>Time series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Dibyajyoti Panda</cp:lastModifiedBy>
  <dcterms:created xsi:type="dcterms:W3CDTF">2018-10-13T05:05:02Z</dcterms:created>
  <dcterms:modified xsi:type="dcterms:W3CDTF">2018-10-15T14:28:55Z</dcterms:modified>
</cp:coreProperties>
</file>